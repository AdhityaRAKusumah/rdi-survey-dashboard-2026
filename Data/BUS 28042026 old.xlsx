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wa Tengah" sheetId="1" r:id="rId5"/>
    <sheet state="visible" name="Sulawesi Selatan" sheetId="2" r:id="rId6"/>
    <sheet state="visible" name="V1" sheetId="3" r:id="rId7"/>
    <sheet state="visible" name="BUS 2" sheetId="4" r:id="rId8"/>
  </sheets>
  <definedNames>
    <definedName hidden="1" localSheetId="3" name="_xlnm._FilterDatabase">'BUS 2'!$D$1:$D$1000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Q1">
      <text>
        <t xml:space="preserve">edited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K1">
      <text>
        <t xml:space="preserve">Jika kosong, berarti tidak ada</t>
      </text>
    </comment>
    <comment authorId="0" ref="ABQ1">
      <text>
        <t xml:space="preserve">edited</t>
      </text>
    </comment>
    <comment authorId="0" ref="DS17">
      <text>
        <t xml:space="preserve">responden sudah meminta bantuan untuk memastikan apakah ada masalah pada komponen, tetapi tidak ada masalah teknis. Namun, masalah utama yang menyebabkan gas tidak optimal belum diketahui walaupun responden sudah </t>
      </text>
    </comment>
    <comment authorId="0" ref="EI53">
      <text>
        <t xml:space="preserve">klarifikasi: pasca renovasi rumah, reaktor dialih guna menjadi septic tank. konflik keluarga terjadi akibat para anggota keluarga merasa jijik dengan sumber bahan baku biogas dari kotoran manusia (septic tank). Sehingga biogas tidak aktif akibat Masalah Alokasi Ruang dan Tata Letak pasca renovasi</t>
      </text>
    </comment>
    <comment authorId="0" ref="ACT53">
      <text>
        <t xml:space="preserve">edited: berdasarkan catatan A13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V1">
      <text>
        <t xml:space="preserve">edited</t>
      </text>
    </comment>
  </commentList>
</comments>
</file>

<file path=xl/sharedStrings.xml><?xml version="1.0" encoding="utf-8"?>
<sst xmlns="http://schemas.openxmlformats.org/spreadsheetml/2006/main" count="29506" uniqueCount="4694">
  <si>
    <t>start</t>
  </si>
  <si>
    <t>end</t>
  </si>
  <si>
    <t>name_enum</t>
  </si>
  <si>
    <t>name</t>
  </si>
  <si>
    <t>telp</t>
  </si>
  <si>
    <t>house_coordinate</t>
  </si>
  <si>
    <t>house_lat</t>
  </si>
  <si>
    <t>house_long</t>
  </si>
  <si>
    <t>house_altitude</t>
  </si>
  <si>
    <t>house_precision</t>
  </si>
  <si>
    <t>house_coordinate_am</t>
  </si>
  <si>
    <t>biogas_coordinate</t>
  </si>
  <si>
    <t>biogas_lat</t>
  </si>
  <si>
    <t>biogas_long</t>
  </si>
  <si>
    <t>biogas_altitude</t>
  </si>
  <si>
    <t>precision_biogas</t>
  </si>
  <si>
    <t>biogas_coordinate_am</t>
  </si>
  <si>
    <t>province</t>
  </si>
  <si>
    <t>Informasi Demografis/4a. Provinsi/Lampung</t>
  </si>
  <si>
    <t>Informasi Demografis/4a. Provinsi/Banten</t>
  </si>
  <si>
    <t>Informasi Demografis/4a. Provinsi/Jawa Barat</t>
  </si>
  <si>
    <t>Informasi Demografis/4a. Provinsi/Jawa Tengah</t>
  </si>
  <si>
    <t>Informasi Demografis/4a. Provinsi/DIY</t>
  </si>
  <si>
    <t>Informasi Demografis/4a. Provinsi/Jawa Timur</t>
  </si>
  <si>
    <t>Informasi Demografis/4a. Provinsi/Bali</t>
  </si>
  <si>
    <t>Informasi Demografis/4a. Provinsi/NTB</t>
  </si>
  <si>
    <t>Informasi Demografis/4a. Provinsi/NTT</t>
  </si>
  <si>
    <t>Informasi Demografis/4a. Provinsi/Sulawesi Selatan</t>
  </si>
  <si>
    <t>district</t>
  </si>
  <si>
    <t>subdistrict</t>
  </si>
  <si>
    <t>village</t>
  </si>
  <si>
    <t>name_cpo</t>
  </si>
  <si>
    <t>plant_code</t>
  </si>
  <si>
    <t>year_of_use</t>
  </si>
  <si>
    <t>vpa</t>
  </si>
  <si>
    <t>status_biogas</t>
  </si>
  <si>
    <t>age</t>
  </si>
  <si>
    <t>gender</t>
  </si>
  <si>
    <t>marriage_status</t>
  </si>
  <si>
    <t>education</t>
  </si>
  <si>
    <t>Informasi Demografis/10. Pekerjaan utama</t>
  </si>
  <si>
    <t>Informasi Demografis/10. Pekerjaan utama/Petani</t>
  </si>
  <si>
    <t>Informasi Demografis/10. Pekerjaan utama/Peternak</t>
  </si>
  <si>
    <t>Informasi Demografis/10. Pekerjaan utama/Pekerja lepas</t>
  </si>
  <si>
    <t>Informasi Demografis/10. Pekerjaan utama/Wiraswasta</t>
  </si>
  <si>
    <t>Informasi Demografis/10. Pekerjaan utama/Pegawai pemerintah</t>
  </si>
  <si>
    <t>Informasi Demografis/10. Pekerjaan utama/Pegawai swasta</t>
  </si>
  <si>
    <t>Informasi Demografis/10. Pekerjaan utama/Lainnya</t>
  </si>
  <si>
    <t>Informasi Demografis/10. Pekerjaan utama/Tidak ada</t>
  </si>
  <si>
    <t>Informasi Demografis/10a. Lainnya:</t>
  </si>
  <si>
    <t>Informasi Demografis/11. Pekerjaan sampingan</t>
  </si>
  <si>
    <t>Informasi Demografis/11. Pekerjaan sampingan/Petani</t>
  </si>
  <si>
    <t>Informasi Demografis/11. Pekerjaan sampingan/Peternak</t>
  </si>
  <si>
    <t>Informasi Demografis/11. Pekerjaan sampingan/Pekerja lepas</t>
  </si>
  <si>
    <t>Informasi Demografis/11. Pekerjaan sampingan/Wiraswasta</t>
  </si>
  <si>
    <t>Informasi Demografis/11. Pekerjaan sampingan/Pegawai pemerintah</t>
  </si>
  <si>
    <t>Informasi Demografis/11. Pekerjaan sampingan/Pegawai swasta</t>
  </si>
  <si>
    <t>Informasi Demografis/11. Pekerjaan sampingan/Lainnya</t>
  </si>
  <si>
    <t>Informasi Demografis/11. Pekerjaan sampingan/Tidak ada</t>
  </si>
  <si>
    <t>Informasi Demografis/11a. Lainnya:</t>
  </si>
  <si>
    <t>monthly_income</t>
  </si>
  <si>
    <t>hh_men</t>
  </si>
  <si>
    <t>hh_women</t>
  </si>
  <si>
    <t>hh_children</t>
  </si>
  <si>
    <t>hh_elders</t>
  </si>
  <si>
    <t>house_ownership</t>
  </si>
  <si>
    <t>Informasi Demografis/15. Jenis dinding rumah</t>
  </si>
  <si>
    <t>Informasi Demografis/15. Jenis dinding rumah/Permanen (dinding bata dan semen)</t>
  </si>
  <si>
    <t>Informasi Demografis/15. Jenis dinding rumah/Semi-permanen (semen dan kayu)</t>
  </si>
  <si>
    <t>Informasi Demografis/15. Jenis dinding rumah/Sederhana (tripleks, pelepah kayu, anyaman bambu)</t>
  </si>
  <si>
    <t>Informasi Demografis/15. Jenis dinding rumah/Seng</t>
  </si>
  <si>
    <t>Informasi Demografis/15. Jenis dinding rumah/Lainnya</t>
  </si>
  <si>
    <t>Informasi Demografis/15a. Lainnya:</t>
  </si>
  <si>
    <t>Informasi Demografis/16. Jenis lantai rumah</t>
  </si>
  <si>
    <t>Informasi Demografis/16. Jenis lantai rumah/Bambu/kayu</t>
  </si>
  <si>
    <t>Informasi Demografis/16. Jenis lantai rumah/Semen</t>
  </si>
  <si>
    <t>Informasi Demografis/16. Jenis lantai rumah/Keramik/ubin</t>
  </si>
  <si>
    <t>Informasi Demografis/16. Jenis lantai rumah/Tanah</t>
  </si>
  <si>
    <t>Informasi Demografis/16. Jenis lantai rumah/Lainnya</t>
  </si>
  <si>
    <t>Informasi Demografis/16a. Lainnya:</t>
  </si>
  <si>
    <t>Informasi Demografis/17. Jenis atap rumah</t>
  </si>
  <si>
    <t>Informasi Demografis/17. Jenis atap rumah/Asbes</t>
  </si>
  <si>
    <t>Informasi Demografis/17. Jenis atap rumah/Atap beton</t>
  </si>
  <si>
    <t>Informasi Demografis/17. Jenis atap rumah/Daun nipah/palem</t>
  </si>
  <si>
    <t>Informasi Demografis/17. Jenis atap rumah/Keramik</t>
  </si>
  <si>
    <t>Informasi Demografis/17. Jenis atap rumah/Seng</t>
  </si>
  <si>
    <t>Informasi Demografis/17. Jenis atap rumah/Genting</t>
  </si>
  <si>
    <t>Informasi Demografis/17. Jenis atap rumah/Lainnya</t>
  </si>
  <si>
    <t>Informasi Demografis/17a. Lainnya:</t>
  </si>
  <si>
    <t>A. Performa Teknis Sistem Biogas /A1. Apakah terdapat instalasi biogas di rumah Anda?</t>
  </si>
  <si>
    <t>year_completion</t>
  </si>
  <si>
    <t>type_digester</t>
  </si>
  <si>
    <t>size_digester</t>
  </si>
  <si>
    <t>A. Performa Teknis Sistem Biogas /A5. Siapa yang mengajukan pemasangan biogas di rumah?</t>
  </si>
  <si>
    <t>A. Performa Teknis Sistem Biogas /A5. Siapa yang mengajukan pemasangan biogas di rumah?/Anggota keluarga - laki-laki</t>
  </si>
  <si>
    <t>A. Performa Teknis Sistem Biogas /A5. Siapa yang mengajukan pemasangan biogas di rumah?/Anggota keluarga - perempuan dewasa</t>
  </si>
  <si>
    <t>A. Performa Teknis Sistem Biogas /A5. Siapa yang mengajukan pemasangan biogas di rumah?/Koperasi</t>
  </si>
  <si>
    <t>A. Performa Teknis Sistem Biogas /A5. Siapa yang mengajukan pemasangan biogas di rumah?/Lainnya</t>
  </si>
  <si>
    <t>A. Performa Teknis Sistem Biogas /A6. Siapa yang menyetujui pemasangan biogas?</t>
  </si>
  <si>
    <t>A. Performa Teknis Sistem Biogas /A6. Siapa yang menyetujui pemasangan biogas?/Anggota keluarga - laki-laki</t>
  </si>
  <si>
    <t>A. Performa Teknis Sistem Biogas /A6. Siapa yang menyetujui pemasangan biogas?/Anggota keluarga - perempuan dewasa</t>
  </si>
  <si>
    <t>A. Performa Teknis Sistem Biogas /A6. Siapa yang menyetujui pemasangan biogas?/Lainnya</t>
  </si>
  <si>
    <t>A. Performa Teknis Sistem Biogas /A6-a. Lainnya:</t>
  </si>
  <si>
    <t>A. Performa Teknis Sistem Biogas /A7. Siapa yang menentukan titik atau lokasi pemasangan sistem biogas?</t>
  </si>
  <si>
    <t>A. Performa Teknis Sistem Biogas /A7. Siapa yang menentukan titik atau lokasi pemasangan sistem biogas?/Anggota keluarga - laki-laki</t>
  </si>
  <si>
    <t>A. Performa Teknis Sistem Biogas /A7. Siapa yang menentukan titik atau lokasi pemasangan sistem biogas?/Anggota keluarga - perempuan dewasa</t>
  </si>
  <si>
    <t>A. Performa Teknis Sistem Biogas /A7. Siapa yang menentukan titik atau lokasi pemasangan sistem biogas?/CPO atau pendamping</t>
  </si>
  <si>
    <t>A. Performa Teknis Sistem Biogas /A7. Siapa yang menentukan titik atau lokasi pemasangan sistem biogas?/Lainnya</t>
  </si>
  <si>
    <t>A. Performa Teknis Sistem Biogas /A7-a. Lainnya:</t>
  </si>
  <si>
    <t>A. Performa Teknis Sistem Biogas /A8. Siapa yang mendampingi atau mengawasi pemasangan biogas?</t>
  </si>
  <si>
    <t>A. Performa Teknis Sistem Biogas /A8. Siapa yang mendampingi atau mengawasi pemasangan biogas?/Anggota keluarga - laki-laki</t>
  </si>
  <si>
    <t>A. Performa Teknis Sistem Biogas /A8. Siapa yang mendampingi atau mengawasi pemasangan biogas?/Anggota keluarga - perempuan dewasa</t>
  </si>
  <si>
    <t>A. Performa Teknis Sistem Biogas /A8. Siapa yang mendampingi atau mengawasi pemasangan biogas?/CPO atau pendamping</t>
  </si>
  <si>
    <t>A. Performa Teknis Sistem Biogas /A8. Siapa yang mendampingi atau mengawasi pemasangan biogas?/Lainnya</t>
  </si>
  <si>
    <t>A. Performa Teknis Sistem Biogas /A8-a. Lainnya:</t>
  </si>
  <si>
    <t>A. Performa Teknis Sistem Biogas /A9. Apakah sistem biogas Anda masih berfungsi dengan baik?</t>
  </si>
  <si>
    <t>A. Performa Teknis Sistem Biogas /A10. Sejak kapan digester biogas Anda tidak berfungsi?</t>
  </si>
  <si>
    <t>A. Performa Teknis Sistem Biogas /A11. Apa saja penyebab sistem biogas Anda tidak berfungsi atau difungsikan lagi?</t>
  </si>
  <si>
    <t>A. Performa Teknis Sistem Biogas /A11-a. Lainnya:</t>
  </si>
  <si>
    <t>A. Performa Teknis Sistem Biogas /A12. Apabila menjawab masalah teknis, bagian apa yang mengalami kerusakan?</t>
  </si>
  <si>
    <t>A. Performa Teknis Sistem Biogas /A12. Apabila menjawab masalah teknis, bagian apa yang mengalami kerusakan?/Kompor</t>
  </si>
  <si>
    <t>A. Performa Teknis Sistem Biogas /A12. Apabila menjawab masalah teknis, bagian apa yang mengalami kerusakan?/Lampu</t>
  </si>
  <si>
    <t>A. Performa Teknis Sistem Biogas /A12. Apabila menjawab masalah teknis, bagian apa yang mengalami kerusakan?/Keran gas (Tap)</t>
  </si>
  <si>
    <t>A. Performa Teknis Sistem Biogas /A12. Apabila menjawab masalah teknis, bagian apa yang mengalami kerusakan?/Manometer</t>
  </si>
  <si>
    <t>A. Performa Teknis Sistem Biogas /A12. Apabila menjawab masalah teknis, bagian apa yang mengalami kerusakan?/Pipa gas utama</t>
  </si>
  <si>
    <t>A. Performa Teknis Sistem Biogas /A12. Apabila menjawab masalah teknis, bagian apa yang mengalami kerusakan?/Katup gas utama</t>
  </si>
  <si>
    <t>A. Performa Teknis Sistem Biogas /A12. Apabila menjawab masalah teknis, bagian apa yang mengalami kerusakan?/Turet</t>
  </si>
  <si>
    <t>A. Performa Teknis Sistem Biogas /A12. Apabila menjawab masalah teknis, bagian apa yang mengalami kerusakan?/Mixer</t>
  </si>
  <si>
    <t>A. Performa Teknis Sistem Biogas /A12. Apabila menjawab masalah teknis, bagian apa yang mengalami kerusakan?/Inlet</t>
  </si>
  <si>
    <t>A. Performa Teknis Sistem Biogas /A12. Apabila menjawab masalah teknis, bagian apa yang mengalami kerusakan?/Reaktor biogas (penampung gas, digester, manhole, outlet, dan overflow)</t>
  </si>
  <si>
    <t>A. Performa Teknis Sistem Biogas /A12. Apabila menjawab masalah teknis, bagian apa yang mengalami kerusakan?/Saluran Pipa Gas</t>
  </si>
  <si>
    <t>A. Performa Teknis Sistem Biogas /A12. Apabila menjawab masalah teknis, bagian apa yang mengalami kerusakan?/Water drain (penguras air/pemisah air)</t>
  </si>
  <si>
    <t>A. Performa Teknis Sistem Biogas /A12. Apabila menjawab masalah teknis, bagian apa yang mengalami kerusakan?/Saluran air (Water drain)</t>
  </si>
  <si>
    <t>A. Performa Teknis Sistem Biogas /A12. Apabila menjawab masalah teknis, bagian apa yang mengalami kerusakan?/Bio-Slurry Outlet (Lubang Bio-slurry)</t>
  </si>
  <si>
    <t>A. Performa Teknis Sistem Biogas /A13. Masalah non-teknis apa yang pernah Anda hadapi sebagai pengguna biogas?</t>
  </si>
  <si>
    <t>A. Performa Teknis Sistem Biogas /A13. Masalah non-teknis apa yang pernah Anda hadapi sebagai pengguna biogas?/Konflik dengan anggota keluarga atau masyarakat terkait penggunaan biogas</t>
  </si>
  <si>
    <t>A. Performa Teknis Sistem Biogas /A13. Masalah non-teknis apa yang pernah Anda hadapi sebagai pengguna biogas?/Kurangnya dukungan atau pemantauan dari pemerintah atau CPO</t>
  </si>
  <si>
    <t>A. Performa Teknis Sistem Biogas /A13. Masalah non-teknis apa yang pernah Anda hadapi sebagai pengguna biogas?/Keterbatasan akses terhadap informasi atau pelatihan terkait biogas</t>
  </si>
  <si>
    <t>A. Performa Teknis Sistem Biogas /A13. Masalah non-teknis apa yang pernah Anda hadapi sebagai pengguna biogas?/Tidak ada masalah</t>
  </si>
  <si>
    <t>A. Performa Teknis Sistem Biogas /A13. Masalah non-teknis apa yang pernah Anda hadapi sebagai pengguna biogas?/Lainnya</t>
  </si>
  <si>
    <t>A. Performa Teknis Sistem Biogas /A13-a. Lainnya:</t>
  </si>
  <si>
    <t>A. Performa Teknis Sistem Biogas /A14. Apakah Anda sebagai pengguna biogas menerima instruksi yang jelas terkait pengoperasian dan perawatan sistem biogas?</t>
  </si>
  <si>
    <t>A. Performa Teknis Sistem Biogas /A15. Dalam bentuk apa Anda menerima instruksi tersebut?</t>
  </si>
  <si>
    <t>A. Performa Teknis Sistem Biogas /A16. Siapa yang menyelenggarakan pelatihan atau memberikan instruksi tersebut?</t>
  </si>
  <si>
    <t>A. Performa Teknis Sistem Biogas /A16. Siapa yang menyelenggarakan pelatihan atau memberikan instruksi tersebut?/CPO atau pendamping</t>
  </si>
  <si>
    <t>A. Performa Teknis Sistem Biogas /A16. Siapa yang menyelenggarakan pelatihan atau memberikan instruksi tersebut?/Staff BIRU</t>
  </si>
  <si>
    <t>A. Performa Teknis Sistem Biogas /A16. Siapa yang menyelenggarakan pelatihan atau memberikan instruksi tersebut?/Pegawai koperasi</t>
  </si>
  <si>
    <t>A. Performa Teknis Sistem Biogas /A16. Siapa yang menyelenggarakan pelatihan atau memberikan instruksi tersebut?/Lainnya</t>
  </si>
  <si>
    <t>A. Performa Teknis Sistem Biogas /A16-a. Lainnya:</t>
  </si>
  <si>
    <t>A. Performa Teknis Sistem Biogas /A17. Siapa yang menerima pelatihan atau instruksi tersebut?</t>
  </si>
  <si>
    <t>A. Performa Teknis Sistem Biogas /A17. Siapa yang menerima pelatihan atau instruksi tersebut?/Anggota keluarga - Laki-laki</t>
  </si>
  <si>
    <t>A. Performa Teknis Sistem Biogas /A17. Siapa yang menerima pelatihan atau instruksi tersebut?/Anggota keluarga - Perempuan dewasa</t>
  </si>
  <si>
    <t>A. Performa Teknis Sistem Biogas /A17. Siapa yang menerima pelatihan atau instruksi tersebut?/Lainnya</t>
  </si>
  <si>
    <t>A. Performa Teknis Sistem Biogas /A17-a. Lainnya:</t>
  </si>
  <si>
    <t>A. Performa Teknis Sistem Biogas /A18. Seberapa sering Anda melakukan perawatan atau perbaikan pada sistem biogas?</t>
  </si>
  <si>
    <t>A. Performa Teknis Sistem Biogas /A19. Berapa biaya pemeliharaan tahunan instalasi biogas Anda?</t>
  </si>
  <si>
    <t>A. Performa Teknis Sistem Biogas /A20. Apakah Anda mengetahui cara membaca manometer? Yang jika air  berada di angka 0-15, maka Anda tidak dapat menggunakan kompornya?</t>
  </si>
  <si>
    <t>A. Performa Teknis Sistem Biogas /A21. Seberapa sering Anda membaca manometer?</t>
  </si>
  <si>
    <t>A. Performa Teknis Sistem Biogas /A22. Apakah Anda mengetahui cara membersihkan setiap komponen dari  kompor biogas?</t>
  </si>
  <si>
    <t>A. Performa Teknis Sistem Biogas /A23. Seberapa sering Anda membersihkan tiap komponen kompor biogas?</t>
  </si>
  <si>
    <t>A. Performa Teknis Sistem Biogas /A24. Apakah Anda mengetahui cara menyalakan kompor yang benar, yaitu dengan menyalakan korek terlebih dahulu lalu gas di atas kompor?</t>
  </si>
  <si>
    <t>A. Performa Teknis Sistem Biogas /A25. Seberapa sering Anda menyalakan kompor dengan cara yang benar?</t>
  </si>
  <si>
    <t>A. Performa Teknis Sistem Biogas /A26. Apakah Anda mengetahui cara mengecek kebocoran gas dengan benar, yaitu menggunakan sabun dan tanpa api?</t>
  </si>
  <si>
    <t>A. Performa Teknis Sistem Biogas /A27. Seberapa sering Anda mengecek kebocoran gas dengan benar?</t>
  </si>
  <si>
    <t>A. Performa Teknis Sistem Biogas /A28. Apakah Anda mengetahui cara membersihkan luapan (lubang saluran slurry) dan saluran keluar dari kotoran yang mengeras?</t>
  </si>
  <si>
    <t>A. Performa Teknis Sistem Biogas /A29. Seberapa sering Anda membersihkan saluran slurry dan saluran keluar tersebut?</t>
  </si>
  <si>
    <t>A. Performa Teknis Sistem Biogas /A30. Apakah Anda mengetahui cara mengeringkan pengering air?</t>
  </si>
  <si>
    <t>A. Performa Teknis Sistem Biogas /A31. Seberapa sering Anda mengeringkan pengering air?</t>
  </si>
  <si>
    <t>A. Performa Teknis Sistem Biogas /A32. Apakah Anda mengetahui bahwa outlet beton harus selalu ditutup?</t>
  </si>
  <si>
    <t>A. Performa Teknis Sistem Biogas /A32-a. Apakah Anda yakin bahwa outlet tersebut dipastikan akan ditutup kembali setelah pengecekan atau pembersihan?</t>
  </si>
  <si>
    <t>A. Performa Teknis Sistem Biogas /A33. Apakah Anda mengetahui bahwa gas tap harus ditutup jika tidak digunakan?</t>
  </si>
  <si>
    <t>A. Performa Teknis Sistem Biogas /A34. Apakah Anda menutup kembali gas tap tersebut jika tidak digunakan?</t>
  </si>
  <si>
    <t>A. Performa Teknis Sistem Biogas /A35. Siapa yang bertanggung jawab untuk pengoperasian dan perawatan biogas, termasuk pengumpulan kotoran ternak?</t>
  </si>
  <si>
    <t>A. Performa Teknis Sistem Biogas /A35. Siapa yang bertanggung jawab untuk pengoperasian dan perawatan biogas, termasuk pengumpulan kotoran ternak? /Laki-laki dewasa</t>
  </si>
  <si>
    <t>A. Performa Teknis Sistem Biogas /A35. Siapa yang bertanggung jawab untuk pengoperasian dan perawatan biogas, termasuk pengumpulan kotoran ternak? /Perempuan dewasa</t>
  </si>
  <si>
    <t>A. Performa Teknis Sistem Biogas /A35. Siapa yang bertanggung jawab untuk pengoperasian dan perawatan biogas, termasuk pengumpulan kotoran ternak? /Anak-anak</t>
  </si>
  <si>
    <t>A. Performa Teknis Sistem Biogas /A35. Siapa yang bertanggung jawab untuk pengoperasian dan perawatan biogas, termasuk pengumpulan kotoran ternak? /Pekerja tambahan</t>
  </si>
  <si>
    <t>A. Performa Teknis Sistem Biogas /A36. Seberapa paham Anda mengenai langkah-langkah keselamatan dalam operasi dan pemeliharaan biogas?</t>
  </si>
  <si>
    <t>A. Performa Teknis Sistem Biogas /A37. Jika Anda memahami, dari mana Anda mengetahui langkah-langkah tersebut?</t>
  </si>
  <si>
    <t>A. Performa Teknis Sistem Biogas /A37. Jika Anda memahami, dari mana Anda mengetahui langkah-langkah tersebut?/CPO</t>
  </si>
  <si>
    <t>A. Performa Teknis Sistem Biogas /A37. Jika Anda memahami, dari mana Anda mengetahui langkah-langkah tersebut?/Pelatihan</t>
  </si>
  <si>
    <t>A. Performa Teknis Sistem Biogas /A37. Jika Anda memahami, dari mana Anda mengetahui langkah-langkah tersebut?/Teman/keluarga</t>
  </si>
  <si>
    <t>A. Performa Teknis Sistem Biogas /A37. Jika Anda memahami, dari mana Anda mengetahui langkah-langkah tersebut?/Lainnya</t>
  </si>
  <si>
    <t>A. Performa Teknis Sistem Biogas /A37-a. Lainnya:</t>
  </si>
  <si>
    <t>A. Performa Teknis Sistem Biogas /A38. Seberapa sering Anda menerapkan langkah-langkah keselamatan ini?</t>
  </si>
  <si>
    <t>A. Performa Teknis Sistem Biogas /A39. Apakah Anda pernah mempromosikan manfaat biogas kepada orang  lain?</t>
  </si>
  <si>
    <t>A. Performa Teknis Sistem Biogas /A40. Jika pernah melakukan promosi, kepada siapa saja Anda mempromosikan biogas?</t>
  </si>
  <si>
    <t>A. Performa Teknis Sistem Biogas /A40. Jika pernah melakukan promosi, kepada siapa saja Anda mempromosikan biogas? /Tetangga</t>
  </si>
  <si>
    <t>A. Performa Teknis Sistem Biogas /A40. Jika pernah melakukan promosi, kepada siapa saja Anda mempromosikan biogas? /Teman/keluarga</t>
  </si>
  <si>
    <t>A. Performa Teknis Sistem Biogas /A40. Jika pernah melakukan promosi, kepada siapa saja Anda mempromosikan biogas? /Komunitas lokal</t>
  </si>
  <si>
    <t>A. Performa Teknis Sistem Biogas /A40. Jika pernah melakukan promosi, kepada siapa saja Anda mempromosikan biogas? /Lainnya</t>
  </si>
  <si>
    <t>A. Performa Teknis Sistem Biogas /A40-a. Lainnya:</t>
  </si>
  <si>
    <t>A. Performa Teknis Sistem Biogas /A41. Apakah Anda akan merekomendasikan penggunaan Biogas?</t>
  </si>
  <si>
    <t>B1_biogas_use</t>
  </si>
  <si>
    <t>B2_fuel</t>
  </si>
  <si>
    <t>B2-a_LPG</t>
  </si>
  <si>
    <t>B2-b_firewood</t>
  </si>
  <si>
    <t>B2-c_kerosene</t>
  </si>
  <si>
    <t>B2-d_agriculture-waste</t>
  </si>
  <si>
    <t>B2-e_animal-manure</t>
  </si>
  <si>
    <t>B2-f_charcoal</t>
  </si>
  <si>
    <t>B2-g_other</t>
  </si>
  <si>
    <t>B. Energi, Pengurangan Emisi, dan Dampak Terhadap Lingkungan /B2-a. Lainnya:</t>
  </si>
  <si>
    <t>B. Energi, Pengurangan Emisi, dan Dampak Terhadap Lingkungan /B3. Apakah masih ingat dengan harga bahan bakar sebelum menggunakan biogas?</t>
  </si>
  <si>
    <t>B4-a1_firewood_qty</t>
  </si>
  <si>
    <t>B4-a2_firewood_price</t>
  </si>
  <si>
    <t>B5-a1_firewood_qty</t>
  </si>
  <si>
    <t>B5-a2_firewood_price</t>
  </si>
  <si>
    <t>B4-b1_LPG_qty</t>
  </si>
  <si>
    <t>B4-b2_LPG_price</t>
  </si>
  <si>
    <t>B5-b1_LPG_qty</t>
  </si>
  <si>
    <t>B5-b2_LPG_price</t>
  </si>
  <si>
    <t>B4-c1_agricultural-waste_qty</t>
  </si>
  <si>
    <t>B4-c2_agricultural-waste_price</t>
  </si>
  <si>
    <t>B5-c1_agricultural-waste_qty</t>
  </si>
  <si>
    <t>B5-c2_agricultural-waste_price</t>
  </si>
  <si>
    <t>B4-d1_animal-manure_qty</t>
  </si>
  <si>
    <t>B4-d2_animal-manure_price</t>
  </si>
  <si>
    <t>B5-d1_animal-manure_qty</t>
  </si>
  <si>
    <t>B5-d2_animal-manure_price</t>
  </si>
  <si>
    <t>B4-e1_charcoal_qty</t>
  </si>
  <si>
    <t>B4-e2_charcoal_price</t>
  </si>
  <si>
    <t>B5-e1_charcoal_qty</t>
  </si>
  <si>
    <t>B5-e2_charcoal_price</t>
  </si>
  <si>
    <t>B4-f1_kerosene_qty</t>
  </si>
  <si>
    <t>B4-f2_kerosene_price</t>
  </si>
  <si>
    <t>B5-f1_kerosene_qty</t>
  </si>
  <si>
    <t>B5-f2_kerosene_price</t>
  </si>
  <si>
    <t>B6-a1_firewood_reduction_mass</t>
  </si>
  <si>
    <t>B6-a2_firewood_reduction_price</t>
  </si>
  <si>
    <t>B6-b1_LPG_reduction_mass</t>
  </si>
  <si>
    <t>B6-b2_LPG_reduction_price</t>
  </si>
  <si>
    <t>B6-c1_agriculture-waste_reduction_mass</t>
  </si>
  <si>
    <t>B6-c2_agriculture-waste_reduction_price</t>
  </si>
  <si>
    <t>B6-d1_animal-manure_reduction_mass</t>
  </si>
  <si>
    <t>B6-d2_animal-manure_reduction_price</t>
  </si>
  <si>
    <t>B6-e1_charcoal_reduction_mass</t>
  </si>
  <si>
    <t>B6-e2_charcoal_reduction_price</t>
  </si>
  <si>
    <t>B6-f1_kerosene_reduction_mass</t>
  </si>
  <si>
    <t>B6-f2_kerosene_reduction_price</t>
  </si>
  <si>
    <t>B. Energi, Pengurangan Emisi, dan Dampak Terhadap Lingkungan /B7. Berapa kilogram bahan bakar (kotoran ternak) yang Anda gunakan untuk biogas per hari?</t>
  </si>
  <si>
    <t>B. Energi, Pengurangan Emisi, dan Dampak Terhadap Lingkungan /B8. Berapa lama rata-rata kompor biogas Anda menyala setiap hari?</t>
  </si>
  <si>
    <t>B. Energi, Pengurangan Emisi, dan Dampak Terhadap Lingkungan /B9. Apakah penggunaan biogas membantu mengurangi penebangan kayu untuk kebutuhan bahan bakar?</t>
  </si>
  <si>
    <t>C. Dampak Kesehatan dan Sanitasi /C1. Apakah Anda merenovasi atau membuat dapur baru untuk memasak menggunakan biogas?</t>
  </si>
  <si>
    <t>C. Dampak Kesehatan dan Sanitasi /C2. Bagaimana perbandingan kebersihan dapur setelah menggunakan biogas?</t>
  </si>
  <si>
    <t>C. Dampak Kesehatan dan Sanitasi /C3. Seberapa sering Anda terpapar asap di dapur setelah menggunakan biogas?</t>
  </si>
  <si>
    <t>C. Dampak Kesehatan dan Sanitasi /C4. Setelah menggunakan biogas, bagaimana perbandingan Anda atau anggota keluarga mengalami masalah pernafasan?</t>
  </si>
  <si>
    <t>C. Dampak Kesehatan dan Sanitasi /C5. Siapa yang pernah mengalami infeksi pernapasan SEBELUM menggunakan biogas?</t>
  </si>
  <si>
    <t>C. Dampak Kesehatan dan Sanitasi /C5. Siapa yang pernah mengalami infeksi pernapasan SEBELUM menggunakan biogas? /Laki-laki dewasa</t>
  </si>
  <si>
    <t>C. Dampak Kesehatan dan Sanitasi /C5. Siapa yang pernah mengalami infeksi pernapasan SEBELUM menggunakan biogas? /Perempuan dewasa</t>
  </si>
  <si>
    <t>C. Dampak Kesehatan dan Sanitasi /C5. Siapa yang pernah mengalami infeksi pernapasan SEBELUM menggunakan biogas? /Anak-anak (0-18 tahun)</t>
  </si>
  <si>
    <t>C. Dampak Kesehatan dan Sanitasi /C6. Siapa yang pernah mengalami infeksi pernapasan SETELAH menggunakan biogas?</t>
  </si>
  <si>
    <t>C. Dampak Kesehatan dan Sanitasi /C6. Siapa yang pernah mengalami infeksi pernapasan SETELAH menggunakan biogas? /Laki-laki dewasa</t>
  </si>
  <si>
    <t>C. Dampak Kesehatan dan Sanitasi /C6. Siapa yang pernah mengalami infeksi pernapasan SETELAH menggunakan biogas? /Perempuan dewasa</t>
  </si>
  <si>
    <t>C. Dampak Kesehatan dan Sanitasi /C6. Siapa yang pernah mengalami infeksi pernapasan SETELAH menggunakan biogas? /Anak-anak (0-18 tahun)</t>
  </si>
  <si>
    <t>C. Dampak Kesehatan dan Sanitasi /C7. SETELAH menggunakan biogas, bagaimana perbandingan Anda atau anggota keluarga mengalami masalah iritasi mata?</t>
  </si>
  <si>
    <t>C. Dampak Kesehatan dan Sanitasi /C8. Siapa yang pernah mengalami masalah iritasi mata SEBELUM menggunakan biogas?</t>
  </si>
  <si>
    <t>C. Dampak Kesehatan dan Sanitasi /C8. Siapa yang pernah mengalami masalah iritasi mata SEBELUM menggunakan biogas? /Laki-laki dewasa</t>
  </si>
  <si>
    <t>C. Dampak Kesehatan dan Sanitasi /C8. Siapa yang pernah mengalami masalah iritasi mata SEBELUM menggunakan biogas? /Perempuan dewasa</t>
  </si>
  <si>
    <t>C. Dampak Kesehatan dan Sanitasi /C8. Siapa yang pernah mengalami masalah iritasi mata SEBELUM menggunakan biogas? /Anak-anak (0-18 tahun)</t>
  </si>
  <si>
    <t>C. Dampak Kesehatan dan Sanitasi /C9. Siapa yang pernah mengalami masalah iritasi mata SETELAH menggunakan biogas?</t>
  </si>
  <si>
    <t>C. Dampak Kesehatan dan Sanitasi /C9. Siapa yang pernah mengalami masalah iritasi mata SETELAH menggunakan biogas? /Laki-laki dewasa</t>
  </si>
  <si>
    <t>C. Dampak Kesehatan dan Sanitasi /C9. Siapa yang pernah mengalami masalah iritasi mata SETELAH menggunakan biogas? /Perempuan dewasa</t>
  </si>
  <si>
    <t>C. Dampak Kesehatan dan Sanitasi /C9. Siapa yang pernah mengalami masalah iritasi mata SETELAH menggunakan biogas? /Anak-anak (0-18 tahun)</t>
  </si>
  <si>
    <t>C. Dampak Kesehatan dan Sanitasi /C10. SETELAH menggunakan biogas, bagaimana perbandingan Anda atau anggota keluarga mengalami penyakit saluran pencernaan?</t>
  </si>
  <si>
    <t>C. Dampak Kesehatan dan Sanitasi /C11. Siapa yang pernah mengalami penyakit saluran pencernaan SEBELUM menggunakan biogas?</t>
  </si>
  <si>
    <t>C. Dampak Kesehatan dan Sanitasi /C11. Siapa yang pernah mengalami penyakit saluran pencernaan SEBELUM menggunakan biogas? /Laki-laki dewasa</t>
  </si>
  <si>
    <t>C. Dampak Kesehatan dan Sanitasi /C11. Siapa yang pernah mengalami penyakit saluran pencernaan SEBELUM menggunakan biogas? /Perempuan dewasa</t>
  </si>
  <si>
    <t>C. Dampak Kesehatan dan Sanitasi /C11. Siapa yang pernah mengalami penyakit saluran pencernaan SEBELUM menggunakan biogas? /Anak-anak (0-18 tahun)</t>
  </si>
  <si>
    <t>C. Dampak Kesehatan dan Sanitasi /C12. Siapa yang pernah mengalami penyakit saluran pencernaan SETELAH menggunakan biogas?</t>
  </si>
  <si>
    <t>C. Dampak Kesehatan dan Sanitasi /C12. Siapa yang pernah mengalami penyakit saluran pencernaan SETELAH menggunakan biogas? /Laki-laki dewasa</t>
  </si>
  <si>
    <t>C. Dampak Kesehatan dan Sanitasi /C12. Siapa yang pernah mengalami penyakit saluran pencernaan SETELAH menggunakan biogas? /Perempuan dewasa</t>
  </si>
  <si>
    <t>C. Dampak Kesehatan dan Sanitasi /C12. Siapa yang pernah mengalami penyakit saluran pencernaan SETELAH menggunakan biogas? /Anak-anak (0-18 tahun)</t>
  </si>
  <si>
    <t>C. Dampak Kesehatan dan Sanitasi /C13. SETELAH menggunakan biogas, bagaimana perbandingan Anda atau anggota keluarga pernah mengalami penyakit yang disebabkan gigitan nyamuk? contoh: malaria, demam berdarah, cikungunya, dan lain sebagainya.</t>
  </si>
  <si>
    <t>C. Dampak Kesehatan dan Sanitasi /C14. Siapa yang pernah mengalami penyakit akibat gigitan nyamuk SEBELUM menggunakan biogas?</t>
  </si>
  <si>
    <t>C. Dampak Kesehatan dan Sanitasi /C14. Siapa yang pernah mengalami penyakit akibat gigitan nyamuk SEBELUM menggunakan biogas? /Laki-laki dewasa</t>
  </si>
  <si>
    <t>C. Dampak Kesehatan dan Sanitasi /C14. Siapa yang pernah mengalami penyakit akibat gigitan nyamuk SEBELUM menggunakan biogas? /Perempuan dewasa</t>
  </si>
  <si>
    <t>C. Dampak Kesehatan dan Sanitasi /C14. Siapa yang pernah mengalami penyakit akibat gigitan nyamuk SEBELUM menggunakan biogas? /Anak-anak (0-18 tahun)</t>
  </si>
  <si>
    <t>C. Dampak Kesehatan dan Sanitasi /C15. Siapa yang pernah mengalami penyakit akibat gigitan nyamuk SETELAH menggunakan biogas?</t>
  </si>
  <si>
    <t>C. Dampak Kesehatan dan Sanitasi /C15. Siapa yang pernah mengalami penyakit akibat gigitan nyamuk SETELAH menggunakan biogas? /Laki-laki dewasa</t>
  </si>
  <si>
    <t>C. Dampak Kesehatan dan Sanitasi /C15. Siapa yang pernah mengalami penyakit akibat gigitan nyamuk SETELAH menggunakan biogas? /Perempuan dewasa</t>
  </si>
  <si>
    <t>C. Dampak Kesehatan dan Sanitasi /C15. Siapa yang pernah mengalami penyakit akibat gigitan nyamuk SETELAH menggunakan biogas? /Anak-anak (0-18 tahun)</t>
  </si>
  <si>
    <t>C. Dampak Kesehatan dan Sanitasi /C16. SETELAH menggunakan biogas, bagaimana perbandingan terjadinya kecelakaan akibat api (kebakaran) dirumah Anda?</t>
  </si>
  <si>
    <t>C. Dampak Kesehatan dan Sanitasi /C17. Siapa yang pernah mengalami kecelakaan akibat api SEBELUM menggunakan biogas?</t>
  </si>
  <si>
    <t>C. Dampak Kesehatan dan Sanitasi /C17. Siapa yang pernah mengalami kecelakaan akibat api SEBELUM menggunakan biogas?/Laki-laki dewasa</t>
  </si>
  <si>
    <t>C. Dampak Kesehatan dan Sanitasi /C17. Siapa yang pernah mengalami kecelakaan akibat api SEBELUM menggunakan biogas?/Perempuan dewasa</t>
  </si>
  <si>
    <t>C. Dampak Kesehatan dan Sanitasi /C17. Siapa yang pernah mengalami kecelakaan akibat api SEBELUM menggunakan biogas?/Anak-anak (0-18 tahun)</t>
  </si>
  <si>
    <t>C. Dampak Kesehatan dan Sanitasi /C18. Siapa yang pernah mengalami kecelakaan akibat api SETELAH menggunakan  biogas?</t>
  </si>
  <si>
    <t>C. Dampak Kesehatan dan Sanitasi /C18. Siapa yang pernah mengalami kecelakaan akibat api SETELAH menggunakan  biogas?/Laki-laki dewasa</t>
  </si>
  <si>
    <t>C. Dampak Kesehatan dan Sanitasi /C18. Siapa yang pernah mengalami kecelakaan akibat api SETELAH menggunakan  biogas?/Perempuan dewasa</t>
  </si>
  <si>
    <t>C. Dampak Kesehatan dan Sanitasi /C18. Siapa yang pernah mengalami kecelakaan akibat api SETELAH menggunakan  biogas?/Anak-anak (0-18 tahun)</t>
  </si>
  <si>
    <t>C. Dampak Kesehatan dan Sanitasi /C19. SETELAH menggunakan biogas, bagaimana perbandingan dialaminya penyakit psikis lainnya? (misalkan stress, sedikit waktu senggang, dll)</t>
  </si>
  <si>
    <t>C. Dampak Kesehatan dan Sanitasi /C20. Siapa yang pernah mengalami penyakit psikisi SEBELUM menggunakan  biogas?</t>
  </si>
  <si>
    <t>C. Dampak Kesehatan dan Sanitasi /C20. Siapa yang pernah mengalami penyakit psikisi SEBELUM menggunakan  biogas?/Laki-laki dewasa</t>
  </si>
  <si>
    <t>C. Dampak Kesehatan dan Sanitasi /C20. Siapa yang pernah mengalami penyakit psikisi SEBELUM menggunakan  biogas?/Perempuan dewasa</t>
  </si>
  <si>
    <t>C. Dampak Kesehatan dan Sanitasi /C20. Siapa yang pernah mengalami penyakit psikisi SEBELUM menggunakan  biogas?/Anak-anak (0-18 tahun)</t>
  </si>
  <si>
    <t>C. Dampak Kesehatan dan Sanitasi /C21. Siapa yang pernah mengalami penyakit psikisi SETELAH menggunakan  biogas?</t>
  </si>
  <si>
    <t>C. Dampak Kesehatan dan Sanitasi /C21. Siapa yang pernah mengalami penyakit psikisi SETELAH menggunakan  biogas?/Laki-laki dewasa</t>
  </si>
  <si>
    <t>C. Dampak Kesehatan dan Sanitasi /C21. Siapa yang pernah mengalami penyakit psikisi SETELAH menggunakan  biogas?/Perempuan dewasa</t>
  </si>
  <si>
    <t>C. Dampak Kesehatan dan Sanitasi /C21. Siapa yang pernah mengalami penyakit psikisi SETELAH menggunakan  biogas?/Anak-anak (0-18 tahun)</t>
  </si>
  <si>
    <t>C. Dampak Kesehatan dan Sanitasi /C22. Bagaimana Anda menilai kondisi kesehatan umum anggota keluarga Anda SETELAH menggunakan biogas?</t>
  </si>
  <si>
    <t>C. Dampak Kesehatan dan Sanitasi /C23. SEBELUM menggunakan biogas, dalam satu tahun berapa kali anggota keluarga Anda memeriksakan diri ke dokter/rumah sakit?</t>
  </si>
  <si>
    <t>C. Dampak Kesehatan dan Sanitasi /C24. SETELAH menggunakan biogas, dalam satu tahun berapa kali anggota keluarga Anda memeriksakan diri ke doket/rumah sakit?</t>
  </si>
  <si>
    <t>C. Dampak Kesehatan dan Sanitasi /C25. Siapa saja yang memeriksakan diri ke dokter/rumah sakit dalam satu tahun terakhir?</t>
  </si>
  <si>
    <t>C. Dampak Kesehatan dan Sanitasi /C25. Siapa saja yang memeriksakan diri ke dokter/rumah sakit dalam satu tahun terakhir? /Laki-laki dewasa</t>
  </si>
  <si>
    <t>C. Dampak Kesehatan dan Sanitasi /C25. Siapa saja yang memeriksakan diri ke dokter/rumah sakit dalam satu tahun terakhir? /Perempuan dewasa</t>
  </si>
  <si>
    <t>C. Dampak Kesehatan dan Sanitasi /C25. Siapa saja yang memeriksakan diri ke dokter/rumah sakit dalam satu tahun terakhir? /Anak-anak (0-18 tahun)</t>
  </si>
  <si>
    <t>C. Dampak Kesehatan dan Sanitasi /C25. Siapa saja yang memeriksakan diri ke dokter/rumah sakit dalam satu tahun terakhir? /Tidak ada</t>
  </si>
  <si>
    <t>C. Dampak Kesehatan dan Sanitasi /C26. Apakah pemasangan sistem biogas meningkatkan kondisi kebersihan rumah Anda?</t>
  </si>
  <si>
    <t>C. Dampak Kesehatan dan Sanitasi /C27. Apakah pemasangan sistem biogas meningkatkan kondisi kebersihan di kandang ternak Anda?</t>
  </si>
  <si>
    <t>D. Dampak Sosial-Ekonomi /D1. Setelah menggunakan biogas, berapa lama waktu yang Anda  habiskan untuk kegiatan menghasilkan pendapatan?/a. Bertani</t>
  </si>
  <si>
    <t>D. Dampak Sosial-Ekonomi /D1. Setelah menggunakan biogas, berapa lama waktu yang Anda  habiskan untuk kegiatan menghasilkan pendapatan?/b. Beternak</t>
  </si>
  <si>
    <t>D. Dampak Sosial-Ekonomi /D1. Setelah menggunakan biogas, berapa lama waktu yang Anda  habiskan untuk kegiatan menghasilkan pendapatan?/c. Berjualan</t>
  </si>
  <si>
    <t>D. Dampak Sosial-Ekonomi /D1. Setelah menggunakan biogas, berapa lama waktu yang Anda  habiskan untuk kegiatan menghasilkan pendapatan?/d. Lainnya</t>
  </si>
  <si>
    <t>D. Dampak Sosial-Ekonomi /D1-a. Apakah secara umum pendapatan Anda meningkat setelah  penggunaan biogas?</t>
  </si>
  <si>
    <t>D. Dampak Sosial-Ekonomi /D2. Apabila pendapatan bertambah, berapa peningkatannya?</t>
  </si>
  <si>
    <t>D. Dampak Sosial-Ekonomi /D3. Apabila pendapatan menurun, berapa penurunannya?</t>
  </si>
  <si>
    <t>D. Dampak Sosial-Ekonomi /D4. Untuk apa tambahan uang hasil penghematan atau tambahan  pendapatan dari penggunaan biogas tersebut Anda gunakan?</t>
  </si>
  <si>
    <t>D. Dampak Sosial-Ekonomi /D4. Untuk apa tambahan uang hasil penghematan atau tambahan  pendapatan dari penggunaan biogas tersebut Anda gunakan?/Tabungan</t>
  </si>
  <si>
    <t>D. Dampak Sosial-Ekonomi /D4. Untuk apa tambahan uang hasil penghematan atau tambahan  pendapatan dari penggunaan biogas tersebut Anda gunakan?/Kesehatan</t>
  </si>
  <si>
    <t>D. Dampak Sosial-Ekonomi /D4. Untuk apa tambahan uang hasil penghematan atau tambahan  pendapatan dari penggunaan biogas tersebut Anda gunakan?/Modal Usaha</t>
  </si>
  <si>
    <t>D. Dampak Sosial-Ekonomi /D4. Untuk apa tambahan uang hasil penghematan atau tambahan  pendapatan dari penggunaan biogas tersebut Anda gunakan?/Investasi lainnya</t>
  </si>
  <si>
    <t>D. Dampak Sosial-Ekonomi /D4. Untuk apa tambahan uang hasil penghematan atau tambahan  pendapatan dari penggunaan biogas tersebut Anda gunakan?/Kebutuhan rumah tangga</t>
  </si>
  <si>
    <t>D. Dampak Sosial-Ekonomi /D4. Untuk apa tambahan uang hasil penghematan atau tambahan  pendapatan dari penggunaan biogas tersebut Anda gunakan?/Pendidikan anggota keluarga</t>
  </si>
  <si>
    <t>D. Dampak Sosial-Ekonomi /D4. Untuk apa tambahan uang hasil penghematan atau tambahan  pendapatan dari penggunaan biogas tersebut Anda gunakan?/Lainnya</t>
  </si>
  <si>
    <t>D. Dampak Sosial-Ekonomi /D4-a. Lainnya:</t>
  </si>
  <si>
    <t>D. Dampak Sosial-Ekonomi /D5. Berapa menit yang dihabiskan untuk mengumpulkan kotoran ternak? (per hari)/Laki-laki dewasa</t>
  </si>
  <si>
    <t>D. Dampak Sosial-Ekonomi /D5. Berapa menit yang dihabiskan untuk mengumpulkan kotoran ternak? (per hari)/Perempuan dewasa</t>
  </si>
  <si>
    <t>D. Dampak Sosial-Ekonomi /D5. Berapa menit yang dihabiskan untuk mengumpulkan kotoran ternak? (per hari)/Lainnya (anak-anak, pekerja, dsb)</t>
  </si>
  <si>
    <t>D. Dampak Sosial-Ekonomi /D6. Berapa menit yang dihabiskan untuk mencampurkan kotoran ternak  dan air di dalam inlet? (per hari) /Laki-laki dewasa</t>
  </si>
  <si>
    <t>D. Dampak Sosial-Ekonomi /D6. Berapa menit yang dihabiskan untuk mencampurkan kotoran ternak  dan air di dalam inlet? (per hari) /Perempuan dewasa</t>
  </si>
  <si>
    <t>D. Dampak Sosial-Ekonomi /D6. Berapa menit yang dihabiskan untuk mencampurkan kotoran ternak  dan air di dalam inlet? (per hari) /Lainnya (anak-anak, pekerja, dsb)</t>
  </si>
  <si>
    <t>D. Dampak Sosial-Ekonomi /D7. Berapa menit yang dihabiskan untuk mengaduk kotoran ternak dan  air? (per hari) /Laki-laki dewasa</t>
  </si>
  <si>
    <t>D. Dampak Sosial-Ekonomi /D7. Berapa menit yang dihabiskan untuk mengaduk kotoran ternak dan  air? (per hari) /Perempuan dewasa</t>
  </si>
  <si>
    <t>D. Dampak Sosial-Ekonomi /D7. Berapa menit yang dihabiskan untuk mengaduk kotoran ternak dan  air? (per hari) /Lainnya (anak-anak, pekerja, dsb)</t>
  </si>
  <si>
    <t>D. Dampak Sosial-Ekonomi /D8. Secara umum, apakah setelah penggunaan biogas, Anda memiliki  waktu luang lebih banyak?</t>
  </si>
  <si>
    <t>D. Dampak Sosial-Ekonomi /a. Laki-laki dewasa/D9-a1. Berapa lama waktu yang dibutuhkan Laki-laki dewasa untuk mengumpulkan bahan bakar sebelum menggunakan biogas?</t>
  </si>
  <si>
    <t>D. Dampak Sosial-Ekonomi /a. Laki-laki dewasa/D9-a2. Berapa lama waktu yang dibutuhkan Laki-laki dewasa untuk mengumpulkan bahan bakar setelah menggunakan biogas?</t>
  </si>
  <si>
    <t>D. Dampak Sosial-Ekonomi /b. Perembuan dewasa/D9-b1. Berapa lama waktu yang dibutuhkan Perempuan dewasa untuk mengumpulkan bahan bakar sebelum menggunakan biogas?</t>
  </si>
  <si>
    <t>D. Dampak Sosial-Ekonomi /b. Perembuan dewasa/D9-b2. Berapa lama waktu yang dibutuhkan Perempuan dewasa untuk mengumpulkan bahan bakar setelah menggunakan biogas?</t>
  </si>
  <si>
    <t>D. Dampak Sosial-Ekonomi /c. Lainnya (anak-anak, pekerja, dll)/D9-c1. Berapa lama waktu yang dibutuhkan anggota lainnya untuk mengumpulkan bahan bakar sebelum menggunakan biogas?</t>
  </si>
  <si>
    <t>D. Dampak Sosial-Ekonomi /c. Lainnya (anak-anak, pekerja, dll)/D9-c2. Berapa lama waktu yang dibutuhkan anggota lainnya untuk mengumpulkan bahan bakar setelah menggunakan biogas?</t>
  </si>
  <si>
    <t>D. Dampak Sosial-Ekonomi /D10. Bagaimana keluarga Anda menggunakan waktu yang dihemat dari penggunaan biogas?</t>
  </si>
  <si>
    <t>D. Dampak Sosial-Ekonomi /D10. Bagaimana keluarga Anda menggunakan waktu yang dihemat dari penggunaan biogas?/ Pendidikan anak (mengantar sekolah,  menemani anak belajar, menyiapkan  bekal dsb)</t>
  </si>
  <si>
    <t>D. Dampak Sosial-Ekonomi /D10. Bagaimana keluarga Anda menggunakan waktu yang dihemat dari penggunaan biogas?/Aktivitas sosial diluar rumah  (misalnya, berkumpul dengan tetangga,  mengikuti kegiatan PKK, dsb)</t>
  </si>
  <si>
    <t>D. Dampak Sosial-Ekonomi /D10. Bagaimana keluarga Anda menggunakan waktu yang dihemat dari penggunaan biogas?/Istirahat</t>
  </si>
  <si>
    <t>D. Dampak Sosial-Ekonomi /D10. Bagaimana keluarga Anda menggunakan waktu yang dihemat dari penggunaan biogas?/Pendidikan diri sendiri</t>
  </si>
  <si>
    <t>D. Dampak Sosial-Ekonomi /D10. Bagaimana keluarga Anda menggunakan waktu yang dihemat dari penggunaan biogas?/Bekerja</t>
  </si>
  <si>
    <t>D. Dampak Sosial-Ekonomi /D10. Bagaimana keluarga Anda menggunakan waktu yang dihemat dari penggunaan biogas?/Lainnya</t>
  </si>
  <si>
    <t>D. Dampak Sosial-Ekonomi /D10-a. Lainnya:</t>
  </si>
  <si>
    <t>D. Dampak Sosial-Ekonomi /D11-a. Jika keluarga Anda menggunakan waktu yang dihemat untuk bekerja, apa jenis pekerjaan yang dilakukan?</t>
  </si>
  <si>
    <t>D. Dampak Sosial-Ekonomi /D11-b. Jika keluarga Anda tidak menggunakan waktu yang dihemat untuk bekerja, mengapa?</t>
  </si>
  <si>
    <t>D. Dampak Sosial-Ekonomi /D12-a. Jika keluarga Anda menggunakan waktu yang dihemat untuk aktivitas sosial, apa jenis kegiatan sosial yang keluarga Anda ikuti?</t>
  </si>
  <si>
    <t>D. Dampak Sosial-Ekonomi /D12-b. Jika keluarga Anda tidak menggunakan waktu yang dihemat untuk aktivitas sosial melakukan aktivitas sosial, mengapa?</t>
  </si>
  <si>
    <t>D. Dampak Sosial-Ekonomi /D13. Apakah pemasangan sistem biogas menciptakan peluang kerja bagi Anda atau anggota keluarga?</t>
  </si>
  <si>
    <t>D. Dampak Sosial-Ekonomi /D13-a. Jika pemasangan sistem biogas menciptakan peluang kerja untuk anggota keluarga atau orang lain, dalam bentuk apa?</t>
  </si>
  <si>
    <t>D. Dampak Sosial-Ekonomi /D13-a. Jika pemasangan sistem biogas menciptakan peluang kerja untuk anggota keluarga atau orang lain, dalam bentuk apa? /Perawatan sistem biogas</t>
  </si>
  <si>
    <t>D. Dampak Sosial-Ekonomi /D13-a. Jika pemasangan sistem biogas menciptakan peluang kerja untuk anggota keluarga atau orang lain, dalam bentuk apa? /Pemasangan sistem biogas</t>
  </si>
  <si>
    <t>D. Dampak Sosial-Ekonomi /D13-a. Jika pemasangan sistem biogas menciptakan peluang kerja untuk anggota keluarga atau orang lain, dalam bentuk apa? /Produksi dan penjualan bioslurry</t>
  </si>
  <si>
    <t>D. Dampak Sosial-Ekonomi /D13-a. Jika pemasangan sistem biogas menciptakan peluang kerja untuk anggota keluarga atau orang lain, dalam bentuk apa? /Lainnya</t>
  </si>
  <si>
    <t>D. Dampak Sosial-Ekonomi /D13-a-a. Lainnya:</t>
  </si>
  <si>
    <t>D. Dampak Sosial-Ekonomi /D13-b. Berapa banyak tenaga kerja yang Anda pekerjakan untuk  pengelolaan sistem biogas?</t>
  </si>
  <si>
    <t>D. Dampak Sosial-Ekonomi /D14. Apa bentuk bioslurry yang Anda jual?</t>
  </si>
  <si>
    <t>D. Dampak Sosial-Ekonomi /D14. Apa bentuk bioslurry yang Anda jual?/Cair</t>
  </si>
  <si>
    <t>D. Dampak Sosial-Ekonomi /D14. Apa bentuk bioslurry yang Anda jual?/Padat</t>
  </si>
  <si>
    <t>D. Dampak Sosial-Ekonomi /D15. Berapa bioslurry  yang terjual per  bulan?/Liter (cair)</t>
  </si>
  <si>
    <t>D. Dampak Sosial-Ekonomi /D15. Berapa bioslurry  yang terjual per  bulan?/Kilogram (padat)</t>
  </si>
  <si>
    <t>D. Dampak Sosial-Ekonomi /D15. Berapa bioslurry  yang terjual per  bulan?/Tuliskan jumlah dalam satuan lain</t>
  </si>
  <si>
    <t>D. Dampak Sosial-Ekonomi /D16. Berapa harga jual bioslurry?/Rp/liter (cair)</t>
  </si>
  <si>
    <t>D. Dampak Sosial-Ekonomi /D16. Berapa harga jual bioslurry?/Rp/kg (padat)</t>
  </si>
  <si>
    <t>D. Dampak Sosial-Ekonomi /D16. Berapa harga jual bioslurry?/Tuliskan jumlah dalam satuan lain</t>
  </si>
  <si>
    <t>D. Dampak Sosial-Ekonomi /D17. Apakah ada IDBP hotline sticker?</t>
  </si>
  <si>
    <t>D. Dampak Sosial-Ekonomi /D18. Darimana sumber pembiayaan untuk memasang sistem biogas?</t>
  </si>
  <si>
    <t>D. Dampak Sosial-Ekonomi /D19. Berapa total biaya yang Anda keluarkan untuk memasang sistem biogas (termasuk instalasi, peralatan, dan biaya operasional awal)?</t>
  </si>
  <si>
    <t>D. Dampak Sosial-Ekonomi /D20. Jika terdapat dana hibah untuk sumber pembiayaan, siapa pemberi dana tersebut?</t>
  </si>
  <si>
    <t>D. Dampak Sosial-Ekonomi /D20-a. Lainnya:</t>
  </si>
  <si>
    <t>D. Dampak Sosial-Ekonomi /D21. Jika terdapat kredit atau pinjaman untuk sumber pembiayaan, siapa pemberi pinjaman tersebut?</t>
  </si>
  <si>
    <t>D. Dampak Sosial-Ekonomi /D21-a. Lainnya</t>
  </si>
  <si>
    <t>D. Dampak Sosial-Ekonomi /D22. Jika pinjaman atau kredit, berapa jangka waktu pinjaman?</t>
  </si>
  <si>
    <t>D. Dampak Sosial-Ekonomi /D23. Jika pinjaman atau kredit, siapa yang menghubungi pemberi pinjaman?</t>
  </si>
  <si>
    <t>D. Dampak Sosial-Ekonomi /D23-a. Lainnya:</t>
  </si>
  <si>
    <t>D. Dampak Sosial-Ekonomi /D24. Jika ada kontribusi pembiayaan sendiri, siapa yang memutuskan  untuk membiayai secara cash pemasangan biogas tersebut?</t>
  </si>
  <si>
    <t>D. Dampak Sosial-Ekonomi /D24-a. Lainnya:</t>
  </si>
  <si>
    <t>D. Dampak Sosial-Ekonomi /D25. Apakah Anda merasa bahwa investasi pada sistem biogas telah meningkatkan kesejahteraan ekonomi keluarga anda?</t>
  </si>
  <si>
    <t>D. Dampak Sosial-Ekonomi /D26. Setelah penggunaan biogas, berapa lama waktu yang dialokasikan  untuk memasak? (menit/hari)/Perempuan dewasa</t>
  </si>
  <si>
    <t>D. Dampak Sosial-Ekonomi /D26. Setelah penggunaan biogas, berapa lama waktu yang dialokasikan  untuk memasak? (menit/hari)/Laki-laki dewasa</t>
  </si>
  <si>
    <t>D. Dampak Sosial-Ekonomi /D26. Setelah penggunaan biogas, berapa lama waktu yang dialokasikan  untuk memasak? (menit/hari)/Anak-anak</t>
  </si>
  <si>
    <t>D. Dampak Sosial-Ekonomi /D27. Setelah penggunaan biogas, berapa lama waktu yang dialokasikan untuk mengoperasikan dan merawat biogas? (menit/hari)/Perempuan dewasa</t>
  </si>
  <si>
    <t>D. Dampak Sosial-Ekonomi /D27. Setelah penggunaan biogas, berapa lama waktu yang dialokasikan untuk mengoperasikan dan merawat biogas? (menit/hari)/Laki-laki dewasa</t>
  </si>
  <si>
    <t>D. Dampak Sosial-Ekonomi /D27. Setelah penggunaan biogas, berapa lama waktu yang dialokasikan untuk mengoperasikan dan merawat biogas? (menit/hari)/Anak-anak</t>
  </si>
  <si>
    <t>D. Dampak Sosial-Ekonomi /D28. Bagaimana Anda melihat kondisi sosial dan ekonomi keluarga Anda  setelah menggunakan biogas?</t>
  </si>
  <si>
    <t>D. Dampak Sosial-Ekonomi /D29. Bagaimana perubahan proses dan beban kerja untuk memasak jika  menggunakan biogas dibandingkan bahan bakar konvensional  (sebelum menggunakan biogas)?</t>
  </si>
  <si>
    <t>E. Dampak Terhadap Agrikultur /E1. Apakah ternak yang Anda rawat merupakan milik Anda pribadi?</t>
  </si>
  <si>
    <t>E. Dampak Terhadap Agrikultur /E2. Berapa banyak hewan ternak yang dimiliki sekarang?/a. Sapi pedaging</t>
  </si>
  <si>
    <t>E. Dampak Terhadap Agrikultur /E2. Berapa banyak hewan ternak yang dimiliki sekarang?/b. Sapi perah</t>
  </si>
  <si>
    <t>E. Dampak Terhadap Agrikultur /E2. Berapa banyak hewan ternak yang dimiliki sekarang?/c. Sapi untuk kegunaan lainnya (misal kerbau)</t>
  </si>
  <si>
    <t>E. Dampak Terhadap Agrikultur /E2. Berapa banyak hewan ternak yang dimiliki sekarang?/d. Babi ternak</t>
  </si>
  <si>
    <t>E. Dampak Terhadap Agrikultur /E2. Berapa banyak hewan ternak yang dimiliki sekarang?/e. Kuda</t>
  </si>
  <si>
    <t>E. Dampak Terhadap Agrikultur /E2. Berapa banyak hewan ternak yang dimiliki sekarang?/f. Kambing</t>
  </si>
  <si>
    <t>E. Dampak Terhadap Agrikultur /E2. Berapa banyak hewan ternak yang dimiliki sekarang?/g. Ayam</t>
  </si>
  <si>
    <t>E. Dampak Terhadap Agrikultur /E2. Berapa banyak hewan ternak yang dimiliki sekarang?/h. Unggas Lainnya</t>
  </si>
  <si>
    <t>E3-a. Hewan ternak apa saja yang Anda miliki sebelum menggunakan  biogas?</t>
  </si>
  <si>
    <t>E3-a. Hewan ternak apa saja yang Anda miliki sebelum menggunakan  biogas?/Sapi pedaging</t>
  </si>
  <si>
    <t>E3-a. Hewan ternak apa saja yang Anda miliki sebelum menggunakan  biogas?/Sapi perah</t>
  </si>
  <si>
    <t>E3-a. Hewan ternak apa saja yang Anda miliki sebelum menggunakan  biogas?/Sapi untuk penggunaan lain</t>
  </si>
  <si>
    <t>E3-a. Hewan ternak apa saja yang Anda miliki sebelum menggunakan  biogas?/Babi ternak</t>
  </si>
  <si>
    <t>E3-a. Hewan ternak apa saja yang Anda miliki sebelum menggunakan  biogas?/Kuda</t>
  </si>
  <si>
    <t>E3-a. Hewan ternak apa saja yang Anda miliki sebelum menggunakan  biogas?/Kambing</t>
  </si>
  <si>
    <t>E3-a. Hewan ternak apa saja yang Anda miliki sebelum menggunakan  biogas?/Ayam</t>
  </si>
  <si>
    <t>E3-a. Hewan ternak apa saja yang Anda miliki sebelum menggunakan  biogas?/Unggas lainnya</t>
  </si>
  <si>
    <t>E3-a. Hewan ternak apa saja yang Anda miliki sebelum menggunakan  biogas?/Tidak ada</t>
  </si>
  <si>
    <t>E3-b. Hewan ternak apa saja yang Anda miliki saat ini (setelah menggunakan biogas)?</t>
  </si>
  <si>
    <t>E3-b. Hewan ternak apa saja yang Anda miliki saat ini (setelah menggunakan biogas)?/Sapi pedaging</t>
  </si>
  <si>
    <t>E3-b. Hewan ternak apa saja yang Anda miliki saat ini (setelah menggunakan biogas)?/Sapi perah</t>
  </si>
  <si>
    <t>E3-b. Hewan ternak apa saja yang Anda miliki saat ini (setelah menggunakan biogas)?/Sapi untuk penggunaan lain</t>
  </si>
  <si>
    <t>E3-b. Hewan ternak apa saja yang Anda miliki saat ini (setelah menggunakan biogas)?/Babi ternak</t>
  </si>
  <si>
    <t>E3-b. Hewan ternak apa saja yang Anda miliki saat ini (setelah menggunakan biogas)?/Kuda</t>
  </si>
  <si>
    <t>E3-b. Hewan ternak apa saja yang Anda miliki saat ini (setelah menggunakan biogas)?/Kambing</t>
  </si>
  <si>
    <t>E3-b. Hewan ternak apa saja yang Anda miliki saat ini (setelah menggunakan biogas)?/Ayam</t>
  </si>
  <si>
    <t>E3-b. Hewan ternak apa saja yang Anda miliki saat ini (setelah menggunakan biogas)?/Unggas lainnya</t>
  </si>
  <si>
    <t>E3-b. Hewan ternak apa saja yang Anda miliki saat ini (setelah menggunakan biogas)?/Tidak ada</t>
  </si>
  <si>
    <t>E3-c. Selama 12 bulan terakhir, hewan apa saja yang dijual, mati, lahir, dan dibeli?</t>
  </si>
  <si>
    <t>E3-c. Selama 12 bulan terakhir, hewan apa saja yang dijual, mati, lahir, dan dibeli?/Sapi pedaging</t>
  </si>
  <si>
    <t>E3-c. Selama 12 bulan terakhir, hewan apa saja yang dijual, mati, lahir, dan dibeli?/Sapi perah</t>
  </si>
  <si>
    <t>E3-c. Selama 12 bulan terakhir, hewan apa saja yang dijual, mati, lahir, dan dibeli?/Sapi untuk penggunaan lain</t>
  </si>
  <si>
    <t>E3-c. Selama 12 bulan terakhir, hewan apa saja yang dijual, mati, lahir, dan dibeli?/Babi ternak</t>
  </si>
  <si>
    <t>E3-c. Selama 12 bulan terakhir, hewan apa saja yang dijual, mati, lahir, dan dibeli?/Kuda</t>
  </si>
  <si>
    <t>E3-c. Selama 12 bulan terakhir, hewan apa saja yang dijual, mati, lahir, dan dibeli?/Kambing</t>
  </si>
  <si>
    <t>E3-c. Selama 12 bulan terakhir, hewan apa saja yang dijual, mati, lahir, dan dibeli?/Ayam</t>
  </si>
  <si>
    <t>E3-c. Selama 12 bulan terakhir, hewan apa saja yang dijual, mati, lahir, dan dibeli?/Unggas lainnya</t>
  </si>
  <si>
    <t>E3-c. Selama 12 bulan terakhir, hewan apa saja yang dijual, mati, lahir, dan dibeli?/Tidak ada</t>
  </si>
  <si>
    <t>E. Dampak Terhadap Agrikultur /E4. Sebelum menggunakan biogas, apa yang Anda lakukan untuk kotoran ternak? (Pertanyaan disesuaikan dengan jawaban E3)/a. Sapi pedaging</t>
  </si>
  <si>
    <t>E. Dampak Terhadap Agrikultur /E4. Sebelum menggunakan biogas, apa yang Anda lakukan untuk kotoran ternak? (Pertanyaan disesuaikan dengan jawaban E3)/a. Sapi pedaging/a. Sangat teratur (setiap hari)</t>
  </si>
  <si>
    <t>E. Dampak Terhadap Agrikultur /E4. Sebelum menggunakan biogas, apa yang Anda lakukan untuk kotoran ternak? (Pertanyaan disesuaikan dengan jawaban E3)/a. Sapi pedaging/b. Teratur (2-6 hari sekali)</t>
  </si>
  <si>
    <t>E. Dampak Terhadap Agrikultur /E4. Sebelum menggunakan biogas, apa yang Anda lakukan untuk kotoran ternak? (Pertanyaan disesuaikan dengan jawaban E3)/a. Sapi pedaging/c. Cukup teratur (setiap minggu)</t>
  </si>
  <si>
    <t>E. Dampak Terhadap Agrikultur /E4. Sebelum menggunakan biogas, apa yang Anda lakukan untuk kotoran ternak? (Pertanyaan disesuaikan dengan jawaban E3)/a. Sapi pedaging/d. Jarang (2-3 minggu sekali)</t>
  </si>
  <si>
    <t>E. Dampak Terhadap Agrikultur /E4. Sebelum menggunakan biogas, apa yang Anda lakukan untuk kotoran ternak? (Pertanyaan disesuaikan dengan jawaban E3)/a. Sapi pedaging/e. Sangat jarang (&gt;1 bulan sekali)</t>
  </si>
  <si>
    <t>E. Dampak Terhadap Agrikultur /E4. Sebelum menggunakan biogas, apa yang Anda lakukan untuk kotoran ternak? (Pertanyaan disesuaikan dengan jawaban E3)/a. Sapi pedaging/1-Disebarkan ke lahan terbuka</t>
  </si>
  <si>
    <t>E. Dampak Terhadap Agrikultur /E4. Sebelum menggunakan biogas, apa yang Anda lakukan untuk kotoran ternak? (Pertanyaan disesuaikan dengan jawaban E3)/a. Sapi pedaging/2-Dibuang ke sungai</t>
  </si>
  <si>
    <t>E. Dampak Terhadap Agrikultur /E4. Sebelum menggunakan biogas, apa yang Anda lakukan untuk kotoran ternak? (Pertanyaan disesuaikan dengan jawaban E3)/a. Sapi pedaging/3-Dijual</t>
  </si>
  <si>
    <t>E. Dampak Terhadap Agrikultur /E4. Sebelum menggunakan biogas, apa yang Anda lakukan untuk kotoran ternak? (Pertanyaan disesuaikan dengan jawaban E3)/a. Sapi pedaging/4-Lainnya</t>
  </si>
  <si>
    <t>E. Dampak Terhadap Agrikultur /E4. Sebelum menggunakan biogas, apa yang Anda lakukan untuk kotoran ternak? (Pertanyaan disesuaikan dengan jawaban E3)/E4a-a. Lainnya:</t>
  </si>
  <si>
    <t>E. Dampak Terhadap Agrikultur /E4. Sebelum menggunakan biogas, apa yang Anda lakukan untuk kotoran ternak? (Pertanyaan disesuaikan dengan jawaban E3)/b. Sapi perah</t>
  </si>
  <si>
    <t>E. Dampak Terhadap Agrikultur /E4. Sebelum menggunakan biogas, apa yang Anda lakukan untuk kotoran ternak? (Pertanyaan disesuaikan dengan jawaban E3)/b. Sapi perah/a. Sangat teratur (setiap hari)</t>
  </si>
  <si>
    <t>E. Dampak Terhadap Agrikultur /E4. Sebelum menggunakan biogas, apa yang Anda lakukan untuk kotoran ternak? (Pertanyaan disesuaikan dengan jawaban E3)/b. Sapi perah/b. Teratur (2-6 hari sekali)</t>
  </si>
  <si>
    <t>E. Dampak Terhadap Agrikultur /E4. Sebelum menggunakan biogas, apa yang Anda lakukan untuk kotoran ternak? (Pertanyaan disesuaikan dengan jawaban E3)/b. Sapi perah/c. Cukup teratur (setiap minggu)</t>
  </si>
  <si>
    <t>E. Dampak Terhadap Agrikultur /E4. Sebelum menggunakan biogas, apa yang Anda lakukan untuk kotoran ternak? (Pertanyaan disesuaikan dengan jawaban E3)/b. Sapi perah/d. Jarang (2-3 minggu sekali)</t>
  </si>
  <si>
    <t>E. Dampak Terhadap Agrikultur /E4. Sebelum menggunakan biogas, apa yang Anda lakukan untuk kotoran ternak? (Pertanyaan disesuaikan dengan jawaban E3)/b. Sapi perah/e. Sangat jarang (&gt;1 bulan sekali)</t>
  </si>
  <si>
    <t>E. Dampak Terhadap Agrikultur /E4. Sebelum menggunakan biogas, apa yang Anda lakukan untuk kotoran ternak? (Pertanyaan disesuaikan dengan jawaban E3)/b. Sapi perah/1-Disebarkan ke lahan terbuka</t>
  </si>
  <si>
    <t>E. Dampak Terhadap Agrikultur /E4. Sebelum menggunakan biogas, apa yang Anda lakukan untuk kotoran ternak? (Pertanyaan disesuaikan dengan jawaban E3)/b. Sapi perah/2-Dibuang ke sungai</t>
  </si>
  <si>
    <t>E. Dampak Terhadap Agrikultur /E4. Sebelum menggunakan biogas, apa yang Anda lakukan untuk kotoran ternak? (Pertanyaan disesuaikan dengan jawaban E3)/b. Sapi perah/3-Dijual</t>
  </si>
  <si>
    <t>E. Dampak Terhadap Agrikultur /E4. Sebelum menggunakan biogas, apa yang Anda lakukan untuk kotoran ternak? (Pertanyaan disesuaikan dengan jawaban E3)/b. Sapi perah/4-Lainnya</t>
  </si>
  <si>
    <t>E. Dampak Terhadap Agrikultur /E4. Sebelum menggunakan biogas, apa yang Anda lakukan untuk kotoran ternak? (Pertanyaan disesuaikan dengan jawaban E3)/E4b-a. Lainnya:</t>
  </si>
  <si>
    <t>E. Dampak Terhadap Agrikultur /E4. Sebelum menggunakan biogas, apa yang Anda lakukan untuk kotoran ternak? (Pertanyaan disesuaikan dengan jawaban E3)/c. Sapi untuk penggunaan lain</t>
  </si>
  <si>
    <t>E. Dampak Terhadap Agrikultur /E4. Sebelum menggunakan biogas, apa yang Anda lakukan untuk kotoran ternak? (Pertanyaan disesuaikan dengan jawaban E3)/c. Sapi untuk penggunaan lain/1-Disebarkan ke lahan terbuka</t>
  </si>
  <si>
    <t>E. Dampak Terhadap Agrikultur /E4. Sebelum menggunakan biogas, apa yang Anda lakukan untuk kotoran ternak? (Pertanyaan disesuaikan dengan jawaban E3)/c. Sapi untuk penggunaan lain/2-Dibuang ke sungai</t>
  </si>
  <si>
    <t>E. Dampak Terhadap Agrikultur /E4. Sebelum menggunakan biogas, apa yang Anda lakukan untuk kotoran ternak? (Pertanyaan disesuaikan dengan jawaban E3)/c. Sapi untuk penggunaan lain/3-Dijual</t>
  </si>
  <si>
    <t>E. Dampak Terhadap Agrikultur /E4. Sebelum menggunakan biogas, apa yang Anda lakukan untuk kotoran ternak? (Pertanyaan disesuaikan dengan jawaban E3)/c. Sapi untuk penggunaan lain/4-Lainnya</t>
  </si>
  <si>
    <t>E. Dampak Terhadap Agrikultur /E4. Sebelum menggunakan biogas, apa yang Anda lakukan untuk kotoran ternak? (Pertanyaan disesuaikan dengan jawaban E3)/E4c-a. Lainnya:</t>
  </si>
  <si>
    <t>E. Dampak Terhadap Agrikultur /E4. Sebelum menggunakan biogas, apa yang Anda lakukan untuk kotoran ternak? (Pertanyaan disesuaikan dengan jawaban E3)/d. Babi ternak</t>
  </si>
  <si>
    <t>E. Dampak Terhadap Agrikultur /E4. Sebelum menggunakan biogas, apa yang Anda lakukan untuk kotoran ternak? (Pertanyaan disesuaikan dengan jawaban E3)/d. Babi ternak/a. Sangat teratur (setiap hari)</t>
  </si>
  <si>
    <t>E. Dampak Terhadap Agrikultur /E4. Sebelum menggunakan biogas, apa yang Anda lakukan untuk kotoran ternak? (Pertanyaan disesuaikan dengan jawaban E3)/d. Babi ternak/b. Teratur (2-6 hari sekali)</t>
  </si>
  <si>
    <t>E. Dampak Terhadap Agrikultur /E4. Sebelum menggunakan biogas, apa yang Anda lakukan untuk kotoran ternak? (Pertanyaan disesuaikan dengan jawaban E3)/d. Babi ternak/c. Cukup teratur (setiap minggu)</t>
  </si>
  <si>
    <t>E. Dampak Terhadap Agrikultur /E4. Sebelum menggunakan biogas, apa yang Anda lakukan untuk kotoran ternak? (Pertanyaan disesuaikan dengan jawaban E3)/d. Babi ternak/d. Jarang (2-3 minggu sekali)</t>
  </si>
  <si>
    <t>E. Dampak Terhadap Agrikultur /E4. Sebelum menggunakan biogas, apa yang Anda lakukan untuk kotoran ternak? (Pertanyaan disesuaikan dengan jawaban E3)/d. Babi ternak/e. Sangat jarang (&gt;1 bulan sekali)</t>
  </si>
  <si>
    <t>E. Dampak Terhadap Agrikultur /E4. Sebelum menggunakan biogas, apa yang Anda lakukan untuk kotoran ternak? (Pertanyaan disesuaikan dengan jawaban E3)/d. Babi ternak/1-Disebarkan ke lahan terbuka</t>
  </si>
  <si>
    <t>E. Dampak Terhadap Agrikultur /E4. Sebelum menggunakan biogas, apa yang Anda lakukan untuk kotoran ternak? (Pertanyaan disesuaikan dengan jawaban E3)/d. Babi ternak/2-Dibuang ke sungai</t>
  </si>
  <si>
    <t>E. Dampak Terhadap Agrikultur /E4. Sebelum menggunakan biogas, apa yang Anda lakukan untuk kotoran ternak? (Pertanyaan disesuaikan dengan jawaban E3)/d. Babi ternak/3-Dijual</t>
  </si>
  <si>
    <t>E. Dampak Terhadap Agrikultur /E4. Sebelum menggunakan biogas, apa yang Anda lakukan untuk kotoran ternak? (Pertanyaan disesuaikan dengan jawaban E3)/d. Babi ternak/4-Lainnya</t>
  </si>
  <si>
    <t>E. Dampak Terhadap Agrikultur /E4. Sebelum menggunakan biogas, apa yang Anda lakukan untuk kotoran ternak? (Pertanyaan disesuaikan dengan jawaban E3)/E4d-a. Lainnya:</t>
  </si>
  <si>
    <t>E. Dampak Terhadap Agrikultur /E4. Sebelum menggunakan biogas, apa yang Anda lakukan untuk kotoran ternak? (Pertanyaan disesuaikan dengan jawaban E3)/e. Kuda</t>
  </si>
  <si>
    <t>E. Dampak Terhadap Agrikultur /E4. Sebelum menggunakan biogas, apa yang Anda lakukan untuk kotoran ternak? (Pertanyaan disesuaikan dengan jawaban E3)/e. Kuda/a. Sangat teratur (setiap hari)</t>
  </si>
  <si>
    <t>E. Dampak Terhadap Agrikultur /E4. Sebelum menggunakan biogas, apa yang Anda lakukan untuk kotoran ternak? (Pertanyaan disesuaikan dengan jawaban E3)/e. Kuda/b. Teratur (2-6 hari sekali)</t>
  </si>
  <si>
    <t>E. Dampak Terhadap Agrikultur /E4. Sebelum menggunakan biogas, apa yang Anda lakukan untuk kotoran ternak? (Pertanyaan disesuaikan dengan jawaban E3)/e. Kuda/c. Cukup teratur (setiap minggu)</t>
  </si>
  <si>
    <t>E. Dampak Terhadap Agrikultur /E4. Sebelum menggunakan biogas, apa yang Anda lakukan untuk kotoran ternak? (Pertanyaan disesuaikan dengan jawaban E3)/e. Kuda/d. Jarang (2-3 minggu sekali)</t>
  </si>
  <si>
    <t>E. Dampak Terhadap Agrikultur /E4. Sebelum menggunakan biogas, apa yang Anda lakukan untuk kotoran ternak? (Pertanyaan disesuaikan dengan jawaban E3)/e. Kuda/e. Sangat jarang (&gt;1 bulan sekali)</t>
  </si>
  <si>
    <t>E. Dampak Terhadap Agrikultur /E4. Sebelum menggunakan biogas, apa yang Anda lakukan untuk kotoran ternak? (Pertanyaan disesuaikan dengan jawaban E3)/e. Kuda/1-Disebarkan ke lahan terbuka</t>
  </si>
  <si>
    <t>E. Dampak Terhadap Agrikultur /E4. Sebelum menggunakan biogas, apa yang Anda lakukan untuk kotoran ternak? (Pertanyaan disesuaikan dengan jawaban E3)/e. Kuda/2-Dibuang ke sungai</t>
  </si>
  <si>
    <t>E. Dampak Terhadap Agrikultur /E4. Sebelum menggunakan biogas, apa yang Anda lakukan untuk kotoran ternak? (Pertanyaan disesuaikan dengan jawaban E3)/e. Kuda/3-Dijual</t>
  </si>
  <si>
    <t>E. Dampak Terhadap Agrikultur /E4. Sebelum menggunakan biogas, apa yang Anda lakukan untuk kotoran ternak? (Pertanyaan disesuaikan dengan jawaban E3)/e. Kuda/4-Lainnya</t>
  </si>
  <si>
    <t>E. Dampak Terhadap Agrikultur /E4. Sebelum menggunakan biogas, apa yang Anda lakukan untuk kotoran ternak? (Pertanyaan disesuaikan dengan jawaban E3)/E4e-a. Lainnya:</t>
  </si>
  <si>
    <t>E. Dampak Terhadap Agrikultur /E4. Sebelum menggunakan biogas, apa yang Anda lakukan untuk kotoran ternak? (Pertanyaan disesuaikan dengan jawaban E3)/f. Kambing</t>
  </si>
  <si>
    <t>E. Dampak Terhadap Agrikultur /E4. Sebelum menggunakan biogas, apa yang Anda lakukan untuk kotoran ternak? (Pertanyaan disesuaikan dengan jawaban E3)/f. Kambing/a. Sangat teratur (setiap hari)</t>
  </si>
  <si>
    <t>E. Dampak Terhadap Agrikultur /E4. Sebelum menggunakan biogas, apa yang Anda lakukan untuk kotoran ternak? (Pertanyaan disesuaikan dengan jawaban E3)/f. Kambing/b. Teratur (2-6 hari sekali)</t>
  </si>
  <si>
    <t>E. Dampak Terhadap Agrikultur /E4. Sebelum menggunakan biogas, apa yang Anda lakukan untuk kotoran ternak? (Pertanyaan disesuaikan dengan jawaban E3)/f. Kambing/c. Cukup teratur (setiap minggu)</t>
  </si>
  <si>
    <t>E. Dampak Terhadap Agrikultur /E4. Sebelum menggunakan biogas, apa yang Anda lakukan untuk kotoran ternak? (Pertanyaan disesuaikan dengan jawaban E3)/f. Kambing/d. Jarang (2-3 minggu sekali)</t>
  </si>
  <si>
    <t>E. Dampak Terhadap Agrikultur /E4. Sebelum menggunakan biogas, apa yang Anda lakukan untuk kotoran ternak? (Pertanyaan disesuaikan dengan jawaban E3)/f. Kambing/e. Sangat jarang (&gt;1 bulan sekali)</t>
  </si>
  <si>
    <t>E. Dampak Terhadap Agrikultur /E4. Sebelum menggunakan biogas, apa yang Anda lakukan untuk kotoran ternak? (Pertanyaan disesuaikan dengan jawaban E3)/f. Kambing/1-Disebarkan ke lahan terbuka</t>
  </si>
  <si>
    <t>E. Dampak Terhadap Agrikultur /E4. Sebelum menggunakan biogas, apa yang Anda lakukan untuk kotoran ternak? (Pertanyaan disesuaikan dengan jawaban E3)/f. Kambing/2-Dibuang ke sungai</t>
  </si>
  <si>
    <t>E. Dampak Terhadap Agrikultur /E4. Sebelum menggunakan biogas, apa yang Anda lakukan untuk kotoran ternak? (Pertanyaan disesuaikan dengan jawaban E3)/f. Kambing/3-Dijual</t>
  </si>
  <si>
    <t>E. Dampak Terhadap Agrikultur /E4. Sebelum menggunakan biogas, apa yang Anda lakukan untuk kotoran ternak? (Pertanyaan disesuaikan dengan jawaban E3)/f. Kambing/4-Lainnya</t>
  </si>
  <si>
    <t>E. Dampak Terhadap Agrikultur /E4. Sebelum menggunakan biogas, apa yang Anda lakukan untuk kotoran ternak? (Pertanyaan disesuaikan dengan jawaban E3)/E4f-a. Lainnya:</t>
  </si>
  <si>
    <t>E. Dampak Terhadap Agrikultur /E4. Sebelum menggunakan biogas, apa yang Anda lakukan untuk kotoran ternak? (Pertanyaan disesuaikan dengan jawaban E3)/g. Ayam</t>
  </si>
  <si>
    <t>E. Dampak Terhadap Agrikultur /E4. Sebelum menggunakan biogas, apa yang Anda lakukan untuk kotoran ternak? (Pertanyaan disesuaikan dengan jawaban E3)/g. Ayam/a. Sangat teratur (setiap hari)</t>
  </si>
  <si>
    <t>E. Dampak Terhadap Agrikultur /E4. Sebelum menggunakan biogas, apa yang Anda lakukan untuk kotoran ternak? (Pertanyaan disesuaikan dengan jawaban E3)/g. Ayam/b. Teratur (2-6 hari sekali)</t>
  </si>
  <si>
    <t>E. Dampak Terhadap Agrikultur /E4. Sebelum menggunakan biogas, apa yang Anda lakukan untuk kotoran ternak? (Pertanyaan disesuaikan dengan jawaban E3)/g. Ayam/c. Cukup teratur (setiap minggu)</t>
  </si>
  <si>
    <t>E. Dampak Terhadap Agrikultur /E4. Sebelum menggunakan biogas, apa yang Anda lakukan untuk kotoran ternak? (Pertanyaan disesuaikan dengan jawaban E3)/g. Ayam/d. Jarang (2-3 minggu sekali)</t>
  </si>
  <si>
    <t>E. Dampak Terhadap Agrikultur /E4. Sebelum menggunakan biogas, apa yang Anda lakukan untuk kotoran ternak? (Pertanyaan disesuaikan dengan jawaban E3)/g. Ayam/e. Sangat jarang (&gt;1 bulan sekali)</t>
  </si>
  <si>
    <t>E. Dampak Terhadap Agrikultur /E4. Sebelum menggunakan biogas, apa yang Anda lakukan untuk kotoran ternak? (Pertanyaan disesuaikan dengan jawaban E3)/g. Ayam/1-Disebarkan ke lahan terbuka</t>
  </si>
  <si>
    <t>E. Dampak Terhadap Agrikultur /E4. Sebelum menggunakan biogas, apa yang Anda lakukan untuk kotoran ternak? (Pertanyaan disesuaikan dengan jawaban E3)/g. Ayam/2-Dibuang ke sungai</t>
  </si>
  <si>
    <t>E. Dampak Terhadap Agrikultur /E4. Sebelum menggunakan biogas, apa yang Anda lakukan untuk kotoran ternak? (Pertanyaan disesuaikan dengan jawaban E3)/g. Ayam/3-Dijual</t>
  </si>
  <si>
    <t>E. Dampak Terhadap Agrikultur /E4. Sebelum menggunakan biogas, apa yang Anda lakukan untuk kotoran ternak? (Pertanyaan disesuaikan dengan jawaban E3)/g. Ayam/4-Lainnya</t>
  </si>
  <si>
    <t>E. Dampak Terhadap Agrikultur /E4. Sebelum menggunakan biogas, apa yang Anda lakukan untuk kotoran ternak? (Pertanyaan disesuaikan dengan jawaban E3)/E4g-a. Lainnya:</t>
  </si>
  <si>
    <t>E. Dampak Terhadap Agrikultur /E4. Sebelum menggunakan biogas, apa yang Anda lakukan untuk kotoran ternak? (Pertanyaan disesuaikan dengan jawaban E3)/h. Unggas lainnya</t>
  </si>
  <si>
    <t>E. Dampak Terhadap Agrikultur /E4. Sebelum menggunakan biogas, apa yang Anda lakukan untuk kotoran ternak? (Pertanyaan disesuaikan dengan jawaban E3)/h. Unggas lainnya/a. Sangat teratur (setiap hari)</t>
  </si>
  <si>
    <t>E. Dampak Terhadap Agrikultur /E4. Sebelum menggunakan biogas, apa yang Anda lakukan untuk kotoran ternak? (Pertanyaan disesuaikan dengan jawaban E3)/h. Unggas lainnya/b. Teratur (2-6 hari sekali)</t>
  </si>
  <si>
    <t>E. Dampak Terhadap Agrikultur /E4. Sebelum menggunakan biogas, apa yang Anda lakukan untuk kotoran ternak? (Pertanyaan disesuaikan dengan jawaban E3)/h. Unggas lainnya/c. Cukup teratur (setiap minggu)</t>
  </si>
  <si>
    <t>E. Dampak Terhadap Agrikultur /E4. Sebelum menggunakan biogas, apa yang Anda lakukan untuk kotoran ternak? (Pertanyaan disesuaikan dengan jawaban E3)/h. Unggas lainnya/d. Jarang (2-3 minggu sekali)</t>
  </si>
  <si>
    <t>E. Dampak Terhadap Agrikultur /E4. Sebelum menggunakan biogas, apa yang Anda lakukan untuk kotoran ternak? (Pertanyaan disesuaikan dengan jawaban E3)/h. Unggas lainnya/e. Sangat jarang (&gt;1 bulan sekali)</t>
  </si>
  <si>
    <t>E. Dampak Terhadap Agrikultur /E4. Sebelum menggunakan biogas, apa yang Anda lakukan untuk kotoran ternak? (Pertanyaan disesuaikan dengan jawaban E3)/h. Unggas lainnya/1-Disebarkan ke lahan terbuka</t>
  </si>
  <si>
    <t>E. Dampak Terhadap Agrikultur /E4. Sebelum menggunakan biogas, apa yang Anda lakukan untuk kotoran ternak? (Pertanyaan disesuaikan dengan jawaban E3)/h. Unggas lainnya/2-Dibuang ke sungai</t>
  </si>
  <si>
    <t>E. Dampak Terhadap Agrikultur /E4. Sebelum menggunakan biogas, apa yang Anda lakukan untuk kotoran ternak? (Pertanyaan disesuaikan dengan jawaban E3)/h. Unggas lainnya/3-Dijual</t>
  </si>
  <si>
    <t>E. Dampak Terhadap Agrikultur /E4. Sebelum menggunakan biogas, apa yang Anda lakukan untuk kotoran ternak? (Pertanyaan disesuaikan dengan jawaban E3)/h. Unggas lainnya/4-Lainnya</t>
  </si>
  <si>
    <t>E. Dampak Terhadap Agrikultur /E4. Sebelum menggunakan biogas, apa yang Anda lakukan untuk kotoran ternak? (Pertanyaan disesuaikan dengan jawaban E3)/E4h-a. Jika menjawab lainnya, apa yang Anda lakukan untuk kotoran ternak?</t>
  </si>
  <si>
    <t>E. Dampak Terhadap Agrikultur /E5-a. Berapa jumlah hewan ternak yang Anda miliki sebelum menggunakan biogas?/a. Sapi pedaging (ekor)/Memiliki</t>
  </si>
  <si>
    <t>E. Dampak Terhadap Agrikultur /E5-a. Berapa jumlah hewan ternak yang Anda miliki sebelum menggunakan biogas?/b. Sapi perah (ekor)/Memiliki</t>
  </si>
  <si>
    <t>E. Dampak Terhadap Agrikultur /E5-a. Berapa jumlah hewan ternak yang Anda miliki sebelum menggunakan biogas?/c. Sapi untuk kegunaan lainnya (ekor)/Memiliki</t>
  </si>
  <si>
    <t>E. Dampak Terhadap Agrikultur /E5-a. Berapa jumlah hewan ternak yang Anda miliki sebelum menggunakan biogas?/d. Babi ternak/Memiliki</t>
  </si>
  <si>
    <t>E. Dampak Terhadap Agrikultur /E5-a. Berapa jumlah hewan ternak yang Anda miliki sebelum menggunakan biogas?/e. Kuda (ekor)/Memiliki</t>
  </si>
  <si>
    <t>E. Dampak Terhadap Agrikultur /E5-a. Berapa jumlah hewan ternak yang Anda miliki sebelum menggunakan biogas?/f. Kambing (ekor)/Memiliki</t>
  </si>
  <si>
    <t>E. Dampak Terhadap Agrikultur /E5-a. Berapa jumlah hewan ternak yang Anda miliki sebelum menggunakan biogas?/g. Ayam (ekor)/Memiliki</t>
  </si>
  <si>
    <t>E. Dampak Terhadap Agrikultur /E5-a. Berapa jumlah hewan ternak yang Anda miliki sebelum menggunakan biogas?/h. Unggas lainnya (ekor)/Memiliki</t>
  </si>
  <si>
    <t>E. Dampak Terhadap Agrikultur /E5-b. Berapa jumlah hewan ternak yang Anda miliki saat ini (setelah menggunakan biogas)?/a. Sapi pedaging (ekor)/Memiliki</t>
  </si>
  <si>
    <t>E. Dampak Terhadap Agrikultur /E5-b. Berapa jumlah hewan ternak yang Anda miliki saat ini (setelah menggunakan biogas)?/b. Sapi perah (ekor)/Memiliki</t>
  </si>
  <si>
    <t>E. Dampak Terhadap Agrikultur /E5-b. Berapa jumlah hewan ternak yang Anda miliki saat ini (setelah menggunakan biogas)?/c. Sapi untuk penggunaan lain (ekor)/Memiliki</t>
  </si>
  <si>
    <t>E. Dampak Terhadap Agrikultur /E5-b. Berapa jumlah hewan ternak yang Anda miliki saat ini (setelah menggunakan biogas)?/d. Babi ternak (ekor)/Memiliki</t>
  </si>
  <si>
    <t>E. Dampak Terhadap Agrikultur /E5-b. Berapa jumlah hewan ternak yang Anda miliki saat ini (setelah menggunakan biogas)?/e. Kuda (ekor)/Memiliki</t>
  </si>
  <si>
    <t>E. Dampak Terhadap Agrikultur /E5-b. Berapa jumlah hewan ternak yang Anda miliki saat ini (setelah menggunakan biogas)?/f. Kambing (ekor)/Memiliki</t>
  </si>
  <si>
    <t>E. Dampak Terhadap Agrikultur /E5-b. Berapa jumlah hewan ternak yang Anda miliki saat ini (setelah menggunakan biogas)?/g. Ayam (ekor)/Memiliki</t>
  </si>
  <si>
    <t>E. Dampak Terhadap Agrikultur /E5-b. Berapa jumlah hewan ternak yang Anda miliki saat ini (setelah menggunakan biogas)?/h. Unggas lainnya (ekor)/Memiliki</t>
  </si>
  <si>
    <t>E. Dampak Terhadap Agrikultur /E5-c. Dalam 12 bulan terakhir, berapa jumlah hewan ternak Anda yang mengalami perubahan berikut?/a. Sapi pedaging (ekor)/Menjual</t>
  </si>
  <si>
    <t>E. Dampak Terhadap Agrikultur /E5-c. Dalam 12 bulan terakhir, berapa jumlah hewan ternak Anda yang mengalami perubahan berikut?/a. Sapi pedaging (ekor)/Membeli</t>
  </si>
  <si>
    <t>E. Dampak Terhadap Agrikultur /E5-c. Dalam 12 bulan terakhir, berapa jumlah hewan ternak Anda yang mengalami perubahan berikut?/a. Sapi pedaging (ekor)/Lahir</t>
  </si>
  <si>
    <t>E. Dampak Terhadap Agrikultur /E5-c. Dalam 12 bulan terakhir, berapa jumlah hewan ternak Anda yang mengalami perubahan berikut?/a. Sapi pedaging (ekor)/Mati</t>
  </si>
  <si>
    <t>E. Dampak Terhadap Agrikultur /E5-c. Dalam 12 bulan terakhir, berapa jumlah hewan ternak Anda yang mengalami perubahan berikut?/b. Sapi perah (ekor)/Menjual</t>
  </si>
  <si>
    <t>E. Dampak Terhadap Agrikultur /E5-c. Dalam 12 bulan terakhir, berapa jumlah hewan ternak Anda yang mengalami perubahan berikut?/b. Sapi perah (ekor)/Membeli</t>
  </si>
  <si>
    <t>E. Dampak Terhadap Agrikultur /E5-c. Dalam 12 bulan terakhir, berapa jumlah hewan ternak Anda yang mengalami perubahan berikut?/b. Sapi perah (ekor)/Lahir</t>
  </si>
  <si>
    <t>E. Dampak Terhadap Agrikultur /E5-c. Dalam 12 bulan terakhir, berapa jumlah hewan ternak Anda yang mengalami perubahan berikut?/b. Sapi perah (ekor)/Mati</t>
  </si>
  <si>
    <t>E. Dampak Terhadap Agrikultur /E5-c. Dalam 12 bulan terakhir, berapa jumlah hewan ternak Anda yang mengalami perubahan berikut?/c. Sapi untuk penggunaan lain (ekor)/Menjual</t>
  </si>
  <si>
    <t>E. Dampak Terhadap Agrikultur /E5-c. Dalam 12 bulan terakhir, berapa jumlah hewan ternak Anda yang mengalami perubahan berikut?/c. Sapi untuk penggunaan lain (ekor)/Membeli</t>
  </si>
  <si>
    <t>E. Dampak Terhadap Agrikultur /E5-c. Dalam 12 bulan terakhir, berapa jumlah hewan ternak Anda yang mengalami perubahan berikut?/c. Sapi untuk penggunaan lain (ekor)/Lahir</t>
  </si>
  <si>
    <t>E. Dampak Terhadap Agrikultur /E5-c. Dalam 12 bulan terakhir, berapa jumlah hewan ternak Anda yang mengalami perubahan berikut?/c. Sapi untuk penggunaan lain (ekor)/Mati</t>
  </si>
  <si>
    <t>E. Dampak Terhadap Agrikultur /E5-c. Dalam 12 bulan terakhir, berapa jumlah hewan ternak Anda yang mengalami perubahan berikut?/d. Babi ternak (ekor)/Menjual</t>
  </si>
  <si>
    <t>E. Dampak Terhadap Agrikultur /E5-c. Dalam 12 bulan terakhir, berapa jumlah hewan ternak Anda yang mengalami perubahan berikut?/d. Babi ternak (ekor)/Membeli</t>
  </si>
  <si>
    <t>E. Dampak Terhadap Agrikultur /E5-c. Dalam 12 bulan terakhir, berapa jumlah hewan ternak Anda yang mengalami perubahan berikut?/d. Babi ternak (ekor)/Lahir</t>
  </si>
  <si>
    <t>E. Dampak Terhadap Agrikultur /E5-c. Dalam 12 bulan terakhir, berapa jumlah hewan ternak Anda yang mengalami perubahan berikut?/d. Babi ternak (ekor)/Mati</t>
  </si>
  <si>
    <t>E. Dampak Terhadap Agrikultur /E5-c. Dalam 12 bulan terakhir, berapa jumlah hewan ternak Anda yang mengalami perubahan berikut?/e. Kuda (ekor)/Menjual</t>
  </si>
  <si>
    <t>E. Dampak Terhadap Agrikultur /E5-c. Dalam 12 bulan terakhir, berapa jumlah hewan ternak Anda yang mengalami perubahan berikut?/e. Kuda (ekor)/Membeli</t>
  </si>
  <si>
    <t>E. Dampak Terhadap Agrikultur /E5-c. Dalam 12 bulan terakhir, berapa jumlah hewan ternak Anda yang mengalami perubahan berikut?/e. Kuda (ekor)/Lahir</t>
  </si>
  <si>
    <t>E. Dampak Terhadap Agrikultur /E5-c. Dalam 12 bulan terakhir, berapa jumlah hewan ternak Anda yang mengalami perubahan berikut?/e. Kuda (ekor)/Mati</t>
  </si>
  <si>
    <t>E. Dampak Terhadap Agrikultur /E5-c. Dalam 12 bulan terakhir, berapa jumlah hewan ternak Anda yang mengalami perubahan berikut?/f. Kambing (ekor)/Menjual</t>
  </si>
  <si>
    <t>E. Dampak Terhadap Agrikultur /E5-c. Dalam 12 bulan terakhir, berapa jumlah hewan ternak Anda yang mengalami perubahan berikut?/f. Kambing (ekor)/Membeli</t>
  </si>
  <si>
    <t>E. Dampak Terhadap Agrikultur /E5-c. Dalam 12 bulan terakhir, berapa jumlah hewan ternak Anda yang mengalami perubahan berikut?/f. Kambing (ekor)/Lahir</t>
  </si>
  <si>
    <t>E. Dampak Terhadap Agrikultur /E5-c. Dalam 12 bulan terakhir, berapa jumlah hewan ternak Anda yang mengalami perubahan berikut?/f. Kambing (ekor)/Mati</t>
  </si>
  <si>
    <t>E. Dampak Terhadap Agrikultur /E5-c. Dalam 12 bulan terakhir, berapa jumlah hewan ternak Anda yang mengalami perubahan berikut?/g. Ayam (ekor)/Menjual</t>
  </si>
  <si>
    <t>E. Dampak Terhadap Agrikultur /E5-c. Dalam 12 bulan terakhir, berapa jumlah hewan ternak Anda yang mengalami perubahan berikut?/g. Ayam (ekor)/Membeli</t>
  </si>
  <si>
    <t>E. Dampak Terhadap Agrikultur /E5-c. Dalam 12 bulan terakhir, berapa jumlah hewan ternak Anda yang mengalami perubahan berikut?/g. Ayam (ekor)/Lahir</t>
  </si>
  <si>
    <t>E. Dampak Terhadap Agrikultur /E5-c. Dalam 12 bulan terakhir, berapa jumlah hewan ternak Anda yang mengalami perubahan berikut?/g. Ayam (ekor)/Mati</t>
  </si>
  <si>
    <t>E. Dampak Terhadap Agrikultur /E5-c. Dalam 12 bulan terakhir, berapa jumlah hewan ternak Anda yang mengalami perubahan berikut?/h. Unggas lainnya (ekor)/Menjual</t>
  </si>
  <si>
    <t>E. Dampak Terhadap Agrikultur /E5-c. Dalam 12 bulan terakhir, berapa jumlah hewan ternak Anda yang mengalami perubahan berikut?/h. Unggas lainnya (ekor)/Membeli</t>
  </si>
  <si>
    <t>E. Dampak Terhadap Agrikultur /E5-c. Dalam 12 bulan terakhir, berapa jumlah hewan ternak Anda yang mengalami perubahan berikut?/h. Unggas lainnya (ekor)/Lahir</t>
  </si>
  <si>
    <t>E. Dampak Terhadap Agrikultur /E5-c. Dalam 12 bulan terakhir, berapa jumlah hewan ternak Anda yang mengalami perubahan berikut?/h. Unggas lainnya (ekor)/Mati</t>
  </si>
  <si>
    <t>E. Dampak Terhadap Agrikultur /E6. Bagaimana cara Anda menggembalakan hewan ternak? (Pertanyaan  disesuaikan dengan jawaban E2)/a. Sapi pedaging</t>
  </si>
  <si>
    <t>E. Dampak Terhadap Agrikultur /E6. Bagaimana cara Anda menggembalakan hewan ternak? (Pertanyaan  disesuaikan dengan jawaban E2)/b. Sapi perah</t>
  </si>
  <si>
    <t>E. Dampak Terhadap Agrikultur /E6. Bagaimana cara Anda menggembalakan hewan ternak? (Pertanyaan  disesuaikan dengan jawaban E2)/c. Sapi untuk kegunaan lain</t>
  </si>
  <si>
    <t>E. Dampak Terhadap Agrikultur /E6. Bagaimana cara Anda menggembalakan hewan ternak? (Pertanyaan  disesuaikan dengan jawaban E2)/d. Babi ternak</t>
  </si>
  <si>
    <t>E. Dampak Terhadap Agrikultur /E6. Bagaimana cara Anda menggembalakan hewan ternak? (Pertanyaan  disesuaikan dengan jawaban E2)/e. Kuda</t>
  </si>
  <si>
    <t>E. Dampak Terhadap Agrikultur /E6. Bagaimana cara Anda menggembalakan hewan ternak? (Pertanyaan  disesuaikan dengan jawaban E2)/f. Kambing</t>
  </si>
  <si>
    <t>E. Dampak Terhadap Agrikultur /E6. Bagaimana cara Anda menggembalakan hewan ternak? (Pertanyaan  disesuaikan dengan jawaban E2)/g. Ayam</t>
  </si>
  <si>
    <t>E. Dampak Terhadap Agrikultur /E6. Bagaimana cara Anda menggembalakan hewan ternak? (Pertanyaan  disesuaikan dengan jawaban E2)/h. Unggas lainnya</t>
  </si>
  <si>
    <t>E. Dampak Terhadap Agrikultur /E7. Bagaimana Anda mengelola kesehatan ternak Anda?  (misal: pemberian vaksin)/a. Sapi pedaging</t>
  </si>
  <si>
    <t>E. Dampak Terhadap Agrikultur /E7. Bagaimana Anda mengelola kesehatan ternak Anda?  (misal: pemberian vaksin)/b. Sapi perah</t>
  </si>
  <si>
    <t>E. Dampak Terhadap Agrikultur /E7. Bagaimana Anda mengelola kesehatan ternak Anda?  (misal: pemberian vaksin)/c. Sapi untuk kegunaan lain</t>
  </si>
  <si>
    <t>E. Dampak Terhadap Agrikultur /E7. Bagaimana Anda mengelola kesehatan ternak Anda?  (misal: pemberian vaksin)/d. Babi ternak</t>
  </si>
  <si>
    <t>E. Dampak Terhadap Agrikultur /E7. Bagaimana Anda mengelola kesehatan ternak Anda?  (misal: pemberian vaksin)/e. Kuda</t>
  </si>
  <si>
    <t>E. Dampak Terhadap Agrikultur /E7. Bagaimana Anda mengelola kesehatan ternak Anda?  (misal: pemberian vaksin)/f. Kambing</t>
  </si>
  <si>
    <t>E. Dampak Terhadap Agrikultur /E7. Bagaimana Anda mengelola kesehatan ternak Anda?  (misal: pemberian vaksin)/g. Ayam</t>
  </si>
  <si>
    <t>E. Dampak Terhadap Agrikultur /E7. Bagaimana Anda mengelola kesehatan ternak Anda?  (misal: pemberian vaksin)/h. Unggas lainnya</t>
  </si>
  <si>
    <t>E. Dampak Terhadap Agrikultur /E8. Seberapa sering Anda merawat atau membersihkan kandang ternak?/a. Sapi pedaging</t>
  </si>
  <si>
    <t>E. Dampak Terhadap Agrikultur /E8. Seberapa sering Anda merawat atau membersihkan kandang ternak?/b. Sapi perah</t>
  </si>
  <si>
    <t>E. Dampak Terhadap Agrikultur /E8. Seberapa sering Anda merawat atau membersihkan kandang ternak?/c. Sapi untuk kegunaan lain</t>
  </si>
  <si>
    <t>E. Dampak Terhadap Agrikultur /E8. Seberapa sering Anda merawat atau membersihkan kandang ternak?/d. Babi ternak</t>
  </si>
  <si>
    <t>E. Dampak Terhadap Agrikultur /E8. Seberapa sering Anda merawat atau membersihkan kandang ternak?/e. Kuda</t>
  </si>
  <si>
    <t>E. Dampak Terhadap Agrikultur /E8. Seberapa sering Anda merawat atau membersihkan kandang ternak?/f. Kambing</t>
  </si>
  <si>
    <t>E. Dampak Terhadap Agrikultur /E8. Seberapa sering Anda merawat atau membersihkan kandang ternak?/g. Ayam</t>
  </si>
  <si>
    <t>E. Dampak Terhadap Agrikultur /E8. Seberapa sering Anda merawat atau membersihkan kandang ternak?/h. Unggas lainnya</t>
  </si>
  <si>
    <t>E. Dampak Terhadap Agrikultur /E9. Bagaimana kotoran ternak biasa disimpan?/a. Sapi pedaging</t>
  </si>
  <si>
    <t>E. Dampak Terhadap Agrikultur /E9. Bagaimana kotoran ternak biasa disimpan?/a. Sapi pedaging/1-Disebarkan ke lahan terbuka</t>
  </si>
  <si>
    <t>E. Dampak Terhadap Agrikultur /E9. Bagaimana kotoran ternak biasa disimpan?/a. Sapi pedaging/2-Dibuang ke sungai</t>
  </si>
  <si>
    <t>E. Dampak Terhadap Agrikultur /E9. Bagaimana kotoran ternak biasa disimpan?/a. Sapi pedaging/3-Dijual</t>
  </si>
  <si>
    <t>E. Dampak Terhadap Agrikultur /E9. Bagaimana kotoran ternak biasa disimpan?/a. Sapi pedaging/4-Lainnya</t>
  </si>
  <si>
    <t>E. Dampak Terhadap Agrikultur /E9. Bagaimana kotoran ternak biasa disimpan?/a. Sapi pedaging/1-Kolam tertutup (laguna anaerobik)</t>
  </si>
  <si>
    <t>E. Dampak Terhadap Agrikultur /E9. Bagaimana kotoran ternak biasa disimpan?/a. Sapi pedaging/2-Disimpan basah (slurry)</t>
  </si>
  <si>
    <t>E. Dampak Terhadap Agrikultur /E9. Bagaimana kotoran ternak biasa disimpan?/a. Sapi pedaging/3-Disimpan terbuka (dry lot)</t>
  </si>
  <si>
    <t>E. Dampak Terhadap Agrikultur /E9. Bagaimana kotoran ternak biasa disimpan?/a. Sapi pedaging/4-Disimpan dalam kotak bersekat</t>
  </si>
  <si>
    <t>E. Dampak Terhadap Agrikultur /E9. Bagaimana kotoran ternak biasa disimpan?/a. Sapi pedaging/5-Untuk disebar di tanah (dan dibajak)</t>
  </si>
  <si>
    <t>E. Dampak Terhadap Agrikultur /E9. Bagaimana kotoran ternak biasa disimpan?/a. Sapi pedaging/6-Digester biogas</t>
  </si>
  <si>
    <t>E. Dampak Terhadap Agrikultur /E9. Bagaimana kotoran ternak biasa disimpan?/a. Sapi pedaging/7-Dibakar untuk bahan bakar</t>
  </si>
  <si>
    <t>E. Dampak Terhadap Agrikultur /E9. Bagaimana kotoran ternak biasa disimpan?/a. Sapi pedaging/8-Dibiarkan tersebar di ladang penggembalaan</t>
  </si>
  <si>
    <t>E. Dampak Terhadap Agrikultur /E9. Bagaimana kotoran ternak biasa disimpan?/b. Sapi perah</t>
  </si>
  <si>
    <t>E. Dampak Terhadap Agrikultur /E9. Bagaimana kotoran ternak biasa disimpan?/b. Sapi perah/1-Disebarkan ke lahan terbuka</t>
  </si>
  <si>
    <t>E. Dampak Terhadap Agrikultur /E9. Bagaimana kotoran ternak biasa disimpan?/b. Sapi perah/2-Dibuang ke sungai</t>
  </si>
  <si>
    <t>E. Dampak Terhadap Agrikultur /E9. Bagaimana kotoran ternak biasa disimpan?/b. Sapi perah/3-Dijual</t>
  </si>
  <si>
    <t>E. Dampak Terhadap Agrikultur /E9. Bagaimana kotoran ternak biasa disimpan?/b. Sapi perah/4-Lainnya</t>
  </si>
  <si>
    <t>E. Dampak Terhadap Agrikultur /E9. Bagaimana kotoran ternak biasa disimpan?/b. Sapi perah/1-Kolam tertutup (laguna anaerobik)</t>
  </si>
  <si>
    <t>E. Dampak Terhadap Agrikultur /E9. Bagaimana kotoran ternak biasa disimpan?/b. Sapi perah/2-Disimpan basah (slurry)</t>
  </si>
  <si>
    <t>E. Dampak Terhadap Agrikultur /E9. Bagaimana kotoran ternak biasa disimpan?/b. Sapi perah/3-Disimpan terbuka (dry lot)</t>
  </si>
  <si>
    <t>E. Dampak Terhadap Agrikultur /E9. Bagaimana kotoran ternak biasa disimpan?/b. Sapi perah/4-Disimpan dalam kotak bersekat</t>
  </si>
  <si>
    <t>E. Dampak Terhadap Agrikultur /E9. Bagaimana kotoran ternak biasa disimpan?/b. Sapi perah/5-Untuk disebar di tanah (dan dibajak)</t>
  </si>
  <si>
    <t>E. Dampak Terhadap Agrikultur /E9. Bagaimana kotoran ternak biasa disimpan?/b. Sapi perah/6-Digester biogas</t>
  </si>
  <si>
    <t>E. Dampak Terhadap Agrikultur /E9. Bagaimana kotoran ternak biasa disimpan?/b. Sapi perah/7-Dibakar untuk bahan bakar</t>
  </si>
  <si>
    <t>E. Dampak Terhadap Agrikultur /E9. Bagaimana kotoran ternak biasa disimpan?/b. Sapi perah/8-Dibiarkan tersebar di ladang penggembalaan</t>
  </si>
  <si>
    <t>E. Dampak Terhadap Agrikultur /E9. Bagaimana kotoran ternak biasa disimpan?/c. Sapi untuk kegunan lain</t>
  </si>
  <si>
    <t>E. Dampak Terhadap Agrikultur /E9. Bagaimana kotoran ternak biasa disimpan?/c. Sapi untuk kegunan lain/1-Kolam tertutup (laguna anaerobik)</t>
  </si>
  <si>
    <t>E. Dampak Terhadap Agrikultur /E9. Bagaimana kotoran ternak biasa disimpan?/c. Sapi untuk kegunan lain/2-Disimpan basah (slurry)</t>
  </si>
  <si>
    <t>E. Dampak Terhadap Agrikultur /E9. Bagaimana kotoran ternak biasa disimpan?/c. Sapi untuk kegunan lain/3-Disimpan terbuka (dry lot)</t>
  </si>
  <si>
    <t>E. Dampak Terhadap Agrikultur /E9. Bagaimana kotoran ternak biasa disimpan?/c. Sapi untuk kegunan lain/4-Disimpan dalam kotak bersekat</t>
  </si>
  <si>
    <t>E. Dampak Terhadap Agrikultur /E9. Bagaimana kotoran ternak biasa disimpan?/c. Sapi untuk kegunan lain/5-Untuk disebar di tanah (dan dibajak)</t>
  </si>
  <si>
    <t>E. Dampak Terhadap Agrikultur /E9. Bagaimana kotoran ternak biasa disimpan?/c. Sapi untuk kegunan lain/6-Digester biogas</t>
  </si>
  <si>
    <t>E. Dampak Terhadap Agrikultur /E9. Bagaimana kotoran ternak biasa disimpan?/c. Sapi untuk kegunan lain/7-Dibakar untuk bahan bakar</t>
  </si>
  <si>
    <t>E. Dampak Terhadap Agrikultur /E9. Bagaimana kotoran ternak biasa disimpan?/c. Sapi untuk kegunan lain/8-Dibiarkan tersebar di ladang penggembalaan</t>
  </si>
  <si>
    <t>E. Dampak Terhadap Agrikultur /E9. Bagaimana kotoran ternak biasa disimpan?/d. Babi ternak</t>
  </si>
  <si>
    <t>E. Dampak Terhadap Agrikultur /E9. Bagaimana kotoran ternak biasa disimpan?/d. Babi ternak/a. Penggembalaan terbuka</t>
  </si>
  <si>
    <t>E. Dampak Terhadap Agrikultur /E9. Bagaimana kotoran ternak biasa disimpan?/d. Babi ternak/b. Penggembalaan semi-terbuka</t>
  </si>
  <si>
    <t>E. Dampak Terhadap Agrikultur /E9. Bagaimana kotoran ternak biasa disimpan?/d. Babi ternak/c. Pemberian pakan di kandang</t>
  </si>
  <si>
    <t>E. Dampak Terhadap Agrikultur /E9. Bagaimana kotoran ternak biasa disimpan?/d. Babi ternak/1-Kolam tertutup (laguna anaerobik)</t>
  </si>
  <si>
    <t>E. Dampak Terhadap Agrikultur /E9. Bagaimana kotoran ternak biasa disimpan?/d. Babi ternak/2-Disimpan basah (slurry)</t>
  </si>
  <si>
    <t>E. Dampak Terhadap Agrikultur /E9. Bagaimana kotoran ternak biasa disimpan?/d. Babi ternak/3-Disimpan terbuka (dry lot)</t>
  </si>
  <si>
    <t>E. Dampak Terhadap Agrikultur /E9. Bagaimana kotoran ternak biasa disimpan?/d. Babi ternak/4-Disimpan dalam kotak bersekat</t>
  </si>
  <si>
    <t>E. Dampak Terhadap Agrikultur /E9. Bagaimana kotoran ternak biasa disimpan?/d. Babi ternak/5-Untuk disebar di tanah (dan dibajak)</t>
  </si>
  <si>
    <t>E. Dampak Terhadap Agrikultur /E9. Bagaimana kotoran ternak biasa disimpan?/d. Babi ternak/6-Digester biogas</t>
  </si>
  <si>
    <t>E. Dampak Terhadap Agrikultur /E9. Bagaimana kotoran ternak biasa disimpan?/d. Babi ternak/7-Dibakar untuk bahan bakar</t>
  </si>
  <si>
    <t>E. Dampak Terhadap Agrikultur /E9. Bagaimana kotoran ternak biasa disimpan?/d. Babi ternak/8-Dibiarkan tersebar di ladang penggembalaan</t>
  </si>
  <si>
    <t>E. Dampak Terhadap Agrikultur /E9. Bagaimana kotoran ternak biasa disimpan?/e. Kuda</t>
  </si>
  <si>
    <t>E. Dampak Terhadap Agrikultur /E9. Bagaimana kotoran ternak biasa disimpan?/e. Kuda/1-Disebarkan ke lahan terbuka</t>
  </si>
  <si>
    <t>E. Dampak Terhadap Agrikultur /E9. Bagaimana kotoran ternak biasa disimpan?/e. Kuda/2-Dibuang ke sungai</t>
  </si>
  <si>
    <t>E. Dampak Terhadap Agrikultur /E9. Bagaimana kotoran ternak biasa disimpan?/e. Kuda/3-Dijual</t>
  </si>
  <si>
    <t>E. Dampak Terhadap Agrikultur /E9. Bagaimana kotoran ternak biasa disimpan?/e. Kuda/4-Lainnya</t>
  </si>
  <si>
    <t>E. Dampak Terhadap Agrikultur /E9. Bagaimana kotoran ternak biasa disimpan?/e. Kuda/1-Kolam tertutup (laguna anaerobik)</t>
  </si>
  <si>
    <t>E. Dampak Terhadap Agrikultur /E9. Bagaimana kotoran ternak biasa disimpan?/e. Kuda/2-Disimpan basah (slurry)</t>
  </si>
  <si>
    <t>E. Dampak Terhadap Agrikultur /E9. Bagaimana kotoran ternak biasa disimpan?/e. Kuda/3-Disimpan terbuka (dry lot)</t>
  </si>
  <si>
    <t>E. Dampak Terhadap Agrikultur /E9. Bagaimana kotoran ternak biasa disimpan?/e. Kuda/4-Disimpan dalam kotak bersekat</t>
  </si>
  <si>
    <t>E. Dampak Terhadap Agrikultur /E9. Bagaimana kotoran ternak biasa disimpan?/e. Kuda/5-Untuk disebar di tanah (dan dibajak)</t>
  </si>
  <si>
    <t>E. Dampak Terhadap Agrikultur /E9. Bagaimana kotoran ternak biasa disimpan?/e. Kuda/6-Digester biogas</t>
  </si>
  <si>
    <t>E. Dampak Terhadap Agrikultur /E9. Bagaimana kotoran ternak biasa disimpan?/e. Kuda/7-Dibakar untuk bahan bakar</t>
  </si>
  <si>
    <t>E. Dampak Terhadap Agrikultur /E9. Bagaimana kotoran ternak biasa disimpan?/e. Kuda/8-Dibiarkan tersebar di ladang penggembalaan</t>
  </si>
  <si>
    <t>E. Dampak Terhadap Agrikultur /E9. Bagaimana kotoran ternak biasa disimpan?/f. Kambing</t>
  </si>
  <si>
    <t>E. Dampak Terhadap Agrikultur /E9. Bagaimana kotoran ternak biasa disimpan?/f. Kambing/1-Disebarkan ke lahan terbuka</t>
  </si>
  <si>
    <t>E. Dampak Terhadap Agrikultur /E9. Bagaimana kotoran ternak biasa disimpan?/f. Kambing/2-Dibuang ke sungai</t>
  </si>
  <si>
    <t>E. Dampak Terhadap Agrikultur /E9. Bagaimana kotoran ternak biasa disimpan?/f. Kambing/3-Dijual</t>
  </si>
  <si>
    <t>E. Dampak Terhadap Agrikultur /E9. Bagaimana kotoran ternak biasa disimpan?/f. Kambing/4-Lainnya</t>
  </si>
  <si>
    <t>E. Dampak Terhadap Agrikultur /E9. Bagaimana kotoran ternak biasa disimpan?/f. Kambing/1-Kolam tertutup (laguna anaerobik)</t>
  </si>
  <si>
    <t>E. Dampak Terhadap Agrikultur /E9. Bagaimana kotoran ternak biasa disimpan?/f. Kambing/2-Disimpan basah (slurry)</t>
  </si>
  <si>
    <t>E. Dampak Terhadap Agrikultur /E9. Bagaimana kotoran ternak biasa disimpan?/f. Kambing/3-Disimpan terbuka (dry lot)</t>
  </si>
  <si>
    <t>E. Dampak Terhadap Agrikultur /E9. Bagaimana kotoran ternak biasa disimpan?/f. Kambing/4-Disimpan dalam kotak bersekat</t>
  </si>
  <si>
    <t>E. Dampak Terhadap Agrikultur /E9. Bagaimana kotoran ternak biasa disimpan?/f. Kambing/5-Untuk disebar di tanah (dan dibajak)</t>
  </si>
  <si>
    <t>E. Dampak Terhadap Agrikultur /E9. Bagaimana kotoran ternak biasa disimpan?/f. Kambing/6-Digester biogas</t>
  </si>
  <si>
    <t>E. Dampak Terhadap Agrikultur /E9. Bagaimana kotoran ternak biasa disimpan?/f. Kambing/7-Dibakar untuk bahan bakar</t>
  </si>
  <si>
    <t>E. Dampak Terhadap Agrikultur /E9. Bagaimana kotoran ternak biasa disimpan?/f. Kambing/8-Dibiarkan tersebar di ladang penggembalaan</t>
  </si>
  <si>
    <t>E. Dampak Terhadap Agrikultur /E9. Bagaimana kotoran ternak biasa disimpan?/g. Ayam</t>
  </si>
  <si>
    <t>E. Dampak Terhadap Agrikultur /E9. Bagaimana kotoran ternak biasa disimpan?/g. Ayam/1-Disebarkan ke lahan terbuka</t>
  </si>
  <si>
    <t>E. Dampak Terhadap Agrikultur /E9. Bagaimana kotoran ternak biasa disimpan?/g. Ayam/2-Dibuang ke sungai</t>
  </si>
  <si>
    <t>E. Dampak Terhadap Agrikultur /E9. Bagaimana kotoran ternak biasa disimpan?/g. Ayam/3-Dijual</t>
  </si>
  <si>
    <t>E. Dampak Terhadap Agrikultur /E9. Bagaimana kotoran ternak biasa disimpan?/g. Ayam/4-Lainnya</t>
  </si>
  <si>
    <t>E. Dampak Terhadap Agrikultur /E9. Bagaimana kotoran ternak biasa disimpan?/g. Ayam/1-Kolam tertutup (laguna anaerobik)</t>
  </si>
  <si>
    <t>E. Dampak Terhadap Agrikultur /E9. Bagaimana kotoran ternak biasa disimpan?/g. Ayam/2-Disimpan basah (slurry)</t>
  </si>
  <si>
    <t>E. Dampak Terhadap Agrikultur /E9. Bagaimana kotoran ternak biasa disimpan?/g. Ayam/3-Disimpan terbuka (dry lot)</t>
  </si>
  <si>
    <t>E. Dampak Terhadap Agrikultur /E9. Bagaimana kotoran ternak biasa disimpan?/g. Ayam/4-Disimpan dalam kotak bersekat</t>
  </si>
  <si>
    <t>E. Dampak Terhadap Agrikultur /E9. Bagaimana kotoran ternak biasa disimpan?/g. Ayam/5-Untuk disebar di tanah (dan dibajak)</t>
  </si>
  <si>
    <t>E. Dampak Terhadap Agrikultur /E9. Bagaimana kotoran ternak biasa disimpan?/g. Ayam/6-Digester biogas</t>
  </si>
  <si>
    <t>E. Dampak Terhadap Agrikultur /E9. Bagaimana kotoran ternak biasa disimpan?/g. Ayam/7-Dibakar untuk bahan bakar</t>
  </si>
  <si>
    <t>E. Dampak Terhadap Agrikultur /E9. Bagaimana kotoran ternak biasa disimpan?/g. Ayam/8-Dibiarkan tersebar di ladang penggembalaan</t>
  </si>
  <si>
    <t>E. Dampak Terhadap Agrikultur /E9. Bagaimana kotoran ternak biasa disimpan?/h. Unggas lainnya</t>
  </si>
  <si>
    <t>E. Dampak Terhadap Agrikultur /E9. Bagaimana kotoran ternak biasa disimpan?/h. Unggas lainnya/1-Disebarkan ke lahan terbuka</t>
  </si>
  <si>
    <t>E. Dampak Terhadap Agrikultur /E9. Bagaimana kotoran ternak biasa disimpan?/h. Unggas lainnya/2-Dibuang ke sungai</t>
  </si>
  <si>
    <t>E. Dampak Terhadap Agrikultur /E9. Bagaimana kotoran ternak biasa disimpan?/h. Unggas lainnya/3-Dijual</t>
  </si>
  <si>
    <t>E. Dampak Terhadap Agrikultur /E9. Bagaimana kotoran ternak biasa disimpan?/h. Unggas lainnya/4-Lainnya</t>
  </si>
  <si>
    <t>E. Dampak Terhadap Agrikultur /E9. Bagaimana kotoran ternak biasa disimpan?/h. Unggas lainnya/1-Kolam tertutup (laguna anaerobik)</t>
  </si>
  <si>
    <t>E. Dampak Terhadap Agrikultur /E9. Bagaimana kotoran ternak biasa disimpan?/h. Unggas lainnya/2-Disimpan basah (slurry)</t>
  </si>
  <si>
    <t>E. Dampak Terhadap Agrikultur /E9. Bagaimana kotoran ternak biasa disimpan?/h. Unggas lainnya/3-Disimpan terbuka (dry lot)</t>
  </si>
  <si>
    <t>E. Dampak Terhadap Agrikultur /E9. Bagaimana kotoran ternak biasa disimpan?/h. Unggas lainnya/4-Disimpan dalam kotak bersekat</t>
  </si>
  <si>
    <t>E. Dampak Terhadap Agrikultur /E9. Bagaimana kotoran ternak biasa disimpan?/h. Unggas lainnya/5-Untuk disebar di tanah (dan dibajak)</t>
  </si>
  <si>
    <t>E. Dampak Terhadap Agrikultur /E9. Bagaimana kotoran ternak biasa disimpan?/h. Unggas lainnya/6-Digester biogas</t>
  </si>
  <si>
    <t>E. Dampak Terhadap Agrikultur /E9. Bagaimana kotoran ternak biasa disimpan?/h. Unggas lainnya/7-Dibakar untuk bahan bakar</t>
  </si>
  <si>
    <t>E. Dampak Terhadap Agrikultur /E9. Bagaimana kotoran ternak biasa disimpan?/h. Unggas lainnya/8-Dibiarkan tersebar di ladang penggembalaan</t>
  </si>
  <si>
    <t>E. Dampak Terhadap Agrikultur /E10. Berapa banyak kotoran ternak yang dimasukkan ke dalam biodigester?/a. Sapi pedaging</t>
  </si>
  <si>
    <t>E. Dampak Terhadap Agrikultur /E10. Berapa banyak kotoran ternak yang dimasukkan ke dalam biodigester?/b. Sapi perah</t>
  </si>
  <si>
    <t>E. Dampak Terhadap Agrikultur /E10. Berapa banyak kotoran ternak yang dimasukkan ke dalam biodigester?/c. Sapi untuk kegunaan lain</t>
  </si>
  <si>
    <t>E. Dampak Terhadap Agrikultur /E10. Berapa banyak kotoran ternak yang dimasukkan ke dalam biodigester?/d. Babi ternak</t>
  </si>
  <si>
    <t>E. Dampak Terhadap Agrikultur /E10. Berapa banyak kotoran ternak yang dimasukkan ke dalam biodigester?/e. Kuda</t>
  </si>
  <si>
    <t>E. Dampak Terhadap Agrikultur /E10. Berapa banyak kotoran ternak yang dimasukkan ke dalam biodigester?/f. Kambing</t>
  </si>
  <si>
    <t>E. Dampak Terhadap Agrikultur /E10. Berapa banyak kotoran ternak yang dimasukkan ke dalam biodigester?/g. Ayam</t>
  </si>
  <si>
    <t>E. Dampak Terhadap Agrikultur /E10. Berapa banyak kotoran ternak yang dimasukkan ke dalam biodigester?/h. Unggas lainnya</t>
  </si>
  <si>
    <t>E. Dampak Terhadap Agrikultur /E11. Seberapa sering Anda memberi pakan ternak Anda?/a. Sapi pedaging</t>
  </si>
  <si>
    <t>E. Dampak Terhadap Agrikultur /E11. Seberapa sering Anda memberi pakan ternak Anda?/b. Sapi perah</t>
  </si>
  <si>
    <t>E. Dampak Terhadap Agrikultur /E11. Seberapa sering Anda memberi pakan ternak Anda?/c. Sapi untuk kegunaan lain (misal kerbau)</t>
  </si>
  <si>
    <t>E. Dampak Terhadap Agrikultur /E11. Seberapa sering Anda memberi pakan ternak Anda?/d. Babi ternak</t>
  </si>
  <si>
    <t>E. Dampak Terhadap Agrikultur /E11. Seberapa sering Anda memberi pakan ternak Anda?/e. Kuda</t>
  </si>
  <si>
    <t>E. Dampak Terhadap Agrikultur /E11. Seberapa sering Anda memberi pakan ternak Anda?/f. Kambing</t>
  </si>
  <si>
    <t>E. Dampak Terhadap Agrikultur /E11. Seberapa sering Anda memberi pakan ternak Anda?/g. Ayam</t>
  </si>
  <si>
    <t>E. Dampak Terhadap Agrikultur /E11. Seberapa sering Anda memberi pakan ternak Anda?/h. Unggas lainnya</t>
  </si>
  <si>
    <t>E. Dampak Terhadap Agrikultur /E12. Apa tipe pakan utama untuk ternak?/a. Sapi pedaging</t>
  </si>
  <si>
    <t>E. Dampak Terhadap Agrikultur /E12. Apa tipe pakan utama untuk ternak?/b. Sapi perah</t>
  </si>
  <si>
    <t>E. Dampak Terhadap Agrikultur /E12. Apa tipe pakan utama untuk ternak?/c. Sapi untuk kegunaan lain</t>
  </si>
  <si>
    <t>E. Dampak Terhadap Agrikultur /E12. Apa tipe pakan utama untuk ternak?/d. Babi ternak</t>
  </si>
  <si>
    <t>E. Dampak Terhadap Agrikultur /E12. Apa tipe pakan utama untuk ternak?/e. Kuda</t>
  </si>
  <si>
    <t>E. Dampak Terhadap Agrikultur /E12. Apa tipe pakan utama untuk ternak?/f. Kambing</t>
  </si>
  <si>
    <t>E. Dampak Terhadap Agrikultur /E12. Apa tipe pakan utama untuk ternak?/g. Ayam</t>
  </si>
  <si>
    <t>E. Dampak Terhadap Agrikultur /E12. Apa tipe pakan utama untuk ternak?/h. Unggas lainnya</t>
  </si>
  <si>
    <t>E. Dampak Terhadap Agrikultur /E13. Apakah Anda menggunakan bio-slurry?</t>
  </si>
  <si>
    <t>E. Dampak Terhadap Agrikultur /E13-a. Dalam bentuk apa bioslurry yang Anda gunakan?</t>
  </si>
  <si>
    <t>E. Dampak Terhadap Agrikultur /E13-a. Dalam bentuk apa bioslurry yang Anda gunakan?/Padat</t>
  </si>
  <si>
    <t>E. Dampak Terhadap Agrikultur /E13-a. Dalam bentuk apa bioslurry yang Anda gunakan?/Cair</t>
  </si>
  <si>
    <t>E. Dampak Terhadap Agrikultur /E14. Berapa banyak bioslurry yang Anda gunakan setiap hari yang berasal  dari sistem biogas Anda?/liter/hari (cair)</t>
  </si>
  <si>
    <t>E. Dampak Terhadap Agrikultur /E14. Berapa banyak bioslurry yang Anda gunakan setiap hari yang berasal  dari sistem biogas Anda?/kg/hari (padat)</t>
  </si>
  <si>
    <t>E. Dampak Terhadap Agrikultur /E15. Apakah Anda pernah mendapatkan pelatihan mengenai pemanfaatan  bio-slurry oleh CPO?</t>
  </si>
  <si>
    <t>E. Dampak Terhadap Agrikultur /E16. Apakah Anda mengetahui manfaat bio-slurry?</t>
  </si>
  <si>
    <t>E. Dampak Terhadap Agrikultur /E17. Bagaimana Anda memanfaatkan bio-slurry?</t>
  </si>
  <si>
    <t>E. Dampak Terhadap Agrikultur /E17. Bagaimana Anda memanfaatkan bio-slurry?/Digunakan untuk pupuk di lahan  pertanian sendiri</t>
  </si>
  <si>
    <t>E. Dampak Terhadap Agrikultur /E17. Bagaimana Anda memanfaatkan bio-slurry?/Digunakan untuk kegiatan  peternakan sendiri</t>
  </si>
  <si>
    <t>E. Dampak Terhadap Agrikultur /E17. Bagaimana Anda memanfaatkan bio-slurry?/Dijual - baik tanpa  diolah/diolah/dibuat kascing</t>
  </si>
  <si>
    <t>E. Dampak Terhadap Agrikultur /E17. Bagaimana Anda memanfaatkan bio-slurry?/Dibuang ke lahan sekitar kandang -  yg ditanami tanaman</t>
  </si>
  <si>
    <t>E. Dampak Terhadap Agrikultur /E17. Bagaimana Anda memanfaatkan bio-slurry?/Diberikan gratis ke orang  lain</t>
  </si>
  <si>
    <t>E. Dampak Terhadap Agrikultur /E17. Bagaimana Anda memanfaatkan bio-slurry?/Didiamkan saja/dibiarkan di  tempatnya (di bak/kolam  penampung slurry)</t>
  </si>
  <si>
    <t>E. Dampak Terhadap Agrikultur /E17. Bagaimana Anda memanfaatkan bio-slurry?/Dibuang ke selokan</t>
  </si>
  <si>
    <t>E. Dampak Terhadap Agrikultur /E18. Jika digunakan sendiri, digunakan sebagai apa bioslurry Anda?/Pertanian:</t>
  </si>
  <si>
    <t>E. Dampak Terhadap Agrikultur /E18. Jika digunakan sendiri, digunakan sebagai apa bioslurry Anda?/Pertanian:/ Pupuk cair untuk tanaman</t>
  </si>
  <si>
    <t>E. Dampak Terhadap Agrikultur /E18. Jika digunakan sendiri, digunakan sebagai apa bioslurry Anda?/Pertanian:/Pembenah tanah (soil conditioner)</t>
  </si>
  <si>
    <t>E. Dampak Terhadap Agrikultur /E18. Jika digunakan sendiri, digunakan sebagai apa bioslurry Anda?/Pertanian:/Pestisida organik</t>
  </si>
  <si>
    <t>E. Dampak Terhadap Agrikultur /E18. Jika digunakan sendiri, digunakan sebagai apa bioslurry Anda?/Pertanian:/Media untuk pembibitan tanaman</t>
  </si>
  <si>
    <t>E. Dampak Terhadap Agrikultur /E18. Jika digunakan sendiri, digunakan sebagai apa bioslurry Anda?/Pertanian:/Lainnya</t>
  </si>
  <si>
    <t>E. Dampak Terhadap Agrikultur /E18. Jika digunakan sendiri, digunakan sebagai apa bioslurry Anda?/E18a-a. Lainnya:</t>
  </si>
  <si>
    <t>E. Dampak Terhadap Agrikultur /E18. Jika digunakan sendiri, digunakan sebagai apa bioslurry Anda?/Peternakan:</t>
  </si>
  <si>
    <t>E. Dampak Terhadap Agrikultur /E18. Jika digunakan sendiri, digunakan sebagai apa bioslurry Anda?/Peternakan:/Campuran pakan ikan</t>
  </si>
  <si>
    <t>E. Dampak Terhadap Agrikultur /E18. Jika digunakan sendiri, digunakan sebagai apa bioslurry Anda?/Peternakan:/Campuran pakan  unggas</t>
  </si>
  <si>
    <t>E. Dampak Terhadap Agrikultur /E18. Jika digunakan sendiri, digunakan sebagai apa bioslurry Anda?/Peternakan:/Media ternak cacing</t>
  </si>
  <si>
    <t>E. Dampak Terhadap Agrikultur /E18. Jika digunakan sendiri, digunakan sebagai apa bioslurry Anda?/Peternakan:/Pupuk kolam ikan</t>
  </si>
  <si>
    <t>E. Dampak Terhadap Agrikultur /E18. Jika digunakan sendiri, digunakan sebagai apa bioslurry Anda?/Peternakan:/Lainnya</t>
  </si>
  <si>
    <t>E. Dampak Terhadap Agrikultur /E18. Jika digunakan sendiri, digunakan sebagai apa bioslurry Anda?/E18b-a. Lainnya:</t>
  </si>
  <si>
    <t>E. Dampak Terhadap Agrikultur /E19. Jika Anda menjual bioslurry, dalam bentuk apa Anda menjual bio-slurry?</t>
  </si>
  <si>
    <t>E. Dampak Terhadap Agrikultur /E20. Untuk jenis tanaman pertanian apa yang Anda gunakan bioslurry?</t>
  </si>
  <si>
    <t>E. Dampak Terhadap Agrikultur /E21. Seberapa sering Anda memberi bioslurry ke lahan pertanian Anda?</t>
  </si>
  <si>
    <t>E. Dampak Terhadap Agrikultur /E22. Berapa luas lahan Anda (m2) yang menggunakan bioslurry sebagai pupuk?</t>
  </si>
  <si>
    <t>E. Dampak Terhadap Agrikultur /E23. Berapa luas lahan Anda (m2) di sekitar kandang yang menjadi tempat pembuangan bioslurry?</t>
  </si>
  <si>
    <t>E. Dampak Terhadap Agrikultur /E24. Berapa jumlah bioslurry yang Anda gunakan untuk digunakan di lahan pertanian Anda dalam sekali pemakaian?/Liter (cair)</t>
  </si>
  <si>
    <t>E. Dampak Terhadap Agrikultur /E24. Berapa jumlah bioslurry yang Anda gunakan untuk digunakan di lahan pertanian Anda dalam sekali pemakaian?/Kilogram (padat)</t>
  </si>
  <si>
    <t>E. Dampak Terhadap Agrikultur /E25. Jenis pupuk apa yang Anda gunakan sebelum menggunakan bioslurry untuk pertanian?</t>
  </si>
  <si>
    <t>E. Dampak Terhadap Agrikultur /E25-a. Lainnya:</t>
  </si>
  <si>
    <t>E. Dampak Terhadap Agrikultur /E26. Berapa banyak pupuk kimia yang Anda gunakan sebelum menggunakan bioslurry?</t>
  </si>
  <si>
    <t>E. Dampak Terhadap Agrikultur /E26-a. Berapa harga pupuk tersebut (saat sebelum menggunakan bioslurry) ?</t>
  </si>
  <si>
    <t>E. Dampak Terhadap Agrikultur /E27. Berapa banyak pupuk kimia yang Anda gunakan setelah menggantinya dengan bioslurry?</t>
  </si>
  <si>
    <t>E. Dampak Terhadap Agrikultur /E27-a. Berapa harga pupuk tersebut sekarang?</t>
  </si>
  <si>
    <t>E. Dampak Terhadap Agrikultur /E28. Berapa banyak hasil pertanian yang dapat Anda panen sebelum menggunakan bioslurry?</t>
  </si>
  <si>
    <t>E. Dampak Terhadap Agrikultur /E29. Berapa banyak hasil pertanian yang dapat Anda panen setelah menggunakan bioslurry?</t>
  </si>
  <si>
    <t>E. Dampak Terhadap Agrikultur /E30. Apakah bio-slurry memungkinkan Anda untuk menanam jenis tanaman baru?</t>
  </si>
  <si>
    <t>E. Dampak Terhadap Agrikultur /E31. Bagaimana kualitas tanah Anda setelah penggunaan bioslurry?</t>
  </si>
  <si>
    <t>E. Dampak Terhadap Agrikultur /E32. Bagaimana ketahanan tanaman terhadap hama atau penyakit setelah  penggunaan bioslurry?</t>
  </si>
  <si>
    <t>E. Dampak Terhadap Agrikultur /E33. Apakah penggunaan bioslurry sebagai pupuk organik meningkatkan  ketahanan tanaman terhadap kekeringan?</t>
  </si>
  <si>
    <t>E. Dampak Terhadap Agrikultur /E34. Apakah penggunaan bioslurry meningkatkan kualitas atau kuantitas  pakan ternak yang dihasilkan dari kegiatan peternakan? (misal:  peningkatan jumlah rumput)</t>
  </si>
  <si>
    <t>E. Dampak Terhadap Agrikultur /E35. Apakah penggunaan bioslurry untuk peternakan (seperti campuran  pakan ikan atau unggas) meningkatkan produktivitas hewan ternak  (misalnya, lebih cepat tumbuh, lebih banyak produksi susu atau telur)?</t>
  </si>
  <si>
    <t>E. Dampak Terhadap Agrikultur /E36. Jika tidak memanfaatkan bioslurry, mengapa?</t>
  </si>
  <si>
    <t>E. Dampak Terhadap Agrikultur /E36. Jika tidak memanfaatkan bioslurry, mengapa? /Tidak/kurang baik untuk tanaman</t>
  </si>
  <si>
    <t>E. Dampak Terhadap Agrikultur /E36. Jika tidak memanfaatkan bioslurry, mengapa? /Tidak memiliki tempat untuk menyimpan</t>
  </si>
  <si>
    <t>E. Dampak Terhadap Agrikultur /E36. Jika tidak memanfaatkan bioslurry, mengapa? /Tidak punya waktu mengumpulkannya</t>
  </si>
  <si>
    <t>E. Dampak Terhadap Agrikultur /E36. Jika tidak memanfaatkan bioslurry, mengapa? /Ladang/sawah terlalu jauh, sulit untuk mengangkut ke sana</t>
  </si>
  <si>
    <t>E. Dampak Terhadap Agrikultur /E36. Jika tidak memanfaatkan bioslurry, mengapa? /Belum tau bahwa bioslurry bagus untuk pupuk</t>
  </si>
  <si>
    <t>E. Dampak Terhadap Agrikultur /E36. Jika tidak memanfaatkan bioslurry, mengapa? /Lebih praktis menggunakan pupuk kimia</t>
  </si>
  <si>
    <t>E. Dampak Terhadap Agrikultur /E36. Jika tidak memanfaatkan bioslurry, mengapa? /Lainnya</t>
  </si>
  <si>
    <t>E. Dampak Terhadap Agrikultur /E36-a. Lainnya:</t>
  </si>
  <si>
    <t>E. Dampak Terhadap Agrikultur /E37. Apakah ada informasi tambahan lain terkait dengan sumber bahan baku  pembuatan biogas?</t>
  </si>
  <si>
    <t>F. Dampak Terhadap Gender /F1. Apakah penggunaan biogas memberikan manfaat khusus bagi perempuan atau anak-anak dalam keluarga?</t>
  </si>
  <si>
    <t>F. Dampak Terhadap Gender /F2. Apakah secara umum beban kerja perempuan di rumah berkurang sejak  penggunaan biogas?</t>
  </si>
  <si>
    <t>F. Dampak Terhadap Gender /F3. Jika dengan pemasangan biogas Anda dapat menghemat uang atau  menambah pendapatan, siapa yang akan mengelola keuangan di rumah  tangga?</t>
  </si>
  <si>
    <t>F. Dampak Terhadap Gender /F4. Menurut Anda, apakah secara umum sistem biogas dapat meningkatkan pemberdayaan perempuan di komunitas Anda?</t>
  </si>
  <si>
    <t>G. Kepuasan dan Persepsi Pengguna /G1. Siapa yang terdampak manfaat dari penggunaan biogas?</t>
  </si>
  <si>
    <t>G. Kepuasan dan Persepsi Pengguna /G1. Siapa yang terdampak manfaat dari penggunaan biogas? /Anggota keluarga - Laki-laki dewasa</t>
  </si>
  <si>
    <t>G. Kepuasan dan Persepsi Pengguna /G1. Siapa yang terdampak manfaat dari penggunaan biogas? /Anggota keluarga - Perempuan dewasa</t>
  </si>
  <si>
    <t>G. Kepuasan dan Persepsi Pengguna /G1. Siapa yang terdampak manfaat dari penggunaan biogas? /Anggota keluarga - Anak-anak</t>
  </si>
  <si>
    <t>G. Kepuasan dan Persepsi Pengguna /G1. Siapa yang terdampak manfaat dari penggunaan biogas? /Tidak ada manfaat</t>
  </si>
  <si>
    <t>G. Kepuasan dan Persepsi Pengguna /G2. Seberapa puas Anda secara keseluruhan dengan biogas yang Anda gunakan?</t>
  </si>
  <si>
    <t>G. Kepuasan dan Persepsi Pengguna /G3. Bagaimana Anda menilai kualitas konstruksi dan peralatan biogas Anda (kompor, lampu, gas tap, dll.)?</t>
  </si>
  <si>
    <t>G. Kepuasan dan Persepsi Pengguna /G4. Seberapa puas Anda dengan pemasangan sistem biogas?</t>
  </si>
  <si>
    <t>G. Kepuasan dan Persepsi Pengguna /G5. Seberapa puas Anda dengan pengurangan biaya energi rumah tangga yang dihasilkan oleh sistem biogas?</t>
  </si>
  <si>
    <t>G. Kepuasan dan Persepsi Pengguna /G6. Apakah ada peralatan yang perlu diganti dalam 12 bulan terakhir?</t>
  </si>
  <si>
    <t>G. Kepuasan dan Persepsi Pengguna /G6-a. Apa saja peralatan yang diganti?</t>
  </si>
  <si>
    <t>G. Kepuasan dan Persepsi Pengguna /G7. Seberapa puas Anda dengan layanan yang diberikan oleh Construction Partner Organization (CPO)?</t>
  </si>
  <si>
    <t>G. Kepuasan dan Persepsi Pengguna /G8. Jika Anda merasa kurang puas, mengapa?</t>
  </si>
  <si>
    <t>G. Kepuasan dan Persepsi Pengguna /G8. Jika Anda merasa kurang puas, mengapa?/ Pelayanan kurang ramah</t>
  </si>
  <si>
    <t>G. Kepuasan dan Persepsi Pengguna /G8. Jika Anda merasa kurang puas, mengapa?/ Pelatihan yang diberikan kurang menyeluruh/tidak lengkap atau tidak  ada pelatihan</t>
  </si>
  <si>
    <t>G. Kepuasan dan Persepsi Pengguna /G8. Jika Anda merasa kurang puas, mengapa?/Sulit dihubungi ketika biogas bermasalah</t>
  </si>
  <si>
    <t>G. Kepuasan dan Persepsi Pengguna /G8. Jika Anda merasa kurang puas, mengapa?/Biogas yang dibangun sulit/tidak bisa langsung dioperasikan setelah  dibangun</t>
  </si>
  <si>
    <t>G. Kepuasan dan Persepsi Pengguna /G8. Jika Anda merasa kurang puas, mengapa?/ Monitoring/pengawasan tidak rutin</t>
  </si>
  <si>
    <t>G. Kepuasan dan Persepsi Pengguna /G8. Jika Anda merasa kurang puas, mengapa?/Penanganan kerusakannya lambat</t>
  </si>
  <si>
    <t>G. Kepuasan dan Persepsi Pengguna /G8. Jika Anda merasa kurang puas, mengapa?/Kualitas yang diberikan tidak sesuai biaya yang dikeluarkan</t>
  </si>
  <si>
    <t>G. Kepuasan dan Persepsi Pengguna /G8. Jika Anda merasa kurang puas, mengapa?/ Lainnya</t>
  </si>
  <si>
    <t>G. Kepuasan dan Persepsi Pengguna /G8-. Lainnya:</t>
  </si>
  <si>
    <t>G. Kepuasan dan Persepsi Pengguna /G9. Jika ada kerusakan, apa yang Anda lakukan?</t>
  </si>
  <si>
    <t>G. Kepuasan dan Persepsi Pengguna /G9. Jika ada kerusakan, apa yang Anda lakukan?/a. Menghubungi CPO atau pendamping</t>
  </si>
  <si>
    <t>G. Kepuasan dan Persepsi Pengguna /G9. Jika ada kerusakan, apa yang Anda lakukan?/b. Memperbaiki sendiri</t>
  </si>
  <si>
    <t>G. Kepuasan dan Persepsi Pengguna /G9. Jika ada kerusakan, apa yang Anda lakukan?/c. Dibiarkan saja</t>
  </si>
  <si>
    <t>G. Kepuasan dan Persepsi Pengguna /G9. Jika ada kerusakan, apa yang Anda lakukan?/d. Lainnya</t>
  </si>
  <si>
    <t>G. Kepuasan dan Persepsi Pengguna /G9. Jika ada kerusakan, apa yang Anda lakukan?/Menghubungi CPO atau pendamping</t>
  </si>
  <si>
    <t>G. Kepuasan dan Persepsi Pengguna /G9. Jika ada kerusakan, apa yang Anda lakukan?/Memperbaiki sendiri</t>
  </si>
  <si>
    <t>G. Kepuasan dan Persepsi Pengguna /G9. Jika ada kerusakan, apa yang Anda lakukan?/Dibiarkan saja</t>
  </si>
  <si>
    <t>G. Kepuasan dan Persepsi Pengguna /G9. Jika ada kerusakan, apa yang Anda lakukan?/Lainnya</t>
  </si>
  <si>
    <t>G. Kepuasan dan Persepsi Pengguna /G9-a. Lainnya:</t>
  </si>
  <si>
    <t>G. Kepuasan dan Persepsi Pengguna /G10. Jika menghubungi CPO, siapa yang menghubungi?</t>
  </si>
  <si>
    <t>G. Kepuasan dan Persepsi Pengguna /G10-a. Lainnya:</t>
  </si>
  <si>
    <t>G. Kepuasan dan Persepsi Pengguna /G11. Bagaimana Anda menghubungi CPO?</t>
  </si>
  <si>
    <t>G. Kepuasan dan Persepsi Pengguna /G11-a. Lainnya:</t>
  </si>
  <si>
    <t>G. Kepuasan dan Persepsi Pengguna /G12. Apakah Anda memiliki saran untuk meningkatkan layanan dan kualitas  sistem biogas?</t>
  </si>
  <si>
    <t>G. Kepuasan dan Persepsi Pengguna /G13. Apakah Anda merasa didengar  oleh pihak penyedia layanan saat  memberikan masukan?</t>
  </si>
  <si>
    <t>G. Kepuasan dan Persepsi Pengguna /G14. Apa saja manfaat yang Anda rasakan dari memiliki instalasi biogas?</t>
  </si>
  <si>
    <t>G. Kepuasan dan Persepsi Pengguna /G14. Apa saja manfaat yang Anda rasakan dari memiliki instalasi biogas?/Pengurangan pengeluaran  rumah tangga (bahan bakar  minyak, pupuk, dll.)</t>
  </si>
  <si>
    <t>G. Kepuasan dan Persepsi Pengguna /G14. Apa saja manfaat yang Anda rasakan dari memiliki instalasi biogas?/ Lebih mudah mendapatkan  energi</t>
  </si>
  <si>
    <t>G. Kepuasan dan Persepsi Pengguna /G14. Apa saja manfaat yang Anda rasakan dari memiliki instalasi biogas?/Pasokan energi yang andal</t>
  </si>
  <si>
    <t>G. Kepuasan dan Persepsi Pengguna /G14. Apa saja manfaat yang Anda rasakan dari memiliki instalasi biogas?/ Memasak lebih cepat</t>
  </si>
  <si>
    <t>G. Kepuasan dan Persepsi Pengguna /G14. Apa saja manfaat yang Anda rasakan dari memiliki instalasi biogas?/ Lebih aman</t>
  </si>
  <si>
    <t>G. Kepuasan dan Persepsi Pengguna /G14. Apa saja manfaat yang Anda rasakan dari memiliki instalasi biogas?/ Pengurangan waktu dan tenaga</t>
  </si>
  <si>
    <t>G. Kepuasan dan Persepsi Pengguna /G14. Apa saja manfaat yang Anda rasakan dari memiliki instalasi biogas?/Peningkatan kebersihan  kandang ternak</t>
  </si>
  <si>
    <t>G. Kepuasan dan Persepsi Pengguna /G14. Apa saja manfaat yang Anda rasakan dari memiliki instalasi biogas?/Pemanfaatan bio-slurry sebagai  pupuk</t>
  </si>
  <si>
    <t>G. Kepuasan dan Persepsi Pengguna /G14. Apa saja manfaat yang Anda rasakan dari memiliki instalasi biogas?/Dapur lebih bersih dan bebas  asap</t>
  </si>
  <si>
    <t>G. Kepuasan dan Persepsi Pengguna /G14. Apa saja manfaat yang Anda rasakan dari memiliki instalasi biogas?/Dapat dibayar melalui skema  kredit</t>
  </si>
  <si>
    <t>G. Kepuasan dan Persepsi Pengguna /G14. Apa saja manfaat yang Anda rasakan dari memiliki instalasi biogas?/ Mendapatkan subsidi</t>
  </si>
  <si>
    <t>G. Kepuasan dan Persepsi Pengguna /G14. Apa saja manfaat yang Anda rasakan dari memiliki instalasi biogas?/Lainnya</t>
  </si>
  <si>
    <t>G. Kepuasan dan Persepsi Pengguna /G14-a. Lainnya:</t>
  </si>
  <si>
    <t>G. Kepuasan dan Persepsi Pengguna /G15. Apa alasan utama Anda memutuskan untuk memasang biogas? (Pilih satu)</t>
  </si>
  <si>
    <t>G. Kepuasan dan Persepsi Pengguna /G15-a. Lainnya:</t>
  </si>
  <si>
    <t>G. Kepuasan dan Persepsi Pengguna /G16. Dari mana Anda mendapatkan informasi tentang biogas sebelum menjadi pengguna?</t>
  </si>
  <si>
    <t>G. Kepuasan dan Persepsi Pengguna /G16-a. Lainnya:</t>
  </si>
  <si>
    <t>Dokumentasi Survei/Unggah Foto Biodigester</t>
  </si>
  <si>
    <t>Dokumentasi Survei/Unggah Foto Biodigester_URL</t>
  </si>
  <si>
    <t>Dokumentasi Survei/Unggah Foto Proses Wawancara</t>
  </si>
  <si>
    <t>Dokumentasi Survei/Unggah Foto Proses Wawancara_URL</t>
  </si>
  <si>
    <t>Catatan Validasi Enum/Nama Enum/Username</t>
  </si>
  <si>
    <t>Catatan Validasi Enum/Catatan Validsi Enumerator (Field Notes)</t>
  </si>
  <si>
    <t>Catatan Validasi Enum/Jelaskan jika ada jawaban tidak lengkap, meragukan, atau butuh keterangan tambahan</t>
  </si>
  <si>
    <t>Marmanto</t>
  </si>
  <si>
    <t>Ponimin</t>
  </si>
  <si>
    <t>Jawa Tengah</t>
  </si>
  <si>
    <t>Klaten</t>
  </si>
  <si>
    <t>Tulung</t>
  </si>
  <si>
    <t>Mundu</t>
  </si>
  <si>
    <t>CV. H&amp;B PUTRA MANDIRI</t>
  </si>
  <si>
    <t>HPP0049</t>
  </si>
  <si>
    <t>VPA2</t>
  </si>
  <si>
    <t>Aktif</t>
  </si>
  <si>
    <t>Laki-laki</t>
  </si>
  <si>
    <t>Sudah menikah</t>
  </si>
  <si>
    <t>SD/Sederajat</t>
  </si>
  <si>
    <t>Petani</t>
  </si>
  <si>
    <t>Petani Peternak</t>
  </si>
  <si>
    <t>Rp2.500.000 - Rp3.500.000</t>
  </si>
  <si>
    <t>Milik sendiri</t>
  </si>
  <si>
    <t>Permanen (dinding bata dan semen)</t>
  </si>
  <si>
    <t>Keramik/ubin</t>
  </si>
  <si>
    <t>Genting</t>
  </si>
  <si>
    <t>Ya</t>
  </si>
  <si>
    <t>Fixed-Dome (Kubah Tetap)</t>
  </si>
  <si>
    <t>6 m³ (4-5 ekor sapi, ±5 jam memasak/hari, ±50 kg</t>
  </si>
  <si>
    <t>Anggota keluarga - laki-laki</t>
  </si>
  <si>
    <t>CPO atau pendamping</t>
  </si>
  <si>
    <t>Tidak ada masalah</t>
  </si>
  <si>
    <t>Ya, cukup jelas dan mudah diikuti</t>
  </si>
  <si>
    <t>Pelatihan</t>
  </si>
  <si>
    <t>Anggota keluarga - Laki-laki</t>
  </si>
  <si>
    <t>Setiap minggu</t>
  </si>
  <si>
    <t>Mengetahui</t>
  </si>
  <si>
    <t>Selalu (setiap hari)</t>
  </si>
  <si>
    <t>Sering (setiap minggu)</t>
  </si>
  <si>
    <t>Jarang (setiap bulan atau lebih)</t>
  </si>
  <si>
    <t>Ya, selalu</t>
  </si>
  <si>
    <t>Laki-laki dewasa</t>
  </si>
  <si>
    <t>Memahami</t>
  </si>
  <si>
    <t>CPO</t>
  </si>
  <si>
    <t>Sering</t>
  </si>
  <si>
    <t>Tetangga</t>
  </si>
  <si>
    <t>Penuh (100%)</t>
  </si>
  <si>
    <t>Kayu bakar LPG</t>
  </si>
  <si>
    <t>50-65 kg</t>
  </si>
  <si>
    <t>3-5 jam</t>
  </si>
  <si>
    <t>Tidak</t>
  </si>
  <si>
    <t>Lebih bersih</t>
  </si>
  <si>
    <t>Tidak pernah</t>
  </si>
  <si>
    <t>Cukup membaik</t>
  </si>
  <si>
    <t>2-4 kali</t>
  </si>
  <si>
    <t>0-1 kali</t>
  </si>
  <si>
    <t>Kebutuhan rumah tangga</t>
  </si>
  <si>
    <t>kumpul keluarga</t>
  </si>
  <si>
    <t>kumpul keluarga dan santai</t>
  </si>
  <si>
    <t>Ya, mempekerjakan orang lain</t>
  </si>
  <si>
    <t>Perawatan sistem biogas Pemasangan sistem biogas Produksi dan penjualan bioslurry</t>
  </si>
  <si>
    <t>Padat</t>
  </si>
  <si>
    <t>Kombinasi dana mandiri dan dana hibah</t>
  </si>
  <si>
    <t>3.000.001-5.000.000</t>
  </si>
  <si>
    <t>Yayasan Rumah Energi atau BIRU</t>
  </si>
  <si>
    <t>Anggota keluarga - Laki-laki dewasa</t>
  </si>
  <si>
    <t>Sedikit meningkat</t>
  </si>
  <si>
    <t>Lebih baik</t>
  </si>
  <si>
    <t>Lebih baik (beda waktu memasak 5-30 menit, ATAU tidak lagi ada rasa/bau makanan yang berubah, ATAU alasan lainnya)</t>
  </si>
  <si>
    <t>1-Disebarkan ke lahan terbuka</t>
  </si>
  <si>
    <t>Pemberian pakan di kandang</t>
  </si>
  <si>
    <t>Cukup teratur (setiap minggu)</t>
  </si>
  <si>
    <t>Sering (1 kali sehari)</t>
  </si>
  <si>
    <t>4-Disimpan dalam kotak bersekat</t>
  </si>
  <si>
    <t>Pakan kering (misal: konsentrat, silase, pelet)</t>
  </si>
  <si>
    <t>Digunakan untuk pupuk di lahan pertanian sendiri</t>
  </si>
  <si>
    <t>Pupuk cair untuk tanaman</t>
  </si>
  <si>
    <t>Rumput pakan ternak</t>
  </si>
  <si>
    <t>Cukup (2 minggu sekali)</t>
  </si>
  <si>
    <t>NPK</t>
  </si>
  <si>
    <t>Cukup meningkat</t>
  </si>
  <si>
    <t>tidak</t>
  </si>
  <si>
    <t>Manfaat cukup signifikan, terasa di kehidupan sehari-hari</t>
  </si>
  <si>
    <t>Sama saja</t>
  </si>
  <si>
    <t>Anggota keluarga - Perempuan dewasa</t>
  </si>
  <si>
    <t>Setuju</t>
  </si>
  <si>
    <t>Puas</t>
  </si>
  <si>
    <t>Cukup puas</t>
  </si>
  <si>
    <t>Menghubungi CPO atau pendamping</t>
  </si>
  <si>
    <t>Menelepon atau WA langsung</t>
  </si>
  <si>
    <t>Tidak ada, sudah baik</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</si>
  <si>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</si>
  <si>
    <t>Mengurangi pengeluaran energi</t>
  </si>
  <si>
    <t>Yayasan Rumah Energi (YRE)</t>
  </si>
  <si>
    <t>WhatsApp Image 2026-02-03 at 14.09.29-12_41_24.jpeg</t>
  </si>
  <si>
    <t>https://kf.kobotoolbox.org/api/v2/assets/avstPQqLr3Ab3ZdcVTXZ6f/data/663251533/attachments/attBWKrQCnTMv7auhU422Uu3/</t>
  </si>
  <si>
    <t>WhatsApp Image 2026-02-03 at 14.09.29 (1)-12_41_40.jpeg</t>
  </si>
  <si>
    <t>https://kf.kobotoolbox.org/api/v2/assets/avstPQqLr3Ab3ZdcVTXZ6f/data/663251533/attachments/attVVpXxpF3qsEnbUXJ79Htm/</t>
  </si>
  <si>
    <t>marmanto / witono</t>
  </si>
  <si>
    <t>Ngateno</t>
  </si>
  <si>
    <t>LPTP</t>
  </si>
  <si>
    <t>LPP0347</t>
  </si>
  <si>
    <t>VPA1</t>
  </si>
  <si>
    <t>Tidak aktif</t>
  </si>
  <si>
    <t>Peternak</t>
  </si>
  <si>
    <t>Rp1.500.000 - Rp2.500.000</t>
  </si>
  <si>
    <t>Anggota keluarga - laki-laki CPO atau pendamping</t>
  </si>
  <si>
    <t>Tidak berfungsi sama sekali</t>
  </si>
  <si>
    <t>&gt;1 tahun yang lalu</t>
  </si>
  <si>
    <t>Tidak ada pihak yang mengelola/dapat memperbaiki sistem biogas</t>
  </si>
  <si>
    <t>Kurangnya dukungan atau pemantauan dari pemerintah atau CPO Keterbatasan akses terhadap informasi atau pelatihan terkait biogas</t>
  </si>
  <si>
    <t>Jarang sekali</t>
  </si>
  <si>
    <t>Cukup sering (2 minggu sekali)</t>
  </si>
  <si>
    <t>Cukup memahami</t>
  </si>
  <si>
    <t>Tidak ada perubahan</t>
  </si>
  <si>
    <t>Istirahat</t>
  </si>
  <si>
    <t>untuk santai</t>
  </si>
  <si>
    <t>untukm kiumpul keluarga santai</t>
  </si>
  <si>
    <t>Perawatan sistem biogas</t>
  </si>
  <si>
    <t>Sangat teratur (setiap hari)</t>
  </si>
  <si>
    <t>3-Disimpan terbuka (dry lot)</t>
  </si>
  <si>
    <t>Dibuang ke lahan sekitar kandang - yg ditanami tanaman Diberikan gratis ke orang lain</t>
  </si>
  <si>
    <t>Rumput</t>
  </si>
  <si>
    <t>Jarang (1 bulan sekali)</t>
  </si>
  <si>
    <t>Ladang/sawah terlalu jauh, sulit untuk mengangkut ke sana</t>
  </si>
  <si>
    <t>kotoran unggas</t>
  </si>
  <si>
    <t>Berkurang</t>
  </si>
  <si>
    <t>Netral/tidak tahu</t>
  </si>
  <si>
    <t>perlu perbaikan total karena sudah hampir 1 tahun tidak hidup</t>
  </si>
  <si>
    <t>Lebih kepada perawatan oleh user</t>
  </si>
  <si>
    <t>Kadang-kadang</t>
  </si>
  <si>
    <t>Pengurangan pengeluaran  rumah tangga (bahan bakar  minyak, pupuk, dll.)   Lebih mudah mendapatkan  energi  Pasokan energi yang andal   Memasak lebih cepat   Lebih aman   Pengurangan waktu dan tenaga  Peningkatan kebersihan  kandang ternak Dapur lebih bersih dan bebas  asap   Mendapatkan subsidi</t>
  </si>
  <si>
    <t>WhatsApp Image 2026-02-03 at 14.10.08 (1)-14_0_32.jpeg</t>
  </si>
  <si>
    <t>https://kf.kobotoolbox.org/api/v2/assets/avstPQqLr3Ab3ZdcVTXZ6f/data/663301002/attachments/attg4kP2W6ZMftBXbbYhXKqZ/</t>
  </si>
  <si>
    <t>WhatsApp Image 2026-02-03 at 14.10.08-14_0_54.jpeg</t>
  </si>
  <si>
    <t>https://kf.kobotoolbox.org/api/v2/assets/avstPQqLr3Ab3ZdcVTXZ6f/data/663301002/attachments/attN3Lf5vcXsmwf6Lre4jnYH/</t>
  </si>
  <si>
    <t>Sunaryo</t>
  </si>
  <si>
    <t>LPP0318</t>
  </si>
  <si>
    <t>Lainnya</t>
  </si>
  <si>
    <t>Yang memelihara bertumpu pada kepala keluarga yang sudah semakin tua dan mau diteruskan anaknya sudah rusak dan sapi pernah dijual dan  beli</t>
  </si>
  <si>
    <t>30-50 kg</t>
  </si>
  <si>
    <t>santai</t>
  </si>
  <si>
    <t>Program yayasan/NGO</t>
  </si>
  <si>
    <t>Digunakan untuk kegiatan peternakan sendiri Diberikan gratis ke orang lain</t>
  </si>
  <si>
    <t>Pupuk</t>
  </si>
  <si>
    <t>Tidak punya waktu mengumpulkannya Ladang/sawah terlalu jauh, sulit untuk mengangkut ke sana</t>
  </si>
  <si>
    <t>perlu penggantian kompor yang berkjarat dan pengurasan ulang</t>
  </si>
  <si>
    <t>Pengurangan pengeluaran  rumah tangga (bahan bakar  minyak, pupuk, dll.)   Lebih mudah mendapatkan  energi  Pasokan energi yang andal   Memasak lebih cepat   Lebih aman   Pengurangan waktu dan tenaga  Peningkatan kebersihan  kandang ternak</t>
  </si>
  <si>
    <t>WhatsApp Image 2026-02-03 at 14.10.45-14_41_12.jpeg</t>
  </si>
  <si>
    <t>https://kf.kobotoolbox.org/api/v2/assets/avstPQqLr3Ab3ZdcVTXZ6f/data/663335540/attachments/att8QJmiQ6TDswj69xqWGwnB/</t>
  </si>
  <si>
    <t>WhatsApp Image 2026-02-03 at 14.10.45 (1)-14_41_29.jpeg</t>
  </si>
  <si>
    <t>https://kf.kobotoolbox.org/api/v2/assets/avstPQqLr3Ab3ZdcVTXZ6f/data/663335540/attachments/attdrQrJLATCmZAfwrJFtGPn/</t>
  </si>
  <si>
    <t>manto / witono</t>
  </si>
  <si>
    <t>Pujiyanto</t>
  </si>
  <si>
    <t>LPP0514</t>
  </si>
  <si>
    <t>SMA/Sederajat</t>
  </si>
  <si>
    <t>Tidak ada ternak</t>
  </si>
  <si>
    <t>Keterbatasan akses terhadap informasi atau pelatihan terkait biogas</t>
  </si>
  <si>
    <t>Laki-laki dewasa Perempuan dewasa</t>
  </si>
  <si>
    <t>CPO Pelatihan</t>
  </si>
  <si>
    <t>santai bersama keluarga</t>
  </si>
  <si>
    <t>Kombinasi dana mandiri dan kredit/pinjaman</t>
  </si>
  <si>
    <t>&gt;11.000.001</t>
  </si>
  <si>
    <t>Pemerintah</t>
  </si>
  <si>
    <t>Digunakan untuk pupuk di lahan pertanian sendiri Diberikan gratis ke orang lain</t>
  </si>
  <si>
    <t>Bertambah</t>
  </si>
  <si>
    <t>Kontribusi beberapa anggota keluarga</t>
  </si>
  <si>
    <t>pemngurasan , kompor , mixer dll</t>
  </si>
  <si>
    <t>Tidak ada</t>
  </si>
  <si>
    <t>Pengurangan pengeluaran  rumah tangga (bahan bakar  minyak, pupuk, dll.)   Lebih mudah mendapatkan  energi  Pasokan energi yang andal   Memasak lebih cepat   Lebih aman</t>
  </si>
  <si>
    <t>WhatsApp Image 2026-02-03 at 14.14.40-19_36_45.jpeg</t>
  </si>
  <si>
    <t>https://kf.kobotoolbox.org/api/v2/assets/avstPQqLr3Ab3ZdcVTXZ6f/data/663630485/attachments/att929sawMu4BTL72Yra6Ga7/</t>
  </si>
  <si>
    <t>WhatsApp Image 2026-02-03 at 14.14.40 (1)-19_37_9.jpeg</t>
  </si>
  <si>
    <t>https://kf.kobotoolbox.org/api/v2/assets/avstPQqLr3Ab3ZdcVTXZ6f/data/663630485/attachments/att6DkGeDscczRhQdqeYyGU3/</t>
  </si>
  <si>
    <t>sudah tidak punya sapi lagi dijual belum beli lagi karena PMK</t>
  </si>
  <si>
    <t>Sugeng Raharjo</t>
  </si>
  <si>
    <t>Sudimoro</t>
  </si>
  <si>
    <t>LPP0345</t>
  </si>
  <si>
    <t>SMP/Sederajat</t>
  </si>
  <si>
    <t>Pekerja lepas</t>
  </si>
  <si>
    <t>Keterbatasan akses terhadap informasi atau pelatihan terkait biogas Tidak ada masalah</t>
  </si>
  <si>
    <t>CPO atau pendamping Pegawai koperasi</t>
  </si>
  <si>
    <t>Anggota keluarga - Laki-laki Anggota keluarga - Perempuan dewasa</t>
  </si>
  <si>
    <t>Perempuan dewasa</t>
  </si>
  <si>
    <t>untuk santai keluarga</t>
  </si>
  <si>
    <t>Diberikan gratis ke orang lain</t>
  </si>
  <si>
    <t>Anggota keluarga - Laki-laki dewasa Anggota keluarga - Perempuan dewasa Anggota keluarga - Anak-anak</t>
  </si>
  <si>
    <t>Menghubungi CPO atau pendamping Memperbaiki sendiri</t>
  </si>
  <si>
    <t>Lebih mudah mendapatkan  energi  Pasokan energi yang andal   Memasak lebih cepat   Lebih aman   Pengurangan waktu dan tenaga  Peningkatan kebersihan  kandang ternak</t>
  </si>
  <si>
    <t>WhatsApp Image 2026-02-03 at 14.15.10-20_20_30.jpeg</t>
  </si>
  <si>
    <t>https://kf.kobotoolbox.org/api/v2/assets/avstPQqLr3Ab3ZdcVTXZ6f/data/663655830/attachments/attMgVfQxjHGzHqxKorbqRsb/</t>
  </si>
  <si>
    <t>WhatsApp Image 2026-02-03 at 14.15.10 (1)-20_20_52.jpeg</t>
  </si>
  <si>
    <t>https://kf.kobotoolbox.org/api/v2/assets/avstPQqLr3Ab3ZdcVTXZ6f/data/663655830/attachments/attfzvzMBtnrabApiEvRCRMS/</t>
  </si>
  <si>
    <t>Ibrahim</t>
  </si>
  <si>
    <t>Boyolali</t>
  </si>
  <si>
    <t>Mojosongo</t>
  </si>
  <si>
    <t>LPP0005</t>
  </si>
  <si>
    <t>Setiap bulan</t>
  </si>
  <si>
    <t>santai dengan keluarga</t>
  </si>
  <si>
    <t>Ya, untuk anggota keluarga</t>
  </si>
  <si>
    <t>Pemasangan sistem biogas</t>
  </si>
  <si>
    <t>9.000.001-11.000.000</t>
  </si>
  <si>
    <t>Padat Cair</t>
  </si>
  <si>
    <t>Menurun</t>
  </si>
  <si>
    <t>Anggota keluarga - Laki-laki dewasa Anggota keluarga - Perempuan dewasa</t>
  </si>
  <si>
    <t>Lebih mudah mendapatkan  energi  Pasokan energi yang andal   Memasak lebih cepat   Lebih aman   Pengurangan waktu dan tenaga  Peningkatan kebersihan  kandang ternak Pemanfaatan bio-slurry sebagai  pupuk Dapur lebih bersih dan bebas  asap</t>
  </si>
  <si>
    <t>WhatsApp Image 2026-02-03 at 14.15.32-21_27_21.jpeg</t>
  </si>
  <si>
    <t>https://kf.kobotoolbox.org/api/v2/assets/avstPQqLr3Ab3ZdcVTXZ6f/data/663732541/attachments/attdwtkkxxWMPXzr9nFauzRu/</t>
  </si>
  <si>
    <t>WhatsApp Image 2026-02-03 at 14.15.32 (1)-21_27_31.jpeg</t>
  </si>
  <si>
    <t>https://kf.kobotoolbox.org/api/v2/assets/avstPQqLr3Ab3ZdcVTXZ6f/data/663732541/attachments/attTDpcqVFTdYLvZAYYmCEtF/</t>
  </si>
  <si>
    <t>Subagyo</t>
  </si>
  <si>
    <t>Kebon Arum</t>
  </si>
  <si>
    <t>Gondang</t>
  </si>
  <si>
    <t>RUMAH ILHAM</t>
  </si>
  <si>
    <t>HIP0213</t>
  </si>
  <si>
    <t>CPO atau pendamping Staff BIRU</t>
  </si>
  <si>
    <t>Istirahat, Pendidikan diri sendiri</t>
  </si>
  <si>
    <t>istirahat</t>
  </si>
  <si>
    <t>Pupuk cair untuk tanaman Pembenah tanah (soil conditioner)</t>
  </si>
  <si>
    <t>Manfaat besar dan membantu kehidupan sehari-hari</t>
  </si>
  <si>
    <t>WhatsApp Image 2026-02-03 at 14.16.25-21_57_46.jpeg</t>
  </si>
  <si>
    <t>https://kf.kobotoolbox.org/api/v2/assets/avstPQqLr3Ab3ZdcVTXZ6f/data/663773956/attachments/attbVJCDPFzqny5Mf2G4f76U/</t>
  </si>
  <si>
    <t>WhatsApp Image 2026-02-03 at 14.16.26-21_58_0.jpeg</t>
  </si>
  <si>
    <t>https://kf.kobotoolbox.org/api/v2/assets/avstPQqLr3Ab3ZdcVTXZ6f/data/663773956/attachments/attuqTD9rXWjdtcYHAXBTusn/</t>
  </si>
  <si>
    <t>manto/ witono</t>
  </si>
  <si>
    <t>Gito Suparno</t>
  </si>
  <si>
    <t>Menden</t>
  </si>
  <si>
    <t>SPTN HPS</t>
  </si>
  <si>
    <t>SHP0076</t>
  </si>
  <si>
    <t>Anggota keluarga - laki-laki Anggota keluarga - perempuan dewasa</t>
  </si>
  <si>
    <t>TIDAK</t>
  </si>
  <si>
    <t>WhatsApp Image 2026-02-03 at 14.16.48 (1)-22_58_50.jpeg</t>
  </si>
  <si>
    <t>https://kf.kobotoolbox.org/api/v2/assets/avstPQqLr3Ab3ZdcVTXZ6f/data/663839040/attachments/attKugCHwDTgZrMTayGkn7Hh/</t>
  </si>
  <si>
    <t>WhatsApp Image 2026-02-03 at 14.16.48-22_59_9.jpeg</t>
  </si>
  <si>
    <t>https://kf.kobotoolbox.org/api/v2/assets/avstPQqLr3Ab3ZdcVTXZ6f/data/663839040/attachments/attb2fKMXnjBPsWkR8mJqUDQ/</t>
  </si>
  <si>
    <t>manto/witono</t>
  </si>
  <si>
    <t>Dinoyo</t>
  </si>
  <si>
    <t>Kemalang</t>
  </si>
  <si>
    <t>Tlogowatu</t>
  </si>
  <si>
    <t>KJUB PUSPETASARI</t>
  </si>
  <si>
    <t>PUS0039</t>
  </si>
  <si>
    <t>Setiap hari</t>
  </si>
  <si>
    <t>3-Disimpan terbuka (dry lot) 4-Disimpan dalam kotak bersekat</t>
  </si>
  <si>
    <t>Digunakan untuk pupuk di lahan pertanian sendiri Dibuang ke lahan sekitar kandang - yg ditanami tanaman Diberikan gratis ke orang lain</t>
  </si>
  <si>
    <t>Sering ( 1 minggu 2 kali)</t>
  </si>
  <si>
    <t>Pengurangan pengeluaran  rumah tangga (bahan bakar  minyak, pupuk, dll.)   Lebih mudah mendapatkan  energi  Pasokan energi yang andal   Memasak lebih cepat   Lebih aman   Pengurangan waktu dan tenaga  Peningkatan kebersihan  kandang ternak Pemanfaatan bio-slurry sebagai  pupuk</t>
  </si>
  <si>
    <t>Koperasi</t>
  </si>
  <si>
    <t>WhatsApp Image 2026-02-03 at 14.17.57-11_26_33.jpeg</t>
  </si>
  <si>
    <t>https://kf.kobotoolbox.org/api/v2/assets/avstPQqLr3Ab3ZdcVTXZ6f/data/664110988/attachments/attG6zMJyNjggZFEUoF2m44U/</t>
  </si>
  <si>
    <t>WhatsApp Image 2026-02-03 at 14.17.58-11_26_50.jpeg</t>
  </si>
  <si>
    <t>https://kf.kobotoolbox.org/api/v2/assets/avstPQqLr3Ab3ZdcVTXZ6f/data/664110988/attachments/attyZDscvqHBpWZeb6shDZyX/</t>
  </si>
  <si>
    <t>Rejo Pawiro</t>
  </si>
  <si>
    <t>Taman Sari</t>
  </si>
  <si>
    <t>Sangup</t>
  </si>
  <si>
    <t>PUS0038</t>
  </si>
  <si>
    <t>Tetangga Teman/keluarga</t>
  </si>
  <si>
    <t>santai keluarga</t>
  </si>
  <si>
    <t>santai untuk keluarga</t>
  </si>
  <si>
    <t>3-Disimpan terbuka (dry lot) 4-Disimpan dalam kotak bersekat 5-Untuk disebar di tanah (dan dibajak)</t>
  </si>
  <si>
    <t>WhatsApp Image 2026-02-03 at 14.18.36-12_11_22.jpeg</t>
  </si>
  <si>
    <t>https://kf.kobotoolbox.org/api/v2/assets/avstPQqLr3Ab3ZdcVTXZ6f/data/664131805/attachments/att285TJCLKfuYdqDF2wSU2T/</t>
  </si>
  <si>
    <t>WhatsApp Image 2026-02-03 at 14.18.36 (1)-12_11_40.jpeg</t>
  </si>
  <si>
    <t>https://kf.kobotoolbox.org/api/v2/assets/avstPQqLr3Ab3ZdcVTXZ6f/data/664131805/attachments/attgDZhQsqxCfqyrWGMH8XAY/</t>
  </si>
  <si>
    <t>Ichan Jody P</t>
  </si>
  <si>
    <t>Karang Nongko</t>
  </si>
  <si>
    <t>Ngemplak</t>
  </si>
  <si>
    <t>PUS0041</t>
  </si>
  <si>
    <t>Belum menikah</t>
  </si>
  <si>
    <t>Diploma/S1/Sederajat</t>
  </si>
  <si>
    <t>Pegawai swasta</t>
  </si>
  <si>
    <t>&gt;Rp3.500.000</t>
  </si>
  <si>
    <t>LPG</t>
  </si>
  <si>
    <t>kumpul bersama keluarga</t>
  </si>
  <si>
    <t>Perawatan sistem biogas Pemasangan sistem biogas</t>
  </si>
  <si>
    <t>Digunakan untuk pupuk di lahan pertanian sendiri Digunakan untuk kegiatan peternakan sendiri Diberikan gratis ke orang lain</t>
  </si>
  <si>
    <t>Pupuk cair untuk tanaman Pembenah tanah (soil conditioner) Media untuk pembibitan tanaman</t>
  </si>
  <si>
    <t>Tidak memiliki tempat untuk menyimpan Tidak punya waktu mengumpulkannya Ladang/sawah terlalu jauh, sulit untuk mengangkut ke sana</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</si>
  <si>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</si>
  <si>
    <t>WhatsApp Image 2026-02-03 at 14.19.03-12_47_39.jpeg</t>
  </si>
  <si>
    <t>https://kf.kobotoolbox.org/api/v2/assets/avstPQqLr3Ab3ZdcVTXZ6f/data/664154789/attachments/attcnS7SMrty77tNvsK5yMBx/</t>
  </si>
  <si>
    <t>WhatsApp Image 2026-02-03 at 14.19.03 (1)-12_47_55.jpeg</t>
  </si>
  <si>
    <t>https://kf.kobotoolbox.org/api/v2/assets/avstPQqLr3Ab3ZdcVTXZ6f/data/664154789/attachments/att4TpZ59f6aGydDxMSUQ2r2/</t>
  </si>
  <si>
    <t>manto witono</t>
  </si>
  <si>
    <t>Puspita Farm</t>
  </si>
  <si>
    <t>Karangnongko</t>
  </si>
  <si>
    <t>PUS0040</t>
  </si>
  <si>
    <t>santai dan kumpul keluarga</t>
  </si>
  <si>
    <t>Program CSR perusahaan</t>
  </si>
  <si>
    <t>2-Disimpan basah (slurry) 3-Disimpan terbuka (dry lot) 4-Disimpan dalam kotak bersekat 5-Untuk disebar di tanah (dan dibajak)</t>
  </si>
  <si>
    <t>Digunakan untuk pupuk di lahan pertanian sendiri Digunakan untuk kegiatan peternakan sendiri Dibuang ke lahan sekitar kandang - yg ditanami tanaman Diberikan gratis ke orang lain</t>
  </si>
  <si>
    <t>WhatsApp Image 2026-02-03 at 14.19.40 (1)-13_16_14.jpeg</t>
  </si>
  <si>
    <t>https://kf.kobotoolbox.org/api/v2/assets/avstPQqLr3Ab3ZdcVTXZ6f/data/664175534/attachments/attacM9rPSSxDJGWtMmET8Mf/</t>
  </si>
  <si>
    <t>WhatsApp Image 2026-02-03 at 14.19.40-13_16_26.jpeg</t>
  </si>
  <si>
    <t>https://kf.kobotoolbox.org/api/v2/assets/avstPQqLr3Ab3ZdcVTXZ6f/data/664175534/attachments/attk996YBVkQGZURPPGVZv5n/</t>
  </si>
  <si>
    <t>manto dan witono</t>
  </si>
  <si>
    <t>Wiradi</t>
  </si>
  <si>
    <t>Madu</t>
  </si>
  <si>
    <t>KUD MOJOSONGO</t>
  </si>
  <si>
    <t>KMP0013</t>
  </si>
  <si>
    <t>Ya, terkadang</t>
  </si>
  <si>
    <t>santai ersama keluarga</t>
  </si>
  <si>
    <t>dari limbah ayam</t>
  </si>
  <si>
    <t>WhatsApp Image 2026-02-03 at 14.20.10-13_47_13.jpeg</t>
  </si>
  <si>
    <t>https://kf.kobotoolbox.org/api/v2/assets/avstPQqLr3Ab3ZdcVTXZ6f/data/664202679/attachments/attWcQz4TLCaYMjWBoVRXXav/</t>
  </si>
  <si>
    <t>WhatsApp Image 2026-02-03 at 14.20.09-13_47_26.jpeg</t>
  </si>
  <si>
    <t>https://kf.kobotoolbox.org/api/v2/assets/avstPQqLr3Ab3ZdcVTXZ6f/data/664202679/attachments/attq8wHhnwNA7GSJ3L3PFnhu/</t>
  </si>
  <si>
    <t>manto</t>
  </si>
  <si>
    <t>Jumali Wardi W</t>
  </si>
  <si>
    <t>UGP0164</t>
  </si>
  <si>
    <t>Kurangnya dukungan atau pemantauan dari pemerintah atau CPO Keterbatasan akses terhadap informasi atau pelatihan terkait biogas Tidak ada masalah</t>
  </si>
  <si>
    <t>7.000.001-9.000.000</t>
  </si>
  <si>
    <t>WhatsApp Image 2026-02-03 at 14.20.35 (1)-14_13_10.jpeg</t>
  </si>
  <si>
    <t>https://kf.kobotoolbox.org/api/v2/assets/avstPQqLr3Ab3ZdcVTXZ6f/data/664224458/attachments/attcEBqiEz4K3tRuMrD76ZWX/</t>
  </si>
  <si>
    <t>WhatsApp Image 2026-02-03 at 14.20.35-14_13_24.jpeg</t>
  </si>
  <si>
    <t>https://kf.kobotoolbox.org/api/v2/assets/avstPQqLr3Ab3ZdcVTXZ6f/data/664224458/attachments/attaxm3oeHaLbcH5F2i9mNsK/</t>
  </si>
  <si>
    <t>Mumuk</t>
  </si>
  <si>
    <t>Cepogo</t>
  </si>
  <si>
    <t>Mliwis</t>
  </si>
  <si>
    <t>HPP0008</t>
  </si>
  <si>
    <t>Teratur (2-6 hari sekali)</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</si>
  <si>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Lainnya</t>
  </si>
  <si>
    <t>WhatsApp Image 2026-02-03 at 14.21.22 (1)-14_39_2.jpeg</t>
  </si>
  <si>
    <t>https://kf.kobotoolbox.org/api/v2/assets/avstPQqLr3Ab3ZdcVTXZ6f/data/664970971/attachments/attBENjVuAtXCvUJxfAihxVi/</t>
  </si>
  <si>
    <t>WhatsApp Image 2026-02-03 at 14.21.22-14_39_16.jpeg</t>
  </si>
  <si>
    <t>https://kf.kobotoolbox.org/api/v2/assets/avstPQqLr3Ab3ZdcVTXZ6f/data/664970971/attachments/attzgH95GGEHYf7Ax4PPuuwP/</t>
  </si>
  <si>
    <t>Warno</t>
  </si>
  <si>
    <t>KMP0003</t>
  </si>
  <si>
    <t>Sangat sering (&gt;1 kali sehari)</t>
  </si>
  <si>
    <t>Rumput dan Sayuran</t>
  </si>
  <si>
    <t>WhatsApp Image 2026-02-03 at 14.22.08-17_9_44.jpeg</t>
  </si>
  <si>
    <t>https://kf.kobotoolbox.org/api/v2/assets/avstPQqLr3Ab3ZdcVTXZ6f/data/664970990/attachments/attNtEYAfs6pqQoxfUKXfk5z/</t>
  </si>
  <si>
    <t>WhatsApp Image 2026-02-03 at 14.22.07-17_9_58.jpeg</t>
  </si>
  <si>
    <t>https://kf.kobotoolbox.org/api/v2/assets/avstPQqLr3Ab3ZdcVTXZ6f/data/664970990/attachments/attKrzUSP5Kc7s3Fm7KCxXG9/</t>
  </si>
  <si>
    <t>Muridi</t>
  </si>
  <si>
    <t>Gedangan</t>
  </si>
  <si>
    <t>QARIYAH THAYYIBAH</t>
  </si>
  <si>
    <t>QTP0288</t>
  </si>
  <si>
    <t>Pegawai pemerintah</t>
  </si>
  <si>
    <t>Pengurangan pengeluaran  rumah tangga (bahan bakar  minyak, pupuk, dll.)   Lebih mudah mendapatkan  energi   Memasak lebih cepat   Lebih aman   Pengurangan waktu dan tenaga</t>
  </si>
  <si>
    <t>WhatsApp Image 2026-02-03 at 14.22.29 (1)-17_32_10.jpeg</t>
  </si>
  <si>
    <t>https://kf.kobotoolbox.org/api/v2/assets/avstPQqLr3Ab3ZdcVTXZ6f/data/664971006/attachments/attKbPqi6B8JoLNxDnmEv4oK/</t>
  </si>
  <si>
    <t>WhatsApp Image 2026-02-03 at 14.22.29-17_32_27.jpeg</t>
  </si>
  <si>
    <t>https://kf.kobotoolbox.org/api/v2/assets/avstPQqLr3Ab3ZdcVTXZ6f/data/664971006/attachments/attz7sjURUM9FeYj4BLVyyeg/</t>
  </si>
  <si>
    <t>Muhari</t>
  </si>
  <si>
    <t>Semarang</t>
  </si>
  <si>
    <t>Getasan</t>
  </si>
  <si>
    <t>Polobogo</t>
  </si>
  <si>
    <t>SION</t>
  </si>
  <si>
    <t>ONP0377</t>
  </si>
  <si>
    <t>Jauh lebih baik</t>
  </si>
  <si>
    <t>untuk istirahat</t>
  </si>
  <si>
    <t>untuk kumpul keluarga</t>
  </si>
  <si>
    <t>Sangat meningkat</t>
  </si>
  <si>
    <t>Jauh lebih baik (beda waktu memasak lebih cepat setengah jam atau lebih, ATAU tidak lagi ada rasa/bau makanan yang berubah, ATAU alasan lainnya)</t>
  </si>
  <si>
    <t>3-Disimpan terbuka (dry lot) 6-Digester biogas</t>
  </si>
  <si>
    <t>Pakan segar (misal: rumput)</t>
  </si>
  <si>
    <t>Sangat puas</t>
  </si>
  <si>
    <t>Pemerintah daerah</t>
  </si>
  <si>
    <t>WhatsApp Image 2026-02-05 at 21.47.21-10_41_12.jpeg</t>
  </si>
  <si>
    <t>https://kf.kobotoolbox.org/api/v2/assets/avstPQqLr3Ab3ZdcVTXZ6f/data/664997343/attachments/attVrZMWQwADff4PdHsgRraq/</t>
  </si>
  <si>
    <t>WhatsApp Image 2026-02-05 at 21.47.20-10_41_25.jpeg</t>
  </si>
  <si>
    <t>https://kf.kobotoolbox.org/api/v2/assets/avstPQqLr3Ab3ZdcVTXZ6f/data/664997343/attachments/attVksBjdwSRZtjcN89wCVvd/</t>
  </si>
  <si>
    <t>manto - witono</t>
  </si>
  <si>
    <t>Wakimen</t>
  </si>
  <si>
    <t>Manggihan</t>
  </si>
  <si>
    <t>ONP0334</t>
  </si>
  <si>
    <t>Sangat memahami</t>
  </si>
  <si>
    <t>4-Disimpan dalam kotak bersekat 6-Digester biogas</t>
  </si>
  <si>
    <t>Urea</t>
  </si>
  <si>
    <t>WhatsApp Image 2026-02-05 at 21.48.21 (1)-11_1_58.jpeg</t>
  </si>
  <si>
    <t>https://kf.kobotoolbox.org/api/v2/assets/avstPQqLr3Ab3ZdcVTXZ6f/data/665003147/attachments/attTdFDvH9uFVMLRLssUjsgE/</t>
  </si>
  <si>
    <t>WhatsApp Image 2026-02-05 at 21.48.21-11_2_12.jpeg</t>
  </si>
  <si>
    <t>https://kf.kobotoolbox.org/api/v2/assets/avstPQqLr3Ab3ZdcVTXZ6f/data/665003147/attachments/atttxNpXRj46PFvTmTkJcFam/</t>
  </si>
  <si>
    <t>Ruslan</t>
  </si>
  <si>
    <t>ONP0331</t>
  </si>
  <si>
    <t>Jauh lebih bersih</t>
  </si>
  <si>
    <t>4-Disimpan dalam kotak bersekat 5-Untuk disebar di tanah (dan dibajak) 6-Digester biogas</t>
  </si>
  <si>
    <t>WhatsApp Image 2026-02-05 at 21.50.56-11_24_59.jpeg</t>
  </si>
  <si>
    <t>https://kf.kobotoolbox.org/api/v2/assets/avstPQqLr3Ab3ZdcVTXZ6f/data/665011374/attachments/att7EwZDLqwviWARnLCkfLPY/</t>
  </si>
  <si>
    <t>WhatsApp Image 2026-02-05 at 21.50.57-11_25_11.jpeg</t>
  </si>
  <si>
    <t>https://kf.kobotoolbox.org/api/v2/assets/avstPQqLr3Ab3ZdcVTXZ6f/data/665011374/attachments/att88S36n3JDx3SejpMEfXUD/</t>
  </si>
  <si>
    <t>Suwar</t>
  </si>
  <si>
    <t>ONP0272</t>
  </si>
  <si>
    <t>3-Disimpan terbuka (dry lot) 4-Disimpan dalam kotak bersekat 6-Digester biogas</t>
  </si>
  <si>
    <t>Tidak memiliki tempat untuk menyimpan Ladang/sawah terlalu jauh, sulit untuk mengangkut ke sana</t>
  </si>
  <si>
    <t>Manfaat sangat besar</t>
  </si>
  <si>
    <t>WhatsApp Image 2026-02-05 at 21.51.37-12_23_34.jpeg</t>
  </si>
  <si>
    <t>https://kf.kobotoolbox.org/api/v2/assets/avstPQqLr3Ab3ZdcVTXZ6f/data/665042048/attachments/att9USKNgxStC3A3opUqF5V3/</t>
  </si>
  <si>
    <t>WhatsApp Image 2026-02-05 at 21.51.36-12_23_49.jpeg</t>
  </si>
  <si>
    <t>https://kf.kobotoolbox.org/api/v2/assets/avstPQqLr3Ab3ZdcVTXZ6f/data/665042048/attachments/attCqtCxSUukbhXgrvmtbRJD/</t>
  </si>
  <si>
    <t>Slamet Daryono</t>
  </si>
  <si>
    <t>ONP0273</t>
  </si>
  <si>
    <t>kumpul dengan keluarga</t>
  </si>
  <si>
    <t>2-Disimpan basah (slurry) 3-Disimpan terbuka (dry lot) 5-Untuk disebar di tanah (dan dibajak) 6-Digester biogas</t>
  </si>
  <si>
    <t>WhatsApp Image 2026-02-05 at 21.52.11-13_1_3.jpeg</t>
  </si>
  <si>
    <t>https://kf.kobotoolbox.org/api/v2/assets/avstPQqLr3Ab3ZdcVTXZ6f/data/665066481/attachments/attsrV2eF8wGkdagQDsUHnr4/</t>
  </si>
  <si>
    <t>WhatsApp Image 2026-02-05 at 21.52.10-13_1_16.jpeg</t>
  </si>
  <si>
    <t>https://kf.kobotoolbox.org/api/v2/assets/avstPQqLr3Ab3ZdcVTXZ6f/data/665066481/attachments/attYvpzZAhqnqJ5VwYyS9cdm/</t>
  </si>
  <si>
    <t>Nurdin</t>
  </si>
  <si>
    <t>ONP0290</t>
  </si>
  <si>
    <t>Wiraswasta</t>
  </si>
  <si>
    <t>Selalu</t>
  </si>
  <si>
    <t>WhatsApp Image 2026-02-05 at 21.53.38 (1)-13_28_19.jpeg</t>
  </si>
  <si>
    <t>https://kf.kobotoolbox.org/api/v2/assets/avstPQqLr3Ab3ZdcVTXZ6f/data/665085276/attachments/attbSRgyNgii2SNg3RiRdMvz/</t>
  </si>
  <si>
    <t>WhatsApp Image 2026-02-05 at 21.53.38-13_28_36.jpeg</t>
  </si>
  <si>
    <t>https://kf.kobotoolbox.org/api/v2/assets/avstPQqLr3Ab3ZdcVTXZ6f/data/665085276/attachments/att4NZ6LF7LLJ5HcLv4h8zqk/</t>
  </si>
  <si>
    <t>Atunsari</t>
  </si>
  <si>
    <t>ONP0328</t>
  </si>
  <si>
    <t>2-Disimpan basah (slurry) 3-Disimpan terbuka (dry lot) 4-Disimpan dalam kotak bersekat 6-Digester biogas</t>
  </si>
  <si>
    <t>Sangat sering (setiap hari)</t>
  </si>
  <si>
    <t>WhatsApp Image 2026-02-05 at 21.54.50-13_49_52.jpeg</t>
  </si>
  <si>
    <t>https://kf.kobotoolbox.org/api/v2/assets/avstPQqLr3Ab3ZdcVTXZ6f/data/665099497/attachments/attdy8u6qEhdxjSW4CsbFb5z/</t>
  </si>
  <si>
    <t>WhatsApp Image 2026-02-05 at 21.54.51-13_50_2.jpeg</t>
  </si>
  <si>
    <t>https://kf.kobotoolbox.org/api/v2/assets/avstPQqLr3Ab3ZdcVTXZ6f/data/665099497/attachments/attAYR9DiWdJD96b4YTLDa2G/</t>
  </si>
  <si>
    <t>Ahmat Sarimin</t>
  </si>
  <si>
    <t>ONP0327</t>
  </si>
  <si>
    <t>WhatsApp Image 2026-02-05 at 21.55.20-14_31_2.jpeg</t>
  </si>
  <si>
    <t>https://kf.kobotoolbox.org/api/v2/assets/avstPQqLr3Ab3ZdcVTXZ6f/data/665129835/attachments/attReDcabQ7hgnkekFdNVwLp/</t>
  </si>
  <si>
    <t>WhatsApp Image 2026-02-05 at 21.55.21-14_31_13.jpeg</t>
  </si>
  <si>
    <t>https://kf.kobotoolbox.org/api/v2/assets/avstPQqLr3Ab3ZdcVTXZ6f/data/665129835/attachments/attbtWs4YRcXUzrqjM599hz4/</t>
  </si>
  <si>
    <t>Tarno Ruslan</t>
  </si>
  <si>
    <t>Samirono</t>
  </si>
  <si>
    <t>ONP0314</t>
  </si>
  <si>
    <t>Semen</t>
  </si>
  <si>
    <t>nonton tv</t>
  </si>
  <si>
    <t>tiodak</t>
  </si>
  <si>
    <t>WhatsApp Image 2026-02-05 at 21.56.17-22_5_35.jpeg</t>
  </si>
  <si>
    <t>https://kf.kobotoolbox.org/api/v2/assets/avstPQqLr3Ab3ZdcVTXZ6f/data/665480927/attachments/attxY7XkNZWRiKNebot2CqUR/</t>
  </si>
  <si>
    <t>WhatsApp Image 2026-02-05 at 21.56.17 (1)-22_5_46.jpeg</t>
  </si>
  <si>
    <t>https://kf.kobotoolbox.org/api/v2/assets/avstPQqLr3Ab3ZdcVTXZ6f/data/665480927/attachments/att9yndbhPyDhnfUnp5YMVe4/</t>
  </si>
  <si>
    <t>Suraya</t>
  </si>
  <si>
    <t>Wates</t>
  </si>
  <si>
    <t>ONP0383</t>
  </si>
  <si>
    <t>Teman/keluarga</t>
  </si>
  <si>
    <t>3-Disimpan terbuka (dry lot) 5-Untuk disebar di tanah (dan dibajak) 6-Digester biogas</t>
  </si>
  <si>
    <t>WhatsApp Image 2026-02-05 at 21.57.01-22_23_27.jpeg</t>
  </si>
  <si>
    <t>https://kf.kobotoolbox.org/api/v2/assets/avstPQqLr3Ab3ZdcVTXZ6f/data/665498025/attachments/att6cBZpmGhAKNyHwJ3Htpiq/</t>
  </si>
  <si>
    <t>WhatsApp Image 2026-02-05 at 21.57.00-22_23_39.jpeg</t>
  </si>
  <si>
    <t>https://kf.kobotoolbox.org/api/v2/assets/avstPQqLr3Ab3ZdcVTXZ6f/data/665498025/attachments/attMPiatV9UdUhcWmg888Cxx/</t>
  </si>
  <si>
    <t>Judi</t>
  </si>
  <si>
    <t>ONP0381</t>
  </si>
  <si>
    <t>3-Disimpan terbuka (dry lot) 4-Disimpan dalam kotak bersekat 5-Untuk disebar di tanah (dan dibajak) 6-Digester biogas</t>
  </si>
  <si>
    <t>Mendukung lingkungan</t>
  </si>
  <si>
    <t>WhatsApp Image 2026-02-05 at 21.58.26 (1)-22_41_57.jpeg</t>
  </si>
  <si>
    <t>https://kf.kobotoolbox.org/api/v2/assets/avstPQqLr3Ab3ZdcVTXZ6f/data/665515052/attachments/attbLAhA2vo7HCeA56ZwG6yr/</t>
  </si>
  <si>
    <t>WhatsApp Image 2026-02-05 at 21.58.26-22_42_11.jpeg</t>
  </si>
  <si>
    <t>https://kf.kobotoolbox.org/api/v2/assets/avstPQqLr3Ab3ZdcVTXZ6f/data/665515052/attachments/attszmJNs4e3VZBiQFjLf29F/</t>
  </si>
  <si>
    <t>Joko Kuat</t>
  </si>
  <si>
    <t>Nogosaren</t>
  </si>
  <si>
    <t>ONP0402</t>
  </si>
  <si>
    <t>WhatsApp Image 2026-02-05 at 21.58.54 (1)-23_0_50.jpeg</t>
  </si>
  <si>
    <t>https://kf.kobotoolbox.org/api/v2/assets/avstPQqLr3Ab3ZdcVTXZ6f/data/665529918/attachments/attneyv7m9zHBbX2u5Jdgs3r/</t>
  </si>
  <si>
    <t>WhatsApp Image 2026-02-05 at 21.58.54-23_1_1.jpeg</t>
  </si>
  <si>
    <t>https://kf.kobotoolbox.org/api/v2/assets/avstPQqLr3Ab3ZdcVTXZ6f/data/665529918/attachments/atteDtCPoXVYfePZhxir3X2H/</t>
  </si>
  <si>
    <t>Bolot Winaryo</t>
  </si>
  <si>
    <t>ONP0404</t>
  </si>
  <si>
    <t>Digunakan untuk pupuk di lahan pertanian sendiri Dibuang ke lahan sekitar kandang - yg ditanami tanaman</t>
  </si>
  <si>
    <t>WhatsApp Image 2026-02-05 at 21.59.39-23_23_3.jpeg</t>
  </si>
  <si>
    <t>https://kf.kobotoolbox.org/api/v2/assets/avstPQqLr3Ab3ZdcVTXZ6f/data/665547526/attachments/attU9W6AJ3HTbFwSW3PBjDkV/</t>
  </si>
  <si>
    <t>WhatsApp Image 2026-02-05 at 21.59.38-23_23_14.jpeg</t>
  </si>
  <si>
    <t>https://kf.kobotoolbox.org/api/v2/assets/avstPQqLr3Ab3ZdcVTXZ6f/data/665547526/attachments/attbojA8pLrc56DJvMFCAExD/</t>
  </si>
  <si>
    <t>Sunarwan</t>
  </si>
  <si>
    <t>ONP0403</t>
  </si>
  <si>
    <t>Anggota keluarga - laki-laki Anggota keluarga - perempuan dewasa CPO atau pendamping</t>
  </si>
  <si>
    <t>WhatsApp Image 2026-02-05 at 22.00.27-16_2_14.jpeg</t>
  </si>
  <si>
    <t>https://kf.kobotoolbox.org/api/v2/assets/avstPQqLr3Ab3ZdcVTXZ6f/data/665917452/attachments/attqwjP3Dad7Ut8anhpoS4Ps/</t>
  </si>
  <si>
    <t>WhatsApp Image 2026-02-05 at 22.00.26-16_2_35.jpeg</t>
  </si>
  <si>
    <t>https://kf.kobotoolbox.org/api/v2/assets/avstPQqLr3Ab3ZdcVTXZ6f/data/665917452/attachments/attMZonA29XnmhPMbDFohDYS/</t>
  </si>
  <si>
    <t>Sumali</t>
  </si>
  <si>
    <t>ONP0397</t>
  </si>
  <si>
    <t>istirahat nonton tv</t>
  </si>
  <si>
    <t>kumpul keluarga dan melayani warga karena say seorang kadus</t>
  </si>
  <si>
    <t>4-Disimpan dalam kotak bersekat 5-Untuk disebar di tanah (dan dibajak)</t>
  </si>
  <si>
    <t>Tidak memiliki tempat untuk menyimpan Tidak punya waktu mengumpulkannya</t>
  </si>
  <si>
    <t>Memasak lebih aman</t>
  </si>
  <si>
    <t>WhatsApp Image 2026-02-05 at 22.01.04-16_20_44.jpeg</t>
  </si>
  <si>
    <t>https://kf.kobotoolbox.org/api/v2/assets/avstPQqLr3Ab3ZdcVTXZ6f/data/665929244/attachments/attuFGkg6tVzP5boDDMRyPDa/</t>
  </si>
  <si>
    <t>WhatsApp Image 2026-02-05 at 22.01.05-16_20_52.jpeg</t>
  </si>
  <si>
    <t>https://kf.kobotoolbox.org/api/v2/assets/avstPQqLr3Ab3ZdcVTXZ6f/data/665929244/attachments/att6EUWqjerbhTFxukVHKmY3/</t>
  </si>
  <si>
    <t>Juneidi</t>
  </si>
  <si>
    <t>ONP0405</t>
  </si>
  <si>
    <t>Komunitas lokal</t>
  </si>
  <si>
    <t>istirahat melayani warga di rumah karena seorang kadus</t>
  </si>
  <si>
    <t>WhatsApp Image 2026-02-05 at 22.01.47 (1)-16_37_27.jpeg</t>
  </si>
  <si>
    <t>https://kf.kobotoolbox.org/api/v2/assets/avstPQqLr3Ab3ZdcVTXZ6f/data/665938658/attachments/attiPrrTjiW7gxa5hztUCMvW/</t>
  </si>
  <si>
    <t>WhatsApp Image 2026-02-05 at 22.01.47-16_37_35.jpeg</t>
  </si>
  <si>
    <t>https://kf.kobotoolbox.org/api/v2/assets/avstPQqLr3Ab3ZdcVTXZ6f/data/665938658/attachments/attwv9Yf9Raq48hjzQUdA6nN/</t>
  </si>
  <si>
    <t>Jugowahono</t>
  </si>
  <si>
    <t>ONP0317</t>
  </si>
  <si>
    <t>WhatsApp Image 2026-02-05 at 22.02.24-16_58_4.jpeg</t>
  </si>
  <si>
    <t>https://kf.kobotoolbox.org/api/v2/assets/avstPQqLr3Ab3ZdcVTXZ6f/data/665950621/attachments/attWqE5Rx6fxgqLnrLpyUmwe/</t>
  </si>
  <si>
    <t>WhatsApp Image 2026-02-05 at 22.02.23-16_58_21.jpeg</t>
  </si>
  <si>
    <t>https://kf.kobotoolbox.org/api/v2/assets/avstPQqLr3Ab3ZdcVTXZ6f/data/665950621/attachments/att6ktxoJrEBj5uF2rbst6yp/</t>
  </si>
  <si>
    <t>Salimin</t>
  </si>
  <si>
    <t>ONP0341</t>
  </si>
  <si>
    <t>istirahat santai bersama keluarga</t>
  </si>
  <si>
    <t>WhatsApp Image 2026-02-05 at 22.03.37-17_18_45.jpeg</t>
  </si>
  <si>
    <t>https://kf.kobotoolbox.org/api/v2/assets/avstPQqLr3Ab3ZdcVTXZ6f/data/665962254/attachments/attmHUfLEb2fVqvdZ2csMZej/</t>
  </si>
  <si>
    <t>WhatsApp Image 2026-02-05 at 22.03.37 (1)-17_18_57.jpeg</t>
  </si>
  <si>
    <t>https://kf.kobotoolbox.org/api/v2/assets/avstPQqLr3Ab3ZdcVTXZ6f/data/665962254/attachments/attaucif6YNQRYH87RRxQ9sQ/</t>
  </si>
  <si>
    <t>marmanto</t>
  </si>
  <si>
    <t>Parman</t>
  </si>
  <si>
    <t>ONP0303</t>
  </si>
  <si>
    <t>WhatsApp Image 2026-02-05 at 22.04.39-18_6_10.jpeg</t>
  </si>
  <si>
    <t>https://kf.kobotoolbox.org/api/v2/assets/avstPQqLr3Ab3ZdcVTXZ6f/data/665992473/attachments/attbFyceS73VZKbjtD8oswkP/</t>
  </si>
  <si>
    <t>WhatsApp Image 2026-02-05 at 22.04.38-18_6_28.jpeg</t>
  </si>
  <si>
    <t>https://kf.kobotoolbox.org/api/v2/assets/avstPQqLr3Ab3ZdcVTXZ6f/data/665992473/attachments/att4RSjtBsQjxgssPMkdyAiU/</t>
  </si>
  <si>
    <t>Saman</t>
  </si>
  <si>
    <t>ONP0311</t>
  </si>
  <si>
    <t>3-Disimpan terbuka (dry lot) 5-Untuk disebar di tanah (dan dibajak)</t>
  </si>
  <si>
    <t>WhatsApp Image 2026-02-05 at 22.05.14-18_25_8.jpeg</t>
  </si>
  <si>
    <t>https://kf.kobotoolbox.org/api/v2/assets/avstPQqLr3Ab3ZdcVTXZ6f/data/666003650/attachments/attCyCTev895ueqQ9Yxn2czk/</t>
  </si>
  <si>
    <t>WhatsApp Image 2026-02-05 at 22.05.13-18_25_19.jpeg</t>
  </si>
  <si>
    <t>https://kf.kobotoolbox.org/api/v2/assets/avstPQqLr3Ab3ZdcVTXZ6f/data/666003650/attachments/attANQ4W9y28a28qMKTbr7A4/</t>
  </si>
  <si>
    <t>Nur Ariyanto</t>
  </si>
  <si>
    <t>ONP0401</t>
  </si>
  <si>
    <t>2-Disimpan basah (slurry) 5-Untuk disebar di tanah (dan dibajak) 6-Digester biogas</t>
  </si>
  <si>
    <t>Sangat setuju</t>
  </si>
  <si>
    <t>WhatsApp Image 2025-03-25 at 14.58.51-21_42_47.jpeg</t>
  </si>
  <si>
    <t>https://kf.kobotoolbox.org/api/v2/assets/avstPQqLr3Ab3ZdcVTXZ6f/data/666541864/attachments/attS62mFcBGTbMbxkyATgTz4/</t>
  </si>
  <si>
    <t>a6143bee-4ab1-45e6-af65-e27efb177e0e-21_43_4.jpg</t>
  </si>
  <si>
    <t>https://kf.kobotoolbox.org/api/v2/assets/avstPQqLr3Ab3ZdcVTXZ6f/data/666541864/attachments/attQK2NzuFZwxWr5P7T37NYe/</t>
  </si>
  <si>
    <t>Sukardi</t>
  </si>
  <si>
    <t>Batur</t>
  </si>
  <si>
    <t>QTP0016</t>
  </si>
  <si>
    <t>Lebih jarang (lebih sering tidak terkena)</t>
  </si>
  <si>
    <t>santai kumpul keluarga</t>
  </si>
  <si>
    <t>WhatsApp Image 2026-02-06 at 20.14.39 (1)-22_17_59.jpeg</t>
  </si>
  <si>
    <t>https://kf.kobotoolbox.org/api/v2/assets/avstPQqLr3Ab3ZdcVTXZ6f/data/666555256/attachments/attniYRuRgGHUdQiSwbNHnS6/</t>
  </si>
  <si>
    <t>WhatsApp Image 2026-02-06 at 20.14.39-22_18_9.jpeg</t>
  </si>
  <si>
    <t>https://kf.kobotoolbox.org/api/v2/assets/avstPQqLr3Ab3ZdcVTXZ6f/data/666555256/attachments/att5DoBZ3YpwJWbRC7Ho7q6R/</t>
  </si>
  <si>
    <t>Saefudin</t>
  </si>
  <si>
    <t>QTP0001</t>
  </si>
  <si>
    <t>Keterbatasan akses terhadap informasi atau pelatihan terkait biogas Lainnya</t>
  </si>
  <si>
    <t>RENOVASI RUMAH DAN KANDANG PINDAH</t>
  </si>
  <si>
    <t>1-3 jam</t>
  </si>
  <si>
    <t>Menghubungi melalui rekan</t>
  </si>
  <si>
    <t>Mendapatkan subsidi</t>
  </si>
  <si>
    <t>WhatsApp Image 2026-02-06 at 20.16.29-22_35_36.jpeg</t>
  </si>
  <si>
    <t>https://kf.kobotoolbox.org/api/v2/assets/avstPQqLr3Ab3ZdcVTXZ6f/data/666561318/attachments/attkoyQMbBvofBoa6rUFAfoZ/</t>
  </si>
  <si>
    <t>WhatsApp Image 2026-02-06 at 20.16.29 (1)-22_35_46.jpeg</t>
  </si>
  <si>
    <t>https://kf.kobotoolbox.org/api/v2/assets/avstPQqLr3Ab3ZdcVTXZ6f/data/666561318/attachments/attiZeE8Jw9aMHLxxzaQiQNy/</t>
  </si>
  <si>
    <t>Yahman</t>
  </si>
  <si>
    <t>Tajuk</t>
  </si>
  <si>
    <t>ONP0169</t>
  </si>
  <si>
    <t>BIOMIRU (PE/Polyethylene)</t>
  </si>
  <si>
    <t>2 m³ (1 ekor sapi, ±1,5 jam memasak/hari, ±15 kg slurry/hari)</t>
  </si>
  <si>
    <t>untuk model PE belum sesuai standart biogas sni , sehingga nyala cuman kecil dan sebentar sehingga tidak mencukupi user , program pilot projek YRE</t>
  </si>
  <si>
    <t>projeck PE belum memnuhi standart</t>
  </si>
  <si>
    <t>Bukan pelatihan</t>
  </si>
  <si>
    <t>Staff BIRU</t>
  </si>
  <si>
    <t>&lt;15 kg</t>
  </si>
  <si>
    <t>&lt;1 jam</t>
  </si>
  <si>
    <t>Anak-anak (0-18 tahun)</t>
  </si>
  <si>
    <t>karena program biogas PE belum berhasil</t>
  </si>
  <si>
    <t>100% dana hibah</t>
  </si>
  <si>
    <t>1.000.001-3.000.000</t>
  </si>
  <si>
    <t>Sama saja (tidak ada perbedaan waktu memasak MAUPUN rasa/bau makanan bila dibandingkan penggunaan sebelumnya)</t>
  </si>
  <si>
    <t>Tidak pasti/ragu-ragu</t>
  </si>
  <si>
    <t>Manfaat sangat kecil/terbatas</t>
  </si>
  <si>
    <t>Tidak dapat menghemat uang dan/atau menambah pendapatan</t>
  </si>
  <si>
    <t>Tidak puas</t>
  </si>
  <si>
    <t>Harapan ke depan dapat membangun yang fix dome</t>
  </si>
  <si>
    <t>untuk yang PE belum</t>
  </si>
  <si>
    <t>ungtuk yang model PE belum</t>
  </si>
  <si>
    <t>WhatsApp Image 2026-02-06 at 20.16.55 (1)-18_50_8.jpeg</t>
  </si>
  <si>
    <t>https://kf.kobotoolbox.org/api/v2/assets/avstPQqLr3Ab3ZdcVTXZ6f/data/667160464/attachments/attoFMjjPayGMCCa7GjyJ5cP/</t>
  </si>
  <si>
    <t>WhatsApp Image 2026-02-06 at 20.16.55-18_50_23.jpeg</t>
  </si>
  <si>
    <t>https://kf.kobotoolbox.org/api/v2/assets/avstPQqLr3Ab3ZdcVTXZ6f/data/667160464/attachments/attC6XtwipHZakW8ZPwo333J/</t>
  </si>
  <si>
    <t>Purwanto</t>
  </si>
  <si>
    <t>Jetak</t>
  </si>
  <si>
    <t>ONP0280</t>
  </si>
  <si>
    <t>Ya, sangat jelas dan mudah diikuti</t>
  </si>
  <si>
    <t>untuk kumpul bersama keluarga</t>
  </si>
  <si>
    <t>WhatsApp Image 2026-02-06 at 20.17.33 (1)-19_12_25.jpeg</t>
  </si>
  <si>
    <t>https://kf.kobotoolbox.org/api/v2/assets/avstPQqLr3Ab3ZdcVTXZ6f/data/667182647/attachments/attY6RiyKNu9aebsPEVY2vxm/</t>
  </si>
  <si>
    <t>WhatsApp Image 2026-02-06 at 20.17.33-19_12_34.jpeg</t>
  </si>
  <si>
    <t>https://kf.kobotoolbox.org/api/v2/assets/avstPQqLr3Ab3ZdcVTXZ6f/data/667182647/attachments/att2UkTCgxZBbyEnaz9Eb6gA/</t>
  </si>
  <si>
    <t>0</t>
  </si>
  <si>
    <t>Jumeni</t>
  </si>
  <si>
    <t>ONP0284</t>
  </si>
  <si>
    <t>WhatsApp Image 2026-02-06 at 20.18.37 (1)-19_31_50.jpeg</t>
  </si>
  <si>
    <t>https://kf.kobotoolbox.org/api/v2/assets/avstPQqLr3Ab3ZdcVTXZ6f/data/667200392/attachments/attjULQJGdp8dYNBmXG72kUf/</t>
  </si>
  <si>
    <t>WhatsApp Image 2026-02-06 at 20.18.37-19_31_59.jpeg</t>
  </si>
  <si>
    <t>https://kf.kobotoolbox.org/api/v2/assets/avstPQqLr3Ab3ZdcVTXZ6f/data/667200392/attachments/attvnvcnMsLqpmj3eQFtmmsC/</t>
  </si>
  <si>
    <t>Martono Saimin</t>
  </si>
  <si>
    <t>QTP0102</t>
  </si>
  <si>
    <t>Kayu bakar</t>
  </si>
  <si>
    <t>Lebih jarang (lebih sering tidak terpapar asap)</t>
  </si>
  <si>
    <t>istirahat kumpul keluarga</t>
  </si>
  <si>
    <t>kumpul keluarga santai</t>
  </si>
  <si>
    <t>Pengurangan pengeluaran  rumah tangga (bahan bakar  minyak, pupuk, dll.)   Lebih mudah mendapatkan  energi  Pasokan energi yang andal   Memasak lebih cepat   Lebih aman   Pengurangan waktu dan tenaga</t>
  </si>
  <si>
    <t>WhatsApp Image 2026-02-06 at 20.19.08-19_51_17.jpeg</t>
  </si>
  <si>
    <t>https://kf.kobotoolbox.org/api/v2/assets/avstPQqLr3Ab3ZdcVTXZ6f/data/667218601/attachments/atttkGVW59yjVieoKVxQarzX/</t>
  </si>
  <si>
    <t>WhatsApp Image 2026-02-06 at 20.19.07-19_51_35.jpeg</t>
  </si>
  <si>
    <t>https://kf.kobotoolbox.org/api/v2/assets/avstPQqLr3Ab3ZdcVTXZ6f/data/667218601/attachments/attSQ2SZ4QaDtatzYuiPRzsJ/</t>
  </si>
  <si>
    <t>Marnoto</t>
  </si>
  <si>
    <t>ONP0255</t>
  </si>
  <si>
    <t>Peternak Wiraswasta</t>
  </si>
  <si>
    <t>WhatsApp Image 2026-02-06 at 20.21.44-20_9_47.jpeg</t>
  </si>
  <si>
    <t>https://kf.kobotoolbox.org/api/v2/assets/avstPQqLr3Ab3ZdcVTXZ6f/data/667233389/attachments/att9uZivzemxs5gCaQQBsxed/</t>
  </si>
  <si>
    <t>WhatsApp Image 2026-02-06 at 20.21.45-20_9_57.jpeg</t>
  </si>
  <si>
    <t>https://kf.kobotoolbox.org/api/v2/assets/avstPQqLr3Ab3ZdcVTXZ6f/data/667233389/attachments/attyg7HC4aDTdQxvJM9Znsyf/</t>
  </si>
  <si>
    <t>Suryadi</t>
  </si>
  <si>
    <t>ONP0251</t>
  </si>
  <si>
    <t>Petani Wiraswasta</t>
  </si>
  <si>
    <t>santai bersama</t>
  </si>
  <si>
    <t>WhatsApp Image 2026-02-06 at 20.22.17 (1)-20_28_22.jpeg</t>
  </si>
  <si>
    <t>https://kf.kobotoolbox.org/api/v2/assets/avstPQqLr3Ab3ZdcVTXZ6f/data/667247006/attachments/att5fwKxdHqtaDkxjVjyd7rT/</t>
  </si>
  <si>
    <t>WhatsApp Image 2026-02-06 at 20.22.17-20_28_33.jpeg</t>
  </si>
  <si>
    <t>https://kf.kobotoolbox.org/api/v2/assets/avstPQqLr3Ab3ZdcVTXZ6f/data/667247006/attachments/attaNkxPRMwF7pzH5MMpauVg/</t>
  </si>
  <si>
    <t>Handayani</t>
  </si>
  <si>
    <t>ONP0393</t>
  </si>
  <si>
    <t>Perempuan</t>
  </si>
  <si>
    <t>WhatsApp Image 2026-02-10 at 16.04.21-18_11_53.jpeg</t>
  </si>
  <si>
    <t>https://kf.kobotoolbox.org/api/v2/assets/avstPQqLr3Ab3ZdcVTXZ6f/data/668159886/attachments/attUuBDSurJKaR8ocTrz8uRG/</t>
  </si>
  <si>
    <t>WhatsApp Image 2026-02-10 at 16.04.23-18_12_2.jpeg</t>
  </si>
  <si>
    <t>https://kf.kobotoolbox.org/api/v2/assets/avstPQqLr3Ab3ZdcVTXZ6f/data/668159886/attachments/attpwuTnJQDAwM5cDfi663bN/</t>
  </si>
  <si>
    <t>Cahyaningrum</t>
  </si>
  <si>
    <t>ONP0338</t>
  </si>
  <si>
    <t>WhatsApp Image 2026-02-10 at 16.05.01-18_43_36.jpeg</t>
  </si>
  <si>
    <t>https://kf.kobotoolbox.org/api/v2/assets/avstPQqLr3Ab3ZdcVTXZ6f/data/668196459/attachments/attFdtawFpgVv2Y2xvFJkeSG/</t>
  </si>
  <si>
    <t>WhatsApp Image 2026-02-10 at 16.04.57-18_43_46.jpeg</t>
  </si>
  <si>
    <t>https://kf.kobotoolbox.org/api/v2/assets/avstPQqLr3Ab3ZdcVTXZ6f/data/668196459/attachments/attWZWZHHsbPYKeqrcBRyBxv/</t>
  </si>
  <si>
    <t>istri sumarno</t>
  </si>
  <si>
    <t>A. Performa Teknis Sistem Biogas /A5. Siapa yang mengajukan pemasangan biogas di rumah?/a. Anggota keluarga - laki-laki</t>
  </si>
  <si>
    <t>A. Performa Teknis Sistem Biogas /A5. Siapa yang mengajukan pemasangan biogas di rumah?/b. Anggota keluarga - perempuan dewasa</t>
  </si>
  <si>
    <t>A. Performa Teknis Sistem Biogas /A5. Siapa yang mengajukan pemasangan biogas di rumah?/c. Koperasi</t>
  </si>
  <si>
    <t>A. Performa Teknis Sistem Biogas /A5. Siapa yang mengajukan pemasangan biogas di rumah?/d. Lainnya</t>
  </si>
  <si>
    <t>Informasi Demografis/1. Nama lengkap responden:</t>
  </si>
  <si>
    <t>Informasi Demografis/1b. Nama lengkap surveyor:</t>
  </si>
  <si>
    <t>Informasi Demografis/1b.</t>
  </si>
  <si>
    <t>Informasi Demografis/4. Provinsi</t>
  </si>
  <si>
    <t>Informasi Demografis/4. Provinsi/a. Lampung</t>
  </si>
  <si>
    <t>Informasi Demografis/4. Provinsi/b. Banten</t>
  </si>
  <si>
    <t>Informasi Demografis/4. Provinsi/c. Jawa Barat</t>
  </si>
  <si>
    <t>Informasi Demografis/4. Provinsi/d. Jawa Tengah</t>
  </si>
  <si>
    <t>Informasi Demografis/4. Provinsi/e. DIY</t>
  </si>
  <si>
    <t>Informasi Demografis/4. Provinsi/f. Jawa Timur</t>
  </si>
  <si>
    <t>Informasi Demografis/4. Provinsi/g. Bali</t>
  </si>
  <si>
    <t>Informasi Demografis/4. Provinsi/h. NTB</t>
  </si>
  <si>
    <t>Informasi Demografis/4. Provinsi/i. NTT</t>
  </si>
  <si>
    <t>Informasi Demografis/4. Provinsi/j. Sulawesi Selatan</t>
  </si>
  <si>
    <t>Informasi Demografis/4a. Kabupaten/Kota</t>
  </si>
  <si>
    <t>Informasi Demografis/4b. Kecamatan</t>
  </si>
  <si>
    <t>Informasi Demografis/4c. Desa</t>
  </si>
  <si>
    <t>Informasi Demografis/5a. Nama CPO</t>
  </si>
  <si>
    <t>Informasi Demografis/5b. IDBP Biogas</t>
  </si>
  <si>
    <t>Informasi Demografis/10. Pekerjaan utama.1</t>
  </si>
  <si>
    <t>Informasi Demografis/13. Berapa jumlah anggota rumah tangga yang tinggal bersama Anda?</t>
  </si>
  <si>
    <t>Informasi Demografis/Berapa jumlah anggota rumah tangga yang merupakan laki-laki dewasa (&gt;18 tahun)?</t>
  </si>
  <si>
    <t>Informasi Demografis/Berapa jumlah anggota keluarga yang merupakan perempuan dewasa (&gt;18 tahun)?</t>
  </si>
  <si>
    <t>Informasi Demografis/Berapa jumlah anggota keluarga yang merupakan anak-anak (&lt;18 tahun)?</t>
  </si>
  <si>
    <t>Informasi Demografis/Berapa jumlah anggota keluarga yang merupakan lansia (&gt;60 tahun)?</t>
  </si>
  <si>
    <t>Informasi Demografis/13. Berapa jumlah anggota keluarga yang tinggal bersama Anda? /13b. Berapa jumlah anggota keluarga yang merupakan perempuan dewasa (&gt;18 tahun)?</t>
  </si>
  <si>
    <t>Informasi Demografis/13. Berapa jumlah anggota keluarga yang tinggal bersama Anda? /13d. Berapa jumlah anggota keluarga yang merupakan lansia (&gt;60 tahun)?</t>
  </si>
  <si>
    <t>A. Performa Teknis Sistem Biogas /A6. Siapa yang menyetujui pemasangan biogas?.1</t>
  </si>
  <si>
    <t>A. Performa Teknis Sistem Biogas /A6. Siapa yang menyetujui pemasangan biogas?/Anggota keluarga - laki-laki.1</t>
  </si>
  <si>
    <t>A. Performa Teknis Sistem Biogas /A6. Siapa yang menyetujui pemasangan biogas?/Anggota keluarga - perempuan dewasa.1</t>
  </si>
  <si>
    <t>A. Performa Teknis Sistem Biogas /A6. Siapa yang menyetujui pemasangan biogas?/Lainnya.1</t>
  </si>
  <si>
    <t>A. Performa Teknis Sistem Biogas /A7. Siapa yang menentukan titik atau lokasi pemasangan sistem biogas?.1</t>
  </si>
  <si>
    <t>A. Performa Teknis Sistem Biogas /A7. Siapa yang menentukan titik atau lokasi pemasangan sistem biogas?/Anggota keluarga - laki-laki.1</t>
  </si>
  <si>
    <t>A. Performa Teknis Sistem Biogas /A7. Siapa yang menentukan titik atau lokasi pemasangan sistem biogas?/Anggota keluarga - perempuan dewasa.1</t>
  </si>
  <si>
    <t>A. Performa Teknis Sistem Biogas /A7. Siapa yang menentukan titik atau lokasi pemasangan sistem biogas?/CPO atau pendamping.1</t>
  </si>
  <si>
    <t>A. Performa Teknis Sistem Biogas /A7. Siapa yang menentukan titik atau lokasi pemasangan sistem biogas?/Lainnya.1</t>
  </si>
  <si>
    <t>A. Performa Teknis Sistem Biogas /A8. Siapa yang mendampingi atau mengawasi pemasangan biogas?.1</t>
  </si>
  <si>
    <t>A. Performa Teknis Sistem Biogas /A8. Siapa yang mendampingi atau mengawasi pemasangan biogas?/Anggota keluarga - laki-laki.1</t>
  </si>
  <si>
    <t>A. Performa Teknis Sistem Biogas /A8. Siapa yang mendampingi atau mengawasi pemasangan biogas?/Anggota keluarga - perempuan dewasa.1</t>
  </si>
  <si>
    <t>A. Performa Teknis Sistem Biogas /A8. Siapa yang mendampingi atau mengawasi pemasangan biogas?/CPO atau pendamping.1</t>
  </si>
  <si>
    <t>A. Performa Teknis Sistem Biogas /A8. Siapa yang mendampingi atau mengawasi pemasangan biogas?/Lainnya.1</t>
  </si>
  <si>
    <t>A. Performa Teknis Sistem Biogas /A13. Masalah non-teknis apa yang pernah Anda hadapi sebagai pengguna biogas?.1</t>
  </si>
  <si>
    <t>A. Performa Teknis Sistem Biogas /A13. Masalah non-teknis apa yang pernah Anda hadapi sebagai pengguna biogas?/Konflik dengan anggota keluarga atau masyarakat terkait penggunaan biogas.1</t>
  </si>
  <si>
    <t>A. Performa Teknis Sistem Biogas /A13. Masalah non-teknis apa yang pernah Anda hadapi sebagai pengguna biogas?/Kurangnya dukungan atau pemantauan dari pemerintah atau CPO.1</t>
  </si>
  <si>
    <t>A. Performa Teknis Sistem Biogas /A13. Masalah non-teknis apa yang pernah Anda hadapi sebagai pengguna biogas?/Keterbatasan akses terhadap informasi atau pelatihan terkait biogas.1</t>
  </si>
  <si>
    <t>A. Performa Teknis Sistem Biogas /A13. Masalah non-teknis apa yang pernah Anda hadapi sebagai pengguna biogas?/Tidak ada masalah.1</t>
  </si>
  <si>
    <t>A. Performa Teknis Sistem Biogas /A13. Masalah non-teknis apa yang pernah Anda hadapi sebagai pengguna biogas?/Lainnya.1</t>
  </si>
  <si>
    <t>A. Performa Teknis Sistem Biogas /A16. Siapa yang menyelenggarakan pelatihan atau memberikan instruksi tersebut?.1</t>
  </si>
  <si>
    <t>A. Performa Teknis Sistem Biogas /A17. Siapa yang menerima pelatihan atau instruksi tersebut?.1</t>
  </si>
  <si>
    <t>A. Performa Teknis Sistem Biogas /A17. Siapa yang menerima pelatihan atau instruksi tersebut?/Anggota keluarga - Laki-laki.1</t>
  </si>
  <si>
    <t>A. Performa Teknis Sistem Biogas /A17. Siapa yang menerima pelatihan atau instruksi tersebut?/Anggota keluarga - Perempuan dewasa.1</t>
  </si>
  <si>
    <t>A. Performa Teknis Sistem Biogas /A17. Siapa yang menerima pelatihan atau instruksi tersebut?/Lainnya.1</t>
  </si>
  <si>
    <t>A. Performa Teknis Sistem Biogas /A32. Apakah Anda yakin bahwa outlet tersebut dipastikan akan ditutup  kembali setelah pengecekan atau pembersihan?</t>
  </si>
  <si>
    <t>A. Performa Teknis Sistem Biogas /A37. Jika Ya, dari mana Anda mengetahui langkah-langkah tersebut?</t>
  </si>
  <si>
    <t>A. Performa Teknis Sistem Biogas /A40. Jika ya, kepada siapa saja Anda mempromosikan biogas?</t>
  </si>
  <si>
    <t>A. Performa Teknis Sistem Biogas /A40. Jika ya, kepada siapa saja Anda mempromosikan biogas? /Tetangga</t>
  </si>
  <si>
    <t>A. Performa Teknis Sistem Biogas /A40. Jika ya, kepada siapa saja Anda mempromosikan biogas? /Teman/keluarga</t>
  </si>
  <si>
    <t>A. Performa Teknis Sistem Biogas /A40. Jika ya, kepada siapa saja Anda mempromosikan biogas? /Komunitas lokal</t>
  </si>
  <si>
    <t>A. Performa Teknis Sistem Biogas /A40. Jika ya, kepada siapa saja Anda mempromosikan biogas? /Lainnya</t>
  </si>
  <si>
    <t>A. Performa Teknis Sistem Biogas /A29. Seberapa sering Anda membersihkan saluran slurry dan saluran keluar  tersebut?</t>
  </si>
  <si>
    <t>A. Performa Teknis Sistem Biogas /A32-a. Apakah Anda mengetahui bahwa outlet beton harus selalu ditutup?</t>
  </si>
  <si>
    <t>B. Energi, Pengurangan Emisi, dan Dampak Terhadap Lingkungan /B3. Berapa banyak bahan bakar memasak yang Anda gunakan sehari-hari sebelum menggunakan biogas? (kg dan Rp /bulan)/a1. Kayu bakar (kg/bulan)</t>
  </si>
  <si>
    <t>B. Energi, Pengurangan Emisi, dan Dampak Terhadap Lingkungan /group_ap3oh81_header/**B3. Berapa banyak bahan bakar memasak yang Anda gunakan sehari-hari sebelum menggunakan biogas?**</t>
  </si>
  <si>
    <t>B. Energi, Pengurangan Emisi, dan Dampak Terhadap Lingkungan /B3. Berapa banyak bahan bakar memasak yang Anda gunakan sehari-hari sebelum menggunakan biogas? (kg dan Rp /bulan)/a2. Kayu bakar (Rp/bulan)</t>
  </si>
  <si>
    <t>B. Energi, Pengurangan Emisi, dan Dampak Terhadap Lingkungan /group_ap3oh81_header/**kg/bulan**</t>
  </si>
  <si>
    <t>A. Performa Teknis Sistem Biogas /A33. Apakah Anda mengetahui bahwa gas tap harus ditutup jika tidak  digunakan?</t>
  </si>
  <si>
    <t>B. Energi, Pengurangan Emisi, dan Dampak Terhadap Lingkungan /B3. Berapa banyak bahan bakar memasak yang Anda gunakan sehari-hari sebelum menggunakan biogas? (kg dan Rp /bulan)/b1. LPG (kg/bulan)</t>
  </si>
  <si>
    <t>B. Energi, Pengurangan Emisi, dan Dampak Terhadap Lingkungan /group_ap3oh81_header/**Rp/bulan**</t>
  </si>
  <si>
    <t>B. Energi, Pengurangan Emisi, dan Dampak Terhadap Lingkungan /B3. Berapa banyak bahan bakar memasak yang Anda gunakan sehari-hari sebelum menggunakan biogas? (kg dan Rp /bulan)/b2. LPG (Rp/bulan)</t>
  </si>
  <si>
    <t>B. Energi, Pengurangan Emisi, dan Dampak Terhadap Lingkungan /group_ap3oh81_a_kayu_bakar/##### a. Kayu bakar</t>
  </si>
  <si>
    <t>B. Energi, Pengurangan Emisi, dan Dampak Terhadap Lingkungan /B3. Berapa banyak bahan bakar memasak yang Anda gunakan sehari-hari sebelum menggunakan biogas? (kg dan Rp /bulan)/c1. Limbah pertanian (kg/bulan)</t>
  </si>
  <si>
    <t>B. Energi, Pengurangan Emisi, dan Dampak Terhadap Lingkungan /group_ap3oh81_a_kayu_bakar/&lt;span style="display:none"&gt;a_kayu_bakar-kg/bulan&lt;/span&gt;</t>
  </si>
  <si>
    <t>B. Energi, Pengurangan Emisi, dan Dampak Terhadap Lingkungan /B3. Berapa banyak bahan bakar memasak yang Anda gunakan sehari-hari sebelum menggunakan biogas? (kg dan Rp /bulan)/c2. Limbah pertanian (Rp/bulan)</t>
  </si>
  <si>
    <t>B. Energi, Pengurangan Emisi, dan Dampak Terhadap Lingkungan /group_ap3oh81_a_kayu_bakar/&lt;span style="display:none"&gt;a_kayu_bakar-Rp/bulan&lt;/span&gt;</t>
  </si>
  <si>
    <t>B. Energi, Pengurangan Emisi, dan Dampak Terhadap Lingkungan /B3. Berapa banyak bahan bakar memasak yang Anda gunakan sehari-hari sebelum menggunakan biogas? (kg dan Rp /bulan)/d1. Kotoran ternak (kg/bulan)</t>
  </si>
  <si>
    <t>B. Energi, Pengurangan Emisi, dan Dampak Terhadap Lingkungan /group_ap3oh81_b_lpg/##### b. LPG</t>
  </si>
  <si>
    <t>B. Energi, Pengurangan Emisi, dan Dampak Terhadap Lingkungan /B3. Berapa banyak bahan bakar memasak yang Anda gunakan sehari-hari sebelum menggunakan biogas? (kg dan Rp /bulan)/d2. Kotoran ternak (Rp/bulan)</t>
  </si>
  <si>
    <t>B. Energi, Pengurangan Emisi, dan Dampak Terhadap Lingkungan /group_ap3oh81_b_lpg/&lt;span style="display:none"&gt;b_lpg-kg/bulan&lt;/span&gt;</t>
  </si>
  <si>
    <t>B. Energi, Pengurangan Emisi, dan Dampak Terhadap Lingkungan /B3. Berapa banyak bahan bakar memasak yang Anda gunakan sehari-hari sebelum menggunakan biogas? (kg dan Rp /bulan)/e1. Arang (kg/bulan)</t>
  </si>
  <si>
    <t>B. Energi, Pengurangan Emisi, dan Dampak Terhadap Lingkungan /group_ap3oh81_b_lpg/&lt;span style="display:none"&gt;b_lpg-Rp/bulan&lt;/span&gt;</t>
  </si>
  <si>
    <t>B. Energi, Pengurangan Emisi, dan Dampak Terhadap Lingkungan /B3. Berapa banyak bahan bakar memasak yang Anda gunakan sehari-hari sebelum menggunakan biogas? (kg dan Rp /bulan)/e2. Arang (Rp/bulan)</t>
  </si>
  <si>
    <t>B. Energi, Pengurangan Emisi, dan Dampak Terhadap Lingkungan /group_ap3oh81_c_limbah_pertanian/##### c. Limbah pertanian</t>
  </si>
  <si>
    <t>B. Energi, Pengurangan Emisi, dan Dampak Terhadap Lingkungan /B3. Berapa banyak bahan bakar memasak yang Anda gunakan sehari-hari sebelum menggunakan biogas? (kg dan Rp /bulan)/f1. Minyak tanah (kg/bulan)</t>
  </si>
  <si>
    <t>B. Energi, Pengurangan Emisi, dan Dampak Terhadap Lingkungan /group_ap3oh81_c_limbah_pertanian/&lt;span style="display:none"&gt;c_limbah_pertanian-kg/bulan&lt;/span&gt;</t>
  </si>
  <si>
    <t>A. Performa Teknis Sistem Biogas /A37. Jika Anda memahami, dari mana Anda mengetahui langkah-langkah tersebut?.1</t>
  </si>
  <si>
    <t>B. Energi, Pengurangan Emisi, dan Dampak Terhadap Lingkungan /B3. Berapa banyak bahan bakar memasak yang Anda gunakan sehari-hari sebelum menggunakan biogas? (kg dan Rp /bulan)/f2. Minyak tanah (Rp/bulan)</t>
  </si>
  <si>
    <t>B. Energi, Pengurangan Emisi, dan Dampak Terhadap Lingkungan /group_ap3oh81_c_limbah_pertanian/&lt;span style="display:none"&gt;c_limbah_pertanian-Rp/bulan&lt;/span&gt;</t>
  </si>
  <si>
    <t>B. Energi, Pengurangan Emisi, dan Dampak Terhadap Lingkungan /B4. Berapa banyak bahan bakar memasak yang Anda gunakan sehari-hari setelah menggunakan biogas?/a1. Kayu bakar (kg/bulan)</t>
  </si>
  <si>
    <t>B. Energi, Pengurangan Emisi, dan Dampak Terhadap Lingkungan /group_ap3oh81_d_kotoran_ternak/##### d. Kotoran ternak</t>
  </si>
  <si>
    <t>B. Energi, Pengurangan Emisi, dan Dampak Terhadap Lingkungan /B4. Berapa banyak bahan bakar memasak yang Anda gunakan sehari-hari setelah menggunakan biogas?/a2. Kayu bakar (Rp/bulan)</t>
  </si>
  <si>
    <t>B. Energi, Pengurangan Emisi, dan Dampak Terhadap Lingkungan /group_ap3oh81_d_kotoran_ternak/&lt;span style="display:none"&gt;d_kotoran_ternak-kg/bulan&lt;/span&gt;</t>
  </si>
  <si>
    <t>B. Energi, Pengurangan Emisi, dan Dampak Terhadap Lingkungan /B4. Berapa banyak bahan bakar memasak yang Anda gunakan sehari-hari setelah menggunakan biogas?/b1. LPG (kg/bulan)</t>
  </si>
  <si>
    <t>B. Energi, Pengurangan Emisi, dan Dampak Terhadap Lingkungan /group_ap3oh81_d_kotoran_ternak/&lt;span style="display:none"&gt;d_kotoran_ternak-Rp/bulan&lt;/span&gt;</t>
  </si>
  <si>
    <t>B. Energi, Pengurangan Emisi, dan Dampak Terhadap Lingkungan /B4. Berapa banyak bahan bakar memasak yang Anda gunakan sehari-hari setelah menggunakan biogas?/b2. LPG (Rp/bulan)</t>
  </si>
  <si>
    <t>B. Energi, Pengurangan Emisi, dan Dampak Terhadap Lingkungan /group_ap3oh81_e_arang/##### e. Arang</t>
  </si>
  <si>
    <t>B. Energi, Pengurangan Emisi, dan Dampak Terhadap Lingkungan /B4. Berapa banyak bahan bakar memasak yang Anda gunakan sehari-hari setelah menggunakan biogas?/c1. Limbah pertanian (kg/bulan)</t>
  </si>
  <si>
    <t>B. Energi, Pengurangan Emisi, dan Dampak Terhadap Lingkungan /group_ap3oh81_e_arang/&lt;span style="display:none"&gt;e_arang-kg/bulan&lt;/span&gt;</t>
  </si>
  <si>
    <t>B. Energi, Pengurangan Emisi, dan Dampak Terhadap Lingkungan /B4. Berapa banyak bahan bakar memasak yang Anda gunakan sehari-hari setelah menggunakan biogas?/c2. Limbah pertanian (Rp/bulan)</t>
  </si>
  <si>
    <t>B. Energi, Pengurangan Emisi, dan Dampak Terhadap Lingkungan /group_ap3oh81_e_arang/&lt;span style="display:none"&gt;e_arang-Rp/bulan&lt;/span&gt;</t>
  </si>
  <si>
    <t>B. Energi, Pengurangan Emisi, dan Dampak Terhadap Lingkungan /B4. Berapa banyak bahan bakar memasak yang Anda gunakan sehari-hari setelah menggunakan biogas?/d1. Kotoran ternak (kg/bulan)</t>
  </si>
  <si>
    <t>B. Energi, Pengurangan Emisi, dan Dampak Terhadap Lingkungan /group_ap3oh81_f_minyak_tanah/##### f. Minyak tanah</t>
  </si>
  <si>
    <t>B. Energi, Pengurangan Emisi, dan Dampak Terhadap Lingkungan /B4. Berapa banyak bahan bakar memasak yang Anda gunakan sehari-hari setelah menggunakan biogas?/d2. Kotoran ternak (Rp/bulan)</t>
  </si>
  <si>
    <t>B. Energi, Pengurangan Emisi, dan Dampak Terhadap Lingkungan /group_ap3oh81_f_minyak_tanah/&lt;span style="display:none"&gt;f_minyak_tanah-kg/bulan&lt;/span&gt;</t>
  </si>
  <si>
    <t>B. Energi, Pengurangan Emisi, dan Dampak Terhadap Lingkungan /B4. Berapa banyak bahan bakar memasak yang Anda gunakan sehari-hari setelah menggunakan biogas?/e1. Arang (kg/bulan)</t>
  </si>
  <si>
    <t>B. Energi, Pengurangan Emisi, dan Dampak Terhadap Lingkungan /group_ap3oh81_f_minyak_tanah/&lt;span style="display:none"&gt;f_minyak_tanah-Rp/bulan&lt;/span&gt;</t>
  </si>
  <si>
    <t>B. Energi, Pengurangan Emisi, dan Dampak Terhadap Lingkungan /B4. Berapa banyak bahan bakar memasak yang Anda gunakan sehari-hari setelah menggunakan biogas?/e2. Arang (Rp/bulan)</t>
  </si>
  <si>
    <t>B. Energi, Pengurangan Emisi, dan Dampak Terhadap Lingkungan /group_on9ke21_header/**B4. Berapa banyak bahan bakar memasak yang Anda gunakan sehari-hari setelah menggunakan biogas?**</t>
  </si>
  <si>
    <t>B. Energi, Pengurangan Emisi, dan Dampak Terhadap Lingkungan /B4. Berapa banyak bahan bakar memasak yang Anda gunakan sehari-hari setelah menggunakan biogas?/f1. Minyak tanah (kg/bulan)</t>
  </si>
  <si>
    <t>B. Energi, Pengurangan Emisi, dan Dampak Terhadap Lingkungan /group_on9ke21_header/**kg/bulan**</t>
  </si>
  <si>
    <t>B. Energi, Pengurangan Emisi, dan Dampak Terhadap Lingkungan /a. Kayu Bakar/B3-a1. Berapa banyak kayu bakar untuk memasak yang Anda gunakan sehari-hari sebelum menggunakan biogas?</t>
  </si>
  <si>
    <t>B. Energi, Pengurangan Emisi, dan Dampak Terhadap Lingkungan /B4. Berapa banyak bahan bakar memasak yang Anda gunakan sehari-hari setelah menggunakan biogas?/f2. Minyak tanah (Rp/bulan)</t>
  </si>
  <si>
    <t>B. Energi, Pengurangan Emisi, dan Dampak Terhadap Lingkungan /group_on9ke21_header/**Rp/bulan**</t>
  </si>
  <si>
    <t>B. Energi, Pengurangan Emisi, dan Dampak Terhadap Lingkungan /a. Kayu Bakar/B3-a2. Berapa banyak kayu bakar untuk memasak yang Anda gunakan sehari-hari sebelum menggunakan biogas?</t>
  </si>
  <si>
    <t>B. Energi, Pengurangan Emisi, dan Dampak Terhadap Lingkungan /B4-1. Berapa total pengurangan bahan bakar dari penggunaan biogas?/a1. Kayu bakar (kg/bulan)</t>
  </si>
  <si>
    <t>B. Energi, Pengurangan Emisi, dan Dampak Terhadap Lingkungan /group_on9ke21_a_kayu_bakar/##### a. Kayu bakar</t>
  </si>
  <si>
    <t>B. Energi, Pengurangan Emisi, dan Dampak Terhadap Lingkungan /a. Kayu Bakar/B4-a1. Berapa banyak kayu bakar untuk memasak yang Anda gunakan sehari-hari setelah menggunakan biogas?</t>
  </si>
  <si>
    <t>B. Energi, Pengurangan Emisi, dan Dampak Terhadap Lingkungan /B4-1. Berapa total pengurangan bahan bakar dari penggunaan biogas?/a2. Kayu bakar (Rp/bulan)</t>
  </si>
  <si>
    <t>B. Energi, Pengurangan Emisi, dan Dampak Terhadap Lingkungan /group_on9ke21_a_kayu_bakar/&lt;span style="display:none"&gt;a_kayu_bakar-kg/bulan&lt;/span&gt;</t>
  </si>
  <si>
    <t>B. Energi, Pengurangan Emisi, dan Dampak Terhadap Lingkungan /a. Kayu Bakar/B4-a2. Berapa banyak kayu bakar untuk memasak yang Anda gunakan sehari-hari setelah menggunakan biogas?</t>
  </si>
  <si>
    <t>B. Energi, Pengurangan Emisi, dan Dampak Terhadap Lingkungan /B4-1. Berapa total pengurangan bahan bakar dari penggunaan biogas?/b1. LPG (kg/bulan)</t>
  </si>
  <si>
    <t>B. Energi, Pengurangan Emisi, dan Dampak Terhadap Lingkungan /group_on9ke21_a_kayu_bakar/&lt;span style="display:none"&gt;a_kayu_bakar-Rp/bulan&lt;/span&gt;</t>
  </si>
  <si>
    <t>B. Energi, Pengurangan Emisi, dan Dampak Terhadap Lingkungan /a. Kayu Bakar/B5-a1. Berapa total pengurangan kayu bakar dari penggunaan biogas?</t>
  </si>
  <si>
    <t>B. Energi, Pengurangan Emisi, dan Dampak Terhadap Lingkungan /B4-1. Berapa total pengurangan bahan bakar dari penggunaan biogas?/b2. LPG (Rp/bulan)</t>
  </si>
  <si>
    <t>B. Energi, Pengurangan Emisi, dan Dampak Terhadap Lingkungan /group_on9ke21_b_lpg/##### b. LPG</t>
  </si>
  <si>
    <t>B. Energi, Pengurangan Emisi, dan Dampak Terhadap Lingkungan /a. Kayu Bakar/B5-a2. Berapa total pengurangan kayu bakar dari penggunaan biogas?</t>
  </si>
  <si>
    <t>B. Energi, Pengurangan Emisi, dan Dampak Terhadap Lingkungan /B4-1. Berapa total pengurangan bahan bakar dari penggunaan biogas?/c1. Limbah pertanian (kg/bulan)</t>
  </si>
  <si>
    <t>B. Energi, Pengurangan Emisi, dan Dampak Terhadap Lingkungan /group_on9ke21_b_lpg/&lt;span style="display:none"&gt;b_lpg-kg/bulan&lt;/span&gt;</t>
  </si>
  <si>
    <t>B. Energi, Pengurangan Emisi, dan Dampak Terhadap Lingkungan /b. LPG/B3-b1. Berapa banyak LPG untuk memasak yang Anda gunakan sehari-hari sebelum menggunakan biogas?</t>
  </si>
  <si>
    <t>B. Energi, Pengurangan Emisi, dan Dampak Terhadap Lingkungan /B4-1. Berapa total pengurangan bahan bakar dari penggunaan biogas?/c2. Limbah pertanian (Rp/bulan)</t>
  </si>
  <si>
    <t>B. Energi, Pengurangan Emisi, dan Dampak Terhadap Lingkungan /group_on9ke21_b_lpg/&lt;span style="display:none"&gt;b_lpg-Rp/bulan&lt;/span&gt;</t>
  </si>
  <si>
    <t>B. Energi, Pengurangan Emisi, dan Dampak Terhadap Lingkungan /b. LPG/B3-b2. Berapa banyak LPG untuk memasak yang Anda gunakan sehari-hari sebelum menggunakan biogas?</t>
  </si>
  <si>
    <t>B. Energi, Pengurangan Emisi, dan Dampak Terhadap Lingkungan /B4-1. Berapa total pengurangan bahan bakar dari penggunaan biogas?/d1. Kotoran ternak (kg/bulan)</t>
  </si>
  <si>
    <t>B. Energi, Pengurangan Emisi, dan Dampak Terhadap Lingkungan /group_on9ke21_c_limbah_pertanian/##### c. Limbah pertanian</t>
  </si>
  <si>
    <t>B. Energi, Pengurangan Emisi, dan Dampak Terhadap Lingkungan /b. LPG/B4-b1. Berapa banyak LPG untuk memasak yang Anda gunakan sehari-hari setelah menggunakan biogas?</t>
  </si>
  <si>
    <t>B. Energi, Pengurangan Emisi, dan Dampak Terhadap Lingkungan /B4-1. Berapa total pengurangan bahan bakar dari penggunaan biogas?/d2. Kotoran ternak (Rp/bulan)</t>
  </si>
  <si>
    <t>B. Energi, Pengurangan Emisi, dan Dampak Terhadap Lingkungan /group_on9ke21_c_limbah_pertanian/&lt;span style="display:none"&gt;c_limbah_pertanian-kg/bulan&lt;/span&gt;</t>
  </si>
  <si>
    <t>B. Energi, Pengurangan Emisi, dan Dampak Terhadap Lingkungan /b. LPG/B4-b2. Berapa banyak LPG untuk memasak yang Anda gunakan sehari-hari setelah menggunakan biogas?</t>
  </si>
  <si>
    <t>B. Energi, Pengurangan Emisi, dan Dampak Terhadap Lingkungan /B4-1. Berapa total pengurangan bahan bakar dari penggunaan biogas?/e1. Arang (kg/bulan)</t>
  </si>
  <si>
    <t>B. Energi, Pengurangan Emisi, dan Dampak Terhadap Lingkungan /group_on9ke21_c_limbah_pertanian/&lt;span style="display:none"&gt;c_limbah_pertanian-Rp/bulan&lt;/span&gt;</t>
  </si>
  <si>
    <t>B. Energi, Pengurangan Emisi, dan Dampak Terhadap Lingkungan /b. LPG/B5-b1. Berapa total pengurangan LPG dari penggunaan biogas?</t>
  </si>
  <si>
    <t>B. Energi, Pengurangan Emisi, dan Dampak Terhadap Lingkungan /B4-1. Berapa total pengurangan bahan bakar dari penggunaan biogas?/e2. Arang (Rp/bulan)</t>
  </si>
  <si>
    <t>B. Energi, Pengurangan Emisi, dan Dampak Terhadap Lingkungan /group_on9ke21_d_kotoran_ternak/##### d. Kotoran ternak</t>
  </si>
  <si>
    <t>B. Energi, Pengurangan Emisi, dan Dampak Terhadap Lingkungan /b. LPG/B5-b2.  Berapa total pengurangan LPG dari penggunaan biogas?</t>
  </si>
  <si>
    <t>B. Energi, Pengurangan Emisi, dan Dampak Terhadap Lingkungan /B4-1. Berapa total pengurangan bahan bakar dari penggunaan biogas?/f1. Minyak tanah (kg/bulan)</t>
  </si>
  <si>
    <t>B. Energi, Pengurangan Emisi, dan Dampak Terhadap Lingkungan /group_on9ke21_d_kotoran_ternak/&lt;span style="display:none"&gt;d_kotoran_ternak-kg/bulan&lt;/span&gt;</t>
  </si>
  <si>
    <t>B. Energi, Pengurangan Emisi, dan Dampak Terhadap Lingkungan /c. Limbah Pertanian/B3-c1. Berapa banyak limbah pertanian untuk memasak yang Anda gunakan sehari-hari sebelum menggunakan biogas?</t>
  </si>
  <si>
    <t>B. Energi, Pengurangan Emisi, dan Dampak Terhadap Lingkungan /B4-1. Berapa total pengurangan bahan bakar dari penggunaan biogas?/f2. Minyak tanah (Rp/bulan)</t>
  </si>
  <si>
    <t>B. Energi, Pengurangan Emisi, dan Dampak Terhadap Lingkungan /group_on9ke21_d_kotoran_ternak/&lt;span style="display:none"&gt;d_kotoran_ternak-Rp/bulan&lt;/span&gt;</t>
  </si>
  <si>
    <t>B. Energi, Pengurangan Emisi, dan Dampak Terhadap Lingkungan /c. Limbah Pertanian/B3-c2. Berapa banyak limbah pertanian untuk memasak yang Anda gunakan sehari-hari sebelum menggunakan biogas?</t>
  </si>
  <si>
    <t>B. Energi, Pengurangan Emisi, dan Dampak Terhadap Lingkungan /B5. Berapa kilogram bahan bakar (kotoran ternak) yang Anda gunakan  untuk biogas per hari?</t>
  </si>
  <si>
    <t>B. Energi, Pengurangan Emisi, dan Dampak Terhadap Lingkungan /group_on9ke21_e_arang/##### e. Arang</t>
  </si>
  <si>
    <t>B. Energi, Pengurangan Emisi, dan Dampak Terhadap Lingkungan /c. Limbah Pertanian/B4-c1. Berapa banyak limbah pertanian untuk memasak yang Anda gunakan sehari-hari setelah menggunakan biogas?</t>
  </si>
  <si>
    <t>B. Energi, Pengurangan Emisi, dan Dampak Terhadap Lingkungan /B6. Berapa lama rata-rata kompor biogas Anda  menyala setiap hari?</t>
  </si>
  <si>
    <t>B. Energi, Pengurangan Emisi, dan Dampak Terhadap Lingkungan /group_on9ke21_e_arang/&lt;span style="display:none"&gt;e_arang-kg/bulan&lt;/span&gt;</t>
  </si>
  <si>
    <t>B. Energi, Pengurangan Emisi, dan Dampak Terhadap Lingkungan /c. Limbah Pertanian/B4-c2. Berapa banyak limbah pertanian untuk memasak yang Anda gunakan sehari-hari setelah menggunakan biogas?</t>
  </si>
  <si>
    <t>B. Energi, Pengurangan Emisi, dan Dampak Terhadap Lingkungan /B7. Apakah penggunaan biogas membantu mengurangi penebangan kayu  untuk kebutuhan bahan bakar?</t>
  </si>
  <si>
    <t>B. Energi, Pengurangan Emisi, dan Dampak Terhadap Lingkungan /group_on9ke21_e_arang/&lt;span style="display:none"&gt;e_arang-Rp/bulan&lt;/span&gt;</t>
  </si>
  <si>
    <t>B. Energi, Pengurangan Emisi, dan Dampak Terhadap Lingkungan /c. Limbah Pertanian/B5-c1. Berapa total pengurangan limbah pertanian dari penggunaan biogas?</t>
  </si>
  <si>
    <t>B. Energi, Pengurangan Emisi, dan Dampak Terhadap Lingkungan /group_on9ke21_f_minyak_tanah/##### f. Minyak tanah</t>
  </si>
  <si>
    <t>B. Energi, Pengurangan Emisi, dan Dampak Terhadap Lingkungan /c. Limbah Pertanian/B5-c2. Berapa total pengurangan limbah pertanian dari penggunaan biogas?</t>
  </si>
  <si>
    <t>B. Energi, Pengurangan Emisi, dan Dampak Terhadap Lingkungan /group_on9ke21_f_minyak_tanah/&lt;span style="display:none"&gt;f_minyak_tanah-kg/bulan&lt;/span&gt;</t>
  </si>
  <si>
    <t>B. Energi, Pengurangan Emisi, dan Dampak Terhadap Lingkungan /d. Kotoran Ternak/B3-d1. Berapa banyak kotoran ternak untuk memasak yang Anda gunakan sehari-hari sebelum menggunakan biogas?</t>
  </si>
  <si>
    <t>B. Energi, Pengurangan Emisi, dan Dampak Terhadap Lingkungan /group_on9ke21_f_minyak_tanah/&lt;span style="display:none"&gt;f_minyak_tanah-Rp/bulan&lt;/span&gt;</t>
  </si>
  <si>
    <t>B. Energi, Pengurangan Emisi, dan Dampak Terhadap Lingkungan /d. Kotoran Ternak/B3-d2. Berapa banyak kotoran ternak untuk memasak yang Anda gunakan sehari-hari sebelum menggunakan biogas?</t>
  </si>
  <si>
    <t>B. Energi, Pengurangan Emisi, dan Dampak Terhadap Lingkungan /group_pd5js60_header/**B4-1. Berapa total pengurangan bahan bakar dari penggunaan biogas?**</t>
  </si>
  <si>
    <t>B. Energi, Pengurangan Emisi, dan Dampak Terhadap Lingkungan /d. Kotoran Ternak/B4-d1. Berapa banyak kotoran ternak untuk memasak yang Anda gunakan sehari-hari setelah menggunakan biogas?</t>
  </si>
  <si>
    <t>B. Energi, Pengurangan Emisi, dan Dampak Terhadap Lingkungan /group_pd5js60_header/**kg/bulan**</t>
  </si>
  <si>
    <t>B. Energi, Pengurangan Emisi, dan Dampak Terhadap Lingkungan /d. Kotoran Ternak/B4-d2. Berapa banyak kotoran ternak untuk memasak yang Anda gunakan sehari-hari setelah menggunakan biogas?</t>
  </si>
  <si>
    <t>B. Energi, Pengurangan Emisi, dan Dampak Terhadap Lingkungan /group_pd5js60_header/**Rp/bulan**</t>
  </si>
  <si>
    <t>B. Energi, Pengurangan Emisi, dan Dampak Terhadap Lingkungan /d. Kotoran Ternak/B5-d1. Berapa total pengurangan kotoran ternak dari penggunaan biogas?</t>
  </si>
  <si>
    <t>B. Energi, Pengurangan Emisi, dan Dampak Terhadap Lingkungan /group_pd5js60_a_kayu_bakar/##### a. Kayu bakar</t>
  </si>
  <si>
    <t>B. Energi, Pengurangan Emisi, dan Dampak Terhadap Lingkungan /d. Kotoran Ternak/B5-d2. Berapa total pengurangan kotoran ternak dari penggunaan biogas?</t>
  </si>
  <si>
    <t>B. Energi, Pengurangan Emisi, dan Dampak Terhadap Lingkungan /group_pd5js60_a_kayu_bakar/&lt;span style="display:none"&gt;a_kayu_bakar-kg/bulan&lt;/span&gt;</t>
  </si>
  <si>
    <t>B. Energi, Pengurangan Emisi, dan Dampak Terhadap Lingkungan /e. Arang/B3-e1. Berapa banyak arang untuk memasak yang Anda gunakan sehari-hari sebelum menggunakan biogas?</t>
  </si>
  <si>
    <t>B. Energi, Pengurangan Emisi, dan Dampak Terhadap Lingkungan /group_pd5js60_a_kayu_bakar/&lt;span style="display:none"&gt;a_kayu_bakar-Rp/bulan&lt;/span&gt;</t>
  </si>
  <si>
    <t>B. Energi, Pengurangan Emisi, dan Dampak Terhadap Lingkungan /e. Arang/B3-e2. Berapa banyak arang untuk memasak yang Anda gunakan sehari-hari sebelum menggunakan biogas?</t>
  </si>
  <si>
    <t>B. Energi, Pengurangan Emisi, dan Dampak Terhadap Lingkungan /group_pd5js60_b_lpg/##### b. LPG</t>
  </si>
  <si>
    <t>B. Energi, Pengurangan Emisi, dan Dampak Terhadap Lingkungan /e. Arang/B4-e1. Berapa banyak arang untuk memasak yang Anda gunakan sehari-hari setelah menggunakan biogas?</t>
  </si>
  <si>
    <t>B. Energi, Pengurangan Emisi, dan Dampak Terhadap Lingkungan /group_pd5js60_b_lpg/&lt;span style="display:none"&gt;b_lpg-kg/bulan&lt;/span&gt;</t>
  </si>
  <si>
    <t>B. Energi, Pengurangan Emisi, dan Dampak Terhadap Lingkungan /e. Arang/B4-e2. Berapa banyak arang untuk memasak yang Anda gunakan sehari-hari setelah menggunakan biogas?</t>
  </si>
  <si>
    <t>B. Energi, Pengurangan Emisi, dan Dampak Terhadap Lingkungan /group_pd5js60_b_lpg/&lt;span style="display:none"&gt;b_lpg-Rp/bulan&lt;/span&gt;</t>
  </si>
  <si>
    <t>B. Energi, Pengurangan Emisi, dan Dampak Terhadap Lingkungan /e. Arang/B5-e1. Berapa total pengurangan arang dari penggunaan biogas?</t>
  </si>
  <si>
    <t>B. Energi, Pengurangan Emisi, dan Dampak Terhadap Lingkungan /group_pd5js60_c_limbah_pertanian/##### c. Limbah pertanian</t>
  </si>
  <si>
    <t>B. Energi, Pengurangan Emisi, dan Dampak Terhadap Lingkungan /e. Arang/B5-e2. Berapa total pengurangan arang dari penggunaan biogas?</t>
  </si>
  <si>
    <t>B. Energi, Pengurangan Emisi, dan Dampak Terhadap Lingkungan /g. Lainnya/B3-g1. Berapa banyak bahan bakar untuk memasak yang Anda gunakan sehari-hari sebelum menggunakan biogas?</t>
  </si>
  <si>
    <t>B. Energi, Pengurangan Emisi, dan Dampak Terhadap Lingkungan /group_pd5js60_c_limbah_pertanian/&lt;span style="display:none"&gt;c_limbah_pertanian-kg/bulan&lt;/span&gt;</t>
  </si>
  <si>
    <t>B. Energi, Pengurangan Emisi, dan Dampak Terhadap Lingkungan /f. Minyak Tanah/B3-f1. Berapa banyak minyak tanah untuk memasak yang Anda gunakan sehari-hari sebelum menggunakan biogas?</t>
  </si>
  <si>
    <t>B. Energi, Pengurangan Emisi, dan Dampak Terhadap Lingkungan /g. Lainnya/B3-g2. Berapa banyak bahan bakar untuk memasak yang Anda gunakan sehari-hari sebelum menggunakan biogas?</t>
  </si>
  <si>
    <t>B. Energi, Pengurangan Emisi, dan Dampak Terhadap Lingkungan /group_pd5js60_c_limbah_pertanian/&lt;span style="display:none"&gt;c_limbah_pertanian-Rp/bulan&lt;/span&gt;</t>
  </si>
  <si>
    <t>B. Energi, Pengurangan Emisi, dan Dampak Terhadap Lingkungan /f. Minyak Tanah/B3-f2. Berapa banyak minyak tanah untuk memasak yang Anda gunakan sehari-hari sebelum menggunakan biogas?</t>
  </si>
  <si>
    <t>B. Energi, Pengurangan Emisi, dan Dampak Terhadap Lingkungan /g. Lainnya/B4-g1. Berapa banyak bahan bakar untuk memasak yang Anda gunakan sehari-hari setelah menggunakan biogas?</t>
  </si>
  <si>
    <t>B. Energi, Pengurangan Emisi, dan Dampak Terhadap Lingkungan /group_pd5js60_d_kotoran_ternak/##### d. Kotoran ternak</t>
  </si>
  <si>
    <t>B. Energi, Pengurangan Emisi, dan Dampak Terhadap Lingkungan /f. Minyak Tanah/B4-f1. Berapa banyak minyak tanah untuk memasak yang Anda gunakan sehari-hari setelah menggunakan biogas?</t>
  </si>
  <si>
    <t>B. Energi, Pengurangan Emisi, dan Dampak Terhadap Lingkungan /g. Lainnya/B4-g2. Berapa banyak bahan bakar untuk memasak yang Anda gunakan sehari-hari setelah menggunakan biogas?</t>
  </si>
  <si>
    <t>B. Energi, Pengurangan Emisi, dan Dampak Terhadap Lingkungan /group_pd5js60_d_kotoran_ternak/&lt;span style="display:none"&gt;d_kotoran_ternak-kg/bulan&lt;/span&gt;</t>
  </si>
  <si>
    <t>B. Energi, Pengurangan Emisi, dan Dampak Terhadap Lingkungan /f. Minyak Tanah/B4-f2. Berapa banyak minyak tanah untuk memasak yang Anda gunakan sehari-hari setelah menggunakan biogas?</t>
  </si>
  <si>
    <t>B. Energi, Pengurangan Emisi, dan Dampak Terhadap Lingkungan /group_pd5js60_d_kotoran_ternak/&lt;span style="display:none"&gt;d_kotoran_ternak-Rp/bulan&lt;/span&gt;</t>
  </si>
  <si>
    <t>B. Energi, Pengurangan Emisi, dan Dampak Terhadap Lingkungan /f. Minyak Tanah/B5-f1. Berapa total pengurangan minyak tanak dari penggunaan biogas?</t>
  </si>
  <si>
    <t>B. Energi, Pengurangan Emisi, dan Dampak Terhadap Lingkungan /group_pd5js60_e_arang/##### e. Arang</t>
  </si>
  <si>
    <t>B. Energi, Pengurangan Emisi, dan Dampak Terhadap Lingkungan /f. Minyak Tanah/B5-f2. Berapa total pengurangan minyak tanak dari penggunaan biogas?</t>
  </si>
  <si>
    <t>B. Energi, Pengurangan Emisi, dan Dampak Terhadap Lingkungan /B6. Berapa kilogram bahan bakar (kotoran ternak) yang Anda gunakan  untuk biogas per hari?</t>
  </si>
  <si>
    <t>B. Energi, Pengurangan Emisi, dan Dampak Terhadap Lingkungan /group_pd5js60_e_arang/&lt;span style="display:none"&gt;e_arang-kg/bulan&lt;/span&gt;</t>
  </si>
  <si>
    <t>B. Energi, Pengurangan Emisi, dan Dampak Terhadap Lingkungan /g. Lainnya/B3-g1. Berapa banyak bahan bakar untuk memasak yang Anda gunakan sehari-hari SEBELUM menggunakan biogas?</t>
  </si>
  <si>
    <t>B. Energi, Pengurangan Emisi, dan Dampak Terhadap Lingkungan /B7. Berapa lama rata-rata kompor biogas Anda  menyala setiap hari?</t>
  </si>
  <si>
    <t>B. Energi, Pengurangan Emisi, dan Dampak Terhadap Lingkungan /group_pd5js60_e_arang/&lt;span style="display:none"&gt;e_arang-Rp/bulan&lt;/span&gt;</t>
  </si>
  <si>
    <t>B. Energi, Pengurangan Emisi, dan Dampak Terhadap Lingkungan /g. Lainnya/B3-g2. Berapa banyak bahan bakar untuk memasak yang Anda gunakan sehari-hari SEBELUM menggunakan biogas?</t>
  </si>
  <si>
    <t>B. Energi, Pengurangan Emisi, dan Dampak Terhadap Lingkungan /B8. Apakah penggunaan biogas membantu mengurangi penebangan kayu  untuk kebutuhan bahan bakar?</t>
  </si>
  <si>
    <t>B. Energi, Pengurangan Emisi, dan Dampak Terhadap Lingkungan /group_pd5js60_f_minyak_tanah/##### f. Minyak tanah</t>
  </si>
  <si>
    <t>B. Energi, Pengurangan Emisi, dan Dampak Terhadap Lingkungan /g. Lainnya/B4-g1. Berapa banyak bahan bakar untuk memasak yang Anda gunakan sehari-hari SETELAH menggunakan biogas?</t>
  </si>
  <si>
    <t>B. Energi, Pengurangan Emisi, dan Dampak Terhadap Lingkungan /group_pd5js60_f_minyak_tanah/&lt;span style="display:none"&gt;f_minyak_tanah-kg/bulan&lt;/span&gt;</t>
  </si>
  <si>
    <t>B. Energi, Pengurangan Emisi, dan Dampak Terhadap Lingkungan /g. Lainnya/B4-g2. Berapa banyak bahan bakar untuk memasak yang Anda gunakan sehari-hari SETELAH menggunakan biogas?</t>
  </si>
  <si>
    <t>B. Energi, Pengurangan Emisi, dan Dampak Terhadap Lingkungan /group_pd5js60_f_minyak_tanah/&lt;span style="display:none"&gt;f_minyak_tanah-Rp/bulan&lt;/span&gt;</t>
  </si>
  <si>
    <t>B. Energi, Pengurangan Emisi, dan Dampak Terhadap Lingkungan /g. Lainnya/B5-g1. Berapa total pengurangan bahan bakar dari penggunaan biogas?</t>
  </si>
  <si>
    <t>B. Energi, Pengurangan Emisi, dan Dampak Terhadap Lingkungan /g. Lainnya/B5-g2. Berapa total pengurangan bahan bakar dari penggunaan biogas?</t>
  </si>
  <si>
    <t>C. Dampak Kesehatan dan Sanitasi /C5. Siapa yang pernah mengalami infeksi pernapasan sebelum menggunakan biogas?</t>
  </si>
  <si>
    <t>C. Dampak Kesehatan dan Sanitasi /C5. Siapa yang pernah mengalami infeksi pernapasan sebelum menggunakan biogas? /Laki-laki dewasa</t>
  </si>
  <si>
    <t>C. Dampak Kesehatan dan Sanitasi /C5. Siapa yang pernah mengalami infeksi pernapasan sebelum menggunakan biogas? /Perempuan dewasa</t>
  </si>
  <si>
    <t>C. Dampak Kesehatan dan Sanitasi /C5. Siapa yang pernah mengalami infeksi pernapasan sebelum menggunakan biogas? /Anak-anak (0-18 tahun)</t>
  </si>
  <si>
    <t>C. Dampak Kesehatan dan Sanitasi /C6. Siapa yang pernah mengalami infeksi pernapasan setelah menggunakan biogas?</t>
  </si>
  <si>
    <t>C. Dampak Kesehatan dan Sanitasi /C6. Siapa yang pernah mengalami infeksi pernapasan setelah menggunakan biogas? /Laki-laki dewasa</t>
  </si>
  <si>
    <t>C. Dampak Kesehatan dan Sanitasi /C6. Siapa yang pernah mengalami infeksi pernapasan setelah menggunakan biogas? /Perempuan dewasa</t>
  </si>
  <si>
    <t>C. Dampak Kesehatan dan Sanitasi /C6. Siapa yang pernah mengalami infeksi pernapasan setelah menggunakan biogas? /Anak-anak (0-18 tahun)</t>
  </si>
  <si>
    <t>C. Dampak Kesehatan dan Sanitasi /C8. Siapa yang pernah mengalami masalah iritasi mata sebelum menggunakan biogas?</t>
  </si>
  <si>
    <t>C. Dampak Kesehatan dan Sanitasi /C8. Siapa yang pernah mengalami masalah iritasi mata sebelum menggunakan biogas? /Laki-laki dewasa</t>
  </si>
  <si>
    <t>C. Dampak Kesehatan dan Sanitasi /C8. Siapa yang pernah mengalami masalah iritasi mata sebelum menggunakan biogas? /Perempuan dewasa</t>
  </si>
  <si>
    <t>C. Dampak Kesehatan dan Sanitasi /C8. Siapa yang pernah mengalami masalah iritasi mata sebelum menggunakan biogas? /Anak-anak (0-18 tahun)</t>
  </si>
  <si>
    <t>C. Dampak Kesehatan dan Sanitasi /C9. Siapa yang pernah mengalami masalah iritasi mata setelah menggunakan biogas?</t>
  </si>
  <si>
    <t>C. Dampak Kesehatan dan Sanitasi /C9. Siapa yang pernah mengalami masalah iritasi mata setelah menggunakan biogas? /Laki-laki dewasa</t>
  </si>
  <si>
    <t>C. Dampak Kesehatan dan Sanitasi /C9. Siapa yang pernah mengalami masalah iritasi mata setelah menggunakan biogas? /Perempuan dewasa</t>
  </si>
  <si>
    <t>C. Dampak Kesehatan dan Sanitasi /C9. Siapa yang pernah mengalami masalah iritasi mata setelah menggunakan biogas? /Anak-anak (0-18 tahun)</t>
  </si>
  <si>
    <t>C. Dampak Kesehatan dan Sanitasi /C11. Siapa yang pernah mengalami penyakit saluran pencernaan sebelum menggunakan biogas?</t>
  </si>
  <si>
    <t>C. Dampak Kesehatan dan Sanitasi /C11. Siapa yang pernah mengalami penyakit saluran pencernaan sebelum menggunakan biogas? /Laki-laki dewasa</t>
  </si>
  <si>
    <t>C. Dampak Kesehatan dan Sanitasi /C11. Siapa yang pernah mengalami penyakit saluran pencernaan sebelum menggunakan biogas? /Perempuan dewasa</t>
  </si>
  <si>
    <t>C. Dampak Kesehatan dan Sanitasi /C11. Siapa yang pernah mengalami penyakit saluran pencernaan sebelum menggunakan biogas? /Anak-anak (0-18 tahun)</t>
  </si>
  <si>
    <t>C. Dampak Kesehatan dan Sanitasi /C12. Siapa yang pernah mengalami penyakit saluran pencernaan setelah menggunakan biogas?</t>
  </si>
  <si>
    <t>C. Dampak Kesehatan dan Sanitasi /C12. Siapa yang pernah mengalami penyakit saluran pencernaan setelah menggunakan biogas? /Laki-laki dewasa</t>
  </si>
  <si>
    <t>C. Dampak Kesehatan dan Sanitasi /C12. Siapa yang pernah mengalami penyakit saluran pencernaan setelah menggunakan biogas? /Perempuan dewasa</t>
  </si>
  <si>
    <t>C. Dampak Kesehatan dan Sanitasi /C12. Siapa yang pernah mengalami penyakit saluran pencernaan setelah menggunakan biogas? /Anak-anak (0-18 tahun)</t>
  </si>
  <si>
    <t>D. Dampak Sosial-Ekonomi /D4. Untuk apa tambahan uang hasil penghematan atau tambahan  pendapatan dari penggunaan biogas tersebut Anda gunakan?.1</t>
  </si>
  <si>
    <t>D. Dampak Sosial-Ekonomi /D4. Untuk apa tambahan uang hasil penghematan atau tambahan  pendapatan dari penggunaan biogas tersebut Anda gunakan?/Tabungan.1</t>
  </si>
  <si>
    <t>D. Dampak Sosial-Ekonomi /D4. Untuk apa tambahan uang hasil penghematan atau tambahan  pendapatan dari penggunaan biogas tersebut Anda gunakan?/Kesehatan.1</t>
  </si>
  <si>
    <t>D. Dampak Sosial-Ekonomi /D4. Untuk apa tambahan uang hasil penghematan atau tambahan  pendapatan dari penggunaan biogas tersebut Anda gunakan?/Modal Usaha.1</t>
  </si>
  <si>
    <t>D. Dampak Sosial-Ekonomi /D4. Untuk apa tambahan uang hasil penghematan atau tambahan  pendapatan dari penggunaan biogas tersebut Anda gunakan?/Investasi lainnya.1</t>
  </si>
  <si>
    <t>D. Dampak Sosial-Ekonomi /D4. Untuk apa tambahan uang hasil penghematan atau tambahan  pendapatan dari penggunaan biogas tersebut Anda gunakan?/Kebutuhan rumah tangga.1</t>
  </si>
  <si>
    <t>D. Dampak Sosial-Ekonomi /D4. Untuk apa tambahan uang hasil penghematan atau tambahan  pendapatan dari penggunaan biogas tersebut Anda gunakan?/Pendidikan anggota keluarga.1</t>
  </si>
  <si>
    <t>D. Dampak Sosial-Ekonomi /D4. Untuk apa tambahan uang hasil penghematan atau tambahan  pendapatan dari penggunaan biogas tersebut Anda gunakan?/Lainnya.1</t>
  </si>
  <si>
    <t>C. Dampak Kesehatan dan Sanitasi /C14. Siapa yang pernah mengalami penyakit akibat gigitan nyamuk sebelum menggunakan biogas?</t>
  </si>
  <si>
    <t>C. Dampak Kesehatan dan Sanitasi /C14. Siapa yang pernah mengalami penyakit akibat gigitan nyamuk sebelum menggunakan biogas? /Laki-laki dewasa</t>
  </si>
  <si>
    <t>C. Dampak Kesehatan dan Sanitasi /C14. Siapa yang pernah mengalami penyakit akibat gigitan nyamuk sebelum menggunakan biogas? /Perempuan dewasa</t>
  </si>
  <si>
    <t>C. Dampak Kesehatan dan Sanitasi /C14. Siapa yang pernah mengalami penyakit akibat gigitan nyamuk sebelum menggunakan biogas? /Anak-anak (0-18 tahun)</t>
  </si>
  <si>
    <t>C. Dampak Kesehatan dan Sanitasi /C15. Siapa yang pernah mengalami penyakit akibat gigitan nyamuk setelah menggunakan biogas?</t>
  </si>
  <si>
    <t>C. Dampak Kesehatan dan Sanitasi /C15. Siapa yang pernah mengalami penyakit akibat gigitan nyamuk setelah menggunakan biogas? /Laki-laki dewasa</t>
  </si>
  <si>
    <t>C. Dampak Kesehatan dan Sanitasi /C15. Siapa yang pernah mengalami penyakit akibat gigitan nyamuk setelah menggunakan biogas? /Perempuan dewasa</t>
  </si>
  <si>
    <t>C. Dampak Kesehatan dan Sanitasi /C15. Siapa yang pernah mengalami penyakit akibat gigitan nyamuk setelah menggunakan biogas? /Anak-anak (0-18 tahun)</t>
  </si>
  <si>
    <t>C. Dampak Kesehatan dan Sanitasi /C17. Siapa yang pernah mengalami kecelakaan akibat api sebelum menggunakan  biogas?</t>
  </si>
  <si>
    <t>C. Dampak Kesehatan dan Sanitasi /C17. Siapa yang pernah mengalami kecelakaan akibat api sebelum menggunakan  biogas?/Laki-laki dewasa</t>
  </si>
  <si>
    <t>C. Dampak Kesehatan dan Sanitasi /C17. Siapa yang pernah mengalami kecelakaan akibat api sebelum menggunakan  biogas?/Perempuan dewasa</t>
  </si>
  <si>
    <t>C. Dampak Kesehatan dan Sanitasi /C17. Siapa yang pernah mengalami kecelakaan akibat api sebelum menggunakan  biogas?/Anak-anak (0-18 tahun)</t>
  </si>
  <si>
    <t>C. Dampak Kesehatan dan Sanitasi /C22. Bagaimana Anda menilai kondisi kesehatan umum anggota keluarga Anda setelah menggunakan biogas?</t>
  </si>
  <si>
    <t>C. Dampak Kesehatan dan Sanitasi /C23. Sebelum menggunakan biogas, dalam satu tahun berapa kali anggota keluarga Anda memeriksakan diri ke doket/rumah sakit?</t>
  </si>
  <si>
    <t>C. Dampak Kesehatan dan Sanitasi /C24. Setelah menggunakan biogas, dalam satu tahun berapa kali anggota keluarga Anda memeriksakan diri ke doket/rumah sakit?</t>
  </si>
  <si>
    <t>D. Dampak Sosial-Ekonomi /D9-a. Sebelum menggunakan biogas /Lainnya (anak-anak, pekerja, dsb)</t>
  </si>
  <si>
    <t>D. Dampak Sosial-Ekonomi /D9-b. Setelah menggunakan biogas/Lainnya (anak-anak, pekerja, dsb)</t>
  </si>
  <si>
    <t>D. Dampak Sosial-Ekonomi /D11-a. Jika ya, apa jenis pekerjaan yang dilakukan?</t>
  </si>
  <si>
    <t>D. Dampak Sosial-Ekonomi /D11-b. Jika tidak bekerja, mengapa?</t>
  </si>
  <si>
    <t>D. Dampak Sosial-Ekonomi /D12-a. Jika ya, apa jenis kegiatan sosial yang Anda ikuti?</t>
  </si>
  <si>
    <t>C. Dampak Kesehatan dan Sanitasi /C23. SEBELUM menggunakan biogas, dalam satu tahun berapa kali anggota keluarga Anda memeriksakan diri ke doket/rumah sakit?</t>
  </si>
  <si>
    <t>D. Dampak Sosial-Ekonomi /D20. Jika terdapat dana hibah untuk sumber pembiayaan, siapa pemberi  dana tersebut?</t>
  </si>
  <si>
    <t>D. Dampak Sosial-Ekonomi /D21. Jika terdapat kredit atau pinjaman untuk sumber pembiayaan, siapa  pemberi pinjaman tersebut?</t>
  </si>
  <si>
    <t>D. Dampak Sosial-Ekonomi /D23. Jika pinjaman atau kredit, siapa yang menghubungi pemberi  pinjaman?</t>
  </si>
  <si>
    <t>D. Dampak Sosial-Ekonomi /group_dx4op41_header/**Berapa lama waktu untuk  mengumpulkan kayu  bakar?**</t>
  </si>
  <si>
    <t>D. Dampak Sosial-Ekonomi /D24. Jika ada kontribusi pembiayaan sendiri, siapa yang memutuskan  untuk membiayai secara cash pemasangan biogas tersebut?.1</t>
  </si>
  <si>
    <t>D. Dampak Sosial-Ekonomi /group_dx4op41_header/**D9-a. Sebelum  menggunakan  biogas (menit)**</t>
  </si>
  <si>
    <t>D. Dampak Sosial-Ekonomi /group_dx4op41_header/**D9-b. Setelah  menggunakan biogas (menit)**</t>
  </si>
  <si>
    <t>D. Dampak Sosial-Ekonomi /D26. Setelah penggunaan biogas, berapa lama waktu yang dialokasikan  untuk memasak? (menit/hari)/Perempuan dewasa.1</t>
  </si>
  <si>
    <t>D. Dampak Sosial-Ekonomi /group_dx4op41_laki_laki_dewasa/##### Laki-laki dewasa</t>
  </si>
  <si>
    <t>D. Dampak Sosial-Ekonomi /D11-a. Jika menggunakan waktu yang dihemat untuk bekerja, apa jenis pekerjaan yang dilakukan?</t>
  </si>
  <si>
    <t>D. Dampak Sosial-Ekonomi /D26. Setelah penggunaan biogas, berapa lama waktu yang dialokasikan  untuk memasak? (menit/hari)/Laki-laki dewasa.1</t>
  </si>
  <si>
    <t>D. Dampak Sosial-Ekonomi /group_dx4op41_laki_laki_dewasa/&lt;span style="display:none"&gt;laki_laki_dewasa-D9-a. Sebelum  menggunakan  biogas (menit)&lt;/span&gt;</t>
  </si>
  <si>
    <t>D. Dampak Sosial-Ekonomi /D11-b. Jika tidak menggunakan waktu yang dihemat untuk bekerja, mengapa?</t>
  </si>
  <si>
    <t>D. Dampak Sosial-Ekonomi /group_dx4op41_laki_laki_dewasa/&lt;span style="display:none"&gt;laki_laki_dewasa-D9-b. Setelah  menggunakan biogas (menit)&lt;/span&gt;</t>
  </si>
  <si>
    <t>D. Dampak Sosial-Ekonomi /D12-a. Jika menggunakan waktu yang dihemat untuk aktivitas sosial, apa jenis kegiatan sosial yang Anda ikuti?</t>
  </si>
  <si>
    <t>D. Dampak Sosial-Ekonomi /D27. Setelah penggunaan biogas, berapa lama waktu yang dialokasikan  untuk mengoperasikan dan merawat biogas? (menit/hari)/Perempuan dewasa</t>
  </si>
  <si>
    <t>D. Dampak Sosial-Ekonomi /group_dx4op41_perempuan_dewasa/##### Perempuan dewasa</t>
  </si>
  <si>
    <t>D. Dampak Sosial-Ekonomi /D12-b. Jika tidak menggunakan waktu yang dihemat untuk aktivitas sosial melakukan aktivitas sosial, mengapa?</t>
  </si>
  <si>
    <t>D. Dampak Sosial-Ekonomi /D27. Setelah penggunaan biogas, berapa lama waktu yang dialokasikan  untuk mengoperasikan dan merawat biogas? (menit/hari)/Laki-laki dewasa</t>
  </si>
  <si>
    <t>D. Dampak Sosial-Ekonomi /group_dx4op41_perempuan_dewasa/&lt;span style="display:none"&gt;perempuan_dewasa-D9-a. Sebelum  menggunakan  biogas (menit)&lt;/span&gt;</t>
  </si>
  <si>
    <t>D. Dampak Sosial-Ekonomi /group_dx4op41_perempuan_dewasa/&lt;span style="display:none"&gt;perempuan_dewasa-D9-b. Setelah  menggunakan biogas (menit)&lt;/span&gt;</t>
  </si>
  <si>
    <t>D. Dampak Sosial-Ekonomi /group_dx4op41_lainnya_anak_anak_pekerja_dsb/##### Lainnya (anak-anak,  pekerja, dsb)</t>
  </si>
  <si>
    <t>D. Dampak Sosial-Ekonomi /group_dx4op41_lainnya_anak_anak_pekerja_dsb/&lt;span style="display:none"&gt;lainnya_anak_anak_pekerja_dsb-D9-a. Sebelum  menggunakan  biogas (menit)&lt;/span&gt;</t>
  </si>
  <si>
    <t>D. Dampak Sosial-Ekonomi /group_dx4op41_lainnya_anak_anak_pekerja_dsb/&lt;span style="display:none"&gt;lainnya_anak_anak_pekerja_dsb-D9-b. Setelah  menggunakan biogas (menit)&lt;/span&gt;</t>
  </si>
  <si>
    <t>D. Dampak Sosial-Ekonomi /D14. Apa bentuk bioslurry yang Anda jual?.1</t>
  </si>
  <si>
    <t>D. Dampak Sosial-Ekonomi /D14. Apa bentuk bioslurry yang Anda jual?/Cair.1</t>
  </si>
  <si>
    <t>D. Dampak Sosial-Ekonomi /D14. Apa bentuk bioslurry yang Anda jual?/Padat.1</t>
  </si>
  <si>
    <t>D. Dampak Sosial-Ekonomi /D11-b. Jika tidak, mengapa?</t>
  </si>
  <si>
    <t>D. Dampak Sosial-Ekonomi /D12-b. Jika tidak, mengapa?</t>
  </si>
  <si>
    <t>D. Dampak Sosial-Ekonomi /D15. Berapa bioslurry  yang terjual per  bulan?/tuliskan jumlah dalam satuan lain</t>
  </si>
  <si>
    <t>D. Dampak Sosial-Ekonomi /D15. Berapa bioslurry  yang terjual per  bulan?/kilogram (padat)</t>
  </si>
  <si>
    <t>E. Dampak Terhadap Agrikultur /E2. Berapa banyak hewan ternak yang dimiliki sekarang?/c. Sapi untuk kegunaan lainnya (misal kerbau).1</t>
  </si>
  <si>
    <t>E. Dampak Terhadap Agrikultur /E2. Berapa banyak hewan ternak yang dimiliki sekarang?/E2h-a. Hewan ternak apa yang Anda miliki sekarang?</t>
  </si>
  <si>
    <t>E. Dampak Terhadap Agrikultur /E3-a. Jika menjawab Lainnya, hewan ternak apa yang Anda miliki sebelum menggunakan biogas?</t>
  </si>
  <si>
    <t>E. Dampak Terhadap Agrikultur /E3. Hewan ternak apa saja yang Anda miliki sebelum menggunakan  biogas?.1</t>
  </si>
  <si>
    <t>E. Dampak Terhadap Agrikultur /E3. Hewan ternak apa saja yang Anda miliki sebelum menggunakan  biogas?/Sapi pedaging.1</t>
  </si>
  <si>
    <t>E. Dampak Terhadap Agrikultur /E3. Hewan ternak apa saja yang Anda miliki sebelum menggunakan  biogas?/Sapi perah.1</t>
  </si>
  <si>
    <t>E. Dampak Terhadap Agrikultur /E3. Hewan ternak apa saja yang Anda miliki sebelum menggunakan  biogas?/Sapi untuk penggunaan lain.1</t>
  </si>
  <si>
    <t>E. Dampak Terhadap Agrikultur /E3. Hewan ternak apa saja yang Anda miliki sebelum menggunakan  biogas?/Babi ternak.1</t>
  </si>
  <si>
    <t>E. Dampak Terhadap Agrikultur /E3. Hewan ternak apa saja yang Anda miliki sebelum menggunakan  biogas?/Kuda.1</t>
  </si>
  <si>
    <t>E. Dampak Terhadap Agrikultur /E3. Hewan ternak apa saja yang Anda miliki sebelum menggunakan  biogas?/Kambing.1</t>
  </si>
  <si>
    <t>E. Dampak Terhadap Agrikultur /E3. Hewan ternak apa saja yang Anda miliki sebelum menggunakan  biogas?/Ayam.1</t>
  </si>
  <si>
    <t>E. Dampak Terhadap Agrikultur /E3. Hewan ternak apa saja yang Anda miliki sebelum menggunakan  biogas?/Unggas lainnya.1</t>
  </si>
  <si>
    <t>D. Dampak Sosial-Ekonomi /D27. Setelah penggunaan biogas, berapa lama waktu yang dialokasikan  untuk mengoperasikan dan merawat biogas? (menit/hari)/Anak-anak dewasa</t>
  </si>
  <si>
    <t>E. Dampak Terhadap Agrikultur /group_ak5mu20_header/**E5. Bagaimana perubahan jumlah ternak sebelum menggunakan biogas? (Pertanyaan disesuaikan dengan jawaban E3)**</t>
  </si>
  <si>
    <t>E. Dampak Terhadap Agrikultur /group_ak5mu20_header/**Memiliki**</t>
  </si>
  <si>
    <t>E. Dampak Terhadap Agrikultur /group_ak5mu20_header/**Menjual**</t>
  </si>
  <si>
    <t>E. Dampak Terhadap Agrikultur /group_ak5mu20_header/**Membeli**</t>
  </si>
  <si>
    <t>E. Dampak Terhadap Agrikultur /group_ak5mu20_header/**Mati**</t>
  </si>
  <si>
    <t>E. Dampak Terhadap Agrikultur /group_ak5mu20_header/**Column**</t>
  </si>
  <si>
    <t>E. Dampak Terhadap Agrikultur /group_ak5mu20_a_sapi_pedaging/##### a. Sapi pedaging (ekor)</t>
  </si>
  <si>
    <t>E. Dampak Terhadap Agrikultur /group_ak5mu20_a_sapi_pedaging/&lt;span style="display:none"&gt;a_sapi_pedaging-Memiliki&lt;/span&gt;</t>
  </si>
  <si>
    <t>E. Dampak Terhadap Agrikultur /group_ak5mu20_a_sapi_pedaging/&lt;span style="display:none"&gt;a_sapi_pedaging-Menjual&lt;/span&gt;</t>
  </si>
  <si>
    <t>E. Dampak Terhadap Agrikultur /group_ak5mu20_a_sapi_pedaging/&lt;span style="display:none"&gt;a_sapi_pedaging-Membeli&lt;/span&gt;</t>
  </si>
  <si>
    <t>E. Dampak Terhadap Agrikultur /group_ak5mu20_a_sapi_pedaging/&lt;span style="display:none"&gt;a_sapi_pedaging-Mati&lt;/span&gt;</t>
  </si>
  <si>
    <t>E. Dampak Terhadap Agrikultur /group_ak5mu20_a_sapi_pedaging/&lt;span style="display:none"&gt;a_sapi_pedaging-Column&lt;/span&gt;</t>
  </si>
  <si>
    <t>E. Dampak Terhadap Agrikultur /group_ak5mu20_b. Sapi perah/##### b. Sapi perah (ekor)</t>
  </si>
  <si>
    <t>E. Dampak Terhadap Agrikultur /group_ak5mu20_b. Sapi perah/&lt;span style="display:none"&gt;b. Sapi perah-Memiliki&lt;/span&gt;</t>
  </si>
  <si>
    <t>E. Dampak Terhadap Agrikultur /group_ak5mu20_b. Sapi perah/&lt;span style="display:none"&gt;b. Sapi perah-Menjual&lt;/span&gt;</t>
  </si>
  <si>
    <t>E. Dampak Terhadap Agrikultur /group_ak5mu20_b. Sapi perah/&lt;span style="display:none"&gt;b. Sapi perah-Membeli&lt;/span&gt;</t>
  </si>
  <si>
    <t>E. Dampak Terhadap Agrikultur /group_ak5mu20_b. Sapi perah/&lt;span style="display:none"&gt;b. Sapi perah-Mati&lt;/span&gt;</t>
  </si>
  <si>
    <t>E. Dampak Terhadap Agrikultur /group_ak5mu20_b. Sapi perah/&lt;span style="display:none"&gt;b. Sapi perah-Column&lt;/span&gt;</t>
  </si>
  <si>
    <t>E. Dampak Terhadap Agrikultur /group_ak5mu20_c_sapi_untuk_kegunaan_lainnya/##### c. Sapi untuk kegunaan lainnya (ekor)</t>
  </si>
  <si>
    <t>E. Dampak Terhadap Agrikultur /group_ak5mu20_c_sapi_untuk_kegunaan_lainnya/&lt;span style="display:none"&gt;c_sapi_untuk_kegunaan_lainnya-Memiliki&lt;/span&gt;</t>
  </si>
  <si>
    <t>E. Dampak Terhadap Agrikultur /group_ak5mu20_c_sapi_untuk_kegunaan_lainnya/&lt;span style="display:none"&gt;c_sapi_untuk_kegunaan_lainnya-Menjual&lt;/span&gt;</t>
  </si>
  <si>
    <t>E. Dampak Terhadap Agrikultur /group_ak5mu20_c_sapi_untuk_kegunaan_lainnya/&lt;span style="display:none"&gt;c_sapi_untuk_kegunaan_lainnya-Membeli&lt;/span&gt;</t>
  </si>
  <si>
    <t>E. Dampak Terhadap Agrikultur /group_ak5mu20_c_sapi_untuk_kegunaan_lainnya/&lt;span style="display:none"&gt;c_sapi_untuk_kegunaan_lainnya-Mati&lt;/span&gt;</t>
  </si>
  <si>
    <t>E. Dampak Terhadap Agrikultur /group_ak5mu20_c_sapi_untuk_kegunaan_lainnya/&lt;span style="display:none"&gt;c_sapi_untuk_kegunaan_lainnya-Column&lt;/span&gt;</t>
  </si>
  <si>
    <t>E. Dampak Terhadap Agrikultur /group_ak5mu20_d_babi_ternak/##### d. Babi ternak (ekor)</t>
  </si>
  <si>
    <t>E. Dampak Terhadap Agrikultur /group_ak5mu20_d_babi_ternak/&lt;span style="display:none"&gt;d_babi_ternak-Memiliki&lt;/span&gt;</t>
  </si>
  <si>
    <t>E. Dampak Terhadap Agrikultur /group_ak5mu20_d_babi_ternak/&lt;span style="display:none"&gt;d_babi_ternak-Menjual&lt;/span&gt;</t>
  </si>
  <si>
    <t>E. Dampak Terhadap Agrikultur /group_ak5mu20_d_babi_ternak/&lt;span style="display:none"&gt;d_babi_ternak-Membeli&lt;/span&gt;</t>
  </si>
  <si>
    <t>E. Dampak Terhadap Agrikultur /group_ak5mu20_d_babi_ternak/&lt;span style="display:none"&gt;d_babi_ternak-Mati&lt;/span&gt;</t>
  </si>
  <si>
    <t>E. Dampak Terhadap Agrikultur /group_ak5mu20_d_babi_ternak/&lt;span style="display:none"&gt;d_babi_ternak-Column&lt;/span&gt;</t>
  </si>
  <si>
    <t>E. Dampak Terhadap Agrikultur /group_ak5mu20_e_kuda/##### e. Kuda (ekor)</t>
  </si>
  <si>
    <t>E. Dampak Terhadap Agrikultur /group_ak5mu20_e_kuda/&lt;span style="display:none"&gt;e_kuda-Memiliki&lt;/span&gt;</t>
  </si>
  <si>
    <t>E. Dampak Terhadap Agrikultur /group_ak5mu20_e_kuda/&lt;span style="display:none"&gt;e_kuda-Menjual&lt;/span&gt;</t>
  </si>
  <si>
    <t>E. Dampak Terhadap Agrikultur /group_ak5mu20_e_kuda/&lt;span style="display:none"&gt;e_kuda-Membeli&lt;/span&gt;</t>
  </si>
  <si>
    <t>E. Dampak Terhadap Agrikultur /group_ak5mu20_e_kuda/&lt;span style="display:none"&gt;e_kuda-Mati&lt;/span&gt;</t>
  </si>
  <si>
    <t>E. Dampak Terhadap Agrikultur /group_ak5mu20_e_kuda/&lt;span style="display:none"&gt;e_kuda-Column&lt;/span&gt;</t>
  </si>
  <si>
    <t>E. Dampak Terhadap Agrikultur /group_ak5mu20_f. Kambing/##### f. Kambing (ekor)</t>
  </si>
  <si>
    <t>E. Dampak Terhadap Agrikultur /group_ak5mu20_f. Kambing/&lt;span style="display:none"&gt;f. Kambing-Memiliki&lt;/span&gt;</t>
  </si>
  <si>
    <t>E. Dampak Terhadap Agrikultur /group_ak5mu20_f. Kambing/&lt;span style="display:none"&gt;f. Kambing-Menjual&lt;/span&gt;</t>
  </si>
  <si>
    <t>E. Dampak Terhadap Agrikultur /group_ak5mu20_f. Kambing/&lt;span style="display:none"&gt;f. Kambing-Membeli&lt;/span&gt;</t>
  </si>
  <si>
    <t>E. Dampak Terhadap Agrikultur /group_ak5mu20_f. Kambing/&lt;span style="display:none"&gt;f. Kambing-Mati&lt;/span&gt;</t>
  </si>
  <si>
    <t>E. Dampak Terhadap Agrikultur /group_ak5mu20_f. Kambing/&lt;span style="display:none"&gt;f. Kambing-Column&lt;/span&gt;</t>
  </si>
  <si>
    <t>E. Dampak Terhadap Agrikultur /group_ak5mu20_g_ayam/##### g. Ayam (ekor)</t>
  </si>
  <si>
    <t>E. Dampak Terhadap Agrikultur /group_ak5mu20_g_ayam/&lt;span style="display:none"&gt;g_ayam-Memiliki&lt;/span&gt;</t>
  </si>
  <si>
    <t>E. Dampak Terhadap Agrikultur /group_ak5mu20_g_ayam/&lt;span style="display:none"&gt;g_ayam-Menjual&lt;/span&gt;</t>
  </si>
  <si>
    <t>E. Dampak Terhadap Agrikultur /group_ak5mu20_g_ayam/&lt;span style="display:none"&gt;g_ayam-Membeli&lt;/span&gt;</t>
  </si>
  <si>
    <t>E. Dampak Terhadap Agrikultur /group_ak5mu20_g_ayam/&lt;span style="display:none"&gt;g_ayam-Mati&lt;/span&gt;</t>
  </si>
  <si>
    <t>E. Dampak Terhadap Agrikultur /group_ak5mu20_g_ayam/&lt;span style="display:none"&gt;g_ayam-Column&lt;/span&gt;</t>
  </si>
  <si>
    <t>E. Dampak Terhadap Agrikultur /group_ak5mu20_h_unggas_lainnya/##### h. Unggas lainnya (ekor)</t>
  </si>
  <si>
    <t>E. Dampak Terhadap Agrikultur /group_ak5mu20_h_unggas_lainnya/&lt;span style="display:none"&gt;h_unggas_lainnya-Memiliki&lt;/span&gt;</t>
  </si>
  <si>
    <t>E. Dampak Terhadap Agrikultur /group_ak5mu20_h_unggas_lainnya/&lt;span style="display:none"&gt;h_unggas_lainnya-Menjual&lt;/span&gt;</t>
  </si>
  <si>
    <t>E. Dampak Terhadap Agrikultur /group_ak5mu20_h_unggas_lainnya/&lt;span style="display:none"&gt;h_unggas_lainnya-Membeli&lt;/span&gt;</t>
  </si>
  <si>
    <t>E. Dampak Terhadap Agrikultur /group_ak5mu20_h_unggas_lainnya/&lt;span style="display:none"&gt;h_unggas_lainnya-Mati&lt;/span&gt;</t>
  </si>
  <si>
    <t>E. Dampak Terhadap Agrikultur /group_ak5mu20_h_unggas_lainnya/&lt;span style="display:none"&gt;h_unggas_lainnya-Column&lt;/span&gt;</t>
  </si>
  <si>
    <t>E. Dampak Terhadap Agrikultur /E7. Bagaimana Anda mengelola kesehatan ternak Anda?  (misal: pemberian vaksin)/h. Lainnya</t>
  </si>
  <si>
    <t>E. Dampak Terhadap Agrikultur /E8. Seberapa sering Anda merawat atau membersihkan kandang ternak?/h. Lainnya</t>
  </si>
  <si>
    <t>E. Dampak Terhadap Agrikultur /E25. Jenis pupuk apa yang Anda gunakan sebelum menggunakan bioslurry  untuk pertanian?</t>
  </si>
  <si>
    <t>E. Dampak Terhadap Agrikultur /E10. Berapa banyak kotoran ternak yang dimasukkan ke dalam biodigester?/h. Lainnya</t>
  </si>
  <si>
    <t>E. Dampak Terhadap Agrikultur /E36. Jika tidak memanfaatkan bioslurry, mengapa?.1</t>
  </si>
  <si>
    <t>E. Dampak Terhadap Agrikultur /E36. Jika tidak memanfaatkan bioslurry, mengapa? /tidak/kurang baik untuk tanaman</t>
  </si>
  <si>
    <t>E. Dampak Terhadap Agrikultur /E36. Jika tidak memanfaatkan bioslurry, mengapa? /tidak memiliki tempat untuk menyimpan</t>
  </si>
  <si>
    <t>E. Dampak Terhadap Agrikultur /E36. Jika tidak memanfaatkan bioslurry, mengapa? /tidak punya waktu mengumpulkannya</t>
  </si>
  <si>
    <t>E. Dampak Terhadap Agrikultur /E36. Jika tidak memanfaatkan bioslurry, mengapa? /ladang/sawah terlalu jauh, sulit untuk mengangkut ke sana</t>
  </si>
  <si>
    <t>E. Dampak Terhadap Agrikultur /E36. Jika tidak memanfaatkan bioslurry, mengapa? /belum tau bahwa bioslurry bagus untuk pupuk</t>
  </si>
  <si>
    <t>E. Dampak Terhadap Agrikultur /E36. Jika tidak memanfaatkan bioslurry, mengapa? /lebih praktis menggunakan pupuk kimia</t>
  </si>
  <si>
    <t>E. Dampak Terhadap Agrikultur /E36. Jika tidak memanfaatkan bioslurry, mengapa? /lainnya</t>
  </si>
  <si>
    <t>E. Dampak Terhadap Agrikultur /E11. Seberapa sering Anda memberi pakan ternak Anda?/h. Lainnya</t>
  </si>
  <si>
    <t>E. Dampak Terhadap Agrikultur /E12. Apa tipe pakan utama untuk ternak?/h. Lainnya</t>
  </si>
  <si>
    <t>G. Kepuasan dan Persepsi Pengguna /G8. Jika Anda merasa kurang puas, mengapa?.1</t>
  </si>
  <si>
    <t>G. Kepuasan dan Persepsi Pengguna /G8. Jika Anda merasa kurang puas, mengapa?/ Pelayanan kurang ramah.1</t>
  </si>
  <si>
    <t>G. Kepuasan dan Persepsi Pengguna /G8. Jika Anda merasa kurang puas, mengapa?/ Pelatihan yang diberikan kurang menyeluruh/tidak lengkap atau tidak  ada pelatihan.1</t>
  </si>
  <si>
    <t>G. Kepuasan dan Persepsi Pengguna /G8. Jika Anda merasa kurang puas, mengapa?/Sulit dihubungi ketika biogas bermasalah.1</t>
  </si>
  <si>
    <t>G. Kepuasan dan Persepsi Pengguna /G8. Jika Anda merasa kurang puas, mengapa?/Biogas yang dibangun sulit/tidak bisa langsung dioperasikan setelah  dibangun.1</t>
  </si>
  <si>
    <t>G. Kepuasan dan Persepsi Pengguna /G8. Jika Anda merasa kurang puas, mengapa?/ Monitoring/pengawasan tidak rutin.1</t>
  </si>
  <si>
    <t>G. Kepuasan dan Persepsi Pengguna /G8. Jika Anda merasa kurang puas, mengapa?/Penanganan kerusakannya lambat.1</t>
  </si>
  <si>
    <t>G. Kepuasan dan Persepsi Pengguna /G8. Jika Anda merasa kurang puas, mengapa?/Kualitas yang diberikan tidak sesuai biaya yang dikeluarkan.1</t>
  </si>
  <si>
    <t>G. Kepuasan dan Persepsi Pengguna /G8. Jika Anda merasa kurang puas, mengapa?/ Lainnya.1</t>
  </si>
  <si>
    <t>G. Kepuasan dan Persepsi Pengguna /G10. Jika menghubungi CPO, siapa yang menghubungi?.1</t>
  </si>
  <si>
    <t>G. Kepuasan dan Persepsi Pengguna /G11. Bagaimana Anda menghubungi CPO?.1</t>
  </si>
  <si>
    <t>G. Kepuasan dan Persepsi Pengguna /G14. Apa saja manfaat yang Anda rasakan dari memiliki instalasi biogas?.1</t>
  </si>
  <si>
    <t>G. Kepuasan dan Persepsi Pengguna /G14. Apa saja manfaat yang Anda rasakan dari memiliki instalasi biogas?/Pengurangan pengeluaran  rumah tangga (bahan bakar  minyak, pupuk, dll.).1</t>
  </si>
  <si>
    <t>G. Kepuasan dan Persepsi Pengguna /G14. Apa saja manfaat yang Anda rasakan dari memiliki instalasi biogas?/ Lebih mudah mendapatkan  energi.1</t>
  </si>
  <si>
    <t>G. Kepuasan dan Persepsi Pengguna /G14. Apa saja manfaat yang Anda rasakan dari memiliki instalasi biogas?/Pasokan energi yang andal.1</t>
  </si>
  <si>
    <t>G. Kepuasan dan Persepsi Pengguna /G14. Apa saja manfaat yang Anda rasakan dari memiliki instalasi biogas?/ Memasak lebih cepat.1</t>
  </si>
  <si>
    <t>G. Kepuasan dan Persepsi Pengguna /G14. Apa saja manfaat yang Anda rasakan dari memiliki instalasi biogas?/ Lebih aman.1</t>
  </si>
  <si>
    <t>G. Kepuasan dan Persepsi Pengguna /G14. Apa saja manfaat yang Anda rasakan dari memiliki instalasi biogas?/ Pengurangan waktu dan tenaga.1</t>
  </si>
  <si>
    <t>G. Kepuasan dan Persepsi Pengguna /G14. Apa saja manfaat yang Anda rasakan dari memiliki instalasi biogas?/Peningkatan kebersihan  kandang ternak.1</t>
  </si>
  <si>
    <t>G. Kepuasan dan Persepsi Pengguna /G14. Apa saja manfaat yang Anda rasakan dari memiliki instalasi biogas?/Pemanfaatan bio-slurry sebagai  pupuk.1</t>
  </si>
  <si>
    <t>G. Kepuasan dan Persepsi Pengguna /G14. Apa saja manfaat yang Anda rasakan dari memiliki instalasi biogas?/Dapur lebih bersih dan bebas  asap.1</t>
  </si>
  <si>
    <t>G. Kepuasan dan Persepsi Pengguna /G14. Apa saja manfaat yang Anda rasakan dari memiliki instalasi biogas?/Dapat dibayar melalui skema  kredit.1</t>
  </si>
  <si>
    <t>G. Kepuasan dan Persepsi Pengguna /G14. Apa saja manfaat yang Anda rasakan dari memiliki instalasi biogas?/ Mendapatkan subsidi.1</t>
  </si>
  <si>
    <t>G. Kepuasan dan Persepsi Pengguna /G14. Apa saja manfaat yang Anda rasakan dari memiliki instalasi biogas?/Lainnya.1</t>
  </si>
  <si>
    <t>E. Dampak Terhadap Agrikultur /E22. Berapa luas lahan Anda (m2) yang menggunakan bioslurry sebagai  pupuk?</t>
  </si>
  <si>
    <t>E. Dampak Terhadap Agrikultur /E13-a. Dalam bentuk apa bioslurry yang Anda gunakan?.1</t>
  </si>
  <si>
    <t>E. Dampak Terhadap Agrikultur /E13-a. Dalam bentuk apa bioslurry yang Anda gunakan?/Padat.1</t>
  </si>
  <si>
    <t>E. Dampak Terhadap Agrikultur /E13-a. Dalam bentuk apa bioslurry yang Anda gunakan?/Cair.1</t>
  </si>
  <si>
    <t>E. Dampak Terhadap Agrikultur /E26-a. Berapa harga pupuk tersebut (saat sebelum menggunakan bioslurry  ) ?</t>
  </si>
  <si>
    <t>E. Dampak Terhadap Agrikultur /E14. Berapa banyak bioslurry yang Anda gunakan setiap hari yang berasal  dari sistem biogas Anda?/lkg/hari (padat)</t>
  </si>
  <si>
    <t>E. Dampak Terhadap Agrikultur /E27. Berapa banyak pupuk kimia yang Anda gunakan setelah menggantinya  dengan bioslurry?</t>
  </si>
  <si>
    <t>E. Dampak Terhadap Agrikultur /E30. Apakah bio-slurry memungkinkan Anda untuk menanam jenis tanaman  baru?</t>
  </si>
  <si>
    <t>E. Dampak Terhadap Agrikultur /E24. Berapa jumlah bioslurry yang Anda gunakan untuk digunakan di lahan pertanian Anda dalam sekali pemakaian?/kilogram (padat)</t>
  </si>
  <si>
    <t>G. Kepuasan dan Persepsi Pengguna /G9. Jika ada kerusakan, apa yang Anda lakukan?.1</t>
  </si>
  <si>
    <t>G. Kepuasan dan Persepsi Pengguna /D9. Apakah Anda merasa mendapat bantuan yang cukup dari CPO saat menghadapi masalah dengan sistem biogas?</t>
  </si>
  <si>
    <t>G. Kepuasan dan Persepsi Pengguna /D10. Apakah Anda menerima pelatihan tentang pengoperasian dan pemeliharaan biogas?</t>
  </si>
  <si>
    <t>G. Kepuasan dan Persepsi Pengguna /D11. Jika ya, seberapa bermanfaat pelatihan tersebut?</t>
  </si>
  <si>
    <t>G. Kepuasan dan Persepsi Pengguna /D12. Apakah Anda tahu mekanisme konsultasi atau pengaduan jika terjadi masalah dengan biogas?</t>
  </si>
  <si>
    <t>G. Kepuasan dan Persepsi Pengguna /D13. Apakah Anda memiliki saran untuk meningkatkan layanan biogas?</t>
  </si>
  <si>
    <t>G. Kepuasan dan Persepsi Pengguna /D14. Apakah Anda merasa didengar oleh pihak penyedia layanan saat memberikan masukan?</t>
  </si>
  <si>
    <t>G. Kepuasan dan Persepsi Pengguna /D15. Apa manfaat terbesar yang Anda rasakan dari memiliki instalasi biogas? (Pilih satu)</t>
  </si>
  <si>
    <t>G. Kepuasan dan Persepsi Pengguna /D16. Apa manfaat lainnya yang Anda rasakan dari memiliki instalasi biogas? (Boleh pilih lebih dari satu)</t>
  </si>
  <si>
    <t>G. Kepuasan dan Persepsi Pengguna /D16. Apa manfaat lainnya yang Anda rasakan dari memiliki instalasi biogas? (Boleh pilih lebih dari satu)/(a) Pengurangan pengeluaran rumah tangga (bahan bakar minyak, pupuk, dll.)</t>
  </si>
  <si>
    <t>G. Kepuasan dan Persepsi Pengguna /D16. Apa manfaat lainnya yang Anda rasakan dari memiliki instalasi biogas? (Boleh pilih lebih dari satu)/(b) Lebih mudah mendapatkan energi</t>
  </si>
  <si>
    <t>G. Kepuasan dan Persepsi Pengguna /D16. Apa manfaat lainnya yang Anda rasakan dari memiliki instalasi biogas? (Boleh pilih lebih dari satu)/(c) Pasokan energi yang andal</t>
  </si>
  <si>
    <t>G. Kepuasan dan Persepsi Pengguna /D16. Apa manfaat lainnya yang Anda rasakan dari memiliki instalasi biogas? (Boleh pilih lebih dari satu)/(d) Memasak lebih cepat</t>
  </si>
  <si>
    <t>G. Kepuasan dan Persepsi Pengguna /D16. Apa manfaat lainnya yang Anda rasakan dari memiliki instalasi biogas? (Boleh pilih lebih dari satu)/(e) Lebih aman</t>
  </si>
  <si>
    <t>G. Kepuasan dan Persepsi Pengguna /D16. Apa manfaat lainnya yang Anda rasakan dari memiliki instalasi biogas? (Boleh pilih lebih dari satu)/(f) Pengurangan waktu dan tenaga untuk mengumpulkan kayu bakar</t>
  </si>
  <si>
    <t>G. Kepuasan dan Persepsi Pengguna /D16. Apa manfaat lainnya yang Anda rasakan dari memiliki instalasi biogas? (Boleh pilih lebih dari satu)/(g) Peningkatan kebersihan kandang ternak</t>
  </si>
  <si>
    <t>G. Kepuasan dan Persepsi Pengguna /D16. Apa manfaat lainnya yang Anda rasakan dari memiliki instalasi biogas? (Boleh pilih lebih dari satu)/(h) Pemanfaatan bio-slurry sebagai pupuk</t>
  </si>
  <si>
    <t>G. Kepuasan dan Persepsi Pengguna /D16. Apa manfaat lainnya yang Anda rasakan dari memiliki instalasi biogas? (Boleh pilih lebih dari satu)/(i) Dapur bebas asap</t>
  </si>
  <si>
    <t>G. Kepuasan dan Persepsi Pengguna /D16. Apa manfaat lainnya yang Anda rasakan dari memiliki instalasi biogas? (Boleh pilih lebih dari satu)/(j) Dapat dibayar melalui skema kredit</t>
  </si>
  <si>
    <t>G. Kepuasan dan Persepsi Pengguna /D16. Apa manfaat lainnya yang Anda rasakan dari memiliki instalasi biogas? (Boleh pilih lebih dari satu)/(k) Mendapatkan subsidi</t>
  </si>
  <si>
    <t>G. Kepuasan dan Persepsi Pengguna /D16. Apa manfaat lainnya yang Anda rasakan dari memiliki instalasi biogas? (Boleh pilih lebih dari satu)/(l) Lainnya</t>
  </si>
  <si>
    <t>_id</t>
  </si>
  <si>
    <t>_uuid</t>
  </si>
  <si>
    <t>_submission_time</t>
  </si>
  <si>
    <t>_validation_status</t>
  </si>
  <si>
    <t>_notes</t>
  </si>
  <si>
    <t>_status</t>
  </si>
  <si>
    <t>_submitted_by</t>
  </si>
  <si>
    <t>__version__</t>
  </si>
  <si>
    <t>_tags</t>
  </si>
  <si>
    <t>meta/rootUuid</t>
  </si>
  <si>
    <t>_index</t>
  </si>
  <si>
    <t>plant_code_validated</t>
  </si>
  <si>
    <t>validation_match_score</t>
  </si>
  <si>
    <t>validation_match_details</t>
  </si>
  <si>
    <t>B5-a1_valid</t>
  </si>
  <si>
    <t>B5-b1_valid</t>
  </si>
  <si>
    <t>B5-c1_valid</t>
  </si>
  <si>
    <t>B5-d1_valid</t>
  </si>
  <si>
    <t>B5-e1_valid</t>
  </si>
  <si>
    <t>B5-f1_valid</t>
  </si>
  <si>
    <t>B6-a1_corrected</t>
  </si>
  <si>
    <t>B6-b1_corrected</t>
  </si>
  <si>
    <t>B6-c1_corrected</t>
  </si>
  <si>
    <t>B6-d1_corrected</t>
  </si>
  <si>
    <t>B6-e1_corrected</t>
  </si>
  <si>
    <t>B6-f1_corrected</t>
  </si>
  <si>
    <t>Siti Nurhalisa S</t>
  </si>
  <si>
    <t>Dg. Habo</t>
  </si>
  <si>
    <t>-5.056441 119.686273 260.79 1.4279999732971191</t>
  </si>
  <si>
    <t>-5.055387 119.685641 62.835 0.7210000157356262</t>
  </si>
  <si>
    <t>Sulawesi Selatan</t>
  </si>
  <si>
    <t>Maros</t>
  </si>
  <si>
    <t>Simbang</t>
  </si>
  <si>
    <t>Sambueja</t>
  </si>
  <si>
    <t>CV. RIZKI ABADI</t>
  </si>
  <si>
    <t>RAP0081</t>
  </si>
  <si>
    <t>Seng</t>
  </si>
  <si>
    <t>Tetangga Teman/keluarga Komunitas lokal</t>
  </si>
  <si>
    <t>Sebagian</t>
  </si>
  <si>
    <t>15-30 kg</t>
  </si>
  <si>
    <t>Kebutuhan rumah tangga Pendidikan anggota keluarga</t>
  </si>
  <si>
    <t>Bekerja</t>
  </si>
  <si>
    <t>Bertani</t>
  </si>
  <si>
    <t>Karena ingin lebih fokus untuk bertani</t>
  </si>
  <si>
    <t>Penggembalaan semi-terbuka</t>
  </si>
  <si>
    <t>Sangat jarang (&gt;1 bulan sekali)</t>
  </si>
  <si>
    <t>Cukup (2-6 hari sekali)</t>
  </si>
  <si>
    <t>2-Disimpan basah (slurry)</t>
  </si>
  <si>
    <t>8-Dibiarkan tersebar di ladang penggembalaan</t>
  </si>
  <si>
    <t>Cair</t>
  </si>
  <si>
    <t>Padi dan jagung</t>
  </si>
  <si>
    <t>Manfaat besar/jelas/mengubah kehidupan sehari-hari</t>
  </si>
  <si>
    <t>-</t>
  </si>
  <si>
    <t>Penambahan bantuan hewan ternak</t>
  </si>
  <si>
    <t>Pengurangan pengeluaran rumah tangga (bahan bakar minyak, pupuk, dll.) Peningkatan kebersihan kandang ternak Pemanfaatan bio-slurry sebagai pupuk</t>
  </si>
  <si>
    <t>IMG-20260129-WA0000-10_44_22.jpg</t>
  </si>
  <si>
    <t>https://drive.google.com/drive/folders/1MBSuJmomFFgYSRIkbDt3pNqfBAMkNO5z</t>
  </si>
  <si>
    <t>IMG-20260129-WA0035-10_46_20.jpg</t>
  </si>
  <si>
    <t>Responden menyebutkan hasil pertanian dalam bentuk karung, 1 karung sebanyak 52kg</t>
  </si>
  <si>
    <t>b. Pelatihan</t>
  </si>
  <si>
    <t>398a132b-8175-4f76-b113-348c3c5bc2f2</t>
  </si>
  <si>
    <t>submitted_via_web</t>
  </si>
  <si>
    <t>v77EHCKwkE9g35fmSqxBJL</t>
  </si>
  <si>
    <t>uuid:398a132b-8175-4f76-b113-348c3c5bc2f2</t>
  </si>
  <si>
    <t>Year of Use valid, no validation needed</t>
  </si>
  <si>
    <t>Febri Hasanah</t>
  </si>
  <si>
    <t>Mado</t>
  </si>
  <si>
    <t>-5.497072 119.535618 119.2848575514998 14.61400032043457</t>
  </si>
  <si>
    <t>-5.497178 119.535455 119.01333095911872 4.182000160217285</t>
  </si>
  <si>
    <t>Jeneponto</t>
  </si>
  <si>
    <t>Bangkala Barat</t>
  </si>
  <si>
    <t>Bulujaya</t>
  </si>
  <si>
    <t>CV.RIZKI ABADI</t>
  </si>
  <si>
    <t>RAP0024</t>
  </si>
  <si>
    <t>Tidak sekolah</t>
  </si>
  <si>
    <t>4 m³ (2-3 ekor sapi, ±3 jam memasak/hari, ±30 kg slurry/hari)</t>
  </si>
  <si>
    <t>Perpindahan tempat tinggal</t>
  </si>
  <si>
    <t>Buku manual</t>
  </si>
  <si>
    <t>Tidak mengetahui</t>
  </si>
  <si>
    <t>Kurang memahami</t>
  </si>
  <si>
    <t>Tidak ada peningkatan pendapatan</t>
  </si>
  <si>
    <t>Tidak memiliki waktu luang lebih banyak. Sama saja</t>
  </si>
  <si>
    <t>0 (100% sumber pembiayaan dari hibah)</t>
  </si>
  <si>
    <t>Penggembalaan terbuka</t>
  </si>
  <si>
    <t>Pembenah tanah (soil conditioner) Media untuk pembibitan tanaman</t>
  </si>
  <si>
    <t>Cabe</t>
  </si>
  <si>
    <t>Tidak ada kerusakan</t>
  </si>
  <si>
    <t>Pengurangan pengeluaran rumah tangga (bahan bakar minyak, pupuk, dll.) Pasokan energi yang andal Lebih aman Pemanfaatan bio-slurry sebagai pupuk</t>
  </si>
  <si>
    <t>Didukung oleh pihak lain atau ada subsidi</t>
  </si>
  <si>
    <t>WhatsApp Image 2026-02-03 at 14.51.51-23_5_23.jpeg</t>
  </si>
  <si>
    <t>https://kf.kobotoolbox.org/api/v2/assets/avstPQqLr3Ab3ZdcVTXZ6f/data/665482326/attachments/attDNyGNxPHANeg3sMdXEP6h/</t>
  </si>
  <si>
    <t>WhatsApp Image 2026-02-03 at 14.51.51-23_5_31.jpeg</t>
  </si>
  <si>
    <t>https://kf.kobotoolbox.org/api/v2/assets/avstPQqLr3Ab3ZdcVTXZ6f/data/665482326/attachments/att5XMXrbCuasDQ2abHvgyyN/</t>
  </si>
  <si>
    <t>febriihasanah</t>
  </si>
  <si>
    <t>Karena ybs pindah rumah, jadi biodigester tidak ada lagi di rumah beliau. Titik koordinat biodigester diambil di belakang rumah tempat kandang sapi. Rumah yang sekarang berlokasi cukup jauh dari rumah lama yang dialihfungsikan menjadi kandang ayam.</t>
  </si>
  <si>
    <t>0219d684-dfd1-441a-8e11-f77729d13f5e</t>
  </si>
  <si>
    <t>vyNMZfRj9dojjrwxZxh2FZ</t>
  </si>
  <si>
    <t>uuid:6620993d-e2c1-4956-ae25-55e22b65a6d2</t>
  </si>
  <si>
    <t>Laylah</t>
  </si>
  <si>
    <t>Abdul Salam Dg Ngirate</t>
  </si>
  <si>
    <t>-4.794827 119.538513 10.200000000000003 3.75</t>
  </si>
  <si>
    <t>-4.795089 119.538476 23.7 3.5239999294281006</t>
  </si>
  <si>
    <t>Pangkajene</t>
  </si>
  <si>
    <t>Lakbakkang</t>
  </si>
  <si>
    <t>Batebulo Dalam</t>
  </si>
  <si>
    <t>IBU ROS</t>
  </si>
  <si>
    <t>RAP0114</t>
  </si>
  <si>
    <t>Semi-permanen (semen dan kayu)</t>
  </si>
  <si>
    <t>Kurangnya dukungan atau pemantauan dari pemerintah atau CPO Tidak ada masalah</t>
  </si>
  <si>
    <t>Tetangga Komunitas lokal</t>
  </si>
  <si>
    <t>Lebih dari 4 kali</t>
  </si>
  <si>
    <t>Tabungan Kebutuhan rumah tangga Pendidikan anggota keluarga</t>
  </si>
  <si>
    <t>Istirahat Bekerja</t>
  </si>
  <si>
    <t>Usia sudah lanjut sehingga dimanfaatkan untuk istirahat</t>
  </si>
  <si>
    <t>Lebih banyak istirahat</t>
  </si>
  <si>
    <t>Pupuk cair untuk tanaman Pembenah tanah (soil conditioner) Pestisida organik</t>
  </si>
  <si>
    <t>Padi, perkebunan</t>
  </si>
  <si>
    <t>Beberapa diberikan ke tetangga secara gratis</t>
  </si>
  <si>
    <t>Dilakukan perawatan setiap tahun dengan anggaran program</t>
  </si>
  <si>
    <t>Pengurangan pengeluaran rumah tangga (bahan bakar minyak, pupuk, dll.) Pemanfaatan bio-slurry sebagai pupuk Dapur lebih bersih dan bebas asap</t>
  </si>
  <si>
    <t>1000366911-21_26_25.jpg</t>
  </si>
  <si>
    <t>https://kf.kobotoolbox.org/api/v2/assets/avstPQqLr3Ab3ZdcVTXZ6f/data/666067792/attachments/attmqV7NnfnQea3cNMhEna4J/</t>
  </si>
  <si>
    <t>1000366879-21_26_56.jpg</t>
  </si>
  <si>
    <t>https://kf.kobotoolbox.org/api/v2/assets/avstPQqLr3Ab3ZdcVTXZ6f/data/666067792/attachments/attE5HwDReNZ4qxY9VpEyaKx/</t>
  </si>
  <si>
    <t>A35. Dulu ada anggota yang bantu kerjakan, namun saat diwawancara sudah tidak ada karena tidak ada. dana untuk membayar pekerja. A40 komunitas lokal: kelompok tani. E28-E29 hasil yang didapat hanya disebutkan karung dengan rentang isi 30-50kg. Konversi dilakukan dengan 50kg.</t>
  </si>
  <si>
    <t>475d94b9-91d6-4196-8c69-7ae77d829176</t>
  </si>
  <si>
    <t>uuid:89d37258-246f-4a0a-b09b-3ae01ab36e71</t>
  </si>
  <si>
    <t>Asri</t>
  </si>
  <si>
    <t>-4.838687 119.599798 57.599999999999994 2.700000047683716</t>
  </si>
  <si>
    <t>-4.838532 119.599868 59.3 5.38700008392334</t>
  </si>
  <si>
    <t>Pangakajene</t>
  </si>
  <si>
    <t>Minasate'Ne</t>
  </si>
  <si>
    <t>Belae, Kel. Biraeng</t>
  </si>
  <si>
    <t>BU ROS</t>
  </si>
  <si>
    <t>RAP0085</t>
  </si>
  <si>
    <t>Semen Keramik/ubin</t>
  </si>
  <si>
    <t>1-6 bulan yang lalu</t>
  </si>
  <si>
    <t>Masalah teknis (misalnya kerusakan pada komponen)</t>
  </si>
  <si>
    <t>Kompor</t>
  </si>
  <si>
    <t>Rp 0,000</t>
  </si>
  <si>
    <t>Jarang</t>
  </si>
  <si>
    <t>Tidak ada peningkatan atau penurunan</t>
  </si>
  <si>
    <t>Tidak ada waktu yang dihemat</t>
  </si>
  <si>
    <t>1-Disebarkan ke lahan terbuka 4-Lainnya</t>
  </si>
  <si>
    <t>Dibuang</t>
  </si>
  <si>
    <t>Dibiarkan saja berserakan atau dibuang</t>
  </si>
  <si>
    <t>Dibiarkan saja atau dibuang</t>
  </si>
  <si>
    <t>Jarang (1-3 minggu sekali)</t>
  </si>
  <si>
    <t>Pupuk kolam ikan</t>
  </si>
  <si>
    <t>Padi</t>
  </si>
  <si>
    <t>Diberikan gratis ke tetangga</t>
  </si>
  <si>
    <t>Penggunaan sampah organik lainnya</t>
  </si>
  <si>
    <t>Tidak ada manfaat sama sekali</t>
  </si>
  <si>
    <t>Memperbaiki sendiri</t>
  </si>
  <si>
    <t>Diberikan solusi jika ada kerusakan. Telah menginfokan ke CPO tidak ada komentar tentang kerusakan kompor. Menanyakan ke LDC (salah satu NGO di Pangkep) mengatakan bahwa kompor cukup mahal jika diganti.</t>
  </si>
  <si>
    <t>Pengurangan pengeluaran rumah tangga (bahan bakar minyak, pupuk, dll.) Pemanfaatan bio-slurry sebagai pupuk</t>
  </si>
  <si>
    <t>Lembaga Demokrasi celebes (LDC)</t>
  </si>
  <si>
    <t>1000366959-5_16_43.jpg</t>
  </si>
  <si>
    <t>https://kf.kobotoolbox.org/api/v2/assets/avstPQqLr3Ab3ZdcVTXZ6f/data/666665905/attachments/att9oJgHEoQskbCYGaDSakpp/</t>
  </si>
  <si>
    <t>1000366954-5_16_58.jpg</t>
  </si>
  <si>
    <t>https://kf.kobotoolbox.org/api/v2/assets/avstPQqLr3Ab3ZdcVTXZ6f/data/666665905/attachments/attxrBMzeUPvpkKaKmpJpkrz/</t>
  </si>
  <si>
    <t>E28. Musim hujan : 1 ton, musim kemarau: 4-5 ton</t>
  </si>
  <si>
    <t>5c31099e-0a2e-49cc-848b-f02a179137e5</t>
  </si>
  <si>
    <t>uuid:c1e2f0b8-a550-4f34-a359-100ccbdb5829</t>
  </si>
  <si>
    <t>Baso Dg Ngemba</t>
  </si>
  <si>
    <t>-5.575261 119.580046 70.19999694824219 21.299999237060547</t>
  </si>
  <si>
    <t>-5.57515 119.580265 70.19999694824219 6</t>
  </si>
  <si>
    <t>Bangkala</t>
  </si>
  <si>
    <t>Kalimporo</t>
  </si>
  <si>
    <t>UD. BONTOMARANMU</t>
  </si>
  <si>
    <t>BTP0060</t>
  </si>
  <si>
    <t>Sederhana (tripleks, pelepah kayu, anyaman bambu)</t>
  </si>
  <si>
    <t>Bambu/kayu</t>
  </si>
  <si>
    <t>CPO atau pendamping Lainnya</t>
  </si>
  <si>
    <t>Karaeng Bambang</t>
  </si>
  <si>
    <t>CPO Lainnya</t>
  </si>
  <si>
    <t>1-1.000.000</t>
  </si>
  <si>
    <t>4-Lainnya</t>
  </si>
  <si>
    <t>Dibiarkan di kandang</t>
  </si>
  <si>
    <t>Pupuk cair untuk tanaman Pembenah tanah (soil conditioner) Pestisida organik Media untuk pembibitan tanaman</t>
  </si>
  <si>
    <t>Pakai bioslurry</t>
  </si>
  <si>
    <t>Kadang pakai kotoran sapi yang diminta dari tetangga</t>
  </si>
  <si>
    <t>Semoga biogasnya bisa diperbaiki</t>
  </si>
  <si>
    <t>Pengurangan pengeluaran rumah tangga (bahan bakar minyak, pupuk, dll.) Lebih mudah mendapatkan energi Pasokan energi yang andal Memasak lebih cepat Lebih aman Peningkatan kebersihan kandang ternak Mendapatkan subsidi</t>
  </si>
  <si>
    <t>Tetangga / teman / saudara</t>
  </si>
  <si>
    <t>1000634968-11_56_23.jpg</t>
  </si>
  <si>
    <t>https://kf.kobotoolbox.org/api/v2/assets/avstPQqLr3Ab3ZdcVTXZ6f/data/666757182/attachments/attpcLVSoFL5aU2WnD7GpcnC/</t>
  </si>
  <si>
    <t>1000634966-11_56_35.jpg</t>
  </si>
  <si>
    <t>https://kf.kobotoolbox.org/api/v2/assets/avstPQqLr3Ab3ZdcVTXZ6f/data/666757182/attachments/attUmHMLMKGougYvFdDabhiy/</t>
  </si>
  <si>
    <t>Untuk biogas dg Emba, yang banyak berkontribusi adalah Karaeng Bambang. Beliau yang mengenalkan dg Emba dengan Hj Nai. Termasuk untuk D20, beliau tidak tahu pendanaannya secara khusus darimana. Beliau cuma menyebutkan Karaeng Bambang (Karaeng itu panggilan gelar kebangsawanan). Untuk pertanyaan 5C, ybs ini merawat kuda Karaeng Bambang makanya bahan baku utama adalah kotoran kuda. Saat penggunaan biogas, sapi pedaging dijual untuk keperluan rumah</t>
  </si>
  <si>
    <t>0165697c-caf8-4570-a095-8c5239c172c0</t>
  </si>
  <si>
    <t>uuid:a34d2db5-f641-4729-8a52-4dc894db7342</t>
  </si>
  <si>
    <t>M. Ilyas</t>
  </si>
  <si>
    <t>-5.150354 119.636752 85.866 0.7749999761581421</t>
  </si>
  <si>
    <t>-5.150254 119.636757 112.011 0.953000009059906</t>
  </si>
  <si>
    <t>Tompobulu</t>
  </si>
  <si>
    <t>Benteng Gajah</t>
  </si>
  <si>
    <t>KSU BULU SAUKANG</t>
  </si>
  <si>
    <t>BSP0173</t>
  </si>
  <si>
    <t>Ketua RT</t>
  </si>
  <si>
    <t>10 m³ (8-9 ekor sapi, ±8 jam memasak/hari, ±80 kg slurry/hari)</t>
  </si>
  <si>
    <t>Anggota keluarga - perempuan dewasa</t>
  </si>
  <si>
    <t>65-80 kg</t>
  </si>
  <si>
    <t>Perempuan dewasa Anak-anak (0-18 tahun)</t>
  </si>
  <si>
    <t>Aktivitas sosial diluar rumah (misalnya, berkumpul dengan tetangga, mengikuti kegiatan PKK, dsb)</t>
  </si>
  <si>
    <t>Mengikuti kegiatan program desa</t>
  </si>
  <si>
    <t>Program kerja kemasyarakatan desa</t>
  </si>
  <si>
    <t>Jarang (2-3 minggu sekali)</t>
  </si>
  <si>
    <t>Dibuang ke lahan sekitar kandang - yg ditanami tanaman</t>
  </si>
  <si>
    <t>Holtikultura</t>
  </si>
  <si>
    <t>Lebih aman Peningkatan kebersihan kandang ternak Pemanfaatan bio-slurry sebagai pupuk</t>
  </si>
  <si>
    <t>IMG-20260209-WA0003-13_1_37.jpg</t>
  </si>
  <si>
    <t>https://kf.kobotoolbox.org/api/v2/assets/avstPQqLr3Ab3ZdcVTXZ6f/data/666776091/attachments/attxm3dqMfmEu3X6beSEchNp/</t>
  </si>
  <si>
    <t>IMG-20260209-WA0002-13_1_48.jpg</t>
  </si>
  <si>
    <t>https://kf.kobotoolbox.org/api/v2/assets/avstPQqLr3Ab3ZdcVTXZ6f/data/666776091/attachments/attsyAVTDdXu5bvrPJtJHVmb/</t>
  </si>
  <si>
    <t>91b3c6fe-8740-4aae-95a5-dd77d6ae1716</t>
  </si>
  <si>
    <t>uuid:91b3c6fe-8740-4aae-95a5-dd77d6ae1716</t>
  </si>
  <si>
    <t>Lalo Dg Bella</t>
  </si>
  <si>
    <t>-5.569358 119.449944 82.19999999999999 5.5</t>
  </si>
  <si>
    <t>-5.569395 119.450272 81.1 3.200000047683716</t>
  </si>
  <si>
    <t>Takalar</t>
  </si>
  <si>
    <t>Laikang</t>
  </si>
  <si>
    <t>Pandala, Laikang</t>
  </si>
  <si>
    <t>ROS</t>
  </si>
  <si>
    <t>RAP0116</t>
  </si>
  <si>
    <t>&lt;Rp1.500.000</t>
  </si>
  <si>
    <t>Berkebun</t>
  </si>
  <si>
    <t>Digunakan untuk istirahat</t>
  </si>
  <si>
    <t>Perguruan Tinggi</t>
  </si>
  <si>
    <t>Kelapa, pisang, dan ubi</t>
  </si>
  <si>
    <t>Tidak memiliki tempat untuk menyimpan</t>
  </si>
  <si>
    <t>Menghubungi CPO</t>
  </si>
  <si>
    <t>Dapat dilakukan penambahan luas kandang atau tempat penampungan air dan pupuk</t>
  </si>
  <si>
    <t>Pengurangan pengeluaran rumah tangga (bahan bakar minyak, pupuk, dll.) Lebih aman</t>
  </si>
  <si>
    <t>1000367737-13_21_42.jpg</t>
  </si>
  <si>
    <t>https://kf.kobotoolbox.org/api/v2/assets/avstPQqLr3Ab3ZdcVTXZ6f/data/666790955/attachments/attRW95Krqrc3RXTPCcKcUDE/</t>
  </si>
  <si>
    <t>1000367747-13_22_3.jpg</t>
  </si>
  <si>
    <t>https://kf.kobotoolbox.org/api/v2/assets/avstPQqLr3Ab3ZdcVTXZ6f/data/666790955/attachments/attPrSwvJ5EvfgMp8domSxNB/</t>
  </si>
  <si>
    <t>D14. Belum ada penampungan bioslurry. E28 bioslurry hanya digunakan di belakang rumah, hasil sawah belakang kelapa, pisang, dan ubi yang tanamannya tidak menghasilkan apapun karena dibiarkan dimakan oleh sapi.</t>
  </si>
  <si>
    <t>a68d48ae-d4ac-4d2d-b09e-3d5af552383f</t>
  </si>
  <si>
    <t>uuid:a68d48ae-d4ac-4d2d-b09e-3d5af552383f</t>
  </si>
  <si>
    <t>Haris Dg Nai</t>
  </si>
  <si>
    <t>-5.379241 119.363493 58.70000076293945 26.707000732421875</t>
  </si>
  <si>
    <t>-5.379204 119.363617 58.70000076293945 30.107999801635742</t>
  </si>
  <si>
    <t>Galesong Selatan</t>
  </si>
  <si>
    <t>Popo</t>
  </si>
  <si>
    <t>YAP0061</t>
  </si>
  <si>
    <t>Anggota keluarga - Laki-laki Anggota keluarga - Perempuan dewasa Lainnya</t>
  </si>
  <si>
    <t>Tukang</t>
  </si>
  <si>
    <t>Laki-laki dewasa Perempuan dewasa Pekerja tambahan</t>
  </si>
  <si>
    <t>Tabungan Investasi lainnya Kebutuhan rumah tangga</t>
  </si>
  <si>
    <t>Aktivitas sosial diluar rumah (misalnya, berkumpul dengan tetangga, mengikuti kegiatan PKK, dsb) Istirahat Bekerja</t>
  </si>
  <si>
    <t>Tambak ikan</t>
  </si>
  <si>
    <t>Kunjungan keluarga</t>
  </si>
  <si>
    <t>Perawatan sistem biogas Produksi dan penjualan bioslurry</t>
  </si>
  <si>
    <t>Cair Padat</t>
  </si>
  <si>
    <t>kg</t>
  </si>
  <si>
    <t>5.000.001-7.000.000</t>
  </si>
  <si>
    <t>1-Kolam tertutup (laguna anaerobik) 2-Disimpan basah (slurry) 6-Digester biogas</t>
  </si>
  <si>
    <t>Digunakan untuk pupuk di lahan pertanian sendiri Dijual - baik tanpa diolah/diolah/dibuat kascing Dibuang ke lahan sekitar kandang - yg ditanami tanaman Diberikan gratis ke orang lain Didiamkan saja/dibiarkan di tempatnya (di bak/kolam penampung slurry)</t>
  </si>
  <si>
    <t>Pupuk cair untuk tanaman Pestisida organik Media untuk pembibitan tanaman</t>
  </si>
  <si>
    <t>Sebagai produk olahan</t>
  </si>
  <si>
    <t>Padi, pisang, kopi, kelapa</t>
  </si>
  <si>
    <t>Tidak punya waktu mengumpulkannya</t>
  </si>
  <si>
    <t>Kotoran ayam petelur, kuda atau babi</t>
  </si>
  <si>
    <t>Perbaiki sendiri</t>
  </si>
  <si>
    <t>Perlu peningkatan penjualan pupuk cair dan padat</t>
  </si>
  <si>
    <t>Pengurangan pengeluaran rumah tangga (bahan bakar minyak, pupuk, dll.) Lebih mudah mendapatkan energi Memasak lebih cepat Lebih aman Peningkatan kebersihan kandang ternak Pemanfaatan bio-slurry sebagai pupuk Dapur lebih bersih dan bebas asap Mendapatkan subsidi</t>
  </si>
  <si>
    <t>1000373524-16_3_15.jpg</t>
  </si>
  <si>
    <t>https://kf.kobotoolbox.org/api/v2/assets/avstPQqLr3Ab3ZdcVTXZ6f/data/666922248/attachments/attFPbg7Ge7rQvs2PWeLnw2n/</t>
  </si>
  <si>
    <t>1000373545-16_3_29.jpg</t>
  </si>
  <si>
    <t>https://kf.kobotoolbox.org/api/v2/assets/avstPQqLr3Ab3ZdcVTXZ6f/data/666922248/attachments/attNV9PGH4KTitZWvC2MgEy5/</t>
  </si>
  <si>
    <t>d503fd80-8b40-4439-86a9-59a37c2efc71</t>
  </si>
  <si>
    <t>uuid:d503fd80-8b40-4439-86a9-59a37c2efc71</t>
  </si>
  <si>
    <t>Dg Ali</t>
  </si>
  <si>
    <t>-5.510847 119.544528 53.2 8.100000381469727</t>
  </si>
  <si>
    <t>-5.510695 119.544377 88.6 4</t>
  </si>
  <si>
    <t>CV RIZKI ABADI</t>
  </si>
  <si>
    <t>RAP0022</t>
  </si>
  <si>
    <t>Kompor Reaktor biogas (penampung gas, digester, manhole, outlet, dan overflow) Saluran Pipa Gas</t>
  </si>
  <si>
    <t>Tidak sama sekali</t>
  </si>
  <si>
    <t>Tidak memahami</t>
  </si>
  <si>
    <t>Lebih buruk (menjadi lebih lama 5-30 menit, ATAU rasa/bau makanan berubah menjadi kurang baik ATAU alasan lainnya)</t>
  </si>
  <si>
    <t>Didiamkan saja/dibiarkan di tempatnya (di bak/kolam penampung slurry)</t>
  </si>
  <si>
    <t>Tidak memiliki tempat untuk menyimpan Tidak punya waktu mengumpulkannya Belum tau bahwa bioslurry bagus untuk pupuk</t>
  </si>
  <si>
    <t>Monitoring/pengawasan tidak rutin Lainnya</t>
  </si>
  <si>
    <t>Kerusakan biogas tidak ditangani</t>
  </si>
  <si>
    <t>Hubungi CPO</t>
  </si>
  <si>
    <t>Menunggu hingga datang berkunjung</t>
  </si>
  <si>
    <t>Lebih diperhatikan lagi kondisi pemakai biogas</t>
  </si>
  <si>
    <t>Lebih mudah mendapatkan energi Peningkatan kebersihan kandang ternak</t>
  </si>
  <si>
    <t>1000378735-20_36_29.jpg</t>
  </si>
  <si>
    <t>https://kf.kobotoolbox.org/api/v2/assets/avstPQqLr3Ab3ZdcVTXZ6f/data/667204904/attachments/attWFveHz6Q4b32fgBoxEyoo/</t>
  </si>
  <si>
    <t>1000374657-20_36_47.jpg</t>
  </si>
  <si>
    <t>https://kf.kobotoolbox.org/api/v2/assets/avstPQqLr3Ab3ZdcVTXZ6f/data/667204904/attachments/atta6GG9NpjpGzwtNPLEDqeY/</t>
  </si>
  <si>
    <t>d57d2a2f-24f9-4e76-a559-ad25cf288088</t>
  </si>
  <si>
    <t>uuid:d57d2a2f-24f9-4e76-a559-ad25cf288088</t>
  </si>
  <si>
    <t>Samsuddin Dg Ancu</t>
  </si>
  <si>
    <t>-5.510805 119.55996 113.9 8.600000381469727</t>
  </si>
  <si>
    <t>-5.510763 119.559804 105.25360107421875 4.505000114440918</t>
  </si>
  <si>
    <t>RAP0025</t>
  </si>
  <si>
    <t>Anggota keluarga - laki-laki Lainnya</t>
  </si>
  <si>
    <t>Kompor Saluran Pipa Gas Water drain (penguras air/pemisah air)</t>
  </si>
  <si>
    <t>2-Disimpan basah (slurry) 6-Digester biogas</t>
  </si>
  <si>
    <t>Saat CPO mampir</t>
  </si>
  <si>
    <t>Kalau ada penambahan atau perbaikan bisa dilakukan lagi karena manfaatnya yang bagus</t>
  </si>
  <si>
    <t>Lebih mudah mendapatkan energi Peningkatan kebersihan kandang ternak Dapur lebih bersih dan bebas asap Mendapatkan subsidi</t>
  </si>
  <si>
    <t>1000380023-21_6_57.jpg</t>
  </si>
  <si>
    <t>https://kf.kobotoolbox.org/api/v2/assets/avstPQqLr3Ab3ZdcVTXZ6f/data/667231397/attachments/attJo39VAjassJZjM8HdU3iu/</t>
  </si>
  <si>
    <t>1000380024-21_7_3.jpg</t>
  </si>
  <si>
    <t>https://kf.kobotoolbox.org/api/v2/assets/avstPQqLr3Ab3ZdcVTXZ6f/data/667231397/attachments/attTzuQskB4uA4AySRKn4evQ/</t>
  </si>
  <si>
    <t>80728868-4b60-4406-b849-5a8b9d97a837</t>
  </si>
  <si>
    <t>uuid:80728868-4b60-4406-b849-5a8b9d97a837</t>
  </si>
  <si>
    <t>Abdul Hamid</t>
  </si>
  <si>
    <t>-5.010103 119.654646 64.4000015258789 20</t>
  </si>
  <si>
    <t>-5.010096 119.654642 64.4000015258789 27.798999786376953</t>
  </si>
  <si>
    <t>Bantimurung</t>
  </si>
  <si>
    <t>Kalabbirang</t>
  </si>
  <si>
    <t>O</t>
  </si>
  <si>
    <t>BSP0311</t>
  </si>
  <si>
    <t>Sudah tidak bisa mengumpulkan kotoran sapi, dikarenakan kesibukan bekerja dan kesehatan</t>
  </si>
  <si>
    <t>Pisang dan tanaman obat disekitar rumah</t>
  </si>
  <si>
    <t>Kompor dan pipa</t>
  </si>
  <si>
    <t>Terkhusus untuk pendamping diharapkan pemantauan dilakukan secara rutin</t>
  </si>
  <si>
    <t>Lebih aman Peningkatan kebersihan kandang ternak</t>
  </si>
  <si>
    <t>IMG-20260210-WA0000-20_25_26.jpg</t>
  </si>
  <si>
    <t>https://drive.google.com/drive/folders/1OaxybV_5AZznQVPhsboho4CY8IA9ILeH</t>
  </si>
  <si>
    <t>IMG-20260210-WA0015-20_26_31.jpg</t>
  </si>
  <si>
    <t>Jumlah Bioslury Cair 3 Ember, 1 Ember Berjumlah 15 Liter, sehingga totalnya 45 Liter.</t>
  </si>
  <si>
    <t>195ef4e6-af11-40ca-8e25-e23a4048a1d1</t>
  </si>
  <si>
    <t>uuid:195ef4e6-af11-40ca-8e25-e23a4048a1d1</t>
  </si>
  <si>
    <t>Baharuddin Dg Ngunjung</t>
  </si>
  <si>
    <t>-5.401209 119.430442 62.89999771118164 9.935999870300293</t>
  </si>
  <si>
    <t>-5.40119 119.43045 63.599998474121094 3.7899999618530273</t>
  </si>
  <si>
    <t>Pattallassang</t>
  </si>
  <si>
    <t>Salaka</t>
  </si>
  <si>
    <t>BTP0287</t>
  </si>
  <si>
    <t>Dinas Pertanian</t>
  </si>
  <si>
    <t>Kotoran sapi tidak cukup karena bercampur dengan tanah selain karena jumlah sapi yang belum mencukupi</t>
  </si>
  <si>
    <t>&gt;5 jam</t>
  </si>
  <si>
    <t>Padi, lombok</t>
  </si>
  <si>
    <t>Memanfaatkan bioslurry untuk lahan pertanian dan diberikan kepada warga</t>
  </si>
  <si>
    <t>Dibiarkan saja</t>
  </si>
  <si>
    <t>Tidak ada yang menghubungi CPO</t>
  </si>
  <si>
    <t>Kalo bisa diaktifkan kembali</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</si>
  <si>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</si>
  <si>
    <t>1000634681-8_26_59.heic</t>
  </si>
  <si>
    <t>https://kf.kobotoolbox.org/api/v2/assets/avstPQqLr3Ab3ZdcVTXZ6f/data/668776785/attachments/attZNmDfit89QrDaBxaTB6jb/</t>
  </si>
  <si>
    <t>1000634703-8_27_21.heic</t>
  </si>
  <si>
    <t>https://kf.kobotoolbox.org/api/v2/assets/avstPQqLr3Ab3ZdcVTXZ6f/data/668776785/attachments/attnCgtEEw5qYiTug8bhAwLZ/</t>
  </si>
  <si>
    <t>Pertanyaan A5 dan khususnya yang bertuliskan Dinas Pertanian ini berkaitan dengan Dinas Pertanian yang bekerja di Dinas Pertanian yang merekomendasikan biogas kepada warga di Kelurahan Salaka. Beliau merupakan warga kelurahan tersebut. Untuk pertanyaan D20 ini agak kurang jelas secara pasti anggarannya darimana selain Dinas Pertanian yang mana merupakan pejabat pemerintah setempat.</t>
  </si>
  <si>
    <t>a8fc8356-2bbd-45fe-9ec6-27094657bea7</t>
  </si>
  <si>
    <t>uuid:c1d2f6d3-3ef5-4eed-99d9-263cdcda8542</t>
  </si>
  <si>
    <t>Ambo Dg Tawang</t>
  </si>
  <si>
    <t>-5.569439 119.449975 78.8298929708117 4.881999969482422</t>
  </si>
  <si>
    <t>-5.569507 119.450173 79.03581394101761 6.396999835968018</t>
  </si>
  <si>
    <t>Mangarabombang</t>
  </si>
  <si>
    <t>RAP0076</t>
  </si>
  <si>
    <t>Buruh</t>
  </si>
  <si>
    <t>Cabe, padi, kacang panjang, pisang, dan kelapa</t>
  </si>
  <si>
    <t>Menggunakan bioslurry</t>
  </si>
  <si>
    <t>Pada saat pengisian dome, kotoran sapi juga dikumpulkan dari kandang sapi milik tetangga untuk memenuhi 4 kubik</t>
  </si>
  <si>
    <t>Bagus</t>
  </si>
  <si>
    <t>Pengurangan pengeluaran rumah tangga (bahan bakar minyak, pupuk, dll.) Lebih mudah mendapatkan energi Pasokan energi yang andal Lebih aman Pengurangan waktu dan tenaga Peningkatan kebersihan kandang ternak Dapur lebih bersih dan bebas asap</t>
  </si>
  <si>
    <t>Anak</t>
  </si>
  <si>
    <t>1000623911-14_19_40.heic</t>
  </si>
  <si>
    <t>https://kf.kobotoolbox.org/api/v2/assets/avstPQqLr3Ab3ZdcVTXZ6f/data/670994701/attachments/attXwMZorUU25n4jARKCxpks/</t>
  </si>
  <si>
    <t>1000623908-14_20_4.heic</t>
  </si>
  <si>
    <t>https://kf.kobotoolbox.org/api/v2/assets/avstPQqLr3Ab3ZdcVTXZ6f/data/670994701/attachments/attUGFgeGgo29ToeiAvwxW37/</t>
  </si>
  <si>
    <t>Untuk E5 masih menggunakan kuesioner lama, bukan yang sudah revisi</t>
  </si>
  <si>
    <t>50ded0f2-1c6c-4352-b7f8-3a849d1678bb</t>
  </si>
  <si>
    <t>uuid:ee5c18cf-b8c8-4eb5-8e17-18da3d8d1b74</t>
  </si>
  <si>
    <t>Sarman Dg Emba</t>
  </si>
  <si>
    <t>-5.569514 119.449875 90.291015625 4.557000160217285</t>
  </si>
  <si>
    <t>-5.569506 119.449898 90.08048291478464 11.182999610900879</t>
  </si>
  <si>
    <t>RAP0120</t>
  </si>
  <si>
    <t>Buruh bangunan</t>
  </si>
  <si>
    <t>Tidak ada waktu luang</t>
  </si>
  <si>
    <t>Bioslurrynya belum banyak karena biogas baru dibangun november yang lalu</t>
  </si>
  <si>
    <t>Pengisian pertama minta kotoran dari tetangga</t>
  </si>
  <si>
    <t>Belum ada kerusakan</t>
  </si>
  <si>
    <t>Anak Pak Ambo</t>
  </si>
  <si>
    <t>Kalo bisa tiap tahun ada pengarahan secara reguler</t>
  </si>
  <si>
    <t>Pengurangan pengeluaran rumah tangga (bahan bakar minyak, pupuk, dll.) Lebih mudah mendapatkan energi Pasokan energi yang andal Memasak lebih cepat Lebih aman Mendapatkan subsidi</t>
  </si>
  <si>
    <t>1000623923-16_0_15.heic</t>
  </si>
  <si>
    <t>https://kf.kobotoolbox.org/api/v2/assets/avstPQqLr3Ab3ZdcVTXZ6f/data/671100060/attachments/attUe3uCrc5QkQBvLNuhWRDu/</t>
  </si>
  <si>
    <t>1000639238-16_6_35.jpg</t>
  </si>
  <si>
    <t>https://kf.kobotoolbox.org/api/v2/assets/avstPQqLr3Ab3ZdcVTXZ6f/data/671100060/attachments/attNufME6w3qkLa7ZKqLgWFS/</t>
  </si>
  <si>
    <t>28ee05de-8d45-460b-aed3-24b7987d01be</t>
  </si>
  <si>
    <t>uuid:053ead0e-f52a-4cb6-80c8-ab12125c3b5a</t>
  </si>
  <si>
    <t>Suwandi</t>
  </si>
  <si>
    <t>-5.49818 119.526625 99.5067142500155 8.711000442504883</t>
  </si>
  <si>
    <t>-5.498223 119.526532 82.1 4.400000095367432</t>
  </si>
  <si>
    <t>RAP0027</t>
  </si>
  <si>
    <t>Tidak ada waktu luang lebih banyak</t>
  </si>
  <si>
    <t>padi dan jagung</t>
  </si>
  <si>
    <t>Sangat jarang (2 bulan sekali)</t>
  </si>
  <si>
    <t>Tambahan kotoran dari tetangga</t>
  </si>
  <si>
    <t>Sangat berkurang</t>
  </si>
  <si>
    <t>Sparepart lebih mudah didapatkan</t>
  </si>
  <si>
    <t>Pengurangan pengeluaran rumah tangga (bahan bakar minyak, pupuk, dll.) Lebih mudah mendapatkan energi Pasokan energi yang andal Memasak lebih cepat Lebih aman Pengurangan waktu dan tenaga Pemanfaatan bio-slurry sebagai pupuk Mendapatkan subsidi</t>
  </si>
  <si>
    <t>1000639528-21_25_17.jpg</t>
  </si>
  <si>
    <t>https://kf.kobotoolbox.org/api/v2/assets/avstPQqLr3Ab3ZdcVTXZ6f/data/671388954/attachments/attSEFpf2AziKJdmSjZiUTmf/</t>
  </si>
  <si>
    <t>1000639529-21_25_23.jpg</t>
  </si>
  <si>
    <t>https://kf.kobotoolbox.org/api/v2/assets/avstPQqLr3Ab3ZdcVTXZ6f/data/671388954/attachments/attBVEW7eVWCLJeawdNL52w6/</t>
  </si>
  <si>
    <t>5e8ab4e7-4abb-41ab-8d87-a9ba396da67c</t>
  </si>
  <si>
    <t>uuid:37a284a2-c9ef-4008-82da-c4be9ad826a1</t>
  </si>
  <si>
    <t>Kamaruddin Dg Rurung</t>
  </si>
  <si>
    <t>-5.404569 119.430606 65.80000305175781 7.910999774932861</t>
  </si>
  <si>
    <t>-5.404499 119.430543 65.80000305175781 4.629000186920166</t>
  </si>
  <si>
    <t>UD BONTOMARANNU</t>
  </si>
  <si>
    <t>BTP0274</t>
  </si>
  <si>
    <t>Gas tidak optimal, tetapi penyebab belum diketahui</t>
  </si>
  <si>
    <t>Tidak, tidak menerima instruksi sama sekali</t>
  </si>
  <si>
    <t>Bioslurry tidak ada karena tidak ada gas yang terbentuk dari sistem biogas</t>
  </si>
  <si>
    <t>Tidak ada manfaat</t>
  </si>
  <si>
    <t>Tidak ada yang menghubungi</t>
  </si>
  <si>
    <t>Pernah ada survey terkait pemanfaatan biogas. Pemilik sudah sampaikan terkait kendala yang dihadapi oleh biogasnya namun tidak ada kelanjutannya sehingga biogas terbengkalai</t>
  </si>
  <si>
    <t>Tidak ada manfaat karena tidak bisa digunakan dengan optimal</t>
  </si>
  <si>
    <t>1000634633-21_47_0.heic</t>
  </si>
  <si>
    <t>https://kf.kobotoolbox.org/api/v2/assets/avstPQqLr3Ab3ZdcVTXZ6f/data/671409329/attachments/attUnxFVvMXRdus7XX55Pkwj/</t>
  </si>
  <si>
    <t>1000634665-21_47_15.heic</t>
  </si>
  <si>
    <t>https://kf.kobotoolbox.org/api/v2/assets/avstPQqLr3Ab3ZdcVTXZ6f/data/671409329/attachments/attJxaMbJGW9BNrL67A8ZPAb/</t>
  </si>
  <si>
    <t>Pada bagian E5b, sapi yang bersangkutan dicuri 2</t>
  </si>
  <si>
    <t>4b3f3268-d3a0-42e9-b03c-6f5bd33aa92e</t>
  </si>
  <si>
    <t>uuid:03869f95-f039-4db2-9f84-53ca4be037b9</t>
  </si>
  <si>
    <t>BTP0273</t>
  </si>
  <si>
    <t>-5.151895 119.636938 113.30938720703125 4.034999847412109</t>
  </si>
  <si>
    <t>-5.152032 119.637003 114.28405554438035 3.7899999618530273</t>
  </si>
  <si>
    <t>BSP0004</t>
  </si>
  <si>
    <t>Lebih memilih menonton perkembangan politik melalui handphone</t>
  </si>
  <si>
    <t>100% dana mandiri</t>
  </si>
  <si>
    <t>6-Digester biogas</t>
  </si>
  <si>
    <t>Digunakan untuk pupuk di lahan pertanian sendiri Dijual - baik tanpa diolah/diolah/dibuat kascing</t>
  </si>
  <si>
    <t>Sebagai bahan mentah (misal pupuk)</t>
  </si>
  <si>
    <t>Sayur dan buah (spesifik buah pisang)</t>
  </si>
  <si>
    <t>Ada pembaharuan alat dari Biru</t>
  </si>
  <si>
    <t>Pengurangan pengeluaran rumah tangga (bahan bakar minyak, pupuk, dll.) Lebih mudah mendapatkan energi Pasokan energi yang andal Pengurangan waktu dan tenaga Peningkatan kebersihan kandang ternak Pemanfaatan bio-slurry sebagai pupuk Dapur lebih bersih dan bebas asap</t>
  </si>
  <si>
    <t>1000622810-20_25_54.heic</t>
  </si>
  <si>
    <t>https://kf.kobotoolbox.org/api/v2/assets/avstPQqLr3Ab3ZdcVTXZ6f/data/671413321/attachments/attcwiCFVdWQCnQJk4zFkqmR/</t>
  </si>
  <si>
    <t>1000639546-21_51_10.jpg</t>
  </si>
  <si>
    <t>https://kf.kobotoolbox.org/api/v2/assets/avstPQqLr3Ab3ZdcVTXZ6f/data/671413321/attachments/attfH77AG3uCJjCnuNiK9AYo/</t>
  </si>
  <si>
    <t>Biogas tidak terpakai lagi karena sapi dijual</t>
  </si>
  <si>
    <t>2be5026e-de1c-400a-a5a9-9e04cbc9e8d3</t>
  </si>
  <si>
    <t>uuid:2294142c-bd49-4fca-9830-39df14470608</t>
  </si>
  <si>
    <t>Badaruddin Dg.Tompo</t>
  </si>
  <si>
    <t>-4.987236 119.629725 13.582107543945312 3.253193403686842</t>
  </si>
  <si>
    <t>-4.987353 119.629847 13.508255004882812 29.680198496897845</t>
  </si>
  <si>
    <t>Mattoangin</t>
  </si>
  <si>
    <t>BSP0302</t>
  </si>
  <si>
    <t>Teman</t>
  </si>
  <si>
    <t>Tanaman bunga</t>
  </si>
  <si>
    <t>Ladang/sawah terlalu jauh, sulit untuk mengangkut ke sana Belum tau bahwa bioslurry bagus untuk pupuk</t>
  </si>
  <si>
    <t>Sebaiknya pemantauan dilakukan minimal 1 bulan sekali</t>
  </si>
  <si>
    <t>IMG_6220-9_59_44.jpeg</t>
  </si>
  <si>
    <t>https://kf.kobotoolbox.org/api/v2/assets/avstPQqLr3Ab3ZdcVTXZ6f/data/671794487/attachments/atts9zpyyXs3x499HwTYPaNM/</t>
  </si>
  <si>
    <t>IMG_6221-10_0_0.jpeg</t>
  </si>
  <si>
    <t>https://kf.kobotoolbox.org/api/v2/assets/avstPQqLr3Ab3ZdcVTXZ6f/data/671794487/attachments/attqvV89dcMEpvUdAFxAHwSd/</t>
  </si>
  <si>
    <t>9865f109-885e-49a0-9c2f-f6eec83a5cf9</t>
  </si>
  <si>
    <t>uuid:9865f109-885e-49a0-9c2f-f6eec83a5cf9</t>
  </si>
  <si>
    <t>Basir</t>
  </si>
  <si>
    <t>-4.987376 119.630111 26.140396118164062 4.991185421399862</t>
  </si>
  <si>
    <t>BSP0312</t>
  </si>
  <si>
    <t>12 m³ (10-11 ekor sapi, ±10 jam memasak/hari, ±100 kg slurry/hari)</t>
  </si>
  <si>
    <t>Pelatihan Teman/keluarga</t>
  </si>
  <si>
    <t>Teman/keluarga Komunitas lokal</t>
  </si>
  <si>
    <t>80-100 kg</t>
  </si>
  <si>
    <t>Investasi lainnya Kebutuhan rumah tangga</t>
  </si>
  <si>
    <t>5-Untuk disebar di tanah (dan dibajak)</t>
  </si>
  <si>
    <t>Memperbaiki sendiri Dibiarkan saja</t>
  </si>
  <si>
    <t>Datang langsung ke rumah CPO</t>
  </si>
  <si>
    <t>Peningkatan kebersihan kandang ternak Dapur lebih bersih dan bebas asap</t>
  </si>
  <si>
    <t>IMG_6213-10_4_3.jpeg</t>
  </si>
  <si>
    <t>https://kf.kobotoolbox.org/api/v2/assets/avstPQqLr3Ab3ZdcVTXZ6f/data/671796147/attachments/attKj66PuWU63D6BVN4oMUiQ/</t>
  </si>
  <si>
    <t>PHOTO-2026-02-14-09-36-27-10_4_12.jpeg</t>
  </si>
  <si>
    <t>https://kf.kobotoolbox.org/api/v2/assets/avstPQqLr3Ab3ZdcVTXZ6f/data/671796147/attachments/attBCPmWynyknreyNwzvFaUQ/</t>
  </si>
  <si>
    <t>Yang diwawancara adalah istrinya dan adik bapak basir (yang membantu megurus biogas), karena bapak baru saja meninggal,</t>
  </si>
  <si>
    <t>28b8d5a8-274b-442c-81c2-6e0904f61e70</t>
  </si>
  <si>
    <t>uuid:28b8d5a8-274b-442c-81c2-6e0904f61e70</t>
  </si>
  <si>
    <t>BSP0313</t>
  </si>
  <si>
    <t>Hj. Sia (Sulaiman)</t>
  </si>
  <si>
    <t>-4.987326 119.629364 12.22792053129524 4.733743450975509</t>
  </si>
  <si>
    <t>-4.987397 119.629496 11.710349883884192 4.936264914391358</t>
  </si>
  <si>
    <t>BSP0354</t>
  </si>
  <si>
    <t>Dibuang ke lahan sekitar kandang - yg ditanami tanaman Didiamkan saja/dibiarkan di tempatnya (di bak/kolam penampung slurry)</t>
  </si>
  <si>
    <t>Pohon Pisang</t>
  </si>
  <si>
    <t>Sebaiknya ada pelatihan terkait kompor alternatif</t>
  </si>
  <si>
    <t>Lebih aman Mendapatkan subsidi</t>
  </si>
  <si>
    <t>IMG_6231-10_34_40.jpeg</t>
  </si>
  <si>
    <t>https://kf.kobotoolbox.org/api/v2/assets/avstPQqLr3Ab3ZdcVTXZ6f/data/671807446/attachments/att7tzJ23piUs4qyVS6Cq7yr/</t>
  </si>
  <si>
    <t>IMG_6236-10_35_0.jpeg</t>
  </si>
  <si>
    <t>https://kf.kobotoolbox.org/api/v2/assets/avstPQqLr3Ab3ZdcVTXZ6f/data/671807446/attachments/attbmX3Wnrn4W6gB3tr8VEpq/</t>
  </si>
  <si>
    <t>Responden adalah istri dari pak sulaiman di karenakan pak sulaiman berada di sawah dan cukup jauh dari rumah, sehingga membutuhkan waktu yang lama jika beliau kembali ke rumah</t>
  </si>
  <si>
    <t>01780386-17c0-4466-b342-473f76ca17b2</t>
  </si>
  <si>
    <t>uuid:01780386-17c0-4466-b342-473f76ca17b2</t>
  </si>
  <si>
    <t>Hala</t>
  </si>
  <si>
    <t>-5.16629 119.647083 178.89 2.799999952316284</t>
  </si>
  <si>
    <t>BSP0198</t>
  </si>
  <si>
    <t>Kesehatan</t>
  </si>
  <si>
    <t>Anggota keluarga - Perempuan dewasa Anggota keluarga - Anak-anak</t>
  </si>
  <si>
    <t>Lebih aman</t>
  </si>
  <si>
    <t>IMG-20260215-WA0001-15_17_35.jpg</t>
  </si>
  <si>
    <t>https://kf.kobotoolbox.org/api/v2/assets/avstPQqLr3Ab3ZdcVTXZ6f/data/672384776/attachments/att88h2umPJbgdjpRJUXqtCr/</t>
  </si>
  <si>
    <t>IMG-20260215-WA0003-15_18_49.jpg</t>
  </si>
  <si>
    <t>https://kf.kobotoolbox.org/api/v2/assets/avstPQqLr3Ab3ZdcVTXZ6f/data/672384776/attachments/attPGcLErZtCBVmu4SafzNRy/</t>
  </si>
  <si>
    <t>Umur ibu hala melebihi 60 tahun sehingga pada saat wawancara di dampingi oleh anaknya.</t>
  </si>
  <si>
    <t>c895f16a-5434-4dd5-aa83-c5688fe58316</t>
  </si>
  <si>
    <t>uuid:c895f16a-5434-4dd5-aa83-c5688fe58316</t>
  </si>
  <si>
    <t>Salama</t>
  </si>
  <si>
    <t>-5.157637 119.648437 44.774 1.0299999713897705</t>
  </si>
  <si>
    <t>-5.157606 119.64845 37.335 1.4609999656677246</t>
  </si>
  <si>
    <t>BSP0063</t>
  </si>
  <si>
    <t>8 m³ (6-7 ekor sapi, ±6,5 jam memasak/hari, ±65 kg slurry/hari)</t>
  </si>
  <si>
    <t>Kompor Katup gas utama</t>
  </si>
  <si>
    <t>Melakukan kegiatan kemasyarakatan</t>
  </si>
  <si>
    <t>Pelatihan rutin terkait perawatan perlu di tingkat kan</t>
  </si>
  <si>
    <t>IMG-20260215-WA0007-15_54_27.jpg</t>
  </si>
  <si>
    <t>https://kf.kobotoolbox.org/api/v2/assets/avstPQqLr3Ab3ZdcVTXZ6f/data/672399465/attachments/atteWEyiNCJHMfHBEe8Wx3ga/</t>
  </si>
  <si>
    <t>IMG-20260215-WA0009-15_54_40.jpg</t>
  </si>
  <si>
    <t>https://kf.kobotoolbox.org/api/v2/assets/avstPQqLr3Ab3ZdcVTXZ6f/data/672399465/attachments/attmi5pKQ6gPap9vc35C3T8f/</t>
  </si>
  <si>
    <t>bef5e804-2b24-407f-93fe-4ff623059b22</t>
  </si>
  <si>
    <t>uuid:bef5e804-2b24-407f-93fe-4ff623059b22</t>
  </si>
  <si>
    <t>Munir</t>
  </si>
  <si>
    <t>-5.006267 119.653295 77.991 1.350000023841858</t>
  </si>
  <si>
    <t>-5.00626 119.653289 78.816 7.804999828338623</t>
  </si>
  <si>
    <t>BSP0309</t>
  </si>
  <si>
    <t>Menjahit</t>
  </si>
  <si>
    <t>Karena digunakan untuk bekerja (menerima jahitan)</t>
  </si>
  <si>
    <t>Sereh</t>
  </si>
  <si>
    <t>Lebih sering melalukan monitoring dan evaluasi</t>
  </si>
  <si>
    <t>Lebih aman Peningkatan kebersihan kandang ternak Mendapatkan subsidi</t>
  </si>
  <si>
    <t>IMG-20260215-WA0013-16_0_32.jpg</t>
  </si>
  <si>
    <t>https://kf.kobotoolbox.org/api/v2/assets/avstPQqLr3Ab3ZdcVTXZ6f/data/672401891/attachments/atte95ai8cK8CztzRDCNcqtE/</t>
  </si>
  <si>
    <t>IMG-20260215-WA0011-16_0_44.jpg</t>
  </si>
  <si>
    <t>https://kf.kobotoolbox.org/api/v2/assets/avstPQqLr3Ab3ZdcVTXZ6f/data/672401891/attachments/attwFdqgzJATk79Vamacmys8/</t>
  </si>
  <si>
    <t>Perlunya pelatihan yang rutin terhadap pengguna biogas</t>
  </si>
  <si>
    <t>22468d05-54c1-48a8-a2d6-77c32e66fa3d</t>
  </si>
  <si>
    <t>uuid:22468d05-54c1-48a8-a2d6-77c32e66fa3d</t>
  </si>
  <si>
    <t>Saparuddin</t>
  </si>
  <si>
    <t>-5.165686 119.647024 142.851 2.4830000400543213</t>
  </si>
  <si>
    <t>-5.165489 119.646582 280.159 3.0490000247955322</t>
  </si>
  <si>
    <t>BSP0031</t>
  </si>
  <si>
    <t>Pohon pisang, jeruk, dan rambutan</t>
  </si>
  <si>
    <t>Pasokan energi yang andal Memasak lebih cepat Lebih aman</t>
  </si>
  <si>
    <t>IMG-20260215-WA0024-16_36_44.jpg</t>
  </si>
  <si>
    <t>https://kf.kobotoolbox.org/api/v2/assets/avstPQqLr3Ab3ZdcVTXZ6f/data/672418844/attachments/attukAH7mKL7NTwWr8HjgiRv/</t>
  </si>
  <si>
    <t>IMG-20260215-WA0021-16_36_24.jpg</t>
  </si>
  <si>
    <t>https://kf.kobotoolbox.org/api/v2/assets/avstPQqLr3Ab3ZdcVTXZ6f/data/672418844/attachments/attwKQvmEtLS2khuuGVPv7Yu/</t>
  </si>
  <si>
    <t>672096a7-fbb7-4a29-92ac-c28a3f3c2973</t>
  </si>
  <si>
    <t>uuid:672096a7-fbb7-4a29-92ac-c28a3f3c2973</t>
  </si>
  <si>
    <t>Inrawan</t>
  </si>
  <si>
    <t>Abdul Rahman</t>
  </si>
  <si>
    <t>-5.138153 119.620474 87.705 5.576000213623047</t>
  </si>
  <si>
    <t>-5.138362 119.619914 84.69 0.6859999895095825</t>
  </si>
  <si>
    <t>Tanralili</t>
  </si>
  <si>
    <t>Purnakarya</t>
  </si>
  <si>
    <t>BSP0349</t>
  </si>
  <si>
    <t>Kompor Manometer Pipa gas utama Katup gas utama Reaktor biogas (penampung gas, digester, manhole, outlet, dan overflow) Saluran Pipa Gas Saluran air (Water drain)</t>
  </si>
  <si>
    <t>_</t>
  </si>
  <si>
    <t>Pengurangan pengeluaran rumah tangga (bahan bakar minyak, pupuk, dll.) Lebih aman Peningkatan kebersihan kandang ternak Pemanfaatan bio-slurry sebagai pupuk Dapur lebih bersih dan bebas asap</t>
  </si>
  <si>
    <t>1000094973-17_18_14.jpg</t>
  </si>
  <si>
    <t>https://kf.kobotoolbox.org/api/v2/assets/avstPQqLr3Ab3ZdcVTXZ6f/data/672437881/attachments/attncU4GdUFjincEXSKZmfGQ/</t>
  </si>
  <si>
    <t>1000094972-17_18_31.jpg</t>
  </si>
  <si>
    <t>https://kf.kobotoolbox.org/api/v2/assets/avstPQqLr3Ab3ZdcVTXZ6f/data/672437881/attachments/attR4K9sDjAG7RH9EvNNgoT8/</t>
  </si>
  <si>
    <t>Responden tidak bersedia foto bersama</t>
  </si>
  <si>
    <t>5242b8c2-dba0-4b52-8d67-06f0b833b0e3</t>
  </si>
  <si>
    <t>uuid:5242b8c2-dba0-4b52-8d67-06f0b833b0e3</t>
  </si>
  <si>
    <t>Lisani (Sabato)</t>
  </si>
  <si>
    <t>-5.165626 119.646462 193.825 2.880000114440918</t>
  </si>
  <si>
    <t>-5.1658822 119.646131 0 23.600000381469727</t>
  </si>
  <si>
    <t>BSP0030</t>
  </si>
  <si>
    <t>Kompor Saluran Pipa Gas</t>
  </si>
  <si>
    <t>Karena lebih suka berkebun</t>
  </si>
  <si>
    <t>2-Disimpan basah (slurry) 3-Disimpan terbuka (dry lot)</t>
  </si>
  <si>
    <t>Pohon rambutan</t>
  </si>
  <si>
    <t>Lebih praktis menggunakan pupuk kimia</t>
  </si>
  <si>
    <t>Peningkatan kebersihan kandang ternak Pemanfaatan bio-slurry sebagai pupuk</t>
  </si>
  <si>
    <t>IMG-20260215-WA0027-17_41_37.jpg</t>
  </si>
  <si>
    <t>https://kf.kobotoolbox.org/api/v2/assets/avstPQqLr3Ab3ZdcVTXZ6f/data/672450186/attachments/att8Nv5N5YbaQyvKo56v5aTu/</t>
  </si>
  <si>
    <t>IMG-20260215-WA0005-17_42_1.jpg</t>
  </si>
  <si>
    <t>https://kf.kobotoolbox.org/api/v2/assets/avstPQqLr3Ab3ZdcVTXZ6f/data/672450186/attachments/attGdxzpwd3YP4CDpVYg5s87/</t>
  </si>
  <si>
    <t>Responden adalah istri dari pak sabato dikarenakan bapak berada di lahan dan umur sudah melebih 60 tahun</t>
  </si>
  <si>
    <t>5de83b5a-0119-4899-bd86-1206583c2b82</t>
  </si>
  <si>
    <t>uuid:5de83b5a-0119-4899-bd86-1206583c2b82</t>
  </si>
  <si>
    <t>Syamsinar (Baharuddin M)</t>
  </si>
  <si>
    <t>-5.149616 119.633305 9.11 3.0380001068115234</t>
  </si>
  <si>
    <t>-5.148771 119.633697 66.246 1.437000036239624</t>
  </si>
  <si>
    <t>BSP0045</t>
  </si>
  <si>
    <t>Sebaiknya pengecekan pengguna biogas dilakukan secara rutin</t>
  </si>
  <si>
    <t>IMG-20260215-WA0034-18_57_29.jpg</t>
  </si>
  <si>
    <t>https://kf.kobotoolbox.org/api/v2/assets/avstPQqLr3Ab3ZdcVTXZ6f/data/672486535/attachments/attBUrMRJk4J6vTBKDQKsRsX/</t>
  </si>
  <si>
    <t>IMG-20260215-WA0032-18_57_48.jpg</t>
  </si>
  <si>
    <t>https://kf.kobotoolbox.org/api/v2/assets/avstPQqLr3Ab3ZdcVTXZ6f/data/672486535/attachments/att9TZNNMGBnERynehXkcx6x/</t>
  </si>
  <si>
    <t>Responden adalah istri dari dari almarhum bapak Baharuddin M</t>
  </si>
  <si>
    <t>183d73c7-d664-4f24-92ed-e80af7af5b9a</t>
  </si>
  <si>
    <t>uuid:183d73c7-d664-4f24-92ed-e80af7af5b9a</t>
  </si>
  <si>
    <t>Ratna (Pengelola) /Sudirman</t>
  </si>
  <si>
    <t>-5.22525 119.658563 91.2 6.900000095367432</t>
  </si>
  <si>
    <t>-5.225403 119.658297 88.4 5.800000190734863</t>
  </si>
  <si>
    <t>Gowa</t>
  </si>
  <si>
    <t>Parangloe</t>
  </si>
  <si>
    <t>Dusun Kasimburang, Belapungranga</t>
  </si>
  <si>
    <t>RAP0082</t>
  </si>
  <si>
    <t>Petani Lainnya</t>
  </si>
  <si>
    <t>Pengelola rumah pak Sudirman</t>
  </si>
  <si>
    <t>UMKM</t>
  </si>
  <si>
    <t>Pemilik rumah (Pak Sudirman)</t>
  </si>
  <si>
    <t>Pemilik rumah</t>
  </si>
  <si>
    <t>Pekerja tambahan</t>
  </si>
  <si>
    <t>Mungkin pemilik yang sudah dijelaskan</t>
  </si>
  <si>
    <t>Kegiatan kerjaan di rumah saja</t>
  </si>
  <si>
    <t>Hanya tinggal di rumah saja</t>
  </si>
  <si>
    <t>Digunakan untuk pupuk di lahan pertanian sendiri Digunakan untuk kegiatan peternakan sendiri Dijual - baik tanpa diolah/diolah/dibuat kascing Diberikan gratis ke orang lain</t>
  </si>
  <si>
    <t>Campuran pakan ikan</t>
  </si>
  <si>
    <t>Kacang panjang, timun, lombok, nangka, rambutan</t>
  </si>
  <si>
    <t>Diberikan ke tetangga</t>
  </si>
  <si>
    <t>Pemilik rumah yang menghubungi</t>
  </si>
  <si>
    <t>Pengurangan pengeluaran rumah tangga (bahan bakar minyak, pupuk, dll.) Lebih mudah mendapatkan energi Lebih aman Peningkatan kebersihan kandang ternak</t>
  </si>
  <si>
    <t>Pemilik yang mendapatkan informasinya</t>
  </si>
  <si>
    <t>1000381530-19_12_41.jpg</t>
  </si>
  <si>
    <t>https://kf.kobotoolbox.org/api/v2/assets/avstPQqLr3Ab3ZdcVTXZ6f/data/672493794/attachments/attGXFrFUpKs6ScFewHSmC2k/</t>
  </si>
  <si>
    <t>1000381561-19_12_58.jpg</t>
  </si>
  <si>
    <t>https://kf.kobotoolbox.org/api/v2/assets/avstPQqLr3Ab3ZdcVTXZ6f/data/672493794/attachments/attZJDBeExNxYrFugZhbgSCP/</t>
  </si>
  <si>
    <t>E.26a dan E27a kurang tahu harganya karena pemilik rumah yang selalu membelikan pupuk</t>
  </si>
  <si>
    <t>76de4d26-fcef-4b30-b80a-3d94396adcd4</t>
  </si>
  <si>
    <t>uuid:76de4d26-fcef-4b30-b80a-3d94396adcd4</t>
  </si>
  <si>
    <t>Pak Alan(Zulkifli Lambali)</t>
  </si>
  <si>
    <t>-5.139543 119.608889 125.988 2.3889999389648438</t>
  </si>
  <si>
    <t>-5.139801 119.609139 78.073 1.062999963760376</t>
  </si>
  <si>
    <t>CV RISKI ABADI</t>
  </si>
  <si>
    <t>RAP0113</t>
  </si>
  <si>
    <t>Seng Genting</t>
  </si>
  <si>
    <t>Tanaman durian dan sayuran</t>
  </si>
  <si>
    <t>Bioslury kalau bisa ada yang pasarkan</t>
  </si>
  <si>
    <t>1000095014-19_23_46.jpg</t>
  </si>
  <si>
    <t>https://kf.kobotoolbox.org/api/v2/assets/avstPQqLr3Ab3ZdcVTXZ6f/data/672501043/attachments/att3f6r3eQW9sgrD8jS5TQXH/</t>
  </si>
  <si>
    <t>1000095013-19_23_55.jpg</t>
  </si>
  <si>
    <t>https://kf.kobotoolbox.org/api/v2/assets/avstPQqLr3Ab3ZdcVTXZ6f/data/672501043/attachments/attYwj3KU2ygpaMNTGWag5j9/</t>
  </si>
  <si>
    <t>Pada saat wawancara pak zulkifli lambali sedang berada di luar kota sehingga yang kami wawancara pada saat itu adalah pekerja yang berada di rumah pak zulkifli sekaligus yang merawat biogas tersebut</t>
  </si>
  <si>
    <t>aeeb23f0-85e6-4dd0-8100-81d5c3a4daca</t>
  </si>
  <si>
    <t>uuid:aeeb23f0-85e6-4dd0-8100-81d5c3a4daca</t>
  </si>
  <si>
    <t>Hariyani (Dg. Salle)</t>
  </si>
  <si>
    <t>-5.156567 119.642429 115.212 3.986999988555908</t>
  </si>
  <si>
    <t>-5.156366 119.642456 121.533 0.7710000276565552</t>
  </si>
  <si>
    <t>BSP0016</t>
  </si>
  <si>
    <t>Permanen (dinding bata dan semen) Seng</t>
  </si>
  <si>
    <t>Jagung</t>
  </si>
  <si>
    <t>Sebaiknya pelatihan dan pemantauan rutin dilaksanakan agar masyarakat bisa lebih aktif menggunakan biogas.</t>
  </si>
  <si>
    <t>Lebih aman Pemanfaatan bio-slurry sebagai pupuk Mendapatkan subsidi</t>
  </si>
  <si>
    <t>IMG-20260215-WA0040-19_37_3.jpg</t>
  </si>
  <si>
    <t>https://kf.kobotoolbox.org/api/v2/assets/avstPQqLr3Ab3ZdcVTXZ6f/data/672509882/attachments/att3bPjGjQQC6oAWgutgpzvr/</t>
  </si>
  <si>
    <t>IMG-20260215-WA0038-19_37_45.jpg</t>
  </si>
  <si>
    <t>https://kf.kobotoolbox.org/api/v2/assets/avstPQqLr3Ab3ZdcVTXZ6f/data/672509882/attachments/attRvsEMhgW6rf6unAKkooBt/</t>
  </si>
  <si>
    <t>Respon adalah anak Almarhum Dg. Salle</t>
  </si>
  <si>
    <t>710c452b-555b-4650-ad1e-2fc30fb59aab</t>
  </si>
  <si>
    <t>uuid:710c452b-555b-4650-ad1e-2fc30fb59aab</t>
  </si>
  <si>
    <t>H.Unjung</t>
  </si>
  <si>
    <t>-5.105182 119.621375 56.1 6.199999809265137</t>
  </si>
  <si>
    <t>-5.10518 119.621377 56.1 8.5</t>
  </si>
  <si>
    <t>Lekopancing</t>
  </si>
  <si>
    <t>RAP0115</t>
  </si>
  <si>
    <t>Berjualan</t>
  </si>
  <si>
    <t>&lt;1 bulan yang lalu</t>
  </si>
  <si>
    <t>Lombok biji dan pohon pisang</t>
  </si>
  <si>
    <t>1000095040-20_9_48.jpg</t>
  </si>
  <si>
    <t>https://kf.kobotoolbox.org/api/v2/assets/avstPQqLr3Ab3ZdcVTXZ6f/data/672522073/attachments/attSwMnqdo7NBUsdoGNGxeoE/</t>
  </si>
  <si>
    <t>1000095025-20_9_57.jpg</t>
  </si>
  <si>
    <t>https://kf.kobotoolbox.org/api/v2/assets/avstPQqLr3Ab3ZdcVTXZ6f/data/672522073/attachments/att8iLmFxKxQTkFzndebhb85/</t>
  </si>
  <si>
    <t>f79699d1-8115-489c-b686-7328d0b64d65</t>
  </si>
  <si>
    <t>uuid:f79699d1-8115-489c-b686-7328d0b64d65</t>
  </si>
  <si>
    <t>Irwandi (Anak Pak Jamaluddin Dg Nyau)</t>
  </si>
  <si>
    <t>-5.397297 119.554614 104.19999694824219 24.899999618530273</t>
  </si>
  <si>
    <t>-5.396945 119.554755 95.13052122375235 14.269000053405762</t>
  </si>
  <si>
    <t>Polobangkeng Timur</t>
  </si>
  <si>
    <t>Dusun Tetetanrang, Ko'Mara</t>
  </si>
  <si>
    <t>UD. BONTOMARANNU</t>
  </si>
  <si>
    <t>BTD0099</t>
  </si>
  <si>
    <t>Tidak ingat</t>
  </si>
  <si>
    <t>Pupuk cair untuk tanaman Pestisida organik</t>
  </si>
  <si>
    <t>Padi, jagung, mangga</t>
  </si>
  <si>
    <t>CPO datang rutin untuk mengecek biogas sehingga pendampingan dapat terus berjalan. Jika kompor rusak tidak tahu diganti dimana</t>
  </si>
  <si>
    <t>Pengurangan pengeluaran rumah tangga (bahan bakar minyak, pupuk, dll.) Lebih mudah mendapatkan energi Peningkatan kebersihan kandang ternak</t>
  </si>
  <si>
    <t>Agar kandang lebih bersih</t>
  </si>
  <si>
    <t>Tidak tahu</t>
  </si>
  <si>
    <t>1000384349-10_8_2.jpg</t>
  </si>
  <si>
    <t>https://kf.kobotoolbox.org/api/v2/assets/avstPQqLr3Ab3ZdcVTXZ6f/data/672744653/attachments/attax8XGNt8wo7LxZwW6dYwy/</t>
  </si>
  <si>
    <t>1000384350-10_8_7.jpg</t>
  </si>
  <si>
    <t>https://kf.kobotoolbox.org/api/v2/assets/avstPQqLr3Ab3ZdcVTXZ6f/data/672744653/attachments/attUVU636kqoxsk7b6JAUx37/</t>
  </si>
  <si>
    <t>Biaya untuk B4 dan B5 pada kayu bakar tidak ada karena hanya mengambil di sawah atau kebun. E26-E29 tidak diketahui secara pasti karena yang lakukan hanya orangtua.</t>
  </si>
  <si>
    <t>4955d8fa-efef-4f0b-ab04-de001c2632c4</t>
  </si>
  <si>
    <t>uuid:4955d8fa-efef-4f0b-ab04-de001c2632c4</t>
  </si>
  <si>
    <t>BTP0099</t>
  </si>
  <si>
    <t>Syarifuddin Dg Bunga</t>
  </si>
  <si>
    <t>-5.386467 119.542418 97.6 4.300000190734863</t>
  </si>
  <si>
    <t>-5.386181 119.542546 99.5 5.320000171661377</t>
  </si>
  <si>
    <t>Ko'Mara</t>
  </si>
  <si>
    <t>YAPENSA</t>
  </si>
  <si>
    <t>YAP0095</t>
  </si>
  <si>
    <t>Aktivitas sosial diluar rumah (misalnya, berkumpul dengan tetangga, mengikuti kegiatan PKK, dsb) Istirahat</t>
  </si>
  <si>
    <t>Hanya istirahat</t>
  </si>
  <si>
    <t>Bertemu tetangga atau ke lapangan</t>
  </si>
  <si>
    <t>Diberikan ke tetangga bagi yang berminat</t>
  </si>
  <si>
    <t>Menghubungi cpo</t>
  </si>
  <si>
    <t>Dilakukan pengecekan rutin</t>
  </si>
  <si>
    <t>Pengurangan pengeluaran rumah tangga (bahan bakar minyak, pupuk, dll.) Lebih mudah mendapatkan energi</t>
  </si>
  <si>
    <t>1000380330-12_45_41.jpg</t>
  </si>
  <si>
    <t>https://kf.kobotoolbox.org/api/v2/assets/avstPQqLr3Ab3ZdcVTXZ6f/data/672776808/attachments/attR4fsMDge9xt2TrMGgjdoG/</t>
  </si>
  <si>
    <t>1000380351-12_45_51.jpg</t>
  </si>
  <si>
    <t>https://kf.kobotoolbox.org/api/v2/assets/avstPQqLr3Ab3ZdcVTXZ6f/data/672776808/attachments/att6SvzeFB7N22WNdVj2XpmA/</t>
  </si>
  <si>
    <t>E9. Kotoran sapi ketika pakai biogester disimpan terbuka dan digester biogas. E10. 100% E11. 2 kali/hari. E14. Bioslurry padat sudah tidak diingat secara pasti</t>
  </si>
  <si>
    <t>d7c1357a-d767-4a3f-aba7-42c92f72507c</t>
  </si>
  <si>
    <t>uuid:d7c1357a-d767-4a3f-aba7-42c92f72507c</t>
  </si>
  <si>
    <t>Hambali</t>
  </si>
  <si>
    <t>-5.196637 119.395318 57.599998474121094 11</t>
  </si>
  <si>
    <t>-5.19655 119.395337 57.599998474121094 7.300000190734863</t>
  </si>
  <si>
    <t>Makassar</t>
  </si>
  <si>
    <t>Tamalate</t>
  </si>
  <si>
    <t>Barombong</t>
  </si>
  <si>
    <t>CV RITMA GREEN SINERGY</t>
  </si>
  <si>
    <t>REP0352</t>
  </si>
  <si>
    <t>1 m³ (400 liter output gas, ±1 jam memasak/hari)</t>
  </si>
  <si>
    <t>Bahan organik yang kurang banyak jumlahnya</t>
  </si>
  <si>
    <t>Tidak ada ternak apapun</t>
  </si>
  <si>
    <t>Pestisida organik</t>
  </si>
  <si>
    <t>Coklat, pepaya</t>
  </si>
  <si>
    <t>Tidak pakai pupuk lainnya</t>
  </si>
  <si>
    <t>Pemasangan sebaiknya dilakukan di daerah pedesaan bukan sekitar kota dimana penduduknya memiliki ternak</t>
  </si>
  <si>
    <t>Lebih mudah mendapatkan energi Pasokan energi yang andal Dapur lebih bersih dan bebas asap Mendapatkan subsidi</t>
  </si>
  <si>
    <t>Penasaran tentang biogas</t>
  </si>
  <si>
    <t>1000381705-13_8_21.jpg</t>
  </si>
  <si>
    <t>https://kf.kobotoolbox.org/api/v2/assets/avstPQqLr3Ab3ZdcVTXZ6f/data/672784438/attachments/att52tusTaXibfRrovXHk9UT/</t>
  </si>
  <si>
    <t>1000381719-13_8_28.jpg</t>
  </si>
  <si>
    <t>https://kf.kobotoolbox.org/api/v2/assets/avstPQqLr3Ab3ZdcVTXZ6f/data/672784438/attachments/attYUXg7KoxUYpEnqYbiQzq4/</t>
  </si>
  <si>
    <t>Jenis yang digunakan adalah bahan organik berupa sayur. B7 estimasi jumlah sayur yang digunakan. D5 estimasi lama pengolahan sayuran untuk dibuang.</t>
  </si>
  <si>
    <t>aa8549e9-ade3-4ad2-bd26-b9368c8e563f</t>
  </si>
  <si>
    <t>uuid:aa8549e9-ade3-4ad2-bd26-b9368c8e563f</t>
  </si>
  <si>
    <t>Syamsuddin Dg Lebo</t>
  </si>
  <si>
    <t>-5.437688 119.412527 53.400000000000006 8.300000190734863</t>
  </si>
  <si>
    <t>-5.437514 119.412523 68.40496826171875 4.607999801635742</t>
  </si>
  <si>
    <t>Mappakasunggu</t>
  </si>
  <si>
    <t>Pa'Batangan, Camba-Camba</t>
  </si>
  <si>
    <t>BTP0058</t>
  </si>
  <si>
    <t>Laki-laki dewasa Pekerja tambahan</t>
  </si>
  <si>
    <t>Pendidikan anak (mengantar sekolah, menemani anak belajar, menyiapkan bekal dsb) Aktivitas sosial diluar rumah (misalnya, berkumpul dengan tetangga, mengikuti kegiatan PKK, dsb) Istirahat</t>
  </si>
  <si>
    <t>Kegiatan PKK</t>
  </si>
  <si>
    <t>Mengurus ternak</t>
  </si>
  <si>
    <t>Melihat peluang ekonomi untuk warga agar dapat ditingkatkan. Permasalahan gas perlu ditingkatkan atau disosialisasikan ke warga umum. Perlu adanya peningkatan pendampingan</t>
  </si>
  <si>
    <t>Pengurangan pengeluaran rumah tangga (bahan bakar minyak, pupuk, dll.) Pasokan energi yang andal Peningkatan kebersihan kandang ternak</t>
  </si>
  <si>
    <t>1000384479-13_39_19.jpg</t>
  </si>
  <si>
    <t>https://kf.kobotoolbox.org/api/v2/assets/avstPQqLr3Ab3ZdcVTXZ6f/data/672797990/attachments/attUNKRU3XmcaxzJbdkjSErj/</t>
  </si>
  <si>
    <t>1000384478-13_39_25.jpg</t>
  </si>
  <si>
    <t>https://kf.kobotoolbox.org/api/v2/assets/avstPQqLr3Ab3ZdcVTXZ6f/data/672797990/attachments/attLkVxxGsCxnahgXKixpDY5/</t>
  </si>
  <si>
    <t>E9 kotoran sapi disimpan terbuka dan digester biogas. E10 100%</t>
  </si>
  <si>
    <t>d9141039-19f4-412a-8de9-7bd816e2ae6b</t>
  </si>
  <si>
    <t>uuid:d9141039-19f4-412a-8de9-7bd816e2ae6b</t>
  </si>
  <si>
    <t>Majid Dg Gassing</t>
  </si>
  <si>
    <t>-5.33064 119.489684 77.5 24.899999618530273</t>
  </si>
  <si>
    <t>-5.330634 119.489686 77.5 22.83799934387207</t>
  </si>
  <si>
    <t>Polongbangkeng Utara</t>
  </si>
  <si>
    <t>Lassang Barat</t>
  </si>
  <si>
    <t>RAP0089</t>
  </si>
  <si>
    <t>Pisang, rambutan, rumput gajah, kacang panjang</t>
  </si>
  <si>
    <t>Memanfaatkan bioslurry</t>
  </si>
  <si>
    <t>Pengurangan pengeluaran rumah tangga (bahan bakar minyak, pupuk, dll.) Lebih mudah mendapatkan energi Pasokan energi yang andal Lebih aman Peningkatan kebersihan kandang ternak Pemanfaatan bio-slurry sebagai pupuk</t>
  </si>
  <si>
    <t>1000634436-15_2_44.heic</t>
  </si>
  <si>
    <t>https://kf.kobotoolbox.org/api/v2/assets/avstPQqLr3Ab3ZdcVTXZ6f/data/672852898/attachments/attv6xDNwp8iBXPfHXxSAsjG/</t>
  </si>
  <si>
    <t>1000634425-15_3_12.heic</t>
  </si>
  <si>
    <t>https://kf.kobotoolbox.org/api/v2/assets/avstPQqLr3Ab3ZdcVTXZ6f/data/672852898/attachments/atte9PE6uKEtUdAHM8uKLy7o/</t>
  </si>
  <si>
    <t>Pada pertanyaan A11, jawaban responden ada dua: masalah teknis dan tidak ada ternak</t>
  </si>
  <si>
    <t>41e0f0a0-03d3-480b-b1a0-26993e214633</t>
  </si>
  <si>
    <t>uuid:41e0f0a0-03d3-480b-b1a0-26993e214633</t>
  </si>
  <si>
    <t>Abd Rahim Dg Ngunjung</t>
  </si>
  <si>
    <t>-5.369417 119.517248 87.877685546875 7.64300012588501</t>
  </si>
  <si>
    <t>-5.369643 119.51692 93.0416259765625 4.228000164031982</t>
  </si>
  <si>
    <t>Timbuseng</t>
  </si>
  <si>
    <t>BTP0177</t>
  </si>
  <si>
    <t>Kompor Lampu</t>
  </si>
  <si>
    <t>Rp 200,001 - Rp 500,000</t>
  </si>
  <si>
    <t>Sayuran terong dan kangkung</t>
  </si>
  <si>
    <t>Diberikan gratis bagi yang mau</t>
  </si>
  <si>
    <t>Tingkatkan kembali pengelolaan biogas, jika ternak kurang bisa dibantu sapi untuk kelompok ternak sapi</t>
  </si>
  <si>
    <t>Pengurangan pengeluaran rumah tangga (bahan bakar minyak, pupuk, dll.) Lebih mudah mendapatkan energi Peningkatan kebersihan kandang ternak Dapur lebih bersih dan bebas asap</t>
  </si>
  <si>
    <t>1000384520-15_26_16.jpg</t>
  </si>
  <si>
    <t>https://kf.kobotoolbox.org/api/v2/assets/avstPQqLr3Ab3ZdcVTXZ6f/data/672868714/attachments/attheZa76TGKmamWaDUEPnAk/</t>
  </si>
  <si>
    <t>1000384519-15_26_21.jpg</t>
  </si>
  <si>
    <t>https://kf.kobotoolbox.org/api/v2/assets/avstPQqLr3Ab3ZdcVTXZ6f/data/672868714/attachments/att65iATyRAPvKdwNRJV8EQv/</t>
  </si>
  <si>
    <t>d239ef23-646e-484f-92a0-304dc80449f2</t>
  </si>
  <si>
    <t>uuid:d239ef23-646e-484f-92a0-304dc80449f2</t>
  </si>
  <si>
    <t>Bakri Dg Rani</t>
  </si>
  <si>
    <t>-5.397075 119.429221 66.34182532970794 13.079999923706055</t>
  </si>
  <si>
    <t>-5.397051 119.429184 65.97134741389242 4.789000034332275</t>
  </si>
  <si>
    <t>BTP0286</t>
  </si>
  <si>
    <t>Responden mengambil kotoran ternak milik tetangga saat pengisian biogas di awal pembangunan</t>
  </si>
  <si>
    <t>Tidak pernah ada kerusakan</t>
  </si>
  <si>
    <t>Pengurangan pengeluaran rumah tangga (bahan bakar minyak, pupuk, dll.) Lebih mudah mendapatkan energi Pasokan energi yang andal Memasak lebih cepat Lebih aman Peningkatan kebersihan kandang ternak Pemanfaatan bio-slurry sebagai pupuk</t>
  </si>
  <si>
    <t>1000634719-15_27_48.heic</t>
  </si>
  <si>
    <t>https://kf.kobotoolbox.org/api/v2/assets/avstPQqLr3Ab3ZdcVTXZ6f/data/672870528/attachments/attUMB45vfkwioEQW8bz6CLN/</t>
  </si>
  <si>
    <t>1000634747-15_28_1.heic</t>
  </si>
  <si>
    <t>https://kf.kobotoolbox.org/api/v2/assets/avstPQqLr3Ab3ZdcVTXZ6f/data/672870528/attachments/atteCTFvF65FtTquLNQijNET/</t>
  </si>
  <si>
    <t>Pada bagian E5-b, sapi dicuri</t>
  </si>
  <si>
    <t>6cf43d42-469d-42cd-80de-f2be7973f794</t>
  </si>
  <si>
    <t>uuid:6cf43d42-469d-42cd-80de-f2be7973f794</t>
  </si>
  <si>
    <t>Usman Dg Gassing</t>
  </si>
  <si>
    <t>-5.415306 119.425795 61.29999923706055 5.485000133514404</t>
  </si>
  <si>
    <t>-5.415158 119.425699 57.4422607421875 4.519999980926511</t>
  </si>
  <si>
    <t>Pattalassang</t>
  </si>
  <si>
    <t>Sombala Bella, Lingkungan Tala</t>
  </si>
  <si>
    <t>BTP0257</t>
  </si>
  <si>
    <t>Reaktor biogas (penampung gas, digester, manhole, outlet, dan overflow)</t>
  </si>
  <si>
    <t>Laki-laki dewasa Anak-anak (0-18 tahun)</t>
  </si>
  <si>
    <t>Tidak ada waktu tambahan</t>
  </si>
  <si>
    <t>Padi, jagung, sayur bayam, sayur kacang panjang, timun</t>
  </si>
  <si>
    <t>Pengerjaan awal di bak sebaiknya lebih diperbaiki dan diperhatikan pengerjaannya. Kontrol dan pengawasan lebih ditambah</t>
  </si>
  <si>
    <t>1000384525-15_49_52.jpg</t>
  </si>
  <si>
    <t>https://kf.kobotoolbox.org/api/v2/assets/avstPQqLr3Ab3ZdcVTXZ6f/data/672890663/attachments/attYvygf7PohGzc46VoKSUyY/</t>
  </si>
  <si>
    <t>1000384526-15_49_57.jpg</t>
  </si>
  <si>
    <t>https://kf.kobotoolbox.org/api/v2/assets/avstPQqLr3Ab3ZdcVTXZ6f/data/672890663/attachments/atttMfUsriZgcverjrjnPZCJ/</t>
  </si>
  <si>
    <t>A12. Pengerjaan tukang kurang baik. C1 perbaikan di lantai dan dinding dapur. C7 mata iritasi karena kena gas diawal pengerjaan disarankan pakai kacamata. D19 biaya pengerjaan bak dan pasang pipa juga kompor. E10 kotoran sapi 100%</t>
  </si>
  <si>
    <t>d7e65267-768a-40f9-b7ac-6a5d9adf9549</t>
  </si>
  <si>
    <t>uuid:d7e65267-768a-40f9-b7ac-6a5d9adf9549</t>
  </si>
  <si>
    <t>Dg Sattu</t>
  </si>
  <si>
    <t>-5.511028 119.544442 82.1959228515625 4.609000205993652</t>
  </si>
  <si>
    <t>-5.510863 119.544298 93.84503173828125 6.307000160217285</t>
  </si>
  <si>
    <t>RAP0021</t>
  </si>
  <si>
    <t>Pada saat pembangunan biogas, sempat pakai kotoran kerbau untuk memenuhi keterbutuhan</t>
  </si>
  <si>
    <t>Perlu ada penjualan alat agar biogas tidak terbengkalai jika ada kerusakan</t>
  </si>
  <si>
    <t>Pengurangan pengeluaran rumah tangga (bahan bakar minyak, pupuk, dll.) Lebih mudah mendapatkan energi Pasokan energi yang andal Memasak lebih cepat Lebih aman Peningkatan kebersihan kandang ternak Pemanfaatan bio-slurry sebagai pupuk Mendapatkan subsidi</t>
  </si>
  <si>
    <t>1000630553-17_28_43.heic</t>
  </si>
  <si>
    <t>https://kf.kobotoolbox.org/api/v2/assets/avstPQqLr3Ab3ZdcVTXZ6f/data/672978537/attachments/attgvyq44CxLAWMaYyzZDpnH/</t>
  </si>
  <si>
    <t>1000630543-17_29_11.heic</t>
  </si>
  <si>
    <t>https://kf.kobotoolbox.org/api/v2/assets/avstPQqLr3Ab3ZdcVTXZ6f/data/672978537/attachments/attLEQYWXrHcpZjvJpJaWHSU/</t>
  </si>
  <si>
    <t>Untuk pertanyaan E14, jawabannya 0.5liter. Namun tidak bisa dituliskan karena desimal terbaca invalid</t>
  </si>
  <si>
    <t>fe0e905d-f36c-4ab7-bcb5-bacf3ab26f73</t>
  </si>
  <si>
    <t>uuid:fe0e905d-f36c-4ab7-bcb5-bacf3ab26f73</t>
  </si>
  <si>
    <t>Supardi</t>
  </si>
  <si>
    <t>-5.156363 119.647644 143.919 5.107999801635742</t>
  </si>
  <si>
    <t>-5.156324 119.647888 121.794 1.2380000352859497</t>
  </si>
  <si>
    <t>BSP0067</t>
  </si>
  <si>
    <t>Bambu/kayu Keramik/ubin</t>
  </si>
  <si>
    <t>Kompor Keran gas (Tap) Manometer Pipa gas utama Katup gas utama Turet Mixer Inlet Reaktor biogas (penampung gas, digester, manhole, outlet, dan overflow) Saluran Pipa Gas Water drain (penguras air/pemisah air) Saluran air (Water drain) Bio-Slurry Outlet (Lubang Bio-slurry)</t>
  </si>
  <si>
    <t>Pengurangan pengeluaran rumah tangga (bahan bakar minyak, pupuk, dll.) Lebih aman Peningkatan kebersihan kandang ternak</t>
  </si>
  <si>
    <t>1000095749-22_8_16.jpg</t>
  </si>
  <si>
    <t>https://kf.kobotoolbox.org/api/v2/assets/avstPQqLr3Ab3ZdcVTXZ6f/data/673230108/attachments/att56Jw9FEsJDFtnQV6oKk8c/</t>
  </si>
  <si>
    <t>1000095746-22_8_25.jpg</t>
  </si>
  <si>
    <t>https://kf.kobotoolbox.org/api/v2/assets/avstPQqLr3Ab3ZdcVTXZ6f/data/673230108/attachments/attD2EXeANJr4VCb3TUs4PLN/</t>
  </si>
  <si>
    <t>8d3f66c6-da56-4bb2-a61b-adfb68c3cb48</t>
  </si>
  <si>
    <t>uuid:8d3f66c6-da56-4bb2-a61b-adfb68c3cb48</t>
  </si>
  <si>
    <t>Dg. Nojeng</t>
  </si>
  <si>
    <t>-5.148796 119.678133 77.245 1.465000033378601</t>
  </si>
  <si>
    <t>-5.148734 119.677993 95.148 18.615999221801758</t>
  </si>
  <si>
    <t>Pucak</t>
  </si>
  <si>
    <t>BSP0359</t>
  </si>
  <si>
    <t>Tidak ada peningkatan</t>
  </si>
  <si>
    <t>Rambutan dan pisang</t>
  </si>
  <si>
    <t>1000095739-22_10_53.jpg</t>
  </si>
  <si>
    <t>https://kf.kobotoolbox.org/api/v2/assets/avstPQqLr3Ab3ZdcVTXZ6f/data/673232444/attachments/attbAQV6qc5drBWoQJuskVBe/</t>
  </si>
  <si>
    <t>1000095743-22_11_6.jpg</t>
  </si>
  <si>
    <t>https://kf.kobotoolbox.org/api/v2/assets/avstPQqLr3Ab3ZdcVTXZ6f/data/673232444/attachments/attGGQJJU45xsdmtSnKKD2fV/</t>
  </si>
  <si>
    <t>cbcc3e46-c276-4a94-a86e-1ab6a7a17846</t>
  </si>
  <si>
    <t>uuid:cbcc3e46-c276-4a94-a86e-1ab6a7a17846</t>
  </si>
  <si>
    <t>Daeng Gassing</t>
  </si>
  <si>
    <t>-5.141644 119.684525 98.226 0.9980000257492065</t>
  </si>
  <si>
    <t>-5.141641 119.684416 98.769 14.777000427246094</t>
  </si>
  <si>
    <t>BSP0370</t>
  </si>
  <si>
    <t>Pendidikan anggota keluarga</t>
  </si>
  <si>
    <t>Bunga dan pohon pisang</t>
  </si>
  <si>
    <t>1000095756-22_13_14.jpg</t>
  </si>
  <si>
    <t>https://kf.kobotoolbox.org/api/v2/assets/avstPQqLr3Ab3ZdcVTXZ6f/data/673236048/attachments/attc4fh25BNYJsDRvqhEQANi/</t>
  </si>
  <si>
    <t>1000095794-22_14_26.jpg</t>
  </si>
  <si>
    <t>https://kf.kobotoolbox.org/api/v2/assets/avstPQqLr3Ab3ZdcVTXZ6f/data/673236048/attachments/att8og4DELe9cc5DV6G6Vx4g/</t>
  </si>
  <si>
    <t>50d52b36-9424-4128-a7f9-368097b1abc4</t>
  </si>
  <si>
    <t>uuid:50d52b36-9424-4128-a7f9-368097b1abc4</t>
  </si>
  <si>
    <t>Isa (Rungnga)</t>
  </si>
  <si>
    <t>-5.142011 119.684936 82.084 2.6640000343322754</t>
  </si>
  <si>
    <t>-5.142257 119.685059 114.316 1.3489999771118164</t>
  </si>
  <si>
    <t>BSP0385</t>
  </si>
  <si>
    <t>Karena digunakan untuk istirahat</t>
  </si>
  <si>
    <t>Pelatihan terkait bioslury lebih di tingkatkan apalagi bisa dijadikan bisnis pengguna biogas</t>
  </si>
  <si>
    <t>IMG-20260216-WA0010-22_50_26.jpg</t>
  </si>
  <si>
    <t>https://kf.kobotoolbox.org/api/v2/assets/avstPQqLr3Ab3ZdcVTXZ6f/data/673441558/attachments/att9b3EwgRroUijwjcQFk32B/</t>
  </si>
  <si>
    <t>IMG-20260216-WA0009-22_50_40.jpg</t>
  </si>
  <si>
    <t>https://kf.kobotoolbox.org/api/v2/assets/avstPQqLr3Ab3ZdcVTXZ6f/data/673441558/attachments/attVSraCmaJ7vpg3H3hxxxUb/</t>
  </si>
  <si>
    <t>Bapak Rungnga sedang berada di luar daerah sehingga responden adalah istri beliau</t>
  </si>
  <si>
    <t>c27a3870-25f1-4889-99c0-3a683099b1e2</t>
  </si>
  <si>
    <t>uuid:c27a3870-25f1-4889-99c0-3a683099b1e2</t>
  </si>
  <si>
    <t>H. Baso Dg. Sampo</t>
  </si>
  <si>
    <t>-5.141535 119.686335 140.074 1.406999945640564</t>
  </si>
  <si>
    <t>-5.141693 119.686603 102.962 1.3380000591278076</t>
  </si>
  <si>
    <t>BSP0388</t>
  </si>
  <si>
    <t>Kurangnya pemeliharaan yang memadai</t>
  </si>
  <si>
    <t>CPO Teman/keluarga</t>
  </si>
  <si>
    <t>IMG-20260216-WA0013-4_20_50.jpg</t>
  </si>
  <si>
    <t>https://kf.kobotoolbox.org/api/v2/assets/avstPQqLr3Ab3ZdcVTXZ6f/data/673449102/attachments/attGs6QocvFpDcxK2EqdJXeM/</t>
  </si>
  <si>
    <t>IMG-20260217-WA0000-4_21_0.jpg</t>
  </si>
  <si>
    <t>https://kf.kobotoolbox.org/api/v2/assets/avstPQqLr3Ab3ZdcVTXZ6f/data/673449102/attachments/att7vcNdWuD6n7QcTU8mwF5G/</t>
  </si>
  <si>
    <t>Usia responden 62 tahun maka pada saat wawancara di dampingi oleh anaknya</t>
  </si>
  <si>
    <t>9845c776-b612-4c11-958b-c9efc5443716</t>
  </si>
  <si>
    <t>uuid:9845c776-b612-4c11-958b-c9efc5443716</t>
  </si>
  <si>
    <t>Bateng</t>
  </si>
  <si>
    <t>-5.150341 119.674778 145.99 0.8220000267028809</t>
  </si>
  <si>
    <t>-5.150318 119.674807 143.341 0.9470000267028809</t>
  </si>
  <si>
    <t>BSP0276</t>
  </si>
  <si>
    <t>Kompor Pipa gas utama</t>
  </si>
  <si>
    <t>LPG Arang</t>
  </si>
  <si>
    <t>Digunakan untuk kegiatan peternakan sendiri</t>
  </si>
  <si>
    <t>Campuran pakan unggas</t>
  </si>
  <si>
    <t>Sosialisasi dan pelatihan terhadap biogas lebih diperhatikan apalagi terkait perbaikan komponen dari biogas itu sendiri</t>
  </si>
  <si>
    <t>Memasak lebih cepat Lebih aman Peningkatan kebersihan kandang ternak Mendapatkan subsidi</t>
  </si>
  <si>
    <t>Screenshot_20260217_042623_com.google.android.apps.docs_edit_222591887353534-4_51_38.jpg</t>
  </si>
  <si>
    <t>https://kf.kobotoolbox.org/api/v2/assets/avstPQqLr3Ab3ZdcVTXZ6f/data/673459136/attachments/attZxBEG8Lhs7iVcKqxc7wUF/</t>
  </si>
  <si>
    <t>Screenshot_20260217_042615_com.google.android.apps.docs_edit_222580505963952-4_51_48.jpg</t>
  </si>
  <si>
    <t>https://kf.kobotoolbox.org/api/v2/assets/avstPQqLr3Ab3ZdcVTXZ6f/data/673459136/attachments/attus258rA85fMy6itzwj5Fd/</t>
  </si>
  <si>
    <t>1 karung arang = 15kg</t>
  </si>
  <si>
    <t>953541a8-bd1d-4851-a19d-541b12d494b6</t>
  </si>
  <si>
    <t>uuid:953541a8-bd1d-4851-a19d-541b12d494b6</t>
  </si>
  <si>
    <t>Ilyas T, S. Pd</t>
  </si>
  <si>
    <t>-5.009461 119.655489 64.20000457763672 1.0509999990463257</t>
  </si>
  <si>
    <t>-5.009579 119.655919 64.20000457763672 1.1469999551773071</t>
  </si>
  <si>
    <t>P4S SHAFANA CAKRAWALA</t>
  </si>
  <si>
    <t>SCP0021</t>
  </si>
  <si>
    <t>Modal Usaha</t>
  </si>
  <si>
    <t>Pekerja</t>
  </si>
  <si>
    <t>Memasak lebih cepat Mendapatkan subsidi</t>
  </si>
  <si>
    <t>IMG-20260215-WA0015-5_30_10.jpg</t>
  </si>
  <si>
    <t>https://kf.kobotoolbox.org/api/v2/assets/avstPQqLr3Ab3ZdcVTXZ6f/data/673469440/attachments/attXJjsHCjkiAkuPhUmALf7u/</t>
  </si>
  <si>
    <t>IMG-20260215-WA0017-5_30_29.jpg</t>
  </si>
  <si>
    <t>https://kf.kobotoolbox.org/api/v2/assets/avstPQqLr3Ab3ZdcVTXZ6f/data/673469440/attachments/attFhM9XMge3zbgayJhVZnPN/</t>
  </si>
  <si>
    <t>Terkait hewan ternak ayam jumlah yang dimasukkan adalah angka rata-rata atau dibulatkan sesuai dengan pernyataan responden, dikarenakan ternak ayamnya memiliki jumlah diatasi rata-rata sehingga beberapa pertanyaan responden sulit untuk mengingatnya</t>
  </si>
  <si>
    <t>ac4ca107-d139-4f8e-a0a7-0e8965ad30bd</t>
  </si>
  <si>
    <t>uuid:ac4ca107-d139-4f8e-a0a7-0e8965ad30bd</t>
  </si>
  <si>
    <t>Daeng Liwang(Dg Saugi)</t>
  </si>
  <si>
    <t>-5.141335 119.684675 87.88 1.8300000429153442</t>
  </si>
  <si>
    <t>-5.141648 119.684568 69.425 1.062000036239624</t>
  </si>
  <si>
    <t>BSP0371</t>
  </si>
  <si>
    <t>Lebih mudah mendapatkan energi Lebih aman Peningkatan kebersihan kandang ternak Dapur lebih bersih dan bebas asap</t>
  </si>
  <si>
    <t>1000095778-9_31_21.jpg</t>
  </si>
  <si>
    <t>https://kf.kobotoolbox.org/api/v2/assets/avstPQqLr3Ab3ZdcVTXZ6f/data/673505160/attachments/attGaWbpnDhFVbbazn7YspjZ/</t>
  </si>
  <si>
    <t>1000095790-9_31_32.jpg</t>
  </si>
  <si>
    <t>https://kf.kobotoolbox.org/api/v2/assets/avstPQqLr3Ab3ZdcVTXZ6f/data/673505160/attachments/attsRPtCo568etcDFxvAwwPG/</t>
  </si>
  <si>
    <t>Umur responden melebihi 60 tahun maka pada saat wawancara responden di dampingi oleh anaknya</t>
  </si>
  <si>
    <t>f56f8502-ec5e-4910-9756-b17cb9c0ba83</t>
  </si>
  <si>
    <t>uuid:f56f8502-ec5e-4910-9756-b17cb9c0ba83</t>
  </si>
  <si>
    <t>Dg. Lengu</t>
  </si>
  <si>
    <t>-5.140263 119.684451 113.30000305175781 22.80299949645996</t>
  </si>
  <si>
    <t>-5.140045 119.683907 115.19999694824219 0.875</t>
  </si>
  <si>
    <t>BSP0374</t>
  </si>
  <si>
    <t>Kompor Reaktor biogas (penampung gas, digester, manhole, outlet, dan overflow)</t>
  </si>
  <si>
    <t>Tanaman hias (bunga-bunga)</t>
  </si>
  <si>
    <t>Pelatihan kompor alternatif jika kompornya rusak</t>
  </si>
  <si>
    <t>Pengurangan pengeluaran rumah tangga (bahan bakar minyak, pupuk, dll.) Lebih aman Peningkatan kebersihan kandang ternak Dapur lebih bersih dan bebas asap</t>
  </si>
  <si>
    <t>IMG-20260213-WA0001-15_35_8.jpg</t>
  </si>
  <si>
    <t>https://kf.kobotoolbox.org/api/v2/assets/avstPQqLr3Ab3ZdcVTXZ6f/data/673511039/attachments/attkeCPsmYXrF5JDxdT6obVg/</t>
  </si>
  <si>
    <t>IMG_8480-15_35_18.JPG</t>
  </si>
  <si>
    <t>https://kf.kobotoolbox.org/api/v2/assets/avstPQqLr3Ab3ZdcVTXZ6f/data/673511039/attachments/att8zMWM9JkeQN3wszEwSAot/</t>
  </si>
  <si>
    <t>Respon adalah istri dari Dg. Lengu, dikarenakan Dg. Lengu berada di lahan</t>
  </si>
  <si>
    <t>0aa36604-a715-49e8-bb37-b45de2d9c3a1</t>
  </si>
  <si>
    <t>uuid:0aa36604-a715-49e8-bb37-b45de2d9c3a1</t>
  </si>
  <si>
    <t>Adrianus Mario, S. Pt</t>
  </si>
  <si>
    <t>-5.151466 119.678372 156.488 1.5299999713897705</t>
  </si>
  <si>
    <t>-5.151435 119.678155 178.199 1.2510000467300415</t>
  </si>
  <si>
    <t>BTP0002</t>
  </si>
  <si>
    <t>Sewa</t>
  </si>
  <si>
    <t>Kurangnya dukungan atau pemantauan dari pemerintah atau CPO</t>
  </si>
  <si>
    <t>1-Disebarkan ke lahan terbuka 3-Dijual</t>
  </si>
  <si>
    <t>3-Disimpan terbuka (dry lot) 8-Dibiarkan tersebar di ladang penggembalaan</t>
  </si>
  <si>
    <t>2-Disimpan basah (slurry) 8-Dibiarkan tersebar di ladang penggembalaan</t>
  </si>
  <si>
    <t>Rumput gajah untuk makanan sapi</t>
  </si>
  <si>
    <t>disarankan untuk memperkuat sistem monitoring dan pendampingan teknis secara berkala, termasuk edukasi kepada peternak mengenai pengelolaan pH, suhu fermentasi, serta pemeliharaan rutin instalasi. Pendekatan ini penting agar produksi gas tetap stabil dan umur pakai instalasi lebih panjang. Selain itu, optimalisasi pemanfaatan slurry sebagai pupuk organik bernilai ekonomi dapat menjadi nilai tambah bagi peternak sekaligus memperkuat model usaha berbasis ekonomi sirkular. Dengan kombinasi peningkatan aspek teknis, pengawasan operasional, dan edukasi berkelanjutan, Perusahaan Biru dapat meningkatkan kepuasan pelanggan sekaligus memperkuat keberlanjutan program biogas yang dijalankan.</t>
  </si>
  <si>
    <t>IMG-20260216-WA0002-10_59_55.jpg</t>
  </si>
  <si>
    <t>https://kf.kobotoolbox.org/api/v2/assets/avstPQqLr3Ab3ZdcVTXZ6f/data/673518857/attachments/attiwMcndwW97CbhgJ3fRq5t/</t>
  </si>
  <si>
    <t>IMG-20260216-WA0000-11_0_7.jpg</t>
  </si>
  <si>
    <t>https://kf.kobotoolbox.org/api/v2/assets/avstPQqLr3Ab3ZdcVTXZ6f/data/673518857/attachments/attymBtrNYEHd4Vhujn6TJio/</t>
  </si>
  <si>
    <t>Responden tidak mengetahui spesifik jumlah hewan ternak yang lahir dan dijual dikarenakan banyaknya populasi hewan ternak tersebut. Dan biogas hanya di gunakan di lokasi peternakan oleh pekerja peternakan.</t>
  </si>
  <si>
    <t>5dbb9ae4-dc18-41b1-b854-fbb7ff919c89</t>
  </si>
  <si>
    <t>uuid:5dbb9ae4-dc18-41b1-b854-fbb7ff919c89</t>
  </si>
  <si>
    <t>Haeruddin</t>
  </si>
  <si>
    <t>-4.837875 119.594758 36.65 1.878999948501587</t>
  </si>
  <si>
    <t>-4.837885 119.59459 65.20000457763672 20.899999618530273</t>
  </si>
  <si>
    <t>Pangkep</t>
  </si>
  <si>
    <t>Minasa Te'Ne</t>
  </si>
  <si>
    <t>Biraeng</t>
  </si>
  <si>
    <t>RAP0083</t>
  </si>
  <si>
    <t>Permanen (dinding bata dan semen) Semi-permanen (semen dan kayu)</t>
  </si>
  <si>
    <t>Pisang</t>
  </si>
  <si>
    <t>sebaiknya ada pelatihan untuk alternatif kompor biogas sehingga ketika rusak, kami bisa menggantinya dan adanya kompor pembagian lebih dari satu tungku</t>
  </si>
  <si>
    <t>Screenshot_20260217_111412_com.google.android.apps.docs_edit_233602074637791-11_41_15.jpg</t>
  </si>
  <si>
    <t>https://kf.kobotoolbox.org/api/v2/assets/avstPQqLr3Ab3ZdcVTXZ6f/data/673525470/attachments/atttLjfwcJAFA8UeeHQkXXs6/</t>
  </si>
  <si>
    <t>Screenshot_20260217_111405_com.google.android.apps.docs_edit_233612653275290-11_41_24.jpg</t>
  </si>
  <si>
    <t>https://kf.kobotoolbox.org/api/v2/assets/avstPQqLr3Ab3ZdcVTXZ6f/data/673525470/attachments/attGupWjubWsNQzy34c7LBjP/</t>
  </si>
  <si>
    <t>7eed89db-bc7c-42de-b8ff-c041df949e81</t>
  </si>
  <si>
    <t>uuid:7eed89db-bc7c-42de-b8ff-c041df949e81</t>
  </si>
  <si>
    <t>Maruddin Dg Nanro</t>
  </si>
  <si>
    <t>-5.390819 119.54855 97.30266621588643 3.7899999618530273</t>
  </si>
  <si>
    <t>-5.39085 119.548464 105.4000015258789 3.7899999618530273</t>
  </si>
  <si>
    <t>Polongbangkeng Timur</t>
  </si>
  <si>
    <t>BTP0098</t>
  </si>
  <si>
    <t>Masalah tata letak</t>
  </si>
  <si>
    <t>3-Dijual</t>
  </si>
  <si>
    <t>Dibuang ke selokan</t>
  </si>
  <si>
    <t>Kotoran manusia karena reaktor dialokasi menjadi septictank</t>
  </si>
  <si>
    <t>Melalui tetangga</t>
  </si>
  <si>
    <t>Pengurangan pengeluaran rumah tangga (bahan bakar minyak, pupuk, dll.) Lebih mudah mendapatkan energi Pasokan energi yang andal Lebih aman Peningkatan kebersihan kandang ternak Mendapatkan subsidi</t>
  </si>
  <si>
    <t>1000634508-11_29_46.heic</t>
  </si>
  <si>
    <t>https://kf.kobotoolbox.org/api/v2/assets/avstPQqLr3Ab3ZdcVTXZ6f/data/675190100/attachments/attZVrg3TK4FTEYj2ZdQANtX/</t>
  </si>
  <si>
    <t>1000634502-11_30_22.heic</t>
  </si>
  <si>
    <t>https://kf.kobotoolbox.org/api/v2/assets/avstPQqLr3Ab3ZdcVTXZ6f/data/675190100/attachments/attStec4tjeJyyXvGCsPQNT4/</t>
  </si>
  <si>
    <t>Pada bagian A11, ybs juga mengalami kerusakan teknis pada kompor dan lampu. Namun pada kuesioner tidak bisa dipilih sehingga hanya dipilih tidak ada ternak. Selain itu, biogas masih menghasilkan gas karena dome-nya dialihfungsikan menjadi septictank, namun keluarga ybs enggan menggunakan biogas dengan alasan jijik gasnya berasal dari kotoran manusia. Menurut prngakuan ybs, tidak ada aroma kurang sedap jika ia melakukan uji tes gas hasil kotoran manusia.</t>
  </si>
  <si>
    <t>74fb9871-6920-49bf-88b9-57ea2b1e5218</t>
  </si>
  <si>
    <t>uuid:74fb9871-6920-49bf-88b9-57ea2b1e5218</t>
  </si>
  <si>
    <t>Jamaluddihln Dg Tayang</t>
  </si>
  <si>
    <t>-5.342601 119.488827 76.5 5.415999889373779</t>
  </si>
  <si>
    <t>-5.340415 119.491775 74.75495144072079 3.7899999618530273</t>
  </si>
  <si>
    <t>Polombangkeng Utara</t>
  </si>
  <si>
    <t>Parang Luara</t>
  </si>
  <si>
    <t>BTP0293</t>
  </si>
  <si>
    <t>Tanah</t>
  </si>
  <si>
    <t>Usman dg Talli</t>
  </si>
  <si>
    <t>Kompor Lampu Reaktor biogas (penampung gas, digester, manhole, outlet, dan overflow)</t>
  </si>
  <si>
    <t>Tidak paham</t>
  </si>
  <si>
    <t>pisang, mangga</t>
  </si>
  <si>
    <t>Semoga ada pendanaan untuk membangun biogas di rumah baru juga lingkungan sekitar</t>
  </si>
  <si>
    <t>1000652352-14_40_45.jpg</t>
  </si>
  <si>
    <t>https://kf.kobotoolbox.org/api/v2/assets/avstPQqLr3Ab3ZdcVTXZ6f/data/683566094/attachments/att5RX2fezvmhidDdQ4jGQeF/</t>
  </si>
  <si>
    <t>1000652337-14_40_56.jpg</t>
  </si>
  <si>
    <t>https://kf.kobotoolbox.org/api/v2/assets/avstPQqLr3Ab3ZdcVTXZ6f/data/683566094/attachments/att8jtARj8Mcq986BpVQdJar/</t>
  </si>
  <si>
    <t>Ybs pindah rumah makanya tidak terpakai. Rumah beliau diratakan dengan tanah. Berharap ada pembangunan biogas untuk rumah barunya karena beliau masih menggunakan biogasnya sampai tahun 2024</t>
  </si>
  <si>
    <t>a7698b74-7c1b-40cc-8f2c-624e7d3798ee</t>
  </si>
  <si>
    <t>uuid:a7698b74-7c1b-40cc-8f2c-624e7d3798ee</t>
  </si>
  <si>
    <t>Susianti</t>
  </si>
  <si>
    <t>-5.40237 119.430276 64.0999984741211 12.925999641418457</t>
  </si>
  <si>
    <t>-5.402373 119.430548 64.20000457763672 6.900000095367432</t>
  </si>
  <si>
    <t>BTP0269</t>
  </si>
  <si>
    <t>Bidan (responden)</t>
  </si>
  <si>
    <t>Tidak ada penghematan waktu</t>
  </si>
  <si>
    <t>2-Dibuang ke sungai</t>
  </si>
  <si>
    <t>Lebih memilih memberikan kepada tetangga</t>
  </si>
  <si>
    <t>Tidak dilaporkan</t>
  </si>
  <si>
    <t>Pengurangan pengeluaran rumah tangga (bahan bakar minyak, pupuk, dll.) Pasokan energi yang andal Peningkatan kebersihan kandang ternak Mendapatkan subsidi</t>
  </si>
  <si>
    <t>10ecf50c-3ea5-41ee-a53a-1e25c544c357-15_30_12.jpeg</t>
  </si>
  <si>
    <t>https://kf.kobotoolbox.org/api/v2/assets/avstPQqLr3Ab3ZdcVTXZ6f/data/683617434/attachments/attzu73V8xqyP22K6aA8Lqik/</t>
  </si>
  <si>
    <t>f5a80e7c-92a4-4393-99c4-d199200e6160-15_30_23.jpeg</t>
  </si>
  <si>
    <t>https://kf.kobotoolbox.org/api/v2/assets/avstPQqLr3Ab3ZdcVTXZ6f/data/683617434/attachments/att9XjNcSZNQrWDwXHfBTiFu/</t>
  </si>
  <si>
    <t>MUHAMMAD DG TUTU meninggal tahun 2025. Namun pada pelaksanaan pengoperasian biogas, dg Tutu dibantu oleh cucunya yang juga terlibat dalam proses survey ini.</t>
  </si>
  <si>
    <t>33129d52-f974-4fea-bce7-3422470d9ce7</t>
  </si>
  <si>
    <t>uuid:33129d52-f974-4fea-bce7-3422470d9ce7</t>
  </si>
  <si>
    <t>E. Dampak Terhadap Agrikultur /E3. Hewan ternak apa saja yang Anda miliki sebelum menggunakan  biogas?</t>
  </si>
  <si>
    <t>E. Dampak Terhadap Agrikultur /E3. Hewan ternak apa saja yang Anda miliki sebelum menggunakan  biogas?/Sapi pedaging</t>
  </si>
  <si>
    <t>E. Dampak Terhadap Agrikultur /E3. Hewan ternak apa saja yang Anda miliki sebelum menggunakan  biogas?/Sapi perah</t>
  </si>
  <si>
    <t>E. Dampak Terhadap Agrikultur /E3. Hewan ternak apa saja yang Anda miliki sebelum menggunakan  biogas?/Sapi untuk penggunaan lain</t>
  </si>
  <si>
    <t>E. Dampak Terhadap Agrikultur /E3. Hewan ternak apa saja yang Anda miliki sebelum menggunakan  biogas?/Babi ternak</t>
  </si>
  <si>
    <t>E. Dampak Terhadap Agrikultur /E3. Hewan ternak apa saja yang Anda miliki sebelum menggunakan  biogas?/Kuda</t>
  </si>
  <si>
    <t>E. Dampak Terhadap Agrikultur /E3. Hewan ternak apa saja yang Anda miliki sebelum menggunakan  biogas?/Kambing</t>
  </si>
  <si>
    <t>E. Dampak Terhadap Agrikultur /E3. Hewan ternak apa saja yang Anda miliki sebelum menggunakan  biogas?/Ayam</t>
  </si>
  <si>
    <t>E. Dampak Terhadap Agrikultur /E3. Hewan ternak apa saja yang Anda miliki sebelum menggunakan  biogas?/Unggas lainnya</t>
  </si>
  <si>
    <t>Sapi pedaging</t>
  </si>
  <si>
    <t>Sapi perah</t>
  </si>
  <si>
    <t>Sapi pedaging Sapi perah</t>
  </si>
  <si>
    <t>Sapi perah Kambing</t>
  </si>
  <si>
    <t xml:space="preserve">1. Nama lengkap responden: </t>
  </si>
  <si>
    <t>2a. Provinsi</t>
  </si>
  <si>
    <t>2b. Kabupaten/Kota</t>
  </si>
  <si>
    <t>2c. Kecamatan</t>
  </si>
  <si>
    <t>3. IDBP Biogas</t>
  </si>
  <si>
    <t>E5-a. Berapa jumlah hewan ternak yang Anda miliki sebelum menggunakan biogas?/Petunjuk Pengisian: Pada kuesioner cetak, lihat no. E5-a kolom "Memiliki"</t>
  </si>
  <si>
    <t>E5-a. Berapa jumlah hewan ternak yang Anda miliki sebelum menggunakan biogas?/a. Sapi pedaging (ekor)</t>
  </si>
  <si>
    <t>E5-a. Berapa jumlah hewan ternak yang Anda miliki sebelum menggunakan biogas?/b. Sapi perah (ekor)</t>
  </si>
  <si>
    <t>E5-a. Berapa jumlah hewan ternak yang Anda miliki sebelum menggunakan biogas?/c. Sapi untuk penggunaan lain (ekor)</t>
  </si>
  <si>
    <t>E5-a. Berapa jumlah hewan ternak yang Anda miliki sebelum menggunakan biogas?/d. Babi ternak (ekor)</t>
  </si>
  <si>
    <t>E5-a. Berapa jumlah hewan ternak yang Anda miliki sebelum menggunakan biogas?/e. Kuda (ekor)</t>
  </si>
  <si>
    <t>E5-a. Berapa jumlah hewan ternak yang Anda miliki sebelum menggunakan biogas?/f. Kambing (ekor)</t>
  </si>
  <si>
    <t>E5-a. Berapa jumlah hewan ternak yang Anda miliki sebelum menggunakan biogas?/g. Ayam (ekor)</t>
  </si>
  <si>
    <t>E5-a. Berapa jumlah hewan ternak yang Anda miliki sebelum menggunakan biogas?/h. Unggas lainnya (ekor)</t>
  </si>
  <si>
    <t>E5-b. Berapa jumlah hewan ternak yang Anda miliki saat ini (setelah menggunakan biogas)?/Petunjuk Pengisian: Pada kuesioner cetak, lihat no. E5-b kolom "Memiliki"</t>
  </si>
  <si>
    <t>E5-b. Berapa jumlah hewan ternak yang Anda miliki saat ini (setelah menggunakan biogas)?/a. Sapi pedaging (ekor)</t>
  </si>
  <si>
    <t>E5-b. Berapa jumlah hewan ternak yang Anda miliki saat ini (setelah menggunakan biogas)?/b. Sapi perah (ekor)</t>
  </si>
  <si>
    <t>E5-b. Berapa jumlah hewan ternak yang Anda miliki saat ini (setelah menggunakan biogas)?/c. Sapi untuk penggunaan lain (ekor)</t>
  </si>
  <si>
    <t>E5-b. Berapa jumlah hewan ternak yang Anda miliki saat ini (setelah menggunakan biogas)?/d. Babi ternak (ekor)</t>
  </si>
  <si>
    <t>E5-b. Berapa jumlah hewan ternak yang Anda miliki saat ini (setelah menggunakan biogas)?/e. Kuda (ekor)</t>
  </si>
  <si>
    <t>E5-b. Berapa jumlah hewan ternak yang Anda miliki saat ini (setelah menggunakan biogas)?/f. Kambing (ekor)</t>
  </si>
  <si>
    <t>E5-b. Berapa jumlah hewan ternak yang Anda miliki saat ini (setelah menggunakan biogas)?/g. Ayam (ekor)</t>
  </si>
  <si>
    <t>E5-b. Berapa jumlah hewan ternak yang Anda miliki saat ini (setelah menggunakan biogas)?/h. Unggas lainnya (ekor)</t>
  </si>
  <si>
    <t>E5-c. Selama 12 bulan terakhir, hewan apa saja yang dijual, mati, lahir, dan dibeli?/a. Sapi pedaging (ekor)/Menjual</t>
  </si>
  <si>
    <t>E5-c. Selama 12 bulan terakhir, hewan apa saja yang dijual, mati, lahir, dan dibeli?/a. Sapi pedaging (ekor)/Membeli</t>
  </si>
  <si>
    <t>E5-c. Selama 12 bulan terakhir, hewan apa saja yang dijual, mati, lahir, dan dibeli?/a. Sapi pedaging (ekor)/Lahir</t>
  </si>
  <si>
    <t>E5-c. Selama 12 bulan terakhir, hewan apa saja yang dijual, mati, lahir, dan dibeli?/a. Sapi pedaging (ekor)/Mati</t>
  </si>
  <si>
    <t>E5-c. Selama 12 bulan terakhir, hewan apa saja yang dijual, mati, lahir, dan dibeli?/b. Sapi perah (ekor)/Menjual</t>
  </si>
  <si>
    <t>E5-c. Selama 12 bulan terakhir, hewan apa saja yang dijual, mati, lahir, dan dibeli?/b. Sapi perah (ekor)/Membeli</t>
  </si>
  <si>
    <t>E5-c. Selama 12 bulan terakhir, hewan apa saja yang dijual, mati, lahir, dan dibeli?/b. Sapi perah (ekor)/Lahir</t>
  </si>
  <si>
    <t>E5-c. Selama 12 bulan terakhir, hewan apa saja yang dijual, mati, lahir, dan dibeli?/b. Sapi perah (ekor)/Mati</t>
  </si>
  <si>
    <t>E5-c. Selama 12 bulan terakhir, hewan apa saja yang dijual, mati, lahir, dan dibeli?/c. Sapi untuk penggunaan lain (ekor)/Menjual</t>
  </si>
  <si>
    <t>E5-c. Selama 12 bulan terakhir, hewan apa saja yang dijual, mati, lahir, dan dibeli?/c. Sapi untuk penggunaan lain (ekor)/Membeli</t>
  </si>
  <si>
    <t>E5-c. Selama 12 bulan terakhir, hewan apa saja yang dijual, mati, lahir, dan dibeli?/c. Sapi untuk penggunaan lain (ekor)/Lahir</t>
  </si>
  <si>
    <t>E5-c. Selama 12 bulan terakhir, hewan apa saja yang dijual, mati, lahir, dan dibeli?/c. Sapi untuk penggunaan lain (ekor)/Mati</t>
  </si>
  <si>
    <t>E5-c. Selama 12 bulan terakhir, hewan apa saja yang dijual, mati, lahir, dan dibeli?/d. Babi ternak (ekor)/Menjual</t>
  </si>
  <si>
    <t>E5-c. Selama 12 bulan terakhir, hewan apa saja yang dijual, mati, lahir, dan dibeli?/d. Babi ternak (ekor)/Membeli</t>
  </si>
  <si>
    <t>E5-c. Selama 12 bulan terakhir, hewan apa saja yang dijual, mati, lahir, dan dibeli?/d. Babi ternak (ekor)/Lahir</t>
  </si>
  <si>
    <t>E5-c. Selama 12 bulan terakhir, hewan apa saja yang dijual, mati, lahir, dan dibeli?/d. Babi ternak (ekor)/Mati</t>
  </si>
  <si>
    <t>E5-c. Selama 12 bulan terakhir, hewan apa saja yang dijual, mati, lahir, dan dibeli?/e. Kuda (ekor)/Menjual</t>
  </si>
  <si>
    <t>E5-c. Selama 12 bulan terakhir, hewan apa saja yang dijual, mati, lahir, dan dibeli?/e. Kuda (ekor)/Membeli</t>
  </si>
  <si>
    <t>E5-c. Selama 12 bulan terakhir, hewan apa saja yang dijual, mati, lahir, dan dibeli?/e. Kuda (ekor)/Lahir</t>
  </si>
  <si>
    <t>E5-c. Selama 12 bulan terakhir, hewan apa saja yang dijual, mati, lahir, dan dibeli?/e. Kuda (ekor)/Mati</t>
  </si>
  <si>
    <t>E5-c. Selama 12 bulan terakhir, hewan apa saja yang dijual, mati, lahir, dan dibeli?/f. Kambing (ekor)/Menjual</t>
  </si>
  <si>
    <t>E5-c. Selama 12 bulan terakhir, hewan apa saja yang dijual, mati, lahir, dan dibeli?/f. Kambing (ekor)/Membeli</t>
  </si>
  <si>
    <t>E5-c. Selama 12 bulan terakhir, hewan apa saja yang dijual, mati, lahir, dan dibeli?/f. Kambing (ekor)/Lahir</t>
  </si>
  <si>
    <t>E5-c. Selama 12 bulan terakhir, hewan apa saja yang dijual, mati, lahir, dan dibeli?/f. Kambing (ekor)/Mati</t>
  </si>
  <si>
    <t>E5-c. Selama 12 bulan terakhir, hewan apa saja yang dijual, mati, lahir, dan dibeli?/g. Ayam (ekor)/Menjual</t>
  </si>
  <si>
    <t>E5-c. Selama 12 bulan terakhir, hewan apa saja yang dijual, mati, lahir, dan dibeli?/g. Ayam (ekor)/Membeli</t>
  </si>
  <si>
    <t>E5-c. Selama 12 bulan terakhir, hewan apa saja yang dijual, mati, lahir, dan dibeli?/g. Ayam (ekor)/Lahir</t>
  </si>
  <si>
    <t>E5-c. Selama 12 bulan terakhir, hewan apa saja yang dijual, mati, lahir, dan dibeli?/g. Ayam (ekor)/Mati</t>
  </si>
  <si>
    <t>E5-c. Selama 12 bulan terakhir, hewan apa saja yang dijual, mati, lahir, dan dibeli?/h. Unggas lainnya (ekor)/Menjual</t>
  </si>
  <si>
    <t>E5-c. Selama 12 bulan terakhir, hewan apa saja yang dijual, mati, lahir, dan dibeli?/h. Unggas lainnya (ekor)/Membeli</t>
  </si>
  <si>
    <t>E5-c. Selama 12 bulan terakhir, hewan apa saja yang dijual, mati, lahir, dan dibeli?/h. Unggas lainnya (ekor)/Lahir</t>
  </si>
  <si>
    <t>E5-c. Selama 12 bulan terakhir, hewan apa saja yang dijual, mati, lahir, dan dibeli?/h. Unggas lainnya (ekor)/Mati</t>
  </si>
  <si>
    <t>Catatan Validasi Enum</t>
  </si>
  <si>
    <t>Agnes Dangu Ramba/Elson Yiwa Peti Andung</t>
  </si>
  <si>
    <t>NTT</t>
  </si>
  <si>
    <t>KAB. SUMBA TIMUR</t>
  </si>
  <si>
    <t>Kanatang</t>
  </si>
  <si>
    <t>KKP0046</t>
  </si>
  <si>
    <t>Babi ternak</t>
  </si>
  <si>
    <t>6bd2991a-4a1f-46a1-9c0a-83589fd35ea5</t>
  </si>
  <si>
    <t>voP5hd3TJJNzzneN7cP2D6</t>
  </si>
  <si>
    <t>uuid:6bd2991a-4a1f-46a1-9c0a-83589fd35ea5</t>
  </si>
  <si>
    <t>Ndana Nggaba/Dina Mbangi Bangaru</t>
  </si>
  <si>
    <t>Kambera</t>
  </si>
  <si>
    <t>ALP0093</t>
  </si>
  <si>
    <t>Sapi untuk penggunaan lain Babi ternak Kambing</t>
  </si>
  <si>
    <t>7f0a3ca8-6e69-4902-9ffd-911f3e75dac5</t>
  </si>
  <si>
    <t>uuid:7f0a3ca8-6e69-4902-9ffd-911f3e75dac5</t>
  </si>
  <si>
    <t>Kalukur Lijang/Rini Tunga</t>
  </si>
  <si>
    <t>ROP0040</t>
  </si>
  <si>
    <t>f19eac53-d31a-4d23-8710-e8969debea6a</t>
  </si>
  <si>
    <t>uuid:f19eac53-d31a-4d23-8710-e8969debea6a</t>
  </si>
  <si>
    <t>Marten Tola</t>
  </si>
  <si>
    <t>ALP0087</t>
  </si>
  <si>
    <t>Babi ternak Kambing Ayam</t>
  </si>
  <si>
    <t>b8a7c1da-05ac-44c2-bb79-f0778cfcd62b</t>
  </si>
  <si>
    <t>uuid:b8a7c1da-05ac-44c2-bb79-f0778cfcd62b</t>
  </si>
  <si>
    <t>Mbepa Karanjambani</t>
  </si>
  <si>
    <t>ALP0123</t>
  </si>
  <si>
    <t>Babi ternak Ayam</t>
  </si>
  <si>
    <t>Ayam</t>
  </si>
  <si>
    <t>731c6d57-9138-4052-a96f-92cacc70d6fe</t>
  </si>
  <si>
    <t>uuid:731c6d57-9138-4052-a96f-92cacc70d6fe</t>
  </si>
  <si>
    <t>Farida Handa may/Chatrina Anatje Matelda Ndjurumana</t>
  </si>
  <si>
    <t>Pandawai</t>
  </si>
  <si>
    <t>ALP0047</t>
  </si>
  <si>
    <t>Babi ternak Ayam Unggas lainnya</t>
  </si>
  <si>
    <t>0b5c4da8-404e-454b-b00d-db5509789aff</t>
  </si>
  <si>
    <t>uuid:0b5c4da8-404e-454b-b00d-db5509789aff</t>
  </si>
  <si>
    <t>Pila Njuka M</t>
  </si>
  <si>
    <t>Kota Waingapu</t>
  </si>
  <si>
    <t>KKP0133</t>
  </si>
  <si>
    <t>b17bf7f2-249d-47a4-a574-5e9ef691042a</t>
  </si>
  <si>
    <t>uuid:b17bf7f2-249d-47a4-a574-5e9ef691042a</t>
  </si>
  <si>
    <t>Yohanes Tamu Ama</t>
  </si>
  <si>
    <t>KKP0045</t>
  </si>
  <si>
    <t>Kambing Ayam</t>
  </si>
  <si>
    <t>4056df3d-c907-4de8-8774-0ac59bd431d3</t>
  </si>
  <si>
    <t>uuid:4056df3d-c907-4de8-8774-0ac59bd431d3</t>
  </si>
  <si>
    <t>Marta Wole/Yohanis Ngongo Pingge</t>
  </si>
  <si>
    <t>KKP0029</t>
  </si>
  <si>
    <t>267778f2-e855-4252-8a9a-254d9e220188</t>
  </si>
  <si>
    <t>uuid:267778f2-e855-4252-8a9a-254d9e220188</t>
  </si>
  <si>
    <t>Maria Bunga/Sapu Simon</t>
  </si>
  <si>
    <t>ROP0022</t>
  </si>
  <si>
    <t>6c82aea1-4574-4a9f-bd5f-b5331880fa45</t>
  </si>
  <si>
    <t>uuid:6c82aea1-4574-4a9f-bd5f-b5331880fa45</t>
  </si>
  <si>
    <t>Salum P.E Tahun</t>
  </si>
  <si>
    <t>ALP0055</t>
  </si>
  <si>
    <t>88522b82-d542-4ab1-b1d2-1a249361f782</t>
  </si>
  <si>
    <t>uuid:88522b82-d542-4ab1-b1d2-1a249361f782</t>
  </si>
  <si>
    <t>Paulina Santi/Rulen Rua Dede Bili</t>
  </si>
  <si>
    <t>KKP0054</t>
  </si>
  <si>
    <t>Sapi untuk penggunaan lain Babi ternak</t>
  </si>
  <si>
    <t>d2d779da-e433-4d27-8f26-4e5a6540cfd9</t>
  </si>
  <si>
    <t>uuid:d2d779da-e433-4d27-8f26-4e5a6540cfd9</t>
  </si>
  <si>
    <t>Sriningsi Pala/ Melkianus Umbu Dasa</t>
  </si>
  <si>
    <t>ALP0083</t>
  </si>
  <si>
    <t>4ccd9cdf-39d7-4a6c-b6be-ee26172152ee</t>
  </si>
  <si>
    <t>uuid:4ccd9cdf-39d7-4a6c-b6be-ee26172152ee</t>
  </si>
  <si>
    <t>Petrus Djadi Ludji</t>
  </si>
  <si>
    <t>KKP0224</t>
  </si>
  <si>
    <t>Sapi untuk penggunaan lain Babi ternak Ayam</t>
  </si>
  <si>
    <t>d7410983-dccf-4024-b50b-d8e0595e84c5</t>
  </si>
  <si>
    <t>uuid:d7410983-dccf-4024-b50b-d8e0595e84c5</t>
  </si>
  <si>
    <t>Marthen M. Lobo</t>
  </si>
  <si>
    <t>ALP0121</t>
  </si>
  <si>
    <t>5ded55ca-916a-4856-8afd-727159e2bba4</t>
  </si>
  <si>
    <t>uuid:5ded55ca-916a-4856-8afd-727159e2bba4</t>
  </si>
  <si>
    <t>Anita Banja Uru</t>
  </si>
  <si>
    <t>KKP0090</t>
  </si>
  <si>
    <t>8012ec0d-e83b-4a19-b571-e7d0065f3083</t>
  </si>
  <si>
    <t>uuid:8012ec0d-e83b-4a19-b571-e7d0065f3083</t>
  </si>
  <si>
    <t>Lince Uly/Pamekar H. Janggakadu</t>
  </si>
  <si>
    <t>ALP0088</t>
  </si>
  <si>
    <t>9cf666b4-2187-4103-a2c9-d5fd5da4f190</t>
  </si>
  <si>
    <t>uuid:9cf666b4-2187-4103-a2c9-d5fd5da4f190</t>
  </si>
  <si>
    <t>Yunita Toda/Dominikus Kadju</t>
  </si>
  <si>
    <t>ROP0035</t>
  </si>
  <si>
    <t>Sapi untuk penggunaan lain</t>
  </si>
  <si>
    <t>b9732319-da14-4cd7-a602-2dd17cba04e1</t>
  </si>
  <si>
    <t>uuid:b9732319-da14-4cd7-a602-2dd17cba04e1</t>
  </si>
  <si>
    <t>Maria Rama Awang/Roland Raja Lay</t>
  </si>
  <si>
    <t>PGP0005</t>
  </si>
  <si>
    <t>395df297-ef9f-42e9-8de5-92eea1689dc0</t>
  </si>
  <si>
    <t>uuid:395df297-ef9f-42e9-8de5-92eea1689dc0</t>
  </si>
  <si>
    <t>Femiliusiana/Banyamin Moekoe</t>
  </si>
  <si>
    <t>ALP0021</t>
  </si>
  <si>
    <t>9d534565-732b-4a0c-a7d7-d3ef5936c9df</t>
  </si>
  <si>
    <t>uuid:9d534565-732b-4a0c-a7d7-d3ef5936c9df</t>
  </si>
  <si>
    <t>Phillia Eutdenada Jonathan Behar/Jonathan Behar</t>
  </si>
  <si>
    <t>ALP0019</t>
  </si>
  <si>
    <t>Sapi pedaging Babi ternak Kuda Ayam</t>
  </si>
  <si>
    <t>5ed8cce3-2f09-4139-9fee-d6562f926e36</t>
  </si>
  <si>
    <t>uuid:5ed8cce3-2f09-4139-9fee-d6562f926e36</t>
  </si>
  <si>
    <t>Nacolaus Tanur/Jhon D. Tay</t>
  </si>
  <si>
    <t>KKP0163</t>
  </si>
  <si>
    <t>Babi ternak Kambing</t>
  </si>
  <si>
    <t>d6f0f0b8-10ae-4a1b-9a0c-84a3a6dbade7</t>
  </si>
  <si>
    <t>uuid:d6f0f0b8-10ae-4a1b-9a0c-84a3a6dbade7</t>
  </si>
  <si>
    <t>Arivin Lomi/Imanuel Uly</t>
  </si>
  <si>
    <t>KKP0165</t>
  </si>
  <si>
    <t>918f9f5f-bada-4417-8380-17ce3c29034f</t>
  </si>
  <si>
    <t>uuid:918f9f5f-bada-4417-8380-17ce3c29034f</t>
  </si>
  <si>
    <t>Gilbert T. Laos/Yuniati Bangu Kahi</t>
  </si>
  <si>
    <t>PGP0007</t>
  </si>
  <si>
    <t>20a53cad-a5dc-48fc-bb00-151c44c72c03</t>
  </si>
  <si>
    <t>uuid:20a53cad-a5dc-48fc-bb00-151c44c72c03</t>
  </si>
  <si>
    <t>Frans Xaverius Kenda</t>
  </si>
  <si>
    <t>PGP0006</t>
  </si>
  <si>
    <t>24aaa79c-132a-4b34-a459-231cfc58aabe</t>
  </si>
  <si>
    <t>uuid:24aaa79c-132a-4b34-a459-231cfc58aabe</t>
  </si>
  <si>
    <t>Dazilva Nasarin Retang</t>
  </si>
  <si>
    <t>PGP0003</t>
  </si>
  <si>
    <t>2038ea33-f890-4bab-82c3-5f1ab38ce0e3</t>
  </si>
  <si>
    <t>uuid:2038ea33-f890-4bab-82c3-5f1ab38ce0e3</t>
  </si>
  <si>
    <t>Dea Momon</t>
  </si>
  <si>
    <t>Jawa Barat</t>
  </si>
  <si>
    <t>Bandung Barat</t>
  </si>
  <si>
    <t>Lembang</t>
  </si>
  <si>
    <t>UBP0172</t>
  </si>
  <si>
    <t>61e21f34-d07b-40c5-9874-4964bc5068bf</t>
  </si>
  <si>
    <t>uuid:61e21f34-d07b-40c5-9874-4964bc5068bf</t>
  </si>
  <si>
    <t>Yayat Rahmat</t>
  </si>
  <si>
    <t>PMP0162</t>
  </si>
  <si>
    <t>99476aa6-5eda-4138-bdc5-8befe8a3ac23</t>
  </si>
  <si>
    <t>uuid:99476aa6-5eda-4138-bdc5-8befe8a3ac23</t>
  </si>
  <si>
    <t>Encang</t>
  </si>
  <si>
    <t>Bandung BArat</t>
  </si>
  <si>
    <t>PMP0130</t>
  </si>
  <si>
    <t>c5a435ed-1b2d-4c53-98d2-dd9352c4eacb</t>
  </si>
  <si>
    <t>uuid:c5a435ed-1b2d-4c53-98d2-dd9352c4eacb</t>
  </si>
  <si>
    <t>Mamat</t>
  </si>
  <si>
    <t>KBP0557</t>
  </si>
  <si>
    <t>e5a872bb-c676-4491-8831-b1f74ef4a537</t>
  </si>
  <si>
    <t>uuid:e5a872bb-c676-4491-8831-b1f74ef4a537</t>
  </si>
  <si>
    <t>Amin</t>
  </si>
  <si>
    <t>KBP0278</t>
  </si>
  <si>
    <t>1d555ccb-68bb-4d4e-844d-4adff1e072aa</t>
  </si>
  <si>
    <t>uuid:1d555ccb-68bb-4d4e-844d-4adff1e072aa</t>
  </si>
  <si>
    <t>Ayi nana</t>
  </si>
  <si>
    <t>KBP0111</t>
  </si>
  <si>
    <t>f7d55c0c-db26-4d12-8de4-316c8f2d2235</t>
  </si>
  <si>
    <t>uuid:f7d55c0c-db26-4d12-8de4-316c8f2d2235</t>
  </si>
  <si>
    <t>Rika setiawan</t>
  </si>
  <si>
    <t>KBP0560</t>
  </si>
  <si>
    <t>664a1b3e-95a5-4941-a313-9db5dfa7d659</t>
  </si>
  <si>
    <t>uuid:664a1b3e-95a5-4941-a313-9db5dfa7d659</t>
  </si>
  <si>
    <t>Dede Suarsih</t>
  </si>
  <si>
    <t>KBP0127</t>
  </si>
  <si>
    <t>01e1d726-d79a-4aa8-b70f-fff61b9489e9</t>
  </si>
  <si>
    <t>uuid:01e1d726-d79a-4aa8-b70f-fff61b9489e9</t>
  </si>
  <si>
    <t>Ayi Wiharya</t>
  </si>
  <si>
    <t>Parongpong</t>
  </si>
  <si>
    <t>DCP0066</t>
  </si>
  <si>
    <t>d0b679ff-b5bd-4919-a074-38b777764fe1</t>
  </si>
  <si>
    <t>uuid:d0b679ff-b5bd-4919-a074-38b777764fe1</t>
  </si>
  <si>
    <t>Cucu Suryati</t>
  </si>
  <si>
    <t>DCP0051</t>
  </si>
  <si>
    <t>b736c8d7-8b9d-46ce-9cba-b30542f3e268</t>
  </si>
  <si>
    <t>uuid:b736c8d7-8b9d-46ce-9cba-b30542f3e268</t>
  </si>
  <si>
    <t>Iden Koswara</t>
  </si>
  <si>
    <t>BandungBarat</t>
  </si>
  <si>
    <t>KIP0129</t>
  </si>
  <si>
    <t>ffc1dfcb-57b5-43c6-a076-9b74c81fe152</t>
  </si>
  <si>
    <t>uuid:ffc1dfcb-57b5-43c6-a076-9b74c81fe152</t>
  </si>
  <si>
    <t>Ero</t>
  </si>
  <si>
    <t>KBP0316</t>
  </si>
  <si>
    <t>44e80930-3dc6-4946-a9e6-7349e90a4a40</t>
  </si>
  <si>
    <t>uuid:44e80930-3dc6-4946-a9e6-7349e90a4a40</t>
  </si>
  <si>
    <t>Emir</t>
  </si>
  <si>
    <t>KBP0291</t>
  </si>
  <si>
    <t>c2b6b82b-ac86-4bf7-a10a-aeff60a4ef4f</t>
  </si>
  <si>
    <t>uuid:c2b6b82b-ac86-4bf7-a10a-aeff60a4ef4f</t>
  </si>
  <si>
    <t>Atik</t>
  </si>
  <si>
    <t>KBP0011</t>
  </si>
  <si>
    <t>6a8d65a9-3f28-4636-a255-d9b9c9b5b904</t>
  </si>
  <si>
    <t>uuid:6a8d65a9-3f28-4636-a255-d9b9c9b5b904</t>
  </si>
  <si>
    <t>Tati Binti Darta</t>
  </si>
  <si>
    <t>KBP0507</t>
  </si>
  <si>
    <t>45470ff4-704f-4bea-8b58-fa4fdb5bdf70</t>
  </si>
  <si>
    <t>uuid:45470ff4-704f-4bea-8b58-fa4fdb5bdf70</t>
  </si>
  <si>
    <t>Oneng Oman</t>
  </si>
  <si>
    <t>KBP0353</t>
  </si>
  <si>
    <t>783530c9-f69a-4256-9d2b-4da6351c5e3a</t>
  </si>
  <si>
    <t>uuid:783530c9-f69a-4256-9d2b-4da6351c5e3a</t>
  </si>
  <si>
    <t>Iim Sari</t>
  </si>
  <si>
    <t>DIY</t>
  </si>
  <si>
    <t>KBP0259</t>
  </si>
  <si>
    <t>4a3c08a4-d1a5-4c44-9d44-ad094e06f9ab</t>
  </si>
  <si>
    <t>uuid:4a3c08a4-d1a5-4c44-9d44-ad094e06f9ab</t>
  </si>
  <si>
    <t>Karmini</t>
  </si>
  <si>
    <t>KBP0260</t>
  </si>
  <si>
    <t>2b2a5b3e-09f1-4968-8b76-01fd093d2b26</t>
  </si>
  <si>
    <t>uuid:2b2a5b3e-09f1-4968-8b76-01fd093d2b26</t>
  </si>
  <si>
    <t>Surati</t>
  </si>
  <si>
    <t>KIP0126</t>
  </si>
  <si>
    <t>7016532d-6271-40eb-9e8e-58cf477974ec</t>
  </si>
  <si>
    <t>uuid:7016532d-6271-40eb-9e8e-58cf477974ec</t>
  </si>
  <si>
    <t>Deden juarna</t>
  </si>
  <si>
    <t>BAndung Barat</t>
  </si>
  <si>
    <t>KBP0214</t>
  </si>
  <si>
    <t>84c17b82-3b1b-452e-8840-98c888346330</t>
  </si>
  <si>
    <t>uuid:84c17b82-3b1b-452e-8840-98c888346330</t>
  </si>
  <si>
    <t>Cucu Suhendi</t>
  </si>
  <si>
    <t>KBP0280</t>
  </si>
  <si>
    <t>7be525cf-4094-4d6e-88b5-1ba7c0580100</t>
  </si>
  <si>
    <t>uuid:7be525cf-4094-4d6e-88b5-1ba7c0580100</t>
  </si>
  <si>
    <t>Pidin Bin Engkung</t>
  </si>
  <si>
    <t>Cisarua</t>
  </si>
  <si>
    <t>KIP0100</t>
  </si>
  <si>
    <t>e528c813-1f05-4f80-808e-f57eddeb7f2f</t>
  </si>
  <si>
    <t>uuid:e528c813-1f05-4f80-808e-f57eddeb7f2f</t>
  </si>
  <si>
    <t>Erpan Sulaeman</t>
  </si>
  <si>
    <t>UBP0176</t>
  </si>
  <si>
    <t>4e0feee4-c19f-4e56-95f7-5c0fd8e0a902</t>
  </si>
  <si>
    <t>uuid:4e0feee4-c19f-4e56-95f7-5c0fd8e0a902</t>
  </si>
  <si>
    <t>A Sulaeman</t>
  </si>
  <si>
    <t>DCP0032</t>
  </si>
  <si>
    <t>b3f73ff6-fc62-4e46-abc1-bcea767a5657</t>
  </si>
  <si>
    <t>uuid:b3f73ff6-fc62-4e46-abc1-bcea767a5657</t>
  </si>
  <si>
    <t>Enneng Hernawati</t>
  </si>
  <si>
    <t>DCP0041</t>
  </si>
  <si>
    <t>70dfc2cf-5194-4763-a258-09adf62e0e6a</t>
  </si>
  <si>
    <t>uuid:70dfc2cf-5194-4763-a258-09adf62e0e6a</t>
  </si>
  <si>
    <t>Wahya</t>
  </si>
  <si>
    <t>DCP0053</t>
  </si>
  <si>
    <t>112cc3bd-ee49-4304-8b32-4c9ab70e5191</t>
  </si>
  <si>
    <t>uuid:112cc3bd-ee49-4304-8b32-4c9ab70e5191</t>
  </si>
  <si>
    <t>Enden</t>
  </si>
  <si>
    <t>DCP0058</t>
  </si>
  <si>
    <t>b1572fc2-3d98-4b5a-b816-c71022d30134</t>
  </si>
  <si>
    <t>uuid:b1572fc2-3d98-4b5a-b816-c71022d30134</t>
  </si>
  <si>
    <t>Asep Sutarman</t>
  </si>
  <si>
    <t>KBP0035</t>
  </si>
  <si>
    <t>304ce674-4efe-4f59-b7c0-ee528374e901</t>
  </si>
  <si>
    <t>uuid:304ce674-4efe-4f59-b7c0-ee528374e901</t>
  </si>
  <si>
    <t>Asep Soehara</t>
  </si>
  <si>
    <t>DCP0055</t>
  </si>
  <si>
    <t>a33902dd-c037-4c4a-8c17-17a5e73dea37</t>
  </si>
  <si>
    <t>uuid:a33902dd-c037-4c4a-8c17-17a5e73dea37</t>
  </si>
  <si>
    <t>Nana Supriatna</t>
  </si>
  <si>
    <t>DCP0069</t>
  </si>
  <si>
    <t>5ca352a4-ff26-4256-8fd8-9cb475e6330d</t>
  </si>
  <si>
    <t>uuid:5ca352a4-ff26-4256-8fd8-9cb475e6330d</t>
  </si>
  <si>
    <t>Ahmad Atep</t>
  </si>
  <si>
    <t>Bandung</t>
  </si>
  <si>
    <t>Pangalengan</t>
  </si>
  <si>
    <t>UBP0004</t>
  </si>
  <si>
    <t>a9f2ddbd-60d3-45bb-aa0b-f8ff98e7a827</t>
  </si>
  <si>
    <t>uuid:a9f2ddbd-60d3-45bb-aa0b-f8ff98e7a827</t>
  </si>
  <si>
    <t>Yayan Taryana</t>
  </si>
  <si>
    <t>PMP0178</t>
  </si>
  <si>
    <t>e3bbe225-b912-4d19-a5fc-fe6466cba283</t>
  </si>
  <si>
    <t>uuid:e3bbe225-b912-4d19-a5fc-fe6466cba283</t>
  </si>
  <si>
    <t>Lilis Suryati</t>
  </si>
  <si>
    <t>UBP0095</t>
  </si>
  <si>
    <t>d627e004-4c64-4897-a0aa-e5446b678065</t>
  </si>
  <si>
    <t>uuid:d627e004-4c64-4897-a0aa-e5446b678065</t>
  </si>
  <si>
    <t>Warso</t>
  </si>
  <si>
    <t>pangalengan</t>
  </si>
  <si>
    <t>UBP0009</t>
  </si>
  <si>
    <t>f50ffdd5-4c25-490d-9ad0-f6d0cb8bc0da</t>
  </si>
  <si>
    <t>uuid:f50ffdd5-4c25-490d-9ad0-f6d0cb8bc0da</t>
  </si>
  <si>
    <t>Agus Rosidin</t>
  </si>
  <si>
    <t>UBP0005</t>
  </si>
  <si>
    <t>7fcc8896-175d-499c-8a1e-b108644f74ba</t>
  </si>
  <si>
    <t>uuid:7fcc8896-175d-499c-8a1e-b108644f74ba</t>
  </si>
  <si>
    <t>Agus Udin</t>
  </si>
  <si>
    <t>PMP0170</t>
  </si>
  <si>
    <t>56f8f530-b943-4d7c-be90-21ce5b9b8520</t>
  </si>
  <si>
    <t>uuid:56f8f530-b943-4d7c-be90-21ce5b9b8520</t>
  </si>
  <si>
    <t>Nana Sujana</t>
  </si>
  <si>
    <t>cisarua</t>
  </si>
  <si>
    <t>DCP0020</t>
  </si>
  <si>
    <t>4c27c1bc-1a8d-4920-8b39-2961ad198ea3</t>
  </si>
  <si>
    <t>uuid:4c27c1bc-1a8d-4920-8b39-2961ad198ea3</t>
  </si>
  <si>
    <t>Dudi Carmudin</t>
  </si>
  <si>
    <t>DCP0017</t>
  </si>
  <si>
    <t>d5a861f6-38b4-4ad5-a2f2-1a692ee28f7b</t>
  </si>
  <si>
    <t>uuid:d5a861f6-38b4-4ad5-a2f2-1a692ee28f7b</t>
  </si>
  <si>
    <t>Ahmad Yusuf</t>
  </si>
  <si>
    <t>UBP0071</t>
  </si>
  <si>
    <t>6b447f00-a57d-48e8-8761-b0955c433d04</t>
  </si>
  <si>
    <t>uuid:6b447f00-a57d-48e8-8761-b0955c433d04</t>
  </si>
  <si>
    <t>Apet Supardi</t>
  </si>
  <si>
    <t>bandung</t>
  </si>
  <si>
    <t>PMP0135</t>
  </si>
  <si>
    <t>4d0d9dcb-9055-4b7a-aa2d-db8345012471</t>
  </si>
  <si>
    <t>uuid:4d0d9dcb-9055-4b7a-aa2d-db8345012471</t>
  </si>
  <si>
    <t>Jajang</t>
  </si>
  <si>
    <t>KBP0002</t>
  </si>
  <si>
    <t>7155e510-6146-4fdd-949d-109475fbd4d9</t>
  </si>
  <si>
    <t>uuid:7155e510-6146-4fdd-949d-109475fbd4d9</t>
  </si>
  <si>
    <t>Taufik Hidayat</t>
  </si>
  <si>
    <t>PMP0109</t>
  </si>
  <si>
    <t>5658251f-bc98-476f-b7d1-077dc289d513</t>
  </si>
  <si>
    <t>uuid:5658251f-bc98-476f-b7d1-077dc289d513</t>
  </si>
  <si>
    <t>uu Suwarna</t>
  </si>
  <si>
    <t>PMP0166</t>
  </si>
  <si>
    <t>9875e239-d00a-4fb7-ab0c-d43659f93573</t>
  </si>
  <si>
    <t>uuid:9875e239-d00a-4fb7-ab0c-d43659f93573</t>
  </si>
  <si>
    <t>Adang Suhayat</t>
  </si>
  <si>
    <t>UBP0076</t>
  </si>
  <si>
    <t>d2445a4c-49ef-4662-bc4e-7e626cf3712d</t>
  </si>
  <si>
    <t>uuid:d2445a4c-49ef-4662-bc4e-7e626cf3712d</t>
  </si>
  <si>
    <t>Imay</t>
  </si>
  <si>
    <t>UBP0100</t>
  </si>
  <si>
    <t>c8896095-dc14-4aad-b839-d1405ffda0b5</t>
  </si>
  <si>
    <t>uuid:c8896095-dc14-4aad-b839-d1405ffda0b5</t>
  </si>
  <si>
    <t>Dindin</t>
  </si>
  <si>
    <t>SIP0001</t>
  </si>
  <si>
    <t>eabaa316-9700-4185-ace5-719a6396b0d3</t>
  </si>
  <si>
    <t>uuid:eabaa316-9700-4185-ace5-719a6396b0d3</t>
  </si>
  <si>
    <t>Uus Rustandi</t>
  </si>
  <si>
    <t>PMP0164</t>
  </si>
  <si>
    <t>69bd5f8b-e4c4-48ca-a7b2-4a0068a0e4ba</t>
  </si>
  <si>
    <t>uuid:69bd5f8b-e4c4-48ca-a7b2-4a0068a0e4ba</t>
  </si>
  <si>
    <t>SAYEMI/GUNAWAN</t>
  </si>
  <si>
    <t>Sleman</t>
  </si>
  <si>
    <t>Cangkringan</t>
  </si>
  <si>
    <t>MSP0001</t>
  </si>
  <si>
    <t>Sapi pedaging Kambing</t>
  </si>
  <si>
    <t>ffdfa8ef-d98f-4b24-ae65-5121d78558e3</t>
  </si>
  <si>
    <t>uuid:ffdfa8ef-d98f-4b24-ae65-5121d78558e3</t>
  </si>
  <si>
    <t>CATUR SUHARNO</t>
  </si>
  <si>
    <t>Ngaglik</t>
  </si>
  <si>
    <t>MSP0359</t>
  </si>
  <si>
    <t>1762fe6d-eb60-4f7d-9412-8bad201617d1</t>
  </si>
  <si>
    <t>uuid:1762fe6d-eb60-4f7d-9412-8bad201617d1</t>
  </si>
  <si>
    <t>JENARTO</t>
  </si>
  <si>
    <t>SHP0001</t>
  </si>
  <si>
    <t>5633b6ad-f573-4562-87b1-27fb69bdc658</t>
  </si>
  <si>
    <t>uuid:5633b6ad-f573-4562-87b1-27fb69bdc658</t>
  </si>
  <si>
    <t>SARDIYANTO</t>
  </si>
  <si>
    <t>Pakem</t>
  </si>
  <si>
    <t>PBP1387</t>
  </si>
  <si>
    <t>Hewan ternak di jual oleh responden 2 tahun yang lalu</t>
  </si>
  <si>
    <t>9c43b782-39b4-497d-99e8-ec9e04716f6b</t>
  </si>
  <si>
    <t>uuid:9c43b782-39b4-497d-99e8-ec9e04716f6b</t>
  </si>
  <si>
    <t>SUHARNO/SUTINI</t>
  </si>
  <si>
    <t>PBP1385</t>
  </si>
  <si>
    <t>57858406-69da-440c-b733-a1e61cf60af1</t>
  </si>
  <si>
    <t>uuid:57858406-69da-440c-b733-a1e61cf60af1</t>
  </si>
  <si>
    <t>PARJONO</t>
  </si>
  <si>
    <t>PBP1391</t>
  </si>
  <si>
    <t>Hewan ternak dijual oleh responden sejak 3 tahun yang lalu</t>
  </si>
  <si>
    <t>dee4900c-dec8-4449-bc0f-ebcf2eed27c5</t>
  </si>
  <si>
    <t>uuid:dee4900c-dec8-4449-bc0f-ebcf2eed27c5</t>
  </si>
  <si>
    <t>SONI HADMOKO</t>
  </si>
  <si>
    <t>HIP0126</t>
  </si>
  <si>
    <t>dedd4a0d-4704-451e-bddb-d8e8fd08d31f</t>
  </si>
  <si>
    <t>uuid:dedd4a0d-4704-451e-bddb-d8e8fd08d31f</t>
  </si>
  <si>
    <t>MARJONO</t>
  </si>
  <si>
    <t>PBP1399</t>
  </si>
  <si>
    <t>Sapi pedaging Ayam</t>
  </si>
  <si>
    <t>21552e9c-2a5b-4d8c-ad11-e3c467a7c923</t>
  </si>
  <si>
    <t>uuid:21552e9c-2a5b-4d8c-ad11-e3c467a7c923</t>
  </si>
  <si>
    <t>KLIYEM</t>
  </si>
  <si>
    <t>HIP0125</t>
  </si>
  <si>
    <t>e315134c-4ed7-4745-b4a1-cd60f4b88d73</t>
  </si>
  <si>
    <t>uuid:e315134c-4ed7-4745-b4a1-cd60f4b88d73</t>
  </si>
  <si>
    <t>LASONO/NURYANTI</t>
  </si>
  <si>
    <t>HIP0130</t>
  </si>
  <si>
    <t>97ef7cc0-ae44-40e1-b9b3-63f65321b701</t>
  </si>
  <si>
    <t>uuid:97ef7cc0-ae44-40e1-b9b3-63f65321b701</t>
  </si>
  <si>
    <t>SAMIJO HARTONO</t>
  </si>
  <si>
    <t>SAS0041</t>
  </si>
  <si>
    <t>e0753e45-b331-4e8b-8517-ee88bd0ba824</t>
  </si>
  <si>
    <t>uuid:e0753e45-b331-4e8b-8517-ee88bd0ba824</t>
  </si>
  <si>
    <t>MARJUKI</t>
  </si>
  <si>
    <t>UPP0002</t>
  </si>
  <si>
    <t>8f76e7b6-1296-4093-927d-492431849a04</t>
  </si>
  <si>
    <t>uuid:8f76e7b6-1296-4093-927d-492431849a04</t>
  </si>
  <si>
    <t>SUHARTATIK/HENI</t>
  </si>
  <si>
    <t>Turi</t>
  </si>
  <si>
    <t>BPP0139</t>
  </si>
  <si>
    <t>Responden menggunakan limbah tahu untuk bahan bakar biogas</t>
  </si>
  <si>
    <t>9e1f9943-1589-4d84-831a-35a314f90105</t>
  </si>
  <si>
    <t>uuid:9e1f9943-1589-4d84-831a-35a314f90105</t>
  </si>
  <si>
    <t>RUKIATUN/SLAMET</t>
  </si>
  <si>
    <t>HIP0002</t>
  </si>
  <si>
    <t>Responden tidak memiliki hewan, menggunakan limbah rumah tangga + mengambil kohe dari kandang kelompok terdekat 3 bulan 1x</t>
  </si>
  <si>
    <t>38a49292-33d1-404a-aa20-a456cb410186</t>
  </si>
  <si>
    <t>uuid:38a49292-33d1-404a-aa20-a456cb410186</t>
  </si>
  <si>
    <t>WIDYO RAHARJO</t>
  </si>
  <si>
    <t>HIP0111</t>
  </si>
  <si>
    <t>8f191656-bb6e-4ef8-b3d6-97913561bace</t>
  </si>
  <si>
    <t>uuid:8f191656-bb6e-4ef8-b3d6-97913561bace</t>
  </si>
  <si>
    <t>MARIDI/SAMINAH</t>
  </si>
  <si>
    <t>HIP0118</t>
  </si>
  <si>
    <t>44fccad6-1ad4-4022-8312-b3580614341c</t>
  </si>
  <si>
    <t>uuid:44fccad6-1ad4-4022-8312-b3580614341c</t>
  </si>
  <si>
    <t>AGUS KHOLIQ</t>
  </si>
  <si>
    <t>HIP0206</t>
  </si>
  <si>
    <t>Kuda</t>
  </si>
  <si>
    <t>67d33f9b-451d-49c5-b425-31f74accd5cd</t>
  </si>
  <si>
    <t>uuid:67d33f9b-451d-49c5-b425-31f74accd5cd</t>
  </si>
  <si>
    <t>HARSONO</t>
  </si>
  <si>
    <t>PBP1578</t>
  </si>
  <si>
    <t>e6c13518-b8f3-4e5f-8413-e59a60b8e0d9</t>
  </si>
  <si>
    <t>uuid:e6c13518-b8f3-4e5f-8413-e59a60b8e0d9</t>
  </si>
  <si>
    <t>SUNARTO</t>
  </si>
  <si>
    <t>PBP1583</t>
  </si>
  <si>
    <t>7ce39a2e-f931-40b5-a812-774a22d7e461</t>
  </si>
  <si>
    <t>uuid:7ce39a2e-f931-40b5-a812-774a22d7e461</t>
  </si>
  <si>
    <t>SUYANTO</t>
  </si>
  <si>
    <t>PBP1581</t>
  </si>
  <si>
    <t>18ff1791-165b-45da-9706-eb868659ff08</t>
  </si>
  <si>
    <t>uuid:18ff1791-165b-45da-9706-eb868659ff08</t>
  </si>
  <si>
    <t>SUHAJI/SUTINI</t>
  </si>
  <si>
    <t>PBP1588</t>
  </si>
  <si>
    <t>Setelah user meninggal dunia, oleh keluarga hewan ternak di jual semua. Responden adalah anak dari Suhaji</t>
  </si>
  <si>
    <t>359fcc1c-87ef-4fdd-8618-530ad1a87bba</t>
  </si>
  <si>
    <t>uuid:359fcc1c-87ef-4fdd-8618-530ad1a87bba</t>
  </si>
  <si>
    <t>NGADIMIN</t>
  </si>
  <si>
    <t>PBP1587</t>
  </si>
  <si>
    <t>498b449a-e320-4f1a-bbb5-6484763ca25d</t>
  </si>
  <si>
    <t>uuid:498b449a-e320-4f1a-bbb5-6484763ca25d</t>
  </si>
  <si>
    <t>SUHARJO</t>
  </si>
  <si>
    <t>LPP0140</t>
  </si>
  <si>
    <t>7ce269d5-c440-4c7e-ba12-66b4799e0f7e</t>
  </si>
  <si>
    <t>uuid:7ce269d5-c440-4c7e-ba12-66b4799e0f7e</t>
  </si>
  <si>
    <t>SUPARDI/TINI</t>
  </si>
  <si>
    <t>PBP0004</t>
  </si>
  <si>
    <t>24f597c1-03f1-4b94-81da-c6a1b2c51183</t>
  </si>
  <si>
    <t>uuid:24f597c1-03f1-4b94-81da-c6a1b2c51183</t>
  </si>
  <si>
    <t>NGADINO</t>
  </si>
  <si>
    <t>BMP0038</t>
  </si>
  <si>
    <t>1d0f27aa-7875-4d92-a2e1-8883e0b6e307</t>
  </si>
  <si>
    <t>uuid:1d0f27aa-7875-4d92-a2e1-8883e0b6e307</t>
  </si>
  <si>
    <t>PONIMAN</t>
  </si>
  <si>
    <t>PBP0151</t>
  </si>
  <si>
    <t>Setelah 3 tahun menggunakan biogas, responden menjual hewan ternak semuanya</t>
  </si>
  <si>
    <t>22779019-7048-42bd-a4eb-d91426d0b8ab</t>
  </si>
  <si>
    <t>uuid:22779019-7048-42bd-a4eb-d91426d0b8ab</t>
  </si>
  <si>
    <t>SUKAMTA</t>
  </si>
  <si>
    <t>PBP0142</t>
  </si>
  <si>
    <t>d728b82f-f14a-4daa-8cc7-3ee7af74a145</t>
  </si>
  <si>
    <t>uuid:d728b82f-f14a-4daa-8cc7-3ee7af74a145</t>
  </si>
  <si>
    <t>KARDI MURYONO</t>
  </si>
  <si>
    <t>PBP0139</t>
  </si>
  <si>
    <t>af7ae266-fff1-4df1-833c-74f9bd31ea1e</t>
  </si>
  <si>
    <t>uuid:af7ae266-fff1-4df1-833c-74f9bd31ea1e</t>
  </si>
  <si>
    <t>SURATIJO</t>
  </si>
  <si>
    <t>BEP0029</t>
  </si>
  <si>
    <t>15c2a96e-cf75-42c5-9e72-ad026d81bcd9</t>
  </si>
  <si>
    <t>uuid:15c2a96e-cf75-42c5-9e72-ad026d81bcd9</t>
  </si>
  <si>
    <t>YUNI ASIH</t>
  </si>
  <si>
    <t>Minggir</t>
  </si>
  <si>
    <t>BPP0065</t>
  </si>
  <si>
    <t>Unggas lainnya</t>
  </si>
  <si>
    <t>Sebelum memiliki hewan ternak, sumber biogas berasal dari limbah ternak milik tetangga</t>
  </si>
  <si>
    <t>6f7dc195-8194-43c6-b7a1-c897c5a6a723</t>
  </si>
  <si>
    <t>uuid:6f7dc195-8194-43c6-b7a1-c897c5a6a723</t>
  </si>
  <si>
    <t>WIJIYONO</t>
  </si>
  <si>
    <t>PBP0671</t>
  </si>
  <si>
    <t>1efe483e-e479-4b40-8360-d1626de8669c</t>
  </si>
  <si>
    <t>uuid:1efe483e-e479-4b40-8360-d1626de8669c</t>
  </si>
  <si>
    <t>SUGIMIN/RINI</t>
  </si>
  <si>
    <t>PBP0472</t>
  </si>
  <si>
    <t>c47b6985-ba5e-4134-ba11-9756f0b005fc</t>
  </si>
  <si>
    <t>uuid:c47b6985-ba5e-4134-ba11-9756f0b005fc</t>
  </si>
  <si>
    <t>SUHARJIYEM,Spd</t>
  </si>
  <si>
    <t>Moyudan</t>
  </si>
  <si>
    <t>BPP0143</t>
  </si>
  <si>
    <t>Kambing</t>
  </si>
  <si>
    <t>Sebelum memiliki ternak, responden mengisi sumber biogasnya dari limbah ternak milik tetangga</t>
  </si>
  <si>
    <t>e575cb1c-30a1-4466-8f41-62ffbee797a3</t>
  </si>
  <si>
    <t>uuid:e575cb1c-30a1-4466-8f41-62ffbee797a3</t>
  </si>
  <si>
    <t>ADI MIYONO</t>
  </si>
  <si>
    <t>PBP0793</t>
  </si>
  <si>
    <t>af5316fe-9874-4848-8aa4-27021b7af340</t>
  </si>
  <si>
    <t>uuid:af5316fe-9874-4848-8aa4-27021b7af340</t>
  </si>
  <si>
    <t>SUHARYANTO/SRI MARYANI</t>
  </si>
  <si>
    <t>PBP1315</t>
  </si>
  <si>
    <t>Responden sudah menjual hewan ternaknya sejak 3 tahun yang lalu</t>
  </si>
  <si>
    <t>aa3e505e-1b46-4605-a12f-801dd2cf6c6b</t>
  </si>
  <si>
    <t>uuid:aa3e505e-1b46-4605-a12f-801dd2cf6c6b</t>
  </si>
  <si>
    <t>ROHMAT NURDIYANTO</t>
  </si>
  <si>
    <t>PBP1378</t>
  </si>
  <si>
    <t>824dd63e-3ec6-4a39-af17-27f522380847</t>
  </si>
  <si>
    <t>uuid:824dd63e-3ec6-4a39-af17-27f522380847</t>
  </si>
  <si>
    <t>SUMARNO/SUHARTINI</t>
  </si>
  <si>
    <t>PBP1379</t>
  </si>
  <si>
    <t>414d23b2-52ee-495d-94f5-3f080ca66c6e</t>
  </si>
  <si>
    <t>uuid:414d23b2-52ee-495d-94f5-3f080ca66c6e</t>
  </si>
  <si>
    <t>ASIYAH</t>
  </si>
  <si>
    <t>BPP066</t>
  </si>
  <si>
    <t>2701fd85-7f99-4fe8-9819-59680e021453</t>
  </si>
  <si>
    <t>uuid:2701fd85-7f99-4fe8-9819-59680e021453</t>
  </si>
  <si>
    <t>SUPARMI</t>
  </si>
  <si>
    <t>MSP0003</t>
  </si>
  <si>
    <t>4922665e-42ee-4a3c-a872-8b2b0f04a374</t>
  </si>
  <si>
    <t>uuid:4922665e-42ee-4a3c-a872-8b2b0f04a374</t>
  </si>
  <si>
    <t>NUR CHASANAH/MARIJO</t>
  </si>
  <si>
    <t>PBP1390</t>
  </si>
  <si>
    <t>67f93e36-af7c-4178-8d6c-62fbb02317dc</t>
  </si>
  <si>
    <t>uuid:67f93e36-af7c-4178-8d6c-62fbb02317dc</t>
  </si>
  <si>
    <t>RAMBAT/SUMINI</t>
  </si>
  <si>
    <t>PBP1582</t>
  </si>
  <si>
    <t>b02a82de-e43b-454a-b107-27e9c1e2e3dc</t>
  </si>
  <si>
    <t>uuid:b02a82de-e43b-454a-b107-27e9c1e2e3dc</t>
  </si>
  <si>
    <t>YOVITA SUMARYATI</t>
  </si>
  <si>
    <t>SUP0089</t>
  </si>
  <si>
    <t>4d07cc52-4949-477f-90da-b225fa30cd21</t>
  </si>
  <si>
    <t>uuid:4d07cc52-4949-477f-90da-b225fa30cd21</t>
  </si>
  <si>
    <t>MARYONO</t>
  </si>
  <si>
    <t>PBP1590</t>
  </si>
  <si>
    <t>16b17224-094a-4e4d-85e0-aa892900c889</t>
  </si>
  <si>
    <t>uuid:16b17224-094a-4e4d-85e0-aa892900c889</t>
  </si>
  <si>
    <t>TUKIRAN</t>
  </si>
  <si>
    <t>PBP1584</t>
  </si>
  <si>
    <t>64af6151-2e5d-4d89-afa3-71d642c99042</t>
  </si>
  <si>
    <t>uuid:64af6151-2e5d-4d89-afa3-71d642c99042</t>
  </si>
  <si>
    <t>JOKO PITOYO</t>
  </si>
  <si>
    <t>MSP0018</t>
  </si>
  <si>
    <t>b3dc927d-4028-4041-ab66-dbcc578602f1</t>
  </si>
  <si>
    <t>uuid:b3dc927d-4028-4041-ab66-dbcc578602f1</t>
  </si>
  <si>
    <t>MUDZAKIR</t>
  </si>
  <si>
    <t>Tempel</t>
  </si>
  <si>
    <t>HIP0183</t>
  </si>
  <si>
    <t>7e567e22-67c8-4901-948e-e4061acbf09d</t>
  </si>
  <si>
    <t>uuid:7e567e22-67c8-4901-948e-e4061acbf09d</t>
  </si>
  <si>
    <t>BANDI</t>
  </si>
  <si>
    <t>HIP0147</t>
  </si>
  <si>
    <t>62d5c064-3fb8-42c3-b366-0a18a25f4488</t>
  </si>
  <si>
    <t>uuid:62d5c064-3fb8-42c3-b366-0a18a25f4488</t>
  </si>
  <si>
    <t>SRI SUWARNI / HERI</t>
  </si>
  <si>
    <t>MSP0020</t>
  </si>
  <si>
    <t>8afed938-d248-4e08-8034-1dca36ccf34c</t>
  </si>
  <si>
    <t>uuid:8afed938-d248-4e08-8034-1dca36ccf34c</t>
  </si>
  <si>
    <t>EDI SUJITO</t>
  </si>
  <si>
    <t>HIP0159</t>
  </si>
  <si>
    <t>068a3c62-c5ee-4e91-882b-d49220d69700</t>
  </si>
  <si>
    <t>uuid:068a3c62-c5ee-4e91-882b-d49220d69700</t>
  </si>
  <si>
    <t>SUPARJO</t>
  </si>
  <si>
    <t>HIP0031</t>
  </si>
  <si>
    <t>bff7f1a9-4682-4e25-8cf7-94e9614d23ef</t>
  </si>
  <si>
    <t>uuid:bff7f1a9-4682-4e25-8cf7-94e9614d23ef</t>
  </si>
  <si>
    <t>RUSDIYANTO</t>
  </si>
  <si>
    <t>HIP0116</t>
  </si>
  <si>
    <t>bd6d76b6-9010-46f6-a137-d5d24481cf81</t>
  </si>
  <si>
    <t>uuid:bd6d76b6-9010-46f6-a137-d5d24481cf81</t>
  </si>
  <si>
    <t>ADI SUMARTO</t>
  </si>
  <si>
    <t>HIP0112</t>
  </si>
  <si>
    <t>0f30ad4a-7814-42f5-839d-3089591eaa83</t>
  </si>
  <si>
    <t>uuid:0f30ad4a-7814-42f5-839d-3089591eaa83</t>
  </si>
  <si>
    <t>PAERAN</t>
  </si>
  <si>
    <t>HIP0203</t>
  </si>
  <si>
    <t>80884cfb-1fda-4e49-ace6-6e5bd181b3b6</t>
  </si>
  <si>
    <t>uuid:80884cfb-1fda-4e49-ace6-6e5bd181b3b6</t>
  </si>
  <si>
    <t>EKO SUKAMTO</t>
  </si>
  <si>
    <t>MSP0269</t>
  </si>
  <si>
    <t>74f397af-410f-4e69-bdde-f7fc477db6d2</t>
  </si>
  <si>
    <t>uuid:74f397af-410f-4e69-bdde-f7fc477db6d2</t>
  </si>
  <si>
    <t>SUHADI WIYONO</t>
  </si>
  <si>
    <t>MSP0286</t>
  </si>
  <si>
    <t>0f2a8faa-1c88-480a-af4f-a2cca6837678</t>
  </si>
  <si>
    <t>uuid:0f2a8faa-1c88-480a-af4f-a2cca6837678</t>
  </si>
  <si>
    <t>JUMALI</t>
  </si>
  <si>
    <t>SAS0005</t>
  </si>
  <si>
    <t>321b2faa-fae0-423d-a9c0-37ff529ef601</t>
  </si>
  <si>
    <t>uuid:321b2faa-fae0-423d-a9c0-37ff529ef601</t>
  </si>
  <si>
    <t>19e30951-69b8-4fbe-8e72-cf88e95b4c74</t>
  </si>
  <si>
    <t>uuid:19e30951-69b8-4fbe-8e72-cf88e95b4c74</t>
  </si>
  <si>
    <t>Mojosonggo</t>
  </si>
  <si>
    <t>94b7ffc2-3b27-46dd-ac3f-01ed04ee5b92</t>
  </si>
  <si>
    <t>uuid:94b7ffc2-3b27-46dd-ac3f-01ed04ee5b92</t>
  </si>
  <si>
    <t>c4bac226-5acd-4ca5-b219-a673371d511f</t>
  </si>
  <si>
    <t>uuid:c4bac226-5acd-4ca5-b219-a673371d511f</t>
  </si>
  <si>
    <t>c578aefd-f473-422b-94ba-09c44bbed5e8</t>
  </si>
  <si>
    <t>uuid:c578aefd-f473-422b-94ba-09c44bbed5e8</t>
  </si>
  <si>
    <t>Wakimin</t>
  </si>
  <si>
    <t>ac9b3176-92a6-427f-a275-5dc43c7d9578</t>
  </si>
  <si>
    <t>uuid:ac9b3176-92a6-427f-a275-5dc43c7d9578</t>
  </si>
  <si>
    <t>2</t>
  </si>
  <si>
    <t>1e56bbb4-a402-4e49-932b-caf89e3ac0f2</t>
  </si>
  <si>
    <t>uuid:1e56bbb4-a402-4e49-932b-caf89e3ac0f2</t>
  </si>
  <si>
    <t>bb447394-7cb0-4b5b-ba41-c05abb89235f</t>
  </si>
  <si>
    <t>uuid:bb447394-7cb0-4b5b-ba41-c05abb89235f</t>
  </si>
  <si>
    <t>f7950007-a379-4b82-95e2-788eb0cc5a67</t>
  </si>
  <si>
    <t>uuid:f7950007-a379-4b82-95e2-788eb0cc5a67</t>
  </si>
  <si>
    <t>2082d00a-ae86-45bd-bcd6-97568f509d64</t>
  </si>
  <si>
    <t>uuid:2082d00a-ae86-45bd-bcd6-97568f509d64</t>
  </si>
  <si>
    <t>Gito suparno</t>
  </si>
  <si>
    <t>Kebon arum</t>
  </si>
  <si>
    <t>b4547989-6bc8-41d8-aa06-85997a1a4128</t>
  </si>
  <si>
    <t>uuid:b4547989-6bc8-41d8-aa06-85997a1a4128</t>
  </si>
  <si>
    <t>0ba1cb81-88a9-4c94-b2ad-d3fb865bc5f7</t>
  </si>
  <si>
    <t>uuid:0ba1cb81-88a9-4c94-b2ad-d3fb865bc5f7</t>
  </si>
  <si>
    <t>5e14c06e-6c06-4e3e-8c6e-1252d0b8fb7b</t>
  </si>
  <si>
    <t>uuid:5e14c06e-6c06-4e3e-8c6e-1252d0b8fb7b</t>
  </si>
  <si>
    <t>Sugeng raharjo</t>
  </si>
  <si>
    <t>e277b3e3-94ab-49f1-ab59-7347ad43bbe5</t>
  </si>
  <si>
    <t>uuid:e277b3e3-94ab-49f1-ab59-7347ad43bbe5</t>
  </si>
  <si>
    <t>Jumali mardi wiyono</t>
  </si>
  <si>
    <t>5d42254b-69a6-43cd-b7d6-d66652522c16</t>
  </si>
  <si>
    <t>uuid:5d42254b-69a6-43cd-b7d6-d66652522c16</t>
  </si>
  <si>
    <t>f914eac4-814a-4f05-b0cc-fe512e17c154</t>
  </si>
  <si>
    <t>uuid:f914eac4-814a-4f05-b0cc-fe512e17c154</t>
  </si>
  <si>
    <t>Anjis supriyanto</t>
  </si>
  <si>
    <t>a3aa4144-d122-4e06-99a0-0d8f45461d85</t>
  </si>
  <si>
    <t>uuid:a3aa4144-d122-4e06-99a0-0d8f45461d85</t>
  </si>
  <si>
    <t>d64e07c7-a7d5-456d-92e0-b523d342375e</t>
  </si>
  <si>
    <t>uuid:d64e07c7-a7d5-456d-92e0-b523d342375e</t>
  </si>
  <si>
    <t>Slamet daryono</t>
  </si>
  <si>
    <t>c915a59a-9467-46a5-b71d-505cd2240b66</t>
  </si>
  <si>
    <t>uuid:c915a59a-9467-46a5-b71d-505cd2240b66</t>
  </si>
  <si>
    <t>b54757b9-3a8d-4fbb-a554-b95e3983e220</t>
  </si>
  <si>
    <t>uuid:b54757b9-3a8d-4fbb-a554-b95e3983e220</t>
  </si>
  <si>
    <t>14f806ef-6af6-4336-bb27-58c22f3dae19</t>
  </si>
  <si>
    <t>uuid:14f806ef-6af6-4336-bb27-58c22f3dae19</t>
  </si>
  <si>
    <t>SUMALI</t>
  </si>
  <si>
    <t>KABUPATEN SEMARANG</t>
  </si>
  <si>
    <t>KECAMATAN GETASAN</t>
  </si>
  <si>
    <t>a9e76088-47a5-4a8a-b94b-b50b67cdcecc</t>
  </si>
  <si>
    <t>uuid:a9e76088-47a5-4a8a-b94b-b50b67cdcecc</t>
  </si>
  <si>
    <t>DIYONO</t>
  </si>
  <si>
    <t>KLATEN</t>
  </si>
  <si>
    <t>GETASAN</t>
  </si>
  <si>
    <t>PUS006</t>
  </si>
  <si>
    <t>c38ec35a-01e0-48a5-baa6-234a1f49d17f</t>
  </si>
  <si>
    <t>uuid:c38ec35a-01e0-48a5-baa6-234a1f49d17f</t>
  </si>
  <si>
    <t>JUMENI</t>
  </si>
  <si>
    <t>53512ac7-27af-4111-81d4-f3c03ec9d229</t>
  </si>
  <si>
    <t>uuid:53512ac7-27af-4111-81d4-f3c03ec9d229</t>
  </si>
  <si>
    <t>YAHMAN</t>
  </si>
  <si>
    <t>47d259da-2a1f-4a16-baae-310d56967a29</t>
  </si>
  <si>
    <t>uuid:47d259da-2a1f-4a16-baae-310d56967a29</t>
  </si>
  <si>
    <t>Jugo wahono</t>
  </si>
  <si>
    <t>1528d49b-05c7-4a41-afbd-3a080af24e3a</t>
  </si>
  <si>
    <t>uuid:1528d49b-05c7-4a41-afbd-3a080af24e3a</t>
  </si>
  <si>
    <t>Saefuudin</t>
  </si>
  <si>
    <t>158e0e62-64a8-4dc8-bacc-b629f078d707</t>
  </si>
  <si>
    <t>uuid:158e0e62-64a8-4dc8-bacc-b629f078d707</t>
  </si>
  <si>
    <t>c1f89339-51d0-4d95-94ad-6c1298527654</t>
  </si>
  <si>
    <t>uuid:c1f89339-51d0-4d95-94ad-6c1298527654</t>
  </si>
  <si>
    <t>Joko kuat</t>
  </si>
  <si>
    <t>0b4e07fb-701f-484d-8a76-9d3cbd1f0951</t>
  </si>
  <si>
    <t>uuid:0b4e07fb-701f-484d-8a76-9d3cbd1f0951</t>
  </si>
  <si>
    <t>Bolot winarno</t>
  </si>
  <si>
    <t>26f22612-4e77-4d14-a5a8-03f184b68576</t>
  </si>
  <si>
    <t>uuid:26f22612-4e77-4d14-a5a8-03f184b68576</t>
  </si>
  <si>
    <t>40877146-f25e-4fd2-94aa-06f488a29fea</t>
  </si>
  <si>
    <t>uuid:40877146-f25e-4fd2-94aa-06f488a29fea</t>
  </si>
  <si>
    <t>Mohari</t>
  </si>
  <si>
    <t>f0fa8814-88f2-439a-b3e4-54d38c10e8cc</t>
  </si>
  <si>
    <t>uuid:f0fa8814-88f2-439a-b3e4-54d38c10e8cc</t>
  </si>
  <si>
    <t>028b98c4-47ac-46fd-99c2-65d31f7ef924</t>
  </si>
  <si>
    <t>uuid:028b98c4-47ac-46fd-99c2-65d31f7ef924</t>
  </si>
  <si>
    <t>TARNO RUSLAN</t>
  </si>
  <si>
    <t>c9b31540-7c8d-488c-ab9b-209ea82eb1b0</t>
  </si>
  <si>
    <t>uuid:c9b31540-7c8d-488c-ab9b-209ea82eb1b0</t>
  </si>
  <si>
    <t>581ed926-d240-4265-aaad-f38078f92ca5</t>
  </si>
  <si>
    <t>uuid:581ed926-d240-4265-aaad-f38078f92ca5</t>
  </si>
  <si>
    <t>c6b347c8-7415-4bd3-85f2-7ce770b1e0d5</t>
  </si>
  <si>
    <t>uuid:c6b347c8-7415-4bd3-85f2-7ce770b1e0d5</t>
  </si>
  <si>
    <t>Purwant0</t>
  </si>
  <si>
    <t>b7234895-95b6-46e8-a4ef-7998d8aa006a</t>
  </si>
  <si>
    <t>uuid:b7234895-95b6-46e8-a4ef-7998d8aa006a</t>
  </si>
  <si>
    <t>c950329c-033d-4857-9f9d-c25059acefa6</t>
  </si>
  <si>
    <t>uuid:c950329c-033d-4857-9f9d-c25059acefa6</t>
  </si>
  <si>
    <t>Martono saimin</t>
  </si>
  <si>
    <t>d4bdb530-2e21-4cd4-860b-b064dddcaf98</t>
  </si>
  <si>
    <t>uuid:d4bdb530-2e21-4cd4-860b-b064dddcaf98</t>
  </si>
  <si>
    <t>Salamin</t>
  </si>
  <si>
    <t>e7f00c8f-f052-4d33-8722-2f8fd44d889b</t>
  </si>
  <si>
    <t>uuid:e7f00c8f-f052-4d33-8722-2f8fd44d889b</t>
  </si>
  <si>
    <t>PARMAN</t>
  </si>
  <si>
    <t>Gerasan</t>
  </si>
  <si>
    <t>9bede525-5b09-4c55-8fee-d8b8c75af34e</t>
  </si>
  <si>
    <t>uuid:9bede525-5b09-4c55-8fee-d8b8c75af34e</t>
  </si>
  <si>
    <t>Swmarang</t>
  </si>
  <si>
    <t>6117f971-c719-4b3c-b6b0-705b3ff18686</t>
  </si>
  <si>
    <t>uuid:6117f971-c719-4b3c-b6b0-705b3ff18686</t>
  </si>
  <si>
    <t>Nur ariyanto</t>
  </si>
  <si>
    <t>9591cd75-822b-4c3b-97e9-08ef66a3b5ef</t>
  </si>
  <si>
    <t>uuid:9591cd75-822b-4c3b-97e9-08ef66a3b5ef</t>
  </si>
  <si>
    <t>Ahmad sarimin</t>
  </si>
  <si>
    <t>6954566b-efff-4960-b29e-70706c35c726</t>
  </si>
  <si>
    <t>uuid:6954566b-efff-4960-b29e-70706c35c726</t>
  </si>
  <si>
    <t>Rejo pawiro</t>
  </si>
  <si>
    <t>Taman sari</t>
  </si>
  <si>
    <t>63182168-a0f6-4fa3-a835-cc4dcc7904f1</t>
  </si>
  <si>
    <t>uuid:63182168-a0f6-4fa3-a835-cc4dcc7904f1</t>
  </si>
  <si>
    <t>MuMuk</t>
  </si>
  <si>
    <t>330ee220-c75d-458c-9c59-8900457ebfe6</t>
  </si>
  <si>
    <t>uuid:330ee220-c75d-458c-9c59-8900457ebfe6</t>
  </si>
  <si>
    <t>Icshan jody p</t>
  </si>
  <si>
    <t>cdeea5d2-a36c-4e89-80be-a03cac27e2fd</t>
  </si>
  <si>
    <t>uuid:cdeea5d2-a36c-4e89-80be-a03cac27e2fd</t>
  </si>
  <si>
    <t>Puspita farm</t>
  </si>
  <si>
    <t>Karang nongko</t>
  </si>
  <si>
    <t>6a2c77cc-9762-4921-97e6-c2b69abe9351</t>
  </si>
  <si>
    <t>uuid:6a2c77cc-9762-4921-97e6-c2b69abe9351</t>
  </si>
  <si>
    <t>Ambo dg Tawang</t>
  </si>
  <si>
    <t>Sapi pedaging Ayam Unggas lainnya</t>
  </si>
  <si>
    <t>Responden ini diinterview sebelum ada perubahan pertanyaan E5 pada kuesioner sehingga yang ditanyakan hanyalah perubahan jumlah ternak sebelum menggunakan biogas saja.</t>
  </si>
  <si>
    <t>e980abb9-cf02-4a89-84dc-3e37dc4acf15</t>
  </si>
  <si>
    <t>uuid:e980abb9-cf02-4a89-84dc-3e37dc4acf15</t>
  </si>
  <si>
    <t>Sarman dg Emba</t>
  </si>
  <si>
    <t>Ybs diwawancarai sebelum ada perubahan pada pertanyaan E5</t>
  </si>
  <si>
    <t>3794b450-640f-4db0-b623-81c853371f4b</t>
  </si>
  <si>
    <t>uuid:3794b450-640f-4db0-b623-81c853371f4b</t>
  </si>
  <si>
    <t>3c0b96a0-4b33-421b-9148-3343f54233d4</t>
  </si>
  <si>
    <t>uuid:3c0b96a0-4b33-421b-9148-3343f54233d4</t>
  </si>
  <si>
    <t>Baso dg Ngemba</t>
  </si>
  <si>
    <t>Sapi pedaging Kuda Unggas lainnya</t>
  </si>
  <si>
    <t>Kuda Unggas lainnya</t>
  </si>
  <si>
    <t>85ffb48e-4db5-4ce8-bd7f-10bc29bb52f9</t>
  </si>
  <si>
    <t>uuid:85ffb48e-4db5-4ce8-bd7f-10bc29bb52f9</t>
  </si>
  <si>
    <t>Baharuddin dg Ngunjung</t>
  </si>
  <si>
    <t>10ccc1fc-0684-47b2-9d8c-2dfe3c230142</t>
  </si>
  <si>
    <t>uuid:10ccc1fc-0684-47b2-9d8c-2dfe3c230142</t>
  </si>
  <si>
    <t>Kuda Ayam</t>
  </si>
  <si>
    <t>d4c83973-ff3f-4204-990b-8f1ec042effc</t>
  </si>
  <si>
    <t>uuid:d4c83973-ff3f-4204-990b-8f1ec042effc</t>
  </si>
  <si>
    <t>Nartin Khotimah / Agus Harianto</t>
  </si>
  <si>
    <t>Jawa Timur</t>
  </si>
  <si>
    <t>Pasuruan</t>
  </si>
  <si>
    <t>Tutur</t>
  </si>
  <si>
    <t>SKP0938</t>
  </si>
  <si>
    <t>Bu Nartin menjual 1 sapi perah karena sakit. Kemudian merawat sapi perah 1 ekor milik saudara (bukan membeli)</t>
  </si>
  <si>
    <t>4b1fe3fb-14ab-44c0-8c8f-77b0e8ea1432</t>
  </si>
  <si>
    <t>uuid:4b1fe3fb-14ab-44c0-8c8f-77b0e8ea1432</t>
  </si>
  <si>
    <t>Darminah / BLE PGN Dasim</t>
  </si>
  <si>
    <t>SKP0888</t>
  </si>
  <si>
    <t>Sapi pedaging Sapi perah Ayam</t>
  </si>
  <si>
    <t>Sapi perah Ayam</t>
  </si>
  <si>
    <t>d5105805-4ad9-4a26-a0dd-1fdfca511261</t>
  </si>
  <si>
    <t>uuid:d5105805-4ad9-4a26-a0dd-1fdfca511261</t>
  </si>
  <si>
    <t>Dasutik / Dahlan</t>
  </si>
  <si>
    <t>SKP0126</t>
  </si>
  <si>
    <t>5048493f-ec50-41fe-b515-80f629e15832</t>
  </si>
  <si>
    <t>uuid:5048493f-ec50-41fe-b515-80f629e15832</t>
  </si>
  <si>
    <t>Carmini / Soleh</t>
  </si>
  <si>
    <t>SKP0054</t>
  </si>
  <si>
    <t>Kepemilikan sapi setelah ada biogas (ketika biogas masih aktif) adalah 30 ekor/data BUS. Namun jika yang dimaksud adalah kepemilikan sapi sekarang (tahun 2025-biogas sudah tidak aktif) maka punya 8 ekor. Tidak ada perubahan selama 12 bulan terakhir.</t>
  </si>
  <si>
    <t>16cf0570-7087-4214-90ce-6894adf62fd1</t>
  </si>
  <si>
    <t>uuid:16cf0570-7087-4214-90ce-6894adf62fd1</t>
  </si>
  <si>
    <t>Tasiyem / Sahar</t>
  </si>
  <si>
    <t>SKP0695</t>
  </si>
  <si>
    <t>4e26a3fc-6b56-4653-a37d-6d868993bd18</t>
  </si>
  <si>
    <t>uuid:4e26a3fc-6b56-4653-a37d-6d868993bd18</t>
  </si>
  <si>
    <t>Kusno</t>
  </si>
  <si>
    <t>SKP0926</t>
  </si>
  <si>
    <t>63560c0a-6ab4-41a9-b229-e32b81bc1c24</t>
  </si>
  <si>
    <t>uuid:63560c0a-6ab4-41a9-b229-e32b81bc1c24</t>
  </si>
  <si>
    <t>Titik Dwi Ismawati / Siswanto</t>
  </si>
  <si>
    <t>SKP0929</t>
  </si>
  <si>
    <t>Sapi perah Ayam Unggas lainnya</t>
  </si>
  <si>
    <t>Bu Titik tidak memberikan nomer HP (tidak hafal, menjanjikan akan kirim nomer HP tetapi tidak mengirimkan sampai sekarang). Enum mengambil data nomer hape dari BUS 2023, namun ternyata nomer sudah tidak aktif. Jadi tidak bisa dikonfirmasi perubahan kepemilikan sapi perah dalam 12 bulan terakhir.</t>
  </si>
  <si>
    <t>f825cb8d-a19c-4451-98fa-da0df5610b19</t>
  </si>
  <si>
    <t>uuid:f825cb8d-a19c-4451-98fa-da0df5610b19</t>
  </si>
  <si>
    <t>Cahyaningrum/sumarno</t>
  </si>
  <si>
    <t>f05887ad-87d8-470e-82d2-ae7343fa95cc</t>
  </si>
  <si>
    <t>uuid:f05887ad-87d8-470e-82d2-ae7343fa95cc</t>
  </si>
  <si>
    <t>Sumiati / Ilyas</t>
  </si>
  <si>
    <t>SKP0015</t>
  </si>
  <si>
    <t>Khusus data pembelian (sapi perah 3 ekor dan sapi pedaging 1 ekor) tidak dipelihara sendiri, melainkan dirawatkan ke orang lain</t>
  </si>
  <si>
    <t>8306c614-4c90-4aca-9c55-98e5800563a6</t>
  </si>
  <si>
    <t>uuid:8306c614-4c90-4aca-9c55-98e5800563a6</t>
  </si>
  <si>
    <t>Arik Setiowati / H. Mas'ul</t>
  </si>
  <si>
    <t>SKP0937</t>
  </si>
  <si>
    <t>9d378805-3f73-43d8-a9fe-7a6614931a96</t>
  </si>
  <si>
    <t>uuid:9d378805-3f73-43d8-a9fe-7a6614931a96</t>
  </si>
  <si>
    <t>Sri Wahyuningsih / Mudzakir</t>
  </si>
  <si>
    <t>SKP0935</t>
  </si>
  <si>
    <t>e99dba98-d7dc-4dbb-9d2c-8500c3986ed0</t>
  </si>
  <si>
    <t>uuid:e99dba98-d7dc-4dbb-9d2c-8500c3986ed0</t>
  </si>
  <si>
    <t>Mujiono</t>
  </si>
  <si>
    <t>SKP0593</t>
  </si>
  <si>
    <t>63d6c9eb-dbb7-446b-b063-26f26fc340ca</t>
  </si>
  <si>
    <t>uuid:63d6c9eb-dbb7-446b-b063-26f26fc340ca</t>
  </si>
  <si>
    <t>Sunarsih / Sumarsih</t>
  </si>
  <si>
    <t>SKP0592</t>
  </si>
  <si>
    <t>Kepemilikan sapi perah (saat biogas masih aktif) adalah 8 ekor. Tetapi jika yang dimaksud kepemilikan sapi perah setelah biogas adalah tahun 2025 (biogas sudah tidak aktif) maka jumlah sapi perah ada 2 ekor.</t>
  </si>
  <si>
    <t>ff2d60f6-bd47-4088-bfc1-e5c3f01282c9</t>
  </si>
  <si>
    <t>uuid:ff2d60f6-bd47-4088-bfc1-e5c3f01282c9</t>
  </si>
  <si>
    <t>Wasri / Nasukan</t>
  </si>
  <si>
    <t>SKP0027</t>
  </si>
  <si>
    <t>6e3d7b0f-b73f-4096-9d83-dd4f10b66f9a</t>
  </si>
  <si>
    <t>uuid:6e3d7b0f-b73f-4096-9d83-dd4f10b66f9a</t>
  </si>
  <si>
    <t>Riyatun / Kanapi</t>
  </si>
  <si>
    <t>KTP0195</t>
  </si>
  <si>
    <t>6fc702a8-f452-4cb8-9f80-12c55f736a82</t>
  </si>
  <si>
    <t>uuid:6fc702a8-f452-4cb8-9f80-12c55f736a82</t>
  </si>
  <si>
    <t>Suroso</t>
  </si>
  <si>
    <t>SKP0943</t>
  </si>
  <si>
    <t>49ca4c06-73bd-45b7-80c1-6639f187de1a</t>
  </si>
  <si>
    <t>uuid:49ca4c06-73bd-45b7-80c1-6639f187de1a</t>
  </si>
  <si>
    <t>Ahmad Jupri / M. Zainul Tozikin</t>
  </si>
  <si>
    <t>SKP0940</t>
  </si>
  <si>
    <t>Sapi perah Kambing Ayam</t>
  </si>
  <si>
    <t>6432e495-6e86-4281-b2e9-6f5fdae3c8fe</t>
  </si>
  <si>
    <t>uuid:6432e495-6e86-4281-b2e9-6f5fdae3c8fe</t>
  </si>
  <si>
    <t>Siti Khotijah / Abd Karim</t>
  </si>
  <si>
    <t>SKP0956</t>
  </si>
  <si>
    <t>Pak Abd Karim merawat 3 ekor sapi betina milik keponakannya. Sapi yang dimiliki hanya 1 ekor anak sapi jantan</t>
  </si>
  <si>
    <t>9f228bf1-97f3-4ff5-bfe0-af80917fbf2c</t>
  </si>
  <si>
    <t>uuid:9f228bf1-97f3-4ff5-bfe0-af80917fbf2c</t>
  </si>
  <si>
    <t>Abd Rahim</t>
  </si>
  <si>
    <t>Sapi pedaging Unggas lainnya</t>
  </si>
  <si>
    <t>ed00af32-0d81-40ed-95dc-aad5322e1442</t>
  </si>
  <si>
    <t>uuid:ed00af32-0d81-40ed-95dc-aad5322e1442</t>
  </si>
  <si>
    <t>Irwandi (Jamaluddin Dg Nyau)</t>
  </si>
  <si>
    <t>fb7a580e-a4fd-49e5-99bd-9a5c47d611c3</t>
  </si>
  <si>
    <t>uuid:fb7a580e-a4fd-49e5-99bd-9a5c47d611c3</t>
  </si>
  <si>
    <t>Ratna (Sudirman)</t>
  </si>
  <si>
    <t>f7b3a7c6-042e-4393-9aaf-b9147924daaa</t>
  </si>
  <si>
    <t>uuid:f7b3a7c6-042e-4393-9aaf-b9147924daaa</t>
  </si>
  <si>
    <t>responden menjawab sebelum form diubah</t>
  </si>
  <si>
    <t>071c75a8-637e-476b-8a4f-0d3ccc0fc2af</t>
  </si>
  <si>
    <t>uuid:071c75a8-637e-476b-8a4f-0d3ccc0fc2af</t>
  </si>
  <si>
    <t>H. Abdul Haris Nai</t>
  </si>
  <si>
    <t>47b431a3-b6b0-48c3-88eb-b8435b0c07e3</t>
  </si>
  <si>
    <t>uuid:47b431a3-b6b0-48c3-88eb-b8435b0c07e3</t>
  </si>
  <si>
    <t>Biogas organik</t>
  </si>
  <si>
    <t>c1d6b59e-47c1-462a-a1df-fcd0a50febf1</t>
  </si>
  <si>
    <t>uuid:c1d6b59e-47c1-462a-a1df-fcd0a50febf1</t>
  </si>
  <si>
    <t>Ayam Unggas lainnya</t>
  </si>
  <si>
    <t>a13a47da-d11c-4f75-a1b1-ebe749a38ae5</t>
  </si>
  <si>
    <t>uuid:a13a47da-d11c-4f75-a1b1-ebe749a38ae5</t>
  </si>
  <si>
    <t>ASRI</t>
  </si>
  <si>
    <t>Minasate'ne</t>
  </si>
  <si>
    <t>responden menjawab sebelum pertanyaan ditambahkan</t>
  </si>
  <si>
    <t>9579ceb2-cc71-4f53-b447-368d12323471</t>
  </si>
  <si>
    <t>uuid:9579ceb2-cc71-4f53-b447-368d12323471</t>
  </si>
  <si>
    <t>Responden menjawab sebelum pertanyaan ditambahkan</t>
  </si>
  <si>
    <t>8d9ff766-8cce-4b19-a3d1-928dce3fb13a</t>
  </si>
  <si>
    <t>uuid:8d9ff766-8cce-4b19-a3d1-928dce3fb13a</t>
  </si>
  <si>
    <t>sapi responden sudah tidak ada.</t>
  </si>
  <si>
    <t>7a617278-7152-48da-afa1-15bb6812aeb0</t>
  </si>
  <si>
    <t>uuid:7a617278-7152-48da-afa1-15bb6812aeb0</t>
  </si>
  <si>
    <t>Bangkala barat</t>
  </si>
  <si>
    <t>9c11733c-e756-498d-888a-bc7ce1bf194f</t>
  </si>
  <si>
    <t>uuid:9c11733c-e756-498d-888a-bc7ce1bf194f</t>
  </si>
  <si>
    <t>Patallassang</t>
  </si>
  <si>
    <t>842046db-5248-4c0e-b3e8-bc5c1fe2a324</t>
  </si>
  <si>
    <t>uuid:842046db-5248-4c0e-b3e8-bc5c1fe2a324</t>
  </si>
  <si>
    <t>Samsuddin Dg Lebu</t>
  </si>
  <si>
    <t>c2ed1099-a4f8-4858-96d4-b536c105d505</t>
  </si>
  <si>
    <t>uuid:c2ed1099-a4f8-4858-96d4-b536c105d505</t>
  </si>
  <si>
    <t>651a8068-7c54-4f16-8bd4-f8e0e12f8731</t>
  </si>
  <si>
    <t>uuid:651a8068-7c54-4f16-8bd4-f8e0e12f8731</t>
  </si>
  <si>
    <t>344da342-17a9-4dd0-9191-a0bf979dcd61</t>
  </si>
  <si>
    <t>uuid:344da342-17a9-4dd0-9191-a0bf979dcd61</t>
  </si>
  <si>
    <t>65ebee40-59f2-4025-9705-13e94eaee2aa</t>
  </si>
  <si>
    <t>uuid:65ebee40-59f2-4025-9705-13e94eaee2aa</t>
  </si>
  <si>
    <t>Badaruddin Dg. Tompo</t>
  </si>
  <si>
    <t>5c62ec25-6dca-49f6-b2f3-3b6975d5d27a</t>
  </si>
  <si>
    <t>uuid:5c62ec25-6dca-49f6-b2f3-3b6975d5d27a</t>
  </si>
  <si>
    <t>Sulaiman</t>
  </si>
  <si>
    <t>5fa1d0b5-dca6-4f8d-8e8a-f631610bae8d</t>
  </si>
  <si>
    <t>uuid:5fa1d0b5-dca6-4f8d-8e8a-f631610bae8d</t>
  </si>
  <si>
    <t>Hj. Unjung</t>
  </si>
  <si>
    <t>Sapi pedaging Kuda Kambing Ayam Unggas lainnya</t>
  </si>
  <si>
    <t>0ca4c2f3-5c36-4413-8795-749b5ce89d9b</t>
  </si>
  <si>
    <t>uuid:0ca4c2f3-5c36-4413-8795-749b5ce89d9b</t>
  </si>
  <si>
    <t>85bd32bb-b7bb-495e-ae96-6e7443f3bc62</t>
  </si>
  <si>
    <t>uuid:85bd32bb-b7bb-495e-ae96-6e7443f3bc62</t>
  </si>
  <si>
    <t>2d871f10-7d4a-4a92-b26f-0a467b1c13ff</t>
  </si>
  <si>
    <t>uuid:2d871f10-7d4a-4a92-b26f-0a467b1c13ff</t>
  </si>
  <si>
    <t>Sabato</t>
  </si>
  <si>
    <t>a5c4c25a-eaae-43c1-bec6-1873868eefb1</t>
  </si>
  <si>
    <t>uuid:a5c4c25a-eaae-43c1-bec6-1873868eefb1</t>
  </si>
  <si>
    <t>Minasatene</t>
  </si>
  <si>
    <t>74e8c6a1-186b-4783-a341-a1d80666f7cf</t>
  </si>
  <si>
    <t>uuid:74e8c6a1-186b-4783-a341-a1d80666f7cf</t>
  </si>
  <si>
    <t>Zulkifli Lambali (Alan)</t>
  </si>
  <si>
    <t>1825c909-94dd-47fe-aa7a-4d39620aeb6e</t>
  </si>
  <si>
    <t>uuid:1825c909-94dd-47fe-aa7a-4d39620aeb6e</t>
  </si>
  <si>
    <t>61f14fc6-02f6-4da5-8e87-2d48226db877</t>
  </si>
  <si>
    <t>uuid:61f14fc6-02f6-4da5-8e87-2d48226db877</t>
  </si>
  <si>
    <t>e9d2ed65-fc3c-4d6a-a5ca-6d7eff65d6ce</t>
  </si>
  <si>
    <t>uuid:e9d2ed65-fc3c-4d6a-a5ca-6d7eff65d6ce</t>
  </si>
  <si>
    <t>bb22c560-4023-4557-9606-78deabfc006c</t>
  </si>
  <si>
    <t>uuid:bb22c560-4023-4557-9606-78deabfc006c</t>
  </si>
  <si>
    <t>Baharuddin M</t>
  </si>
  <si>
    <t>e2424526-bb07-4f80-999c-9575c2c321c1</t>
  </si>
  <si>
    <t>uuid:e2424526-bb07-4f80-999c-9575c2c321c1</t>
  </si>
  <si>
    <t>Dg. Salle</t>
  </si>
  <si>
    <t>1bc03f82-f34d-4085-931c-ad04d243fab5</t>
  </si>
  <si>
    <t>uuid:1bc03f82-f34d-4085-931c-ad04d243fab5</t>
  </si>
  <si>
    <t>Rungnga</t>
  </si>
  <si>
    <t>24f11056-444c-4334-a58c-ccc0c1d778d3</t>
  </si>
  <si>
    <t>uuid:24f11056-444c-4334-a58c-ccc0c1d778d3</t>
  </si>
  <si>
    <t>ef15fbe8-3cd6-4200-8c53-2d011cb568d9</t>
  </si>
  <si>
    <t>uuid:ef15fbe8-3cd6-4200-8c53-2d011cb568d9</t>
  </si>
  <si>
    <t>246b5b8e-4cf8-447b-b7cd-dc69806aa3a6</t>
  </si>
  <si>
    <t>uuid:246b5b8e-4cf8-447b-b7cd-dc69806aa3a6</t>
  </si>
  <si>
    <t>Ilyas T, S.PD</t>
  </si>
  <si>
    <t>Ysb merupakan Peternak ayam jadi jumlah ayam itu merukan tafsiran</t>
  </si>
  <si>
    <t>365ca457-26ab-4271-9855-23e324447166</t>
  </si>
  <si>
    <t>uuid:365ca457-26ab-4271-9855-23e324447166</t>
  </si>
  <si>
    <t>aa2f30e7-e2d0-4f6c-8d12-3d1dd2fc4067</t>
  </si>
  <si>
    <t>uuid:aa2f30e7-e2d0-4f6c-8d12-3d1dd2fc4067</t>
  </si>
  <si>
    <t>Daeng liwang</t>
  </si>
  <si>
    <t>c3823f22-337e-4383-8e74-9578e71ab889</t>
  </si>
  <si>
    <t>uuid:c3823f22-337e-4383-8e74-9578e71ab889</t>
  </si>
  <si>
    <t>Daeng gassing</t>
  </si>
  <si>
    <t>ff2b1f41-a529-4f21-820e-ed712e3efaa5</t>
  </si>
  <si>
    <t>uuid:ff2b1f41-a529-4f21-820e-ed712e3efaa5</t>
  </si>
  <si>
    <t>Dg nojeng</t>
  </si>
  <si>
    <t>a3d3267c-4656-4233-8f66-cd782debb814</t>
  </si>
  <si>
    <t>uuid:a3d3267c-4656-4233-8f66-cd782debb814</t>
  </si>
  <si>
    <t>Harmoko</t>
  </si>
  <si>
    <t>KTP0185</t>
  </si>
  <si>
    <t>User Harmoko tidak merespon telpon maupun WA terkait pertanyaan E5-c</t>
  </si>
  <si>
    <t>b3e8e156-7a67-40c6-b061-ed7d141d7491</t>
  </si>
  <si>
    <t>uuid:b3e8e156-7a67-40c6-b061-ed7d141d7491</t>
  </si>
  <si>
    <t>Sariana / Siono</t>
  </si>
  <si>
    <t>SKP0571</t>
  </si>
  <si>
    <t>Sapi perah Kambing Ayam Unggas lainnya</t>
  </si>
  <si>
    <t>User Sariana/Siono dihubungi via nomer cucunya, tetapi tidak merespon telpon maupun WA terkait pertanyaan E5-c</t>
  </si>
  <si>
    <t>d6ade9a0-5411-4afb-b973-21236f8ac4e3</t>
  </si>
  <si>
    <t>uuid:d6ade9a0-5411-4afb-b973-21236f8ac4e3</t>
  </si>
  <si>
    <t>Adiwanto</t>
  </si>
  <si>
    <t>SKP0035</t>
  </si>
  <si>
    <t>User Adiwanto dihubungi via telpon anaknya, tetapi tidak merespon telpon maupun WA terkait pertanyaan E5-c</t>
  </si>
  <si>
    <t>e980a806-6282-455e-82e5-e708183531a0</t>
  </si>
  <si>
    <t>uuid:e980a806-6282-455e-82e5-e708183531a0</t>
  </si>
  <si>
    <t>Abdulrahman</t>
  </si>
  <si>
    <t>Lampung</t>
  </si>
  <si>
    <t>Lampung tengah</t>
  </si>
  <si>
    <t>Pubian</t>
  </si>
  <si>
    <t>GMP0001</t>
  </si>
  <si>
    <t>336aa01d-64c0-40cc-bf4e-055179a595cd</t>
  </si>
  <si>
    <t>uuid:336aa01d-64c0-40cc-bf4e-055179a595cd</t>
  </si>
  <si>
    <t>Arifin</t>
  </si>
  <si>
    <t>RGP0125</t>
  </si>
  <si>
    <t>306096f8-2e89-40a7-bb25-4103bc533b38</t>
  </si>
  <si>
    <t>uuid:306096f8-2e89-40a7-bb25-4103bc533b38</t>
  </si>
  <si>
    <t>Sugeng</t>
  </si>
  <si>
    <t>RGP0129</t>
  </si>
  <si>
    <t>f828d6cb-0b54-4db0-8ca3-98784f08ce70</t>
  </si>
  <si>
    <t>uuid:f828d6cb-0b54-4db0-8ca3-98784f08ce70</t>
  </si>
  <si>
    <t>Abdul hamid</t>
  </si>
  <si>
    <t>RGP0137</t>
  </si>
  <si>
    <t>e02c1bb9-d8bc-49b2-a6b8-ebabbe7d05d8</t>
  </si>
  <si>
    <t>uuid:e02c1bb9-d8bc-49b2-a6b8-ebabbe7d05d8</t>
  </si>
  <si>
    <t>Sujono</t>
  </si>
  <si>
    <t>RGP0139</t>
  </si>
  <si>
    <t>8c5fde22-f75c-4ebc-8d59-fbec1d0bc4dc</t>
  </si>
  <si>
    <t>uuid:8c5fde22-f75c-4ebc-8d59-fbec1d0bc4dc</t>
  </si>
  <si>
    <t>Ani fatmawati</t>
  </si>
  <si>
    <t>Punggur</t>
  </si>
  <si>
    <t>RGP0402</t>
  </si>
  <si>
    <t>3253bf33-cb25-455c-a31e-25624a08973b</t>
  </si>
  <si>
    <t>uuid:3253bf33-cb25-455c-a31e-25624a08973b</t>
  </si>
  <si>
    <t>Sihwati</t>
  </si>
  <si>
    <t>RGP0173</t>
  </si>
  <si>
    <t>c09b07da-ae22-47a8-aec3-944741ec5b57</t>
  </si>
  <si>
    <t>uuid:c09b07da-ae22-47a8-aec3-944741ec5b57</t>
  </si>
  <si>
    <t>Susi/sugiwagiarti</t>
  </si>
  <si>
    <t>RGP0200</t>
  </si>
  <si>
    <t>0bbc33ca-2e97-4841-91f3-90a1f8e64a8a</t>
  </si>
  <si>
    <t>uuid:0bbc33ca-2e97-4841-91f3-90a1f8e64a8a</t>
  </si>
  <si>
    <t>Suparti/solikhin</t>
  </si>
  <si>
    <t>RGP0174</t>
  </si>
  <si>
    <t>c36ffd22-ec19-4ed2-949c-4caf7e1d3468</t>
  </si>
  <si>
    <t>uuid:c36ffd22-ec19-4ed2-949c-4caf7e1d3468</t>
  </si>
  <si>
    <t>Endang setiyowati</t>
  </si>
  <si>
    <t>RGP0171</t>
  </si>
  <si>
    <t>Kambing Unggas lainnya</t>
  </si>
  <si>
    <t>2db3311d-e497-4906-bbd5-29ffb1b994f5</t>
  </si>
  <si>
    <t>uuid:2db3311d-e497-4906-bbd5-29ffb1b994f5</t>
  </si>
  <si>
    <t>Ernawati</t>
  </si>
  <si>
    <t>RGP0195</t>
  </si>
  <si>
    <t>Sapi pedaging Kambing Ayam</t>
  </si>
  <si>
    <t>Sapi pedaging Kambing Ayam Unggas lainnya</t>
  </si>
  <si>
    <t>cf0d48a2-bbc2-442a-8748-72f7b068a560</t>
  </si>
  <si>
    <t>uuid:cf0d48a2-bbc2-442a-8748-72f7b068a560</t>
  </si>
  <si>
    <t>Asmawati</t>
  </si>
  <si>
    <t>RGP0191</t>
  </si>
  <si>
    <t>28bd16be-4c38-4ce9-918a-c0e214e7a440</t>
  </si>
  <si>
    <t>uuid:28bd16be-4c38-4ce9-918a-c0e214e7a440</t>
  </si>
  <si>
    <t>Warinah</t>
  </si>
  <si>
    <t>RGP0176</t>
  </si>
  <si>
    <t>86653b20-6b1a-4267-bd4a-36f376316918</t>
  </si>
  <si>
    <t>uuid:86653b20-6b1a-4267-bd4a-36f376316918</t>
  </si>
  <si>
    <t>Sumiati/paryanto</t>
  </si>
  <si>
    <t>RGP0187</t>
  </si>
  <si>
    <t>c8452c9a-96b5-4f2b-91d7-0252d5cbce47</t>
  </si>
  <si>
    <t>uuid:c8452c9a-96b5-4f2b-91d7-0252d5cbce47</t>
  </si>
  <si>
    <t>Kusmiyati</t>
  </si>
  <si>
    <t>RGP0181</t>
  </si>
  <si>
    <t>50cd1454-93d9-4951-8d78-7efa13cebff5</t>
  </si>
  <si>
    <t>uuid:50cd1454-93d9-4951-8d78-7efa13cebff5</t>
  </si>
  <si>
    <t>Siti nurhidayah</t>
  </si>
  <si>
    <t>RGP0203</t>
  </si>
  <si>
    <t>890be765-8539-43da-a79b-ac5726d7183f</t>
  </si>
  <si>
    <t>uuid:890be765-8539-43da-a79b-ac5726d7183f</t>
  </si>
  <si>
    <t>Supriyono</t>
  </si>
  <si>
    <t>Seputihraman</t>
  </si>
  <si>
    <t>NUP0114</t>
  </si>
  <si>
    <t>4563f218-de1d-4653-b4b4-3f27ac483167</t>
  </si>
  <si>
    <t>uuid:4563f218-de1d-4653-b4b4-3f27ac483167</t>
  </si>
  <si>
    <t>Rohyanto</t>
  </si>
  <si>
    <t>Lampung timur</t>
  </si>
  <si>
    <t>Labuan ratu 7</t>
  </si>
  <si>
    <t>RGP0243</t>
  </si>
  <si>
    <t>ea097557-bcbc-4d0f-9538-1bfb01b6c90a</t>
  </si>
  <si>
    <t>uuid:ea097557-bcbc-4d0f-9538-1bfb01b6c90a</t>
  </si>
  <si>
    <t>Sri utami</t>
  </si>
  <si>
    <t>Malang</t>
  </si>
  <si>
    <t>Singosari</t>
  </si>
  <si>
    <t>KJP0625</t>
  </si>
  <si>
    <t>2dccc977-71b9-4e7b-8ab4-4e69a50e5f61</t>
  </si>
  <si>
    <t>uuid:2dccc977-71b9-4e7b-8ab4-4e69a50e5f61</t>
  </si>
  <si>
    <t>Risnawati</t>
  </si>
  <si>
    <t>KJP0440</t>
  </si>
  <si>
    <t>28247966-9696-4edc-8fbb-f5a08944636a</t>
  </si>
  <si>
    <t>uuid:28247966-9696-4edc-8fbb-f5a08944636a</t>
  </si>
  <si>
    <t>Imam ghozali</t>
  </si>
  <si>
    <t>Pakis</t>
  </si>
  <si>
    <t>KJP0766</t>
  </si>
  <si>
    <t>b49628df-27f0-451c-893e-5fb5f753917d</t>
  </si>
  <si>
    <t>uuid:b49628df-27f0-451c-893e-5fb5f753917d</t>
  </si>
  <si>
    <t>Watini</t>
  </si>
  <si>
    <t>KJP0140</t>
  </si>
  <si>
    <t>37332b17-0385-4ea8-8971-f3780fb7de60</t>
  </si>
  <si>
    <t>uuid:37332b17-0385-4ea8-8971-f3780fb7de60</t>
  </si>
  <si>
    <t>Aziz</t>
  </si>
  <si>
    <t>Jabung</t>
  </si>
  <si>
    <t>KJP0573</t>
  </si>
  <si>
    <t>7c78294e-8080-4b5f-a593-19dba8ffedec</t>
  </si>
  <si>
    <t>uuid:7c78294e-8080-4b5f-a593-19dba8ffedec</t>
  </si>
  <si>
    <t>Darsan</t>
  </si>
  <si>
    <t>KJP0010</t>
  </si>
  <si>
    <t>d7f4b289-08a7-4066-a4fb-48b7cd27c862</t>
  </si>
  <si>
    <t>uuid:d7f4b289-08a7-4066-a4fb-48b7cd27c862</t>
  </si>
  <si>
    <t>Dudung</t>
  </si>
  <si>
    <t>KJP0405</t>
  </si>
  <si>
    <t>faaf6c64-4857-497f-8925-128a09982655</t>
  </si>
  <si>
    <t>uuid:faaf6c64-4857-497f-8925-128a09982655</t>
  </si>
  <si>
    <t>Andik Saputra</t>
  </si>
  <si>
    <t>KJP0789</t>
  </si>
  <si>
    <t>4759f754-d945-4916-8556-7848a541e8b7</t>
  </si>
  <si>
    <t>uuid:4759f754-d945-4916-8556-7848a541e8b7</t>
  </si>
  <si>
    <t>Hadi supriyanto</t>
  </si>
  <si>
    <t>KJP0041</t>
  </si>
  <si>
    <t>01ebeeef-3768-4501-9254-69c53aee7bbe</t>
  </si>
  <si>
    <t>uuid:01ebeeef-3768-4501-9254-69c53aee7bbe</t>
  </si>
  <si>
    <t>M Agung Saputra</t>
  </si>
  <si>
    <t>KJP0803</t>
  </si>
  <si>
    <t>42fef089-bbb6-403a-b0b6-27d9197e94e7</t>
  </si>
  <si>
    <t>uuid:42fef089-bbb6-403a-b0b6-27d9197e94e7</t>
  </si>
  <si>
    <t>M Abdullah</t>
  </si>
  <si>
    <t>KJP0011</t>
  </si>
  <si>
    <t>1a820dea-4a8c-4cda-83c7-fd5464198b9d</t>
  </si>
  <si>
    <t>uuid:1a820dea-4a8c-4cda-83c7-fd5464198b9d</t>
  </si>
  <si>
    <t>Lantip trisunarmo</t>
  </si>
  <si>
    <t>Lawang</t>
  </si>
  <si>
    <t>KJP0228</t>
  </si>
  <si>
    <t>f2a48442-46fb-4565-af1b-7ee8dbf403ee</t>
  </si>
  <si>
    <t>uuid:f2a48442-46fb-4565-af1b-7ee8dbf403ee</t>
  </si>
  <si>
    <t>Zaimatul</t>
  </si>
  <si>
    <t>KJP0385</t>
  </si>
  <si>
    <t>b37c7e02-0079-460a-8382-63ddea8bfed2</t>
  </si>
  <si>
    <t>uuid:b37c7e02-0079-460a-8382-63ddea8bfed2</t>
  </si>
  <si>
    <t>Amil</t>
  </si>
  <si>
    <t>KJP0690</t>
  </si>
  <si>
    <t>108a75af-ed02-41fe-a232-75419b3f591b</t>
  </si>
  <si>
    <t>uuid:108a75af-ed02-41fe-a232-75419b3f591b</t>
  </si>
  <si>
    <t>Komari (penjaga rumah mardiyati)</t>
  </si>
  <si>
    <t>KJP0692</t>
  </si>
  <si>
    <t>600ab5a0-d9ca-4cc8-8c4b-61bdcc970bba</t>
  </si>
  <si>
    <t>uuid:600ab5a0-d9ca-4cc8-8c4b-61bdcc970bba</t>
  </si>
  <si>
    <t>Nunuk Hari Widodo</t>
  </si>
  <si>
    <t>KJP0068</t>
  </si>
  <si>
    <t>f4bfba08-e40e-4585-92ba-4b605875cf83</t>
  </si>
  <si>
    <t>uuid:f4bfba08-e40e-4585-92ba-4b605875cf83</t>
  </si>
  <si>
    <t>Bu Miseno</t>
  </si>
  <si>
    <t>KJP0116</t>
  </si>
  <si>
    <t>c49d66ba-635e-45e5-a8e7-651ace1a8d10</t>
  </si>
  <si>
    <t>uuid:c49d66ba-635e-45e5-a8e7-651ace1a8d10</t>
  </si>
  <si>
    <t>Siti Jariyah</t>
  </si>
  <si>
    <t>KJP0793</t>
  </si>
  <si>
    <t>d45d9ec2-1cab-4eb5-9ed5-f5dc6a92e61f</t>
  </si>
  <si>
    <t>uuid:d45d9ec2-1cab-4eb5-9ed5-f5dc6a92e61f</t>
  </si>
  <si>
    <t>Misral</t>
  </si>
  <si>
    <t>KJP0697</t>
  </si>
  <si>
    <t>a0a4d87f-0c66-41e4-968c-ef82e03cd5aa</t>
  </si>
  <si>
    <t>uuid:a0a4d87f-0c66-41e4-968c-ef82e03cd5aa</t>
  </si>
  <si>
    <t>Ratunya (p sanap)</t>
  </si>
  <si>
    <t>KJP0432</t>
  </si>
  <si>
    <t>10ef7c85-3984-490b-ae75-c3e523e5feea</t>
  </si>
  <si>
    <t>uuid:10ef7c85-3984-490b-ae75-c3e523e5feea</t>
  </si>
  <si>
    <t>Usman</t>
  </si>
  <si>
    <t>KJP0528</t>
  </si>
  <si>
    <t>947cd2fc-1167-461b-b49b-cceeb5d2c685</t>
  </si>
  <si>
    <t>uuid:947cd2fc-1167-461b-b49b-cceeb5d2c685</t>
  </si>
  <si>
    <t>Khoirul anam</t>
  </si>
  <si>
    <t>KJP0800</t>
  </si>
  <si>
    <t>076c7b67-fded-4404-805a-1c419afe2fdd</t>
  </si>
  <si>
    <t>uuid:076c7b67-fded-4404-805a-1c419afe2fdd</t>
  </si>
  <si>
    <t>Yasin</t>
  </si>
  <si>
    <t>KJP0090</t>
  </si>
  <si>
    <t>5c9e87c5-5da7-4e5b-ae73-cac147ab8287</t>
  </si>
  <si>
    <t>uuid:5c9e87c5-5da7-4e5b-ae73-cac147ab8287</t>
  </si>
  <si>
    <t>Sajid</t>
  </si>
  <si>
    <t>KJP0396</t>
  </si>
  <si>
    <t>49fd6012-d530-4c98-88c9-e01162128f5d</t>
  </si>
  <si>
    <t>uuid:49fd6012-d530-4c98-88c9-e01162128f5d</t>
  </si>
  <si>
    <t>Warsiti (ble andik)</t>
  </si>
  <si>
    <t>KJP0469</t>
  </si>
  <si>
    <t>a2561b48-51cd-43dc-b8b0-2a7ecfdd2b5a</t>
  </si>
  <si>
    <t>uuid:a2561b48-51cd-43dc-b8b0-2a7ecfdd2b5a</t>
  </si>
  <si>
    <t>Sukeni (sutikno)</t>
  </si>
  <si>
    <t>KJP0295</t>
  </si>
  <si>
    <t>45f13b71-94c3-42a5-8857-b81fde019233</t>
  </si>
  <si>
    <t>uuid:45f13b71-94c3-42a5-8857-b81fde019233</t>
  </si>
  <si>
    <t>M Zainuri</t>
  </si>
  <si>
    <t>KJP0555</t>
  </si>
  <si>
    <t>9b1b64a2-fb42-4fa4-8192-5cb8eaae79c7</t>
  </si>
  <si>
    <t>uuid:9b1b64a2-fb42-4fa4-8192-5cb8eaae79c7</t>
  </si>
  <si>
    <t>KJP0260</t>
  </si>
  <si>
    <t>af5eff5d-258c-4d98-9164-74b7a1b5a554</t>
  </si>
  <si>
    <t>uuid:af5eff5d-258c-4d98-9164-74b7a1b5a554</t>
  </si>
  <si>
    <t>M Syahroni</t>
  </si>
  <si>
    <t>KJP0053</t>
  </si>
  <si>
    <t>0b54f690-ea76-4bf4-aa57-fce2c8af56fd</t>
  </si>
  <si>
    <t>uuid:0b54f690-ea76-4bf4-aa57-fce2c8af56fd</t>
  </si>
  <si>
    <t>Muhammad munir</t>
  </si>
  <si>
    <t>KJP0164</t>
  </si>
  <si>
    <t>3dad8848-19b3-4265-9da1-dcb242d63d4a</t>
  </si>
  <si>
    <t>uuid:3dad8848-19b3-4265-9da1-dcb242d63d4a</t>
  </si>
  <si>
    <t>Tajib</t>
  </si>
  <si>
    <t>KJP0046</t>
  </si>
  <si>
    <t>604a70df-fa38-416e-bd5a-b7b70cc9fd5b</t>
  </si>
  <si>
    <t>uuid:604a70df-fa38-416e-bd5a-b7b70cc9fd5b</t>
  </si>
  <si>
    <t>Lasim</t>
  </si>
  <si>
    <t>KJP0087</t>
  </si>
  <si>
    <t>daa187b6-b7c8-42f7-8a44-5e6d30ecaf13</t>
  </si>
  <si>
    <t>uuid:daa187b6-b7c8-42f7-8a44-5e6d30ecaf13</t>
  </si>
  <si>
    <t>Siyati</t>
  </si>
  <si>
    <t>KJP0123</t>
  </si>
  <si>
    <t>d47d869d-2497-41ee-992e-061bba16339b</t>
  </si>
  <si>
    <t>uuid:d47d869d-2497-41ee-992e-061bba16339b</t>
  </si>
  <si>
    <t>Supiani</t>
  </si>
  <si>
    <t>KJP0084</t>
  </si>
  <si>
    <t>9da79827-a419-4173-b07a-3fffbda7441d</t>
  </si>
  <si>
    <t>uuid:9da79827-a419-4173-b07a-3fffbda7441d</t>
  </si>
  <si>
    <t>Sunaiyah</t>
  </si>
  <si>
    <t>KJP0030</t>
  </si>
  <si>
    <t>79b88c59-89b5-4914-9677-ee1819cb9470</t>
  </si>
  <si>
    <t>uuid:79b88c59-89b5-4914-9677-ee1819cb9470</t>
  </si>
  <si>
    <t>ecc10434-4ddc-4d13-836a-d01755c61bdb</t>
  </si>
  <si>
    <t>uuid:ecc10434-4ddc-4d13-836a-d01755c61bdb</t>
  </si>
  <si>
    <t>Saiful anwar</t>
  </si>
  <si>
    <t>KJP0052</t>
  </si>
  <si>
    <t>f37ef138-9021-498e-9442-96c666c61818</t>
  </si>
  <si>
    <t>uuid:f37ef138-9021-498e-9442-96c666c61818</t>
  </si>
  <si>
    <t>Dul majid</t>
  </si>
  <si>
    <t>KJP0097</t>
  </si>
  <si>
    <t>7a0cfbee-5ee7-4229-ae44-659ef47b783f</t>
  </si>
  <si>
    <t>uuid:7a0cfbee-5ee7-4229-ae44-659ef47b783f</t>
  </si>
  <si>
    <t>Imam</t>
  </si>
  <si>
    <t>KJP0756</t>
  </si>
  <si>
    <t>2a04a80c-fc6f-43b6-b14d-7e46ba1e2336</t>
  </si>
  <si>
    <t>uuid:2a04a80c-fc6f-43b6-b14d-7e46ba1e2336</t>
  </si>
  <si>
    <t>Bashori</t>
  </si>
  <si>
    <t>KJP0006</t>
  </si>
  <si>
    <t>9a2dd587-df97-4a0b-92b2-da87c9423c62</t>
  </si>
  <si>
    <t>uuid:9a2dd587-df97-4a0b-92b2-da87c9423c62</t>
  </si>
  <si>
    <t>Suin</t>
  </si>
  <si>
    <t>KJP0005</t>
  </si>
  <si>
    <t>cef453de-0edb-4d3a-bff3-57d13611bd33</t>
  </si>
  <si>
    <t>uuid:cef453de-0edb-4d3a-bff3-57d13611bd33</t>
  </si>
  <si>
    <t>Reni</t>
  </si>
  <si>
    <t>KJP0045</t>
  </si>
  <si>
    <t>6f3fba29-74df-4733-b74c-a0f36d0c3dfa</t>
  </si>
  <si>
    <t>uuid:6f3fba29-74df-4733-b74c-a0f36d0c3dfa</t>
  </si>
  <si>
    <t>Sulistyowati</t>
  </si>
  <si>
    <t>KJP0518</t>
  </si>
  <si>
    <t>66d20832-83c1-4526-83d2-caeab8dc64cb</t>
  </si>
  <si>
    <t>uuid:66d20832-83c1-4526-83d2-caeab8dc64cb</t>
  </si>
  <si>
    <t>Sari</t>
  </si>
  <si>
    <t>KJP0767</t>
  </si>
  <si>
    <t>fa09b217-535f-49f4-a6e1-f6d2992d9630</t>
  </si>
  <si>
    <t>uuid:fa09b217-535f-49f4-a6e1-f6d2992d9630</t>
  </si>
  <si>
    <t>Mudaifah</t>
  </si>
  <si>
    <t>KJP0064</t>
  </si>
  <si>
    <t>3170041d-b62d-464f-9f4c-6388061fc2ac</t>
  </si>
  <si>
    <t>uuid:3170041d-b62d-464f-9f4c-6388061fc2ac</t>
  </si>
  <si>
    <t>Uswatun</t>
  </si>
  <si>
    <t>KJP0643</t>
  </si>
  <si>
    <t>fccedf89-c672-449b-8e1a-e69c61919970</t>
  </si>
  <si>
    <t>uuid:fccedf89-c672-449b-8e1a-e69c61919970</t>
  </si>
  <si>
    <t>Cariyah</t>
  </si>
  <si>
    <t>KJP0764</t>
  </si>
  <si>
    <t>f189238e-a72b-4928-88f6-0920da99f196</t>
  </si>
  <si>
    <t>uuid:f189238e-a72b-4928-88f6-0920da99f196</t>
  </si>
  <si>
    <t>Musripah istri darmono</t>
  </si>
  <si>
    <t>KJP0426</t>
  </si>
  <si>
    <t>0cf39837-f0a9-40f1-ab39-18b5395b1d5c</t>
  </si>
  <si>
    <t>uuid:0cf39837-f0a9-40f1-ab39-18b5395b1d5c</t>
  </si>
  <si>
    <t>Sudiyono</t>
  </si>
  <si>
    <t>KJP0330</t>
  </si>
  <si>
    <t>c29572b1-cd09-41a2-8fca-efc3a6115811</t>
  </si>
  <si>
    <t>uuid:c29572b1-cd09-41a2-8fca-efc3a6115811</t>
  </si>
  <si>
    <t>Suwari</t>
  </si>
  <si>
    <t>KJP0259</t>
  </si>
  <si>
    <t>cc97b219-5dfc-4973-9a17-d7caa81dc504</t>
  </si>
  <si>
    <t>uuid:cc97b219-5dfc-4973-9a17-d7caa81dc504</t>
  </si>
  <si>
    <t>Jujur sadarita</t>
  </si>
  <si>
    <t>KJP0840</t>
  </si>
  <si>
    <t>eda168af-3cc2-469e-bb8e-54e6b890232c</t>
  </si>
  <si>
    <t>uuid:eda168af-3cc2-469e-bb8e-54e6b890232c</t>
  </si>
  <si>
    <t>Naam</t>
  </si>
  <si>
    <t>Tumpang</t>
  </si>
  <si>
    <t>KJP0253</t>
  </si>
  <si>
    <t>f7ba8217-def9-4dc2-960a-a0aa8223e272</t>
  </si>
  <si>
    <t>uuid:f7ba8217-def9-4dc2-960a-a0aa8223e272</t>
  </si>
  <si>
    <t>Miseri</t>
  </si>
  <si>
    <t>KJP0628</t>
  </si>
  <si>
    <t>70e973bf-0ae4-4e87-9536-fdf7fbfe7446</t>
  </si>
  <si>
    <t>uuid:70e973bf-0ae4-4e87-9536-fdf7fbfe7446</t>
  </si>
  <si>
    <t>Ahmari</t>
  </si>
  <si>
    <t>KJP0151</t>
  </si>
  <si>
    <t>67974535-301f-4f3b-8967-b4d2e5357749</t>
  </si>
  <si>
    <t>uuid:67974535-301f-4f3b-8967-b4d2e5357749</t>
  </si>
  <si>
    <t>Suami nurhayati</t>
  </si>
  <si>
    <t>KJP0270</t>
  </si>
  <si>
    <t>db3945f6-2228-4c3f-9d05-b0eb85120a97</t>
  </si>
  <si>
    <t>uuid:db3945f6-2228-4c3f-9d05-b0eb85120a97</t>
  </si>
  <si>
    <t>Aminah</t>
  </si>
  <si>
    <t>KJP0139</t>
  </si>
  <si>
    <t>c40bbdb8-a214-4fd5-b8c6-342986ca4461</t>
  </si>
  <si>
    <t>uuid:c40bbdb8-a214-4fd5-b8c6-342986ca4461</t>
  </si>
  <si>
    <t>Ady setyo bakti</t>
  </si>
  <si>
    <t>KJP0783</t>
  </si>
  <si>
    <t>b50e361b-2998-4fc4-b5d6-0de8ece5d515</t>
  </si>
  <si>
    <t>uuid:b50e361b-2998-4fc4-b5d6-0de8ece5d515</t>
  </si>
  <si>
    <t>Wiwin suprianto</t>
  </si>
  <si>
    <t>KJP0156</t>
  </si>
  <si>
    <t>e5e35984-8a9b-496c-913a-8f79a5865021</t>
  </si>
  <si>
    <t>uuid:e5e35984-8a9b-496c-913a-8f79a5865021</t>
  </si>
  <si>
    <t>Suliha</t>
  </si>
  <si>
    <t>KJP0684</t>
  </si>
  <si>
    <t>2602d907-c897-46f3-9d6f-6d43b4b54a70</t>
  </si>
  <si>
    <t>uuid:2602d907-c897-46f3-9d6f-6d43b4b54a70</t>
  </si>
  <si>
    <t>Makhrus</t>
  </si>
  <si>
    <t>KJP0811</t>
  </si>
  <si>
    <t>cd333b2a-af66-4952-baa2-7b65a6edc0f6</t>
  </si>
  <si>
    <t>uuid:cd333b2a-af66-4952-baa2-7b65a6edc0f6</t>
  </si>
  <si>
    <t>Turiman</t>
  </si>
  <si>
    <t>KJP0541</t>
  </si>
  <si>
    <t>2d578fcf-3bdc-4659-a18e-47a7bd0f995c</t>
  </si>
  <si>
    <t>uuid:2d578fcf-3bdc-4659-a18e-47a7bd0f995c</t>
  </si>
  <si>
    <t>M Sholeh</t>
  </si>
  <si>
    <t>KJP0144</t>
  </si>
  <si>
    <t>a7b6847f-2510-45f0-a5b2-d222e77c8246</t>
  </si>
  <si>
    <t>uuid:a7b6847f-2510-45f0-a5b2-d222e77c8246</t>
  </si>
  <si>
    <t>Durajak</t>
  </si>
  <si>
    <t>KJP0827</t>
  </si>
  <si>
    <t>4ea3699a-2f75-4883-a3a1-43abbed03ef4</t>
  </si>
  <si>
    <t>uuid:4ea3699a-2f75-4883-a3a1-43abbed03ef4</t>
  </si>
  <si>
    <t>Bu wasuin</t>
  </si>
  <si>
    <t>KJP0645</t>
  </si>
  <si>
    <t>f5ab03e1-437b-4b89-b91f-b9019d623149</t>
  </si>
  <si>
    <t>uuid:f5ab03e1-437b-4b89-b91f-b9019d623149</t>
  </si>
  <si>
    <t>Supiatin</t>
  </si>
  <si>
    <t>KJP0019</t>
  </si>
  <si>
    <t>99cb539b-66e1-418d-b119-449767b16b4a</t>
  </si>
  <si>
    <t>uuid:99cb539b-66e1-418d-b119-449767b16b4a</t>
  </si>
  <si>
    <t>Ruminah</t>
  </si>
  <si>
    <t>KJP0445</t>
  </si>
  <si>
    <t>b02fd3c1-3781-4b0b-8428-c7db2944a92d</t>
  </si>
  <si>
    <t>uuid:b02fd3c1-3781-4b0b-8428-c7db2944a92d</t>
  </si>
  <si>
    <t>Mat korzinatul</t>
  </si>
  <si>
    <t>KJP0824</t>
  </si>
  <si>
    <t>c454cb09-8f58-48b1-b831-dcfd0fd82494</t>
  </si>
  <si>
    <t>uuid:c454cb09-8f58-48b1-b831-dcfd0fd82494</t>
  </si>
  <si>
    <t>Jasmari</t>
  </si>
  <si>
    <t>KJP0804</t>
  </si>
  <si>
    <t>6d60ff38-0eb4-41e8-9766-91ccadb4ce36</t>
  </si>
  <si>
    <t>uuid:6d60ff38-0eb4-41e8-9766-91ccadb4ce36</t>
  </si>
  <si>
    <t>Nasukan</t>
  </si>
  <si>
    <t>KJP0214</t>
  </si>
  <si>
    <t>fcf1966e-f70b-4934-9a77-95119fed3b98</t>
  </si>
  <si>
    <t>uuid:fcf1966e-f70b-4934-9a77-95119fed3b98</t>
  </si>
  <si>
    <t>Yaud</t>
  </si>
  <si>
    <t>KJP0348</t>
  </si>
  <si>
    <t>da094a8e-488b-435c-97db-ac9d07976644</t>
  </si>
  <si>
    <t>uuid:da094a8e-488b-435c-97db-ac9d07976644</t>
  </si>
  <si>
    <t>Yuliati</t>
  </si>
  <si>
    <t>KJP0062</t>
  </si>
  <si>
    <t>cdf9b11b-0ed4-44e3-870c-6545c0df9551</t>
  </si>
  <si>
    <t>uuid:cdf9b11b-0ed4-44e3-870c-6545c0df9551</t>
  </si>
  <si>
    <t>KJP0694</t>
  </si>
  <si>
    <t>a04c227a-30d0-435b-8020-46ec02d64ad2</t>
  </si>
  <si>
    <t>uuid:a04c227a-30d0-435b-8020-46ec02d64ad2</t>
  </si>
  <si>
    <t>Sunan</t>
  </si>
  <si>
    <t>KJP0695</t>
  </si>
  <si>
    <t>c072af77-2dc5-4527-857d-3dfc06798f40</t>
  </si>
  <si>
    <t>uuid:c072af77-2dc5-4527-857d-3dfc06798f40</t>
  </si>
  <si>
    <t>Aluwar</t>
  </si>
  <si>
    <t>KJP0471</t>
  </si>
  <si>
    <t>36c39aa2-48a2-4ac9-a6f3-641cd261a054</t>
  </si>
  <si>
    <t>uuid:36c39aa2-48a2-4ac9-a6f3-641cd261a054</t>
  </si>
  <si>
    <t>Cariyaten</t>
  </si>
  <si>
    <t>KJP0819</t>
  </si>
  <si>
    <t>58ccfb7a-2480-4baa-81a6-ef469d5bc9f0</t>
  </si>
  <si>
    <t>uuid:58ccfb7a-2480-4baa-81a6-ef469d5bc9f0</t>
  </si>
  <si>
    <t>Basori</t>
  </si>
  <si>
    <t>KJP0248</t>
  </si>
  <si>
    <t>3e86748f-662f-4542-93a8-4b9ff62a980c</t>
  </si>
  <si>
    <t>uuid:3e86748f-662f-4542-93a8-4b9ff62a980c</t>
  </si>
  <si>
    <t>Sutomo</t>
  </si>
  <si>
    <t>KJP0023</t>
  </si>
  <si>
    <t>d1cf0ad6-903e-47aa-8bb0-224db0debb9c</t>
  </si>
  <si>
    <t>uuid:d1cf0ad6-903e-47aa-8bb0-224db0debb9c</t>
  </si>
  <si>
    <t>Irul</t>
  </si>
  <si>
    <t>KJP0647</t>
  </si>
  <si>
    <t>74436742-08b8-456a-8450-19c02b80a553</t>
  </si>
  <si>
    <t>uuid:74436742-08b8-456a-8450-19c02b80a553</t>
  </si>
  <si>
    <t>Bu Tukul</t>
  </si>
  <si>
    <t>KJP0785</t>
  </si>
  <si>
    <t>b2524ed6-149b-4a98-acf9-43f27dbdaeaf</t>
  </si>
  <si>
    <t>uuid:b2524ed6-149b-4a98-acf9-43f27dbdaeaf</t>
  </si>
  <si>
    <t>Agus Supriono</t>
  </si>
  <si>
    <t>KJP0106</t>
  </si>
  <si>
    <t>62f1d0d9-b504-47d6-a3c1-9f456c7104c9</t>
  </si>
  <si>
    <t>uuid:62f1d0d9-b504-47d6-a3c1-9f456c7104c9</t>
  </si>
  <si>
    <t>Suhari</t>
  </si>
  <si>
    <t>KJP0247</t>
  </si>
  <si>
    <t>5788d143-98d6-4ca0-af3f-afeb2a243775</t>
  </si>
  <si>
    <t>uuid:5788d143-98d6-4ca0-af3f-afeb2a243775</t>
  </si>
  <si>
    <t>Hadi Suprayitno</t>
  </si>
  <si>
    <t>KJP0029</t>
  </si>
  <si>
    <t>6b24b5e6-dae8-4676-958c-a53b57770908</t>
  </si>
  <si>
    <t>uuid:6b24b5e6-dae8-4676-958c-a53b57770908</t>
  </si>
  <si>
    <t>Rain</t>
  </si>
  <si>
    <t>efa6ea1d-94d9-49a9-a671-8c596c16444c</t>
  </si>
  <si>
    <t>uuid:efa6ea1d-94d9-49a9-a671-8c596c16444c</t>
  </si>
  <si>
    <t>Gading</t>
  </si>
  <si>
    <t>KJP0044</t>
  </si>
  <si>
    <t>59de4b0b-22a5-428f-9d9d-e095db4eabc8</t>
  </si>
  <si>
    <t>uuid:59de4b0b-22a5-428f-9d9d-e095db4eabc8</t>
  </si>
  <si>
    <t>Murniati</t>
  </si>
  <si>
    <t>KJP0787</t>
  </si>
  <si>
    <t>88126479-8bf8-4b3b-af97-0ba6ab937d7f</t>
  </si>
  <si>
    <t>uuid:88126479-8bf8-4b3b-af97-0ba6ab937d7f</t>
  </si>
  <si>
    <t>Yahya</t>
  </si>
  <si>
    <t>KJP0134</t>
  </si>
  <si>
    <t>4abc3af1-886d-41a0-8c58-c9514938e5b0</t>
  </si>
  <si>
    <t>uuid:4abc3af1-886d-41a0-8c58-c9514938e5b0</t>
  </si>
  <si>
    <t>KJP0832</t>
  </si>
  <si>
    <t>6013684d-d950-47d1-9cc1-c7be902071f5</t>
  </si>
  <si>
    <t>uuid:6013684d-d950-47d1-9cc1-c7be902071f5</t>
  </si>
  <si>
    <t>Sunari</t>
  </si>
  <si>
    <t>KJP0070</t>
  </si>
  <si>
    <t>19325227-99bc-4768-b7f4-d1bfa351a998</t>
  </si>
  <si>
    <t>uuid:19325227-99bc-4768-b7f4-d1bfa351a998</t>
  </si>
  <si>
    <t>KJP0236</t>
  </si>
  <si>
    <t>30ee9629-e9b6-4457-b0ab-c88cd114d4a5</t>
  </si>
  <si>
    <t>uuid:30ee9629-e9b6-4457-b0ab-c88cd114d4a5</t>
  </si>
  <si>
    <t>Kastari</t>
  </si>
  <si>
    <t>KJP0762</t>
  </si>
  <si>
    <t>5c6dd608-e77b-4909-a3ed-6d3b36a51a18</t>
  </si>
  <si>
    <t>uuid:5c6dd608-e77b-4909-a3ed-6d3b36a51a18</t>
  </si>
  <si>
    <t>Siti kumaiyah</t>
  </si>
  <si>
    <t>KJP0674</t>
  </si>
  <si>
    <t>39cfd17d-9b12-43df-b991-89bb665c3f02</t>
  </si>
  <si>
    <t>uuid:39cfd17d-9b12-43df-b991-89bb665c3f02</t>
  </si>
  <si>
    <t>Sutikno</t>
  </si>
  <si>
    <t>KJP0414</t>
  </si>
  <si>
    <t>d0989ef5-2ad4-4d1d-93b3-b0cc739aaf24</t>
  </si>
  <si>
    <t>uuid:d0989ef5-2ad4-4d1d-93b3-b0cc739aaf24</t>
  </si>
  <si>
    <t>Samai</t>
  </si>
  <si>
    <t>KJP0007</t>
  </si>
  <si>
    <t>ac8706de-997a-44d1-9ddf-9ea9635d2b73</t>
  </si>
  <si>
    <t>uuid:ac8706de-997a-44d1-9ddf-9ea9635d2b73</t>
  </si>
  <si>
    <t>Tumirah</t>
  </si>
  <si>
    <t>KJP0771</t>
  </si>
  <si>
    <t>ac00b1dd-1bf6-4a08-887b-d431391ce52f</t>
  </si>
  <si>
    <t>uuid:ac00b1dd-1bf6-4a08-887b-d431391ce52f</t>
  </si>
  <si>
    <t>KJP0786</t>
  </si>
  <si>
    <t>a79d785c-12e9-4588-be0b-0f5cd82291ad</t>
  </si>
  <si>
    <t>uuid:a79d785c-12e9-4588-be0b-0f5cd82291ad</t>
  </si>
  <si>
    <t>Damanhuri</t>
  </si>
  <si>
    <t>KJP0808</t>
  </si>
  <si>
    <t>21244ed9-6a64-4d6e-8b75-477bbcc46a4a</t>
  </si>
  <si>
    <t>uuid:21244ed9-6a64-4d6e-8b75-477bbcc46a4a</t>
  </si>
  <si>
    <t>Imam farid hamzah</t>
  </si>
  <si>
    <t>KJP0790</t>
  </si>
  <si>
    <t>9b7729fb-e4bd-4682-a48a-a245b66676a8</t>
  </si>
  <si>
    <t>uuid:9b7729fb-e4bd-4682-a48a-a245b66676a8</t>
  </si>
  <si>
    <t>Susilo adi</t>
  </si>
  <si>
    <t>KJP0525</t>
  </si>
  <si>
    <t>6fa1695c-007b-43bc-bba9-0a1353c17236</t>
  </si>
  <si>
    <t>uuid:6fa1695c-007b-43bc-bba9-0a1353c17236</t>
  </si>
  <si>
    <t>Eko</t>
  </si>
  <si>
    <t>KJP0126</t>
  </si>
  <si>
    <t>6359bbda-6cf5-4698-99cb-ff973cb12ddb</t>
  </si>
  <si>
    <t>uuid:6359bbda-6cf5-4698-99cb-ff973cb12ddb</t>
  </si>
  <si>
    <t>Karsiti</t>
  </si>
  <si>
    <t>KJP0058</t>
  </si>
  <si>
    <t>975af7a9-8ae6-4a47-b3a0-5f74b576c456</t>
  </si>
  <si>
    <t>uuid:975af7a9-8ae6-4a47-b3a0-5f74b576c456</t>
  </si>
  <si>
    <t>Raim</t>
  </si>
  <si>
    <t>KJP0372</t>
  </si>
  <si>
    <t>7601fe42-7fa9-4a00-a5c2-e3b98afc2c50</t>
  </si>
  <si>
    <t>uuid:7601fe42-7fa9-4a00-a5c2-e3b98afc2c50</t>
  </si>
  <si>
    <t>Adimas oki</t>
  </si>
  <si>
    <t>KJP0037</t>
  </si>
  <si>
    <t>8db77da3-d28d-4764-863c-a642962842fe</t>
  </si>
  <si>
    <t>uuid:8db77da3-d28d-4764-863c-a642962842fe</t>
  </si>
  <si>
    <t>Ali</t>
  </si>
  <si>
    <t>KJP0390</t>
  </si>
  <si>
    <t>366d1469-0d08-4d90-b1cf-c3af9bf655f9</t>
  </si>
  <si>
    <t>uuid:366d1469-0d08-4d90-b1cf-c3af9bf655f9</t>
  </si>
  <si>
    <t>Darminah</t>
  </si>
  <si>
    <t>KJP0482</t>
  </si>
  <si>
    <t>c8f4ecd0-b7be-4f15-bd2d-24327c72055a</t>
  </si>
  <si>
    <t>uuid:c8f4ecd0-b7be-4f15-bd2d-24327c72055a</t>
  </si>
  <si>
    <t>Mat nakuan</t>
  </si>
  <si>
    <t>KJP0243</t>
  </si>
  <si>
    <t>1c585f50-0f12-427d-86f5-b4352ad4273c</t>
  </si>
  <si>
    <t>uuid:1c585f50-0f12-427d-86f5-b4352ad4273c</t>
  </si>
  <si>
    <t>Jali</t>
  </si>
  <si>
    <t>KJP0316</t>
  </si>
  <si>
    <t>ec9a6688-d78d-440d-b81c-6a7748c2bceb</t>
  </si>
  <si>
    <t>uuid:ec9a6688-d78d-440d-b81c-6a7748c2bceb</t>
  </si>
  <si>
    <t>Suketi</t>
  </si>
  <si>
    <t>Malabg</t>
  </si>
  <si>
    <t>KJP0133</t>
  </si>
  <si>
    <t>f3233b04-2cc5-4719-95ea-09bf43c85f6b</t>
  </si>
  <si>
    <t>uuid:f3233b04-2cc5-4719-95ea-09bf43c85f6b</t>
  </si>
  <si>
    <t>Samari</t>
  </si>
  <si>
    <t>KJP</t>
  </si>
  <si>
    <t>cf826e0f-9007-4ed8-b1e3-134bf80b987c</t>
  </si>
  <si>
    <t>uuid:cf826e0f-9007-4ed8-b1e3-134bf80b987c</t>
  </si>
  <si>
    <t>Solikin</t>
  </si>
  <si>
    <t>KJP0514</t>
  </si>
  <si>
    <t>ef41aec2-3628-4310-83c9-6178006c537a</t>
  </si>
  <si>
    <t>uuid:ef41aec2-3628-4310-83c9-6178006c537a</t>
  </si>
  <si>
    <t>Maliki</t>
  </si>
  <si>
    <t>KJP0816</t>
  </si>
  <si>
    <t>355db411-8885-4f85-a6d4-dc54b59f5d7b</t>
  </si>
  <si>
    <t>uuid:355db411-8885-4f85-a6d4-dc54b59f5d7b</t>
  </si>
  <si>
    <t>Suwaji</t>
  </si>
  <si>
    <t>KJP0286</t>
  </si>
  <si>
    <t>b86007b3-038f-4638-9d9c-afef8b545cde</t>
  </si>
  <si>
    <t>uuid:b86007b3-038f-4638-9d9c-afef8b545cde</t>
  </si>
  <si>
    <t>Wakiah</t>
  </si>
  <si>
    <t>KJP0521</t>
  </si>
  <si>
    <t>5436f6d4-ae3d-425a-857d-6e8d2c511387</t>
  </si>
  <si>
    <t>uuid:5436f6d4-ae3d-425a-857d-6e8d2c511387</t>
  </si>
  <si>
    <t>Kadek Ngurah Wahyudi</t>
  </si>
  <si>
    <t>Bali</t>
  </si>
  <si>
    <t>Bangli</t>
  </si>
  <si>
    <t>CWP0006</t>
  </si>
  <si>
    <t>4b9d7604-5d87-4435-94ae-46a4645966e2</t>
  </si>
  <si>
    <t>uuid:4b9d7604-5d87-4435-94ae-46a4645966e2</t>
  </si>
  <si>
    <t>I Wayan Supartama</t>
  </si>
  <si>
    <t>CWP0005</t>
  </si>
  <si>
    <t>7185f803-563e-4f30-92ff-04e2b74a2941</t>
  </si>
  <si>
    <t>uuid:7185f803-563e-4f30-92ff-04e2b74a2941</t>
  </si>
  <si>
    <t>Ketut Lasia</t>
  </si>
  <si>
    <t>Gianyar</t>
  </si>
  <si>
    <t>Tegalalang</t>
  </si>
  <si>
    <t>CWP0008</t>
  </si>
  <si>
    <t>7fd9c34e-18ec-4bb1-9465-763260679efc</t>
  </si>
  <si>
    <t>uuid:7fd9c34e-18ec-4bb1-9465-763260679efc</t>
  </si>
  <si>
    <t>I Wayan Sudarma</t>
  </si>
  <si>
    <t>Tembuku</t>
  </si>
  <si>
    <t>SLP0003</t>
  </si>
  <si>
    <t>11b9309a-be24-4f4b-a393-ec275b3cb368</t>
  </si>
  <si>
    <t>uuid:11b9309a-be24-4f4b-a393-ec275b3cb368</t>
  </si>
  <si>
    <t>I Nyoman Sutarta</t>
  </si>
  <si>
    <t>Badung</t>
  </si>
  <si>
    <t>Petang</t>
  </si>
  <si>
    <t>CWP0007</t>
  </si>
  <si>
    <t>Sapi pedaging Babi ternak Ayam</t>
  </si>
  <si>
    <t>ffe657c5-aa71-4a9d-9970-a881cd4df6ee</t>
  </si>
  <si>
    <t>uuid:ffe657c5-aa71-4a9d-9970-a881cd4df6ee</t>
  </si>
  <si>
    <t>Ni Luh Putu Sri Aryaningsih</t>
  </si>
  <si>
    <t>IDP0211</t>
  </si>
  <si>
    <t>e09a8fcb-43e1-4be2-9a25-95d37c9f8398</t>
  </si>
  <si>
    <t>uuid:e09a8fcb-43e1-4be2-9a25-95d37c9f8398</t>
  </si>
  <si>
    <t>I Wayan Sudiarsa</t>
  </si>
  <si>
    <t>SLP0026</t>
  </si>
  <si>
    <t>db32bba6-be0f-4f5f-8d75-3a1c629fd3ab</t>
  </si>
  <si>
    <t>uuid:db32bba6-be0f-4f5f-8d75-3a1c629fd3ab</t>
  </si>
  <si>
    <t>Komang Andika Sadewa</t>
  </si>
  <si>
    <t>SLP0031</t>
  </si>
  <si>
    <t>17ada635-481c-479e-a36b-cdf0f26f0d1a</t>
  </si>
  <si>
    <t>uuid:17ada635-481c-479e-a36b-cdf0f26f0d1a</t>
  </si>
  <si>
    <t>I Dewa Nyoman Mertawan</t>
  </si>
  <si>
    <t>SLP0002</t>
  </si>
  <si>
    <t>cf1b6f75-690e-4abb-ae16-2e09a7a847b7</t>
  </si>
  <si>
    <t>uuid:cf1b6f75-690e-4abb-ae16-2e09a7a847b7</t>
  </si>
  <si>
    <t>I Nengah Rata</t>
  </si>
  <si>
    <t>Klungkung</t>
  </si>
  <si>
    <t>CWP0001</t>
  </si>
  <si>
    <t>d78d2279-fd66-4dc9-879e-cda2e563fb2a</t>
  </si>
  <si>
    <t>uuid:d78d2279-fd66-4dc9-879e-cda2e563fb2a</t>
  </si>
  <si>
    <t>I Dewa Gede Suci Adnyana</t>
  </si>
  <si>
    <t>SLP0028</t>
  </si>
  <si>
    <t>57b52cef-2bae-4286-b872-e7b85acb6251</t>
  </si>
  <si>
    <t>uuid:57b52cef-2bae-4286-b872-e7b85acb6251</t>
  </si>
  <si>
    <t>ae643b14-1ee9-4223-b92e-786a33a2b982</t>
  </si>
  <si>
    <t>uuid:ae643b14-1ee9-4223-b92e-786a33a2b982</t>
  </si>
  <si>
    <t>Jamaluddin dg Tayang</t>
  </si>
  <si>
    <t>fcc91aaa-b09c-49b0-bb98-892ca4ed968a</t>
  </si>
  <si>
    <t>uuid:fcc91aaa-b09c-49b0-bb98-892ca4ed968a</t>
  </si>
  <si>
    <t>Maruddin dg Nanro</t>
  </si>
  <si>
    <t>704c65f3-9f3e-469b-92e6-e867969484a6</t>
  </si>
  <si>
    <t>uuid:704c65f3-9f3e-469b-92e6-e867969484a6</t>
  </si>
  <si>
    <t>Sapi pedaging Kuda</t>
  </si>
  <si>
    <t>c435a7e1-28c7-4003-84ca-a70ea8ac6aac</t>
  </si>
  <si>
    <t>uuid:c435a7e1-28c7-4003-84ca-a70ea8ac6aac</t>
  </si>
  <si>
    <t>Bakri dg Rani</t>
  </si>
  <si>
    <t>sapi pak rani dicuri orang selama pemakaian biogas dan tidak menambah lagi</t>
  </si>
  <si>
    <t>48143105-4600-4519-811f-ca982f38329c</t>
  </si>
  <si>
    <t>uuid:48143105-4600-4519-811f-ca982f38329c</t>
  </si>
  <si>
    <t>Majid dg Gassing</t>
  </si>
  <si>
    <t>9e1ce788-915b-44e0-ae72-a1a79697f73a</t>
  </si>
  <si>
    <t>uuid:9e1ce788-915b-44e0-ae72-a1a79697f73a</t>
  </si>
  <si>
    <t>485d5dbb-4c0c-4011-bb6a-0a7547262a43</t>
  </si>
  <si>
    <t>uuid:485d5dbb-4c0c-4011-bb6a-0a7547262a43</t>
  </si>
  <si>
    <t>Kamaruddin dg Rurung</t>
  </si>
  <si>
    <t>78f8d3dd-47e8-4223-9d53-aa35172605d9</t>
  </si>
  <si>
    <t>uuid:78f8d3dd-47e8-4223-9d53-aa35172605d9</t>
  </si>
  <si>
    <t>5b0ddda7-4f67-4c49-9a81-c2cccfcdfcf6</t>
  </si>
  <si>
    <t>uuid:5b0ddda7-4f67-4c49-9a81-c2cccfcdfcf6</t>
  </si>
  <si>
    <t>Pemakaian baru, selesai install Nov 2025</t>
  </si>
  <si>
    <t>68ee17b2-9537-4481-9dbb-2eb3a50a9c0a</t>
  </si>
  <si>
    <t>uuid:68ee17b2-9537-4481-9dbb-2eb3a50a9c0a</t>
  </si>
  <si>
    <t>01e39866-3162-464f-b3f7-95d848dd1b5b</t>
  </si>
  <si>
    <t>uuid:01e39866-3162-464f-b3f7-95d848dd1b5b</t>
  </si>
  <si>
    <t>81f81358-2fd5-4f09-98e7-363eade03536</t>
  </si>
  <si>
    <t>uuid:81f81358-2fd5-4f09-98e7-363eade03536</t>
  </si>
  <si>
    <t>1c8fb9d0-8c88-450a-a141-7451e1f1f898</t>
  </si>
  <si>
    <t>uuid:1c8fb9d0-8c88-450a-a141-7451e1f1f898</t>
  </si>
  <si>
    <t>e8bbb94d-2842-4a9d-8a8d-ae0673dc7e08</t>
  </si>
  <si>
    <t>uuid:e8bbb94d-2842-4a9d-8a8d-ae0673dc7e08</t>
  </si>
  <si>
    <t>Rumani</t>
  </si>
  <si>
    <t>SKP0063</t>
  </si>
  <si>
    <t>Perubahan ternak 12 bln terakhir ayam nya utk pemasuka. Dan memelihara lagi tanpa menetaskan / lahir</t>
  </si>
  <si>
    <t>7b0109e6-390e-46e7-95dd-e97b0f41ccb9</t>
  </si>
  <si>
    <t>uuid:7b0109e6-390e-46e7-95dd-e97b0f41ccb9</t>
  </si>
  <si>
    <t>Tiani</t>
  </si>
  <si>
    <t>KTP0194</t>
  </si>
  <si>
    <t>Perubahan tdk terlalu dihitubg sama responden .  Krn tdk selalu di ingat</t>
  </si>
  <si>
    <t>e0174d57-83d2-43c5-b47c-872c58d9cdb4</t>
  </si>
  <si>
    <t>uuid:e0174d57-83d2-43c5-b47c-872c58d9cdb4</t>
  </si>
  <si>
    <t>Sunami</t>
  </si>
  <si>
    <t>SKP0671</t>
  </si>
  <si>
    <t>Responden hanya mengingat sedikit krn terlalu fokus ke susu</t>
  </si>
  <si>
    <t>7b5a2a37-c614-4307-bd0a-d25c2fad7426</t>
  </si>
  <si>
    <t>uuid:7b5a2a37-c614-4307-bd0a-d25c2fad7426</t>
  </si>
  <si>
    <t>Indarti</t>
  </si>
  <si>
    <t>SKP0036</t>
  </si>
  <si>
    <t>Na</t>
  </si>
  <si>
    <t>6ec8d3fb-e20e-47bd-a5ee-6d6a85dacd65</t>
  </si>
  <si>
    <t>uuid:6ec8d3fb-e20e-47bd-a5ee-6d6a85dacd65</t>
  </si>
  <si>
    <t>Sumiarsih</t>
  </si>
  <si>
    <t>SKP0699</t>
  </si>
  <si>
    <t>Responden utk jumlah nya memperkirakan saja</t>
  </si>
  <si>
    <t>f5c02fdf-7323-47cc-ab33-d2eb71ded461</t>
  </si>
  <si>
    <t>uuid:f5c02fdf-7323-47cc-ab33-d2eb71ded461</t>
  </si>
  <si>
    <t>Sri wahyuni</t>
  </si>
  <si>
    <t>SKP0921</t>
  </si>
  <si>
    <t>Tfk ada perybahan yg sugnifikan utk jumlah dan perkembangan ternak molai dr pedet.. responden lupa2 ingat</t>
  </si>
  <si>
    <t>6da72ebe-b176-4b1f-8e2e-ee3a3d831402</t>
  </si>
  <si>
    <t>uuid:6da72ebe-b176-4b1f-8e2e-ee3a3d831402</t>
  </si>
  <si>
    <t>Nonik sri handayani</t>
  </si>
  <si>
    <t>SKP0629</t>
  </si>
  <si>
    <t>Sapi perah Tidak ada</t>
  </si>
  <si>
    <t>Respindeb ragu utk jumlah krn pernah kena pmk yg masuk maupun jeluar ternak nya</t>
  </si>
  <si>
    <t>291497de-e70c-4ca8-bf9e-c73965f2eefc</t>
  </si>
  <si>
    <t>uuid:291497de-e70c-4ca8-bf9e-c73965f2eefc</t>
  </si>
  <si>
    <t>Sutik aisah</t>
  </si>
  <si>
    <t>SKP0071</t>
  </si>
  <si>
    <t>65a2bc5f-eb15-4f22-a962-b559cabb8eec</t>
  </si>
  <si>
    <t>uuid:65a2bc5f-eb15-4f22-a962-b559cabb8eec</t>
  </si>
  <si>
    <t>Suciati</t>
  </si>
  <si>
    <t>SKP0068</t>
  </si>
  <si>
    <t>Krn ada yg pernah PMK dan junlah nya ragu.</t>
  </si>
  <si>
    <t>669a9c74-93ec-48a9-8dc3-ae1f99daf010</t>
  </si>
  <si>
    <t>uuid:669a9c74-93ec-48a9-8dc3-ae1f99daf010</t>
  </si>
  <si>
    <t>Supi / tarno</t>
  </si>
  <si>
    <t>SKP0677</t>
  </si>
  <si>
    <t>Jawaban resp agak ragu</t>
  </si>
  <si>
    <t>14ffccb3-a301-43f0-8036-d19b214d9ffa</t>
  </si>
  <si>
    <t>uuid:14ffccb3-a301-43f0-8036-d19b214d9ffa</t>
  </si>
  <si>
    <t>Susilo</t>
  </si>
  <si>
    <t>Pasuruab</t>
  </si>
  <si>
    <t>SKP0017</t>
  </si>
  <si>
    <t>Pergantian pembeluan lsg masuk dan keluar. Shg agak ragu utk jumlah nya</t>
  </si>
  <si>
    <t>759941e6-a6c5-459f-8569-182817e3a54a</t>
  </si>
  <si>
    <t>uuid:759941e6-a6c5-459f-8569-182817e3a54a</t>
  </si>
  <si>
    <t>Askorin</t>
  </si>
  <si>
    <t>SKP0915</t>
  </si>
  <si>
    <t>Penambahan menurut responden gak ada .  Hanya perkuraan saja</t>
  </si>
  <si>
    <t>f19a1654-3b16-4fff-b244-4c9a8a744e75</t>
  </si>
  <si>
    <t>uuid:f19a1654-3b16-4fff-b244-4c9a8a744e75</t>
  </si>
  <si>
    <t>Winanti</t>
  </si>
  <si>
    <t>SKP0925</t>
  </si>
  <si>
    <t>Jumlah jual belinya ragu2 responden</t>
  </si>
  <si>
    <t>ee66f1f8-6b33-410b-9da0-71ac5af6ce9a</t>
  </si>
  <si>
    <t>uuid:ee66f1f8-6b33-410b-9da0-71ac5af6ce9a</t>
  </si>
  <si>
    <t>SKP0651</t>
  </si>
  <si>
    <t>f8cd64e8-eff0-4fcf-9e6f-bd3d13b060c1</t>
  </si>
  <si>
    <t>uuid:f8cd64e8-eff0-4fcf-9e6f-bd3d13b060c1</t>
  </si>
  <si>
    <t>Winarni</t>
  </si>
  <si>
    <t>SKP0924</t>
  </si>
  <si>
    <t>Ragu2 krn masih ada yg pedet</t>
  </si>
  <si>
    <t>5e307297-6a9e-4236-8771-9936b93e8e21</t>
  </si>
  <si>
    <t>uuid:5e307297-6a9e-4236-8771-9936b93e8e21</t>
  </si>
  <si>
    <t>Jumai</t>
  </si>
  <si>
    <t>SKP0909</t>
  </si>
  <si>
    <t>Agak ragu juga  yg diingat sdh lama sekali ..responden nya gak sbrp ingat juga</t>
  </si>
  <si>
    <t>7845ffb2-b9f3-4555-b72e-c9a77df45b16</t>
  </si>
  <si>
    <t>uuid:7845ffb2-b9f3-4555-b72e-c9a77df45b16</t>
  </si>
  <si>
    <t>Ika agustina</t>
  </si>
  <si>
    <t>SKP0905</t>
  </si>
  <si>
    <t>Responden lupa2  ingat dan hanya memperkirakan</t>
  </si>
  <si>
    <t>915e63f4-5438-47fc-bfec-2eb4d347ab9f</t>
  </si>
  <si>
    <t>uuid:915e63f4-5438-47fc-bfec-2eb4d347ab9f</t>
  </si>
  <si>
    <t>P titin</t>
  </si>
  <si>
    <t>SKP0210</t>
  </si>
  <si>
    <t>Pergantian 1 thn belakang lupa2 ingat berbarwngan dgn pmk .</t>
  </si>
  <si>
    <t>0190b116-e39d-4516-b348-8aae2d629bc8</t>
  </si>
  <si>
    <t>uuid:0190b116-e39d-4516-b348-8aae2d629bc8</t>
  </si>
  <si>
    <t>Sulistiari</t>
  </si>
  <si>
    <t>SKP0331</t>
  </si>
  <si>
    <t>Salah satu msh pedet juga betina menurt respobden</t>
  </si>
  <si>
    <t>46531a5b-5ba3-4054-b96c-8b4f45e5bb80</t>
  </si>
  <si>
    <t>uuid:46531a5b-5ba3-4054-b96c-8b4f45e5bb80</t>
  </si>
  <si>
    <t>B sukarsih</t>
  </si>
  <si>
    <t>SKP0689</t>
  </si>
  <si>
    <t>Responden hanya memperkirakan aja .</t>
  </si>
  <si>
    <t>e3adcd17-7b7e-4bc2-83eb-e96792fe834c</t>
  </si>
  <si>
    <t>uuid:e3adcd17-7b7e-4bc2-83eb-e96792fe834c</t>
  </si>
  <si>
    <t>Ainul mufida / suwari</t>
  </si>
  <si>
    <t>SKP0975</t>
  </si>
  <si>
    <t>Utj junlah ayam tdj bgty dihitung krb ada diluar rumah fokus ke sapi .</t>
  </si>
  <si>
    <t>d0a28f7e-891b-416c-bdff-b7c1c1b7f175</t>
  </si>
  <si>
    <t>uuid:d0a28f7e-891b-416c-bdff-b7c1c1b7f175</t>
  </si>
  <si>
    <t>Sueb</t>
  </si>
  <si>
    <t>SKP0057</t>
  </si>
  <si>
    <t>Pernah punya pedaging dijual semua pas kena pmk ... responden juga rafu</t>
  </si>
  <si>
    <t>8bb8a68e-051a-4667-b892-30ccfff39f72</t>
  </si>
  <si>
    <t>uuid:8bb8a68e-051a-4667-b892-30ccfff39f72</t>
  </si>
  <si>
    <t>Sahtini / suwarno</t>
  </si>
  <si>
    <t>SKP0966</t>
  </si>
  <si>
    <t>Responden ragu krnpas ada wabah pmk utk jumlah detainya</t>
  </si>
  <si>
    <t>e3d9a645-f213-49a5-b295-d19c7abf03cd</t>
  </si>
  <si>
    <t>uuid:e3d9a645-f213-49a5-b295-d19c7abf03cd</t>
  </si>
  <si>
    <t>Sudarto</t>
  </si>
  <si>
    <t>SKP0945</t>
  </si>
  <si>
    <t>Kepelmilikan sapi perah mati kena penyakit fan skrg memelihara sapi pedanging utk pengisaian biogas dan masih molai sapi pedet juga atau anakan .</t>
  </si>
  <si>
    <t>6b68c053-fa38-45df-a64b-89d30eff6ab6</t>
  </si>
  <si>
    <t>uuid:6b68c053-fa38-45df-a64b-89d30eff6ab6</t>
  </si>
  <si>
    <t>Darmawan</t>
  </si>
  <si>
    <t>SKP0484</t>
  </si>
  <si>
    <t>Rwsponden iNgat nya tinggal 2 ekor krn tg satu masih anakan . Habis krna wabah</t>
  </si>
  <si>
    <t>45b45caa-5a96-4987-8fb1-b596d8b8ab1e</t>
  </si>
  <si>
    <t>uuid:45b45caa-5a96-4987-8fb1-b596d8b8ab1e</t>
  </si>
  <si>
    <t>Kasman/ h sulaiman</t>
  </si>
  <si>
    <t>SKP0618</t>
  </si>
  <si>
    <t>Responden tdk menyebutkan secara pas utk jmlh dan keluar masuk sapi</t>
  </si>
  <si>
    <t>c7e9b547-ef93-476c-bf70-719a9a3adaba</t>
  </si>
  <si>
    <t>uuid:c7e9b547-ef93-476c-bf70-719a9a3adaba</t>
  </si>
  <si>
    <t>Ertini / muksin</t>
  </si>
  <si>
    <t>KTP0196</t>
  </si>
  <si>
    <t>Saat ini biogas gak aktif ... suami meninggal dan tdk memelihara sapi</t>
  </si>
  <si>
    <t>3d5bb999-da62-435b-978a-2bc204e4331d</t>
  </si>
  <si>
    <t>uuid:3d5bb999-da62-435b-978a-2bc204e4331d</t>
  </si>
  <si>
    <t>Didin / p.prapto</t>
  </si>
  <si>
    <t>SKP0070</t>
  </si>
  <si>
    <t>Responden ragu krn anak meneruskan  . Pemilik meninggal dunia</t>
  </si>
  <si>
    <t>c2c85bb6-1474-4656-93ff-519ffb290327</t>
  </si>
  <si>
    <t>uuid:c2c85bb6-1474-4656-93ff-519ffb290327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</si>
</sst>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color theme="1"/>
      <name val="Arial"/>
    </font>
    <font>
      <color theme="1"/>
      <name val="Arial"/>
    </font>
    <font>
      <u/>
      <color rgb="FF1155CC"/>
      <name val="Arial"/>
    </font>
    <font>
      <u/>
      <color rgb="FF1155CC"/>
      <name val="Arial"/>
    </font>
    <font>
      <color rgb="FF000000"/>
      <name val="Arial"/>
    </font>
    <font>
      <u/>
      <color rgb="FF1155CC"/>
      <name val="Arial"/>
    </font>
    <font>
      <sz val="11.0"/>
      <color theme="1"/>
      <name val="Calibri"/>
    </font>
  </fonts>
  <fills count="11">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4CCCC"/>
        <bgColor rgb="FFF4CCCC"/>
      </patternFill>
    </fill>
    <fill>
      <patternFill patternType="solid">
        <fgColor rgb="FF00FFFF"/>
        <bgColor rgb="FF00FFFF"/>
      </patternFill>
    </fill>
    <fill>
      <patternFill patternType="solid">
        <fgColor rgb="FFD5A6BD"/>
        <bgColor rgb="FFD5A6BD"/>
      </patternFill>
    </fill>
    <fill>
      <patternFill patternType="solid">
        <fgColor rgb="FFEAD1DC"/>
        <bgColor rgb="FFEAD1DC"/>
      </patternFill>
    </fill>
    <fill>
      <patternFill patternType="solid">
        <fgColor rgb="FFFF0000"/>
        <bgColor rgb="FFFF00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3" fontId="1" numFmtId="0" xfId="0" applyAlignment="1" applyFill="1" applyFont="1">
      <alignment vertical="bottom"/>
    </xf>
    <xf borderId="0" fillId="2" fontId="1" numFmtId="0" xfId="0" applyAlignment="1" applyFont="1">
      <alignment readingOrder="0" vertical="bottom"/>
    </xf>
    <xf borderId="0" fillId="4" fontId="1" numFmtId="0" xfId="0" applyAlignment="1" applyFill="1" applyFont="1">
      <alignment vertical="bottom"/>
    </xf>
    <xf borderId="0" fillId="0" fontId="2" numFmtId="164"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4" fontId="2" numFmtId="0" xfId="0" applyAlignment="1" applyFont="1">
      <alignment horizontal="right" vertical="bottom"/>
    </xf>
    <xf borderId="0" fillId="3" fontId="2" numFmtId="0" xfId="0" applyAlignment="1" applyFont="1">
      <alignment vertical="bottom"/>
    </xf>
    <xf borderId="0" fillId="5" fontId="2" numFmtId="0" xfId="0" applyAlignment="1" applyFill="1" applyFont="1">
      <alignment vertical="bottom"/>
    </xf>
    <xf borderId="0" fillId="6" fontId="2" numFmtId="0" xfId="0" applyAlignment="1" applyFill="1" applyFont="1">
      <alignment shrinkToFit="0" vertical="bottom" wrapText="0"/>
    </xf>
    <xf borderId="0" fillId="6" fontId="2" numFmtId="0" xfId="0" applyAlignment="1" applyFont="1">
      <alignment vertical="bottom"/>
    </xf>
    <xf borderId="0" fillId="6" fontId="2" numFmtId="0" xfId="0" applyAlignment="1" applyFont="1">
      <alignment horizontal="right" shrinkToFit="0" vertical="bottom" wrapText="0"/>
    </xf>
    <xf borderId="0" fillId="0" fontId="3"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2" fontId="2" numFmtId="0" xfId="0" applyAlignment="1" applyFont="1">
      <alignment shrinkToFit="0" vertical="bottom" wrapText="0"/>
    </xf>
    <xf borderId="0" fillId="2" fontId="2" numFmtId="0" xfId="0" applyAlignment="1" applyFont="1">
      <alignment horizontal="right" shrinkToFit="0" vertical="bottom" wrapText="0"/>
    </xf>
    <xf borderId="0" fillId="2" fontId="2" numFmtId="0" xfId="0" applyAlignment="1" applyFont="1">
      <alignment vertical="bottom"/>
    </xf>
    <xf borderId="0" fillId="6" fontId="2" numFmtId="164" xfId="0" applyAlignment="1" applyFont="1" applyNumberFormat="1">
      <alignment horizontal="right" vertical="bottom"/>
    </xf>
    <xf borderId="0" fillId="6" fontId="2" numFmtId="0" xfId="0" applyAlignment="1" applyFont="1">
      <alignment readingOrder="0" vertical="bottom"/>
    </xf>
    <xf borderId="0" fillId="6" fontId="2" numFmtId="0" xfId="0" applyAlignment="1" applyFont="1">
      <alignment horizontal="right" vertical="bottom"/>
    </xf>
    <xf borderId="0" fillId="6" fontId="4" numFmtId="0" xfId="0" applyAlignment="1" applyFont="1">
      <alignment vertical="bottom"/>
    </xf>
    <xf borderId="0" fillId="0" fontId="1" numFmtId="0" xfId="0" applyAlignment="1" applyFont="1">
      <alignment shrinkToFit="0" vertical="bottom" wrapText="0"/>
    </xf>
    <xf borderId="0" fillId="7" fontId="1" numFmtId="0" xfId="0" applyAlignment="1" applyFill="1" applyFont="1">
      <alignment vertical="bottom"/>
    </xf>
    <xf borderId="0" fillId="8" fontId="1" numFmtId="0" xfId="0" applyAlignment="1" applyFill="1" applyFont="1">
      <alignment vertical="bottom"/>
    </xf>
    <xf borderId="0" fillId="9" fontId="1" numFmtId="0" xfId="0" applyAlignment="1" applyFill="1" applyFont="1">
      <alignment vertical="bottom"/>
    </xf>
    <xf borderId="0" fillId="0" fontId="5" numFmtId="0" xfId="0" applyAlignment="1" applyFont="1">
      <alignment readingOrder="0" shrinkToFit="0" vertical="bottom" wrapText="0"/>
    </xf>
    <xf borderId="0" fillId="9" fontId="2" numFmtId="0" xfId="0" applyAlignment="1" applyFont="1">
      <alignment vertical="bottom"/>
    </xf>
    <xf borderId="0" fillId="8" fontId="2" numFmtId="0" xfId="0" applyAlignment="1" applyFont="1">
      <alignment vertical="bottom"/>
    </xf>
    <xf borderId="0" fillId="0" fontId="2" numFmtId="0" xfId="0" applyAlignment="1" applyFont="1">
      <alignment horizontal="center" vertical="bottom"/>
    </xf>
    <xf borderId="0" fillId="7" fontId="2" numFmtId="0" xfId="0" applyAlignment="1" applyFont="1">
      <alignment vertical="bottom"/>
    </xf>
    <xf borderId="0" fillId="9" fontId="2" numFmtId="0" xfId="0" applyAlignment="1" applyFont="1">
      <alignment horizontal="right" vertical="bottom"/>
    </xf>
    <xf borderId="0" fillId="9" fontId="2" numFmtId="0" xfId="0" applyAlignment="1" applyFont="1">
      <alignment shrinkToFit="0" vertical="bottom" wrapText="0"/>
    </xf>
    <xf borderId="0" fillId="9" fontId="2" numFmtId="0" xfId="0" applyAlignment="1" applyFont="1">
      <alignment horizontal="center" vertical="bottom"/>
    </xf>
    <xf borderId="0" fillId="10" fontId="2" numFmtId="0" xfId="0" applyAlignment="1" applyFill="1" applyFont="1">
      <alignment vertical="bottom"/>
    </xf>
    <xf borderId="0" fillId="2" fontId="2" numFmtId="0" xfId="0" applyAlignment="1" applyFont="1">
      <alignment horizontal="right" vertical="bottom"/>
    </xf>
    <xf borderId="0" fillId="10" fontId="2" numFmtId="0" xfId="0" applyAlignment="1" applyFont="1">
      <alignment horizontal="right" vertical="bottom"/>
    </xf>
    <xf borderId="0" fillId="6" fontId="2" numFmtId="0" xfId="0" applyAlignment="1" applyFont="1">
      <alignment horizontal="center" vertical="bottom"/>
    </xf>
    <xf borderId="0" fillId="4" fontId="2" numFmtId="0" xfId="0" applyAlignment="1" applyFont="1">
      <alignment vertical="bottom"/>
    </xf>
    <xf borderId="0" fillId="2" fontId="2" numFmtId="164" xfId="0" applyAlignment="1" applyFont="1" applyNumberFormat="1">
      <alignment horizontal="right" vertical="bottom"/>
    </xf>
    <xf borderId="0" fillId="2" fontId="2" numFmtId="0" xfId="0" applyAlignment="1" applyFont="1">
      <alignment readingOrder="0" vertical="bottom"/>
    </xf>
    <xf borderId="0" fillId="2" fontId="6" numFmtId="0" xfId="0" applyAlignment="1" applyFont="1">
      <alignment vertical="bottom"/>
    </xf>
    <xf borderId="1" fillId="0" fontId="1" numFmtId="0" xfId="0" applyAlignment="1" applyBorder="1" applyFont="1">
      <alignment vertical="bottom"/>
    </xf>
    <xf borderId="1" fillId="0" fontId="7" numFmtId="164" xfId="0" applyAlignment="1" applyBorder="1" applyFont="1" applyNumberFormat="1">
      <alignment horizontal="righ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horizontal="right" vertical="bottom"/>
    </xf>
    <xf borderId="1" fillId="2" fontId="7" numFmtId="164" xfId="0" applyAlignment="1" applyBorder="1" applyFont="1" applyNumberFormat="1">
      <alignment horizontal="right" vertical="bottom"/>
    </xf>
    <xf borderId="1" fillId="2" fontId="2" numFmtId="0" xfId="0" applyAlignment="1" applyBorder="1" applyFont="1">
      <alignment vertical="bottom"/>
    </xf>
    <xf borderId="1" fillId="2" fontId="2" numFmtId="0" xfId="0" applyAlignment="1" applyBorder="1" applyFont="1">
      <alignment readingOrder="0" vertical="bottom"/>
    </xf>
    <xf borderId="1" fillId="2" fontId="2"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kf.kobotoolbox.org/api/v2/assets/avstPQqLr3Ab3ZdcVTXZ6f/data/665011374/attachments/att7EwZDLqwviWARnLCkfLPY/" TargetMode="External"/><Relationship Id="rId42" Type="http://schemas.openxmlformats.org/officeDocument/2006/relationships/hyperlink" Target="https://kf.kobotoolbox.org/api/v2/assets/avstPQqLr3Ab3ZdcVTXZ6f/data/665042048/attachments/att9USKNgxStC3A3opUqF5V3/" TargetMode="External"/><Relationship Id="rId41" Type="http://schemas.openxmlformats.org/officeDocument/2006/relationships/hyperlink" Target="https://kf.kobotoolbox.org/api/v2/assets/avstPQqLr3Ab3ZdcVTXZ6f/data/665011374/attachments/att88S36n3JDx3SejpMEfXUD/" TargetMode="External"/><Relationship Id="rId44" Type="http://schemas.openxmlformats.org/officeDocument/2006/relationships/hyperlink" Target="https://kf.kobotoolbox.org/api/v2/assets/avstPQqLr3Ab3ZdcVTXZ6f/data/665066481/attachments/attsrV2eF8wGkdagQDsUHnr4/" TargetMode="External"/><Relationship Id="rId43" Type="http://schemas.openxmlformats.org/officeDocument/2006/relationships/hyperlink" Target="https://kf.kobotoolbox.org/api/v2/assets/avstPQqLr3Ab3ZdcVTXZ6f/data/665042048/attachments/attCqtCxSUukbhXgrvmtbRJD/" TargetMode="External"/><Relationship Id="rId46" Type="http://schemas.openxmlformats.org/officeDocument/2006/relationships/hyperlink" Target="https://kf.kobotoolbox.org/api/v2/assets/avstPQqLr3Ab3ZdcVTXZ6f/data/665085276/attachments/attbSRgyNgii2SNg3RiRdMvz/" TargetMode="External"/><Relationship Id="rId45" Type="http://schemas.openxmlformats.org/officeDocument/2006/relationships/hyperlink" Target="https://kf.kobotoolbox.org/api/v2/assets/avstPQqLr3Ab3ZdcVTXZ6f/data/665066481/attachments/attYvpzZAhqnqJ5VwYyS9cdm/" TargetMode="External"/><Relationship Id="rId48" Type="http://schemas.openxmlformats.org/officeDocument/2006/relationships/hyperlink" Target="https://kf.kobotoolbox.org/api/v2/assets/avstPQqLr3Ab3ZdcVTXZ6f/data/665099497/attachments/attdy8u6qEhdxjSW4CsbFb5z/" TargetMode="External"/><Relationship Id="rId47" Type="http://schemas.openxmlformats.org/officeDocument/2006/relationships/hyperlink" Target="https://kf.kobotoolbox.org/api/v2/assets/avstPQqLr3Ab3ZdcVTXZ6f/data/665085276/attachments/att4NZ6LF7LLJ5HcLv4h8zqk/" TargetMode="External"/><Relationship Id="rId49" Type="http://schemas.openxmlformats.org/officeDocument/2006/relationships/hyperlink" Target="https://kf.kobotoolbox.org/api/v2/assets/avstPQqLr3Ab3ZdcVTXZ6f/data/665099497/attachments/attAYR9DiWdJD96b4YTLDa2G/" TargetMode="External"/><Relationship Id="rId31" Type="http://schemas.openxmlformats.org/officeDocument/2006/relationships/hyperlink" Target="https://kf.kobotoolbox.org/api/v2/assets/avstPQqLr3Ab3ZdcVTXZ6f/data/664970971/attachments/attzgH95GGEHYf7Ax4PPuuwP/" TargetMode="External"/><Relationship Id="rId30" Type="http://schemas.openxmlformats.org/officeDocument/2006/relationships/hyperlink" Target="https://kf.kobotoolbox.org/api/v2/assets/avstPQqLr3Ab3ZdcVTXZ6f/data/664970971/attachments/attBENjVuAtXCvUJxfAihxVi/" TargetMode="External"/><Relationship Id="rId33" Type="http://schemas.openxmlformats.org/officeDocument/2006/relationships/hyperlink" Target="https://kf.kobotoolbox.org/api/v2/assets/avstPQqLr3Ab3ZdcVTXZ6f/data/664970990/attachments/attKrzUSP5Kc7s3Fm7KCxXG9/" TargetMode="External"/><Relationship Id="rId32" Type="http://schemas.openxmlformats.org/officeDocument/2006/relationships/hyperlink" Target="https://kf.kobotoolbox.org/api/v2/assets/avstPQqLr3Ab3ZdcVTXZ6f/data/664970990/attachments/attNtEYAfs6pqQoxfUKXfk5z/" TargetMode="External"/><Relationship Id="rId35" Type="http://schemas.openxmlformats.org/officeDocument/2006/relationships/hyperlink" Target="https://kf.kobotoolbox.org/api/v2/assets/avstPQqLr3Ab3ZdcVTXZ6f/data/664971006/attachments/attz7sjURUM9FeYj4BLVyyeg/" TargetMode="External"/><Relationship Id="rId34" Type="http://schemas.openxmlformats.org/officeDocument/2006/relationships/hyperlink" Target="https://kf.kobotoolbox.org/api/v2/assets/avstPQqLr3Ab3ZdcVTXZ6f/data/664971006/attachments/attKbPqi6B8JoLNxDnmEv4oK/" TargetMode="External"/><Relationship Id="rId37" Type="http://schemas.openxmlformats.org/officeDocument/2006/relationships/hyperlink" Target="https://kf.kobotoolbox.org/api/v2/assets/avstPQqLr3Ab3ZdcVTXZ6f/data/664997343/attachments/attVksBjdwSRZtjcN89wCVvd/" TargetMode="External"/><Relationship Id="rId36" Type="http://schemas.openxmlformats.org/officeDocument/2006/relationships/hyperlink" Target="https://kf.kobotoolbox.org/api/v2/assets/avstPQqLr3Ab3ZdcVTXZ6f/data/664997343/attachments/attVrZMWQwADff4PdHsgRraq/" TargetMode="External"/><Relationship Id="rId39" Type="http://schemas.openxmlformats.org/officeDocument/2006/relationships/hyperlink" Target="https://kf.kobotoolbox.org/api/v2/assets/avstPQqLr3Ab3ZdcVTXZ6f/data/665003147/attachments/atttxNpXRj46PFvTmTkJcFam/" TargetMode="External"/><Relationship Id="rId38" Type="http://schemas.openxmlformats.org/officeDocument/2006/relationships/hyperlink" Target="https://kf.kobotoolbox.org/api/v2/assets/avstPQqLr3Ab3ZdcVTXZ6f/data/665003147/attachments/attTdFDvH9uFVMLRLssUjsgE/" TargetMode="External"/><Relationship Id="rId20" Type="http://schemas.openxmlformats.org/officeDocument/2006/relationships/hyperlink" Target="https://kf.kobotoolbox.org/api/v2/assets/avstPQqLr3Ab3ZdcVTXZ6f/data/664131805/attachments/att285TJCLKfuYdqDF2wSU2T/" TargetMode="External"/><Relationship Id="rId22" Type="http://schemas.openxmlformats.org/officeDocument/2006/relationships/hyperlink" Target="https://kf.kobotoolbox.org/api/v2/assets/avstPQqLr3Ab3ZdcVTXZ6f/data/664154789/attachments/attcnS7SMrty77tNvsK5yMBx/" TargetMode="External"/><Relationship Id="rId21" Type="http://schemas.openxmlformats.org/officeDocument/2006/relationships/hyperlink" Target="https://kf.kobotoolbox.org/api/v2/assets/avstPQqLr3Ab3ZdcVTXZ6f/data/664131805/attachments/attgDZhQsqxCfqyrWGMH8XAY/" TargetMode="External"/><Relationship Id="rId24" Type="http://schemas.openxmlformats.org/officeDocument/2006/relationships/hyperlink" Target="https://kf.kobotoolbox.org/api/v2/assets/avstPQqLr3Ab3ZdcVTXZ6f/data/664175534/attachments/attacM9rPSSxDJGWtMmET8Mf/" TargetMode="External"/><Relationship Id="rId23" Type="http://schemas.openxmlformats.org/officeDocument/2006/relationships/hyperlink" Target="https://kf.kobotoolbox.org/api/v2/assets/avstPQqLr3Ab3ZdcVTXZ6f/data/664154789/attachments/att4TpZ59f6aGydDxMSUQ2r2/" TargetMode="External"/><Relationship Id="rId26" Type="http://schemas.openxmlformats.org/officeDocument/2006/relationships/hyperlink" Target="https://kf.kobotoolbox.org/api/v2/assets/avstPQqLr3Ab3ZdcVTXZ6f/data/664202679/attachments/attWcQz4TLCaYMjWBoVRXXav/" TargetMode="External"/><Relationship Id="rId25" Type="http://schemas.openxmlformats.org/officeDocument/2006/relationships/hyperlink" Target="https://kf.kobotoolbox.org/api/v2/assets/avstPQqLr3Ab3ZdcVTXZ6f/data/664175534/attachments/attk996YBVkQGZURPPGVZv5n/" TargetMode="External"/><Relationship Id="rId28" Type="http://schemas.openxmlformats.org/officeDocument/2006/relationships/hyperlink" Target="https://kf.kobotoolbox.org/api/v2/assets/avstPQqLr3Ab3ZdcVTXZ6f/data/664224458/attachments/attcEBqiEz4K3tRuMrD76ZWX/" TargetMode="External"/><Relationship Id="rId27" Type="http://schemas.openxmlformats.org/officeDocument/2006/relationships/hyperlink" Target="https://kf.kobotoolbox.org/api/v2/assets/avstPQqLr3Ab3ZdcVTXZ6f/data/664202679/attachments/attq8wHhnwNA7GSJ3L3PFnhu/" TargetMode="External"/><Relationship Id="rId29" Type="http://schemas.openxmlformats.org/officeDocument/2006/relationships/hyperlink" Target="https://kf.kobotoolbox.org/api/v2/assets/avstPQqLr3Ab3ZdcVTXZ6f/data/664224458/attachments/attaxm3oeHaLbcH5F2i9mNsK/" TargetMode="External"/><Relationship Id="rId95" Type="http://schemas.openxmlformats.org/officeDocument/2006/relationships/hyperlink" Target="https://kf.kobotoolbox.org/api/v2/assets/avstPQqLr3Ab3ZdcVTXZ6f/data/668159886/attachments/attpwuTnJQDAwM5cDfi663bN/" TargetMode="External"/><Relationship Id="rId94" Type="http://schemas.openxmlformats.org/officeDocument/2006/relationships/hyperlink" Target="https://kf.kobotoolbox.org/api/v2/assets/avstPQqLr3Ab3ZdcVTXZ6f/data/668159886/attachments/attUuBDSurJKaR8ocTrz8uRG/" TargetMode="External"/><Relationship Id="rId97" Type="http://schemas.openxmlformats.org/officeDocument/2006/relationships/hyperlink" Target="https://kf.kobotoolbox.org/api/v2/assets/avstPQqLr3Ab3ZdcVTXZ6f/data/668196459/attachments/attWZWZHHsbPYKeqrcBRyBxv/" TargetMode="External"/><Relationship Id="rId96" Type="http://schemas.openxmlformats.org/officeDocument/2006/relationships/hyperlink" Target="https://kf.kobotoolbox.org/api/v2/assets/avstPQqLr3Ab3ZdcVTXZ6f/data/668196459/attachments/attFdtawFpgVv2Y2xvFJkeSG/" TargetMode="External"/><Relationship Id="rId11" Type="http://schemas.openxmlformats.org/officeDocument/2006/relationships/hyperlink" Target="https://kf.kobotoolbox.org/api/v2/assets/avstPQqLr3Ab3ZdcVTXZ6f/data/663655830/attachments/attfzvzMBtnrabApiEvRCRMS/" TargetMode="External"/><Relationship Id="rId99" Type="http://schemas.openxmlformats.org/officeDocument/2006/relationships/vmlDrawing" Target="../drawings/vmlDrawing1.vml"/><Relationship Id="rId10" Type="http://schemas.openxmlformats.org/officeDocument/2006/relationships/hyperlink" Target="https://kf.kobotoolbox.org/api/v2/assets/avstPQqLr3Ab3ZdcVTXZ6f/data/663655830/attachments/attMgVfQxjHGzHqxKorbqRsb/" TargetMode="External"/><Relationship Id="rId98" Type="http://schemas.openxmlformats.org/officeDocument/2006/relationships/drawing" Target="../drawings/drawing1.xml"/><Relationship Id="rId13" Type="http://schemas.openxmlformats.org/officeDocument/2006/relationships/hyperlink" Target="https://kf.kobotoolbox.org/api/v2/assets/avstPQqLr3Ab3ZdcVTXZ6f/data/663732541/attachments/attTDpcqVFTdYLvZAYYmCEtF/" TargetMode="External"/><Relationship Id="rId12" Type="http://schemas.openxmlformats.org/officeDocument/2006/relationships/hyperlink" Target="https://kf.kobotoolbox.org/api/v2/assets/avstPQqLr3Ab3ZdcVTXZ6f/data/663732541/attachments/attdwtkkxxWMPXzr9nFauzRu/" TargetMode="External"/><Relationship Id="rId91" Type="http://schemas.openxmlformats.org/officeDocument/2006/relationships/hyperlink" Target="https://kf.kobotoolbox.org/api/v2/assets/avstPQqLr3Ab3ZdcVTXZ6f/data/667233389/attachments/attyg7HC4aDTdQxvJM9Znsyf/" TargetMode="External"/><Relationship Id="rId90" Type="http://schemas.openxmlformats.org/officeDocument/2006/relationships/hyperlink" Target="https://kf.kobotoolbox.org/api/v2/assets/avstPQqLr3Ab3ZdcVTXZ6f/data/667233389/attachments/att9uZivzemxs5gCaQQBsxed/" TargetMode="External"/><Relationship Id="rId93" Type="http://schemas.openxmlformats.org/officeDocument/2006/relationships/hyperlink" Target="https://kf.kobotoolbox.org/api/v2/assets/avstPQqLr3Ab3ZdcVTXZ6f/data/667247006/attachments/attaNkxPRMwF7pzH5MMpauVg/" TargetMode="External"/><Relationship Id="rId92" Type="http://schemas.openxmlformats.org/officeDocument/2006/relationships/hyperlink" Target="https://kf.kobotoolbox.org/api/v2/assets/avstPQqLr3Ab3ZdcVTXZ6f/data/667247006/attachments/att5fwKxdHqtaDkxjVjyd7rT/" TargetMode="External"/><Relationship Id="rId15" Type="http://schemas.openxmlformats.org/officeDocument/2006/relationships/hyperlink" Target="https://kf.kobotoolbox.org/api/v2/assets/avstPQqLr3Ab3ZdcVTXZ6f/data/663773956/attachments/attuqTD9rXWjdtcYHAXBTusn/" TargetMode="External"/><Relationship Id="rId14" Type="http://schemas.openxmlformats.org/officeDocument/2006/relationships/hyperlink" Target="https://kf.kobotoolbox.org/api/v2/assets/avstPQqLr3Ab3ZdcVTXZ6f/data/663773956/attachments/attbVJCDPFzqny5Mf2G4f76U/" TargetMode="External"/><Relationship Id="rId17" Type="http://schemas.openxmlformats.org/officeDocument/2006/relationships/hyperlink" Target="https://kf.kobotoolbox.org/api/v2/assets/avstPQqLr3Ab3ZdcVTXZ6f/data/663839040/attachments/attb2fKMXnjBPsWkR8mJqUDQ/" TargetMode="External"/><Relationship Id="rId16" Type="http://schemas.openxmlformats.org/officeDocument/2006/relationships/hyperlink" Target="https://kf.kobotoolbox.org/api/v2/assets/avstPQqLr3Ab3ZdcVTXZ6f/data/663839040/attachments/attKugCHwDTgZrMTayGkn7Hh/" TargetMode="External"/><Relationship Id="rId19" Type="http://schemas.openxmlformats.org/officeDocument/2006/relationships/hyperlink" Target="https://kf.kobotoolbox.org/api/v2/assets/avstPQqLr3Ab3ZdcVTXZ6f/data/664110988/attachments/attyZDscvqHBpWZeb6shDZyX/" TargetMode="External"/><Relationship Id="rId18" Type="http://schemas.openxmlformats.org/officeDocument/2006/relationships/hyperlink" Target="https://kf.kobotoolbox.org/api/v2/assets/avstPQqLr3Ab3ZdcVTXZ6f/data/664110988/attachments/attG6zMJyNjggZFEUoF2m44U/" TargetMode="External"/><Relationship Id="rId84" Type="http://schemas.openxmlformats.org/officeDocument/2006/relationships/hyperlink" Target="https://kf.kobotoolbox.org/api/v2/assets/avstPQqLr3Ab3ZdcVTXZ6f/data/667182647/attachments/attY6RiyKNu9aebsPEVY2vxm/" TargetMode="External"/><Relationship Id="rId83" Type="http://schemas.openxmlformats.org/officeDocument/2006/relationships/hyperlink" Target="https://kf.kobotoolbox.org/api/v2/assets/avstPQqLr3Ab3ZdcVTXZ6f/data/667160464/attachments/attC6XtwipHZakW8ZPwo333J/" TargetMode="External"/><Relationship Id="rId86" Type="http://schemas.openxmlformats.org/officeDocument/2006/relationships/hyperlink" Target="https://kf.kobotoolbox.org/api/v2/assets/avstPQqLr3Ab3ZdcVTXZ6f/data/667200392/attachments/attjULQJGdp8dYNBmXG72kUf/" TargetMode="External"/><Relationship Id="rId85" Type="http://schemas.openxmlformats.org/officeDocument/2006/relationships/hyperlink" Target="https://kf.kobotoolbox.org/api/v2/assets/avstPQqLr3Ab3ZdcVTXZ6f/data/667182647/attachments/att2UkTCgxZBbyEnaz9Eb6gA/" TargetMode="External"/><Relationship Id="rId88" Type="http://schemas.openxmlformats.org/officeDocument/2006/relationships/hyperlink" Target="https://kf.kobotoolbox.org/api/v2/assets/avstPQqLr3Ab3ZdcVTXZ6f/data/667218601/attachments/atttkGVW59yjVieoKVxQarzX/" TargetMode="External"/><Relationship Id="rId87" Type="http://schemas.openxmlformats.org/officeDocument/2006/relationships/hyperlink" Target="https://kf.kobotoolbox.org/api/v2/assets/avstPQqLr3Ab3ZdcVTXZ6f/data/667200392/attachments/attvnvcnMsLqpmj3eQFtmmsC/" TargetMode="External"/><Relationship Id="rId89" Type="http://schemas.openxmlformats.org/officeDocument/2006/relationships/hyperlink" Target="https://kf.kobotoolbox.org/api/v2/assets/avstPQqLr3Ab3ZdcVTXZ6f/data/667218601/attachments/attSQ2SZ4QaDtatzYuiPRzsJ/" TargetMode="External"/><Relationship Id="rId80" Type="http://schemas.openxmlformats.org/officeDocument/2006/relationships/hyperlink" Target="https://kf.kobotoolbox.org/api/v2/assets/avstPQqLr3Ab3ZdcVTXZ6f/data/666561318/attachments/attkoyQMbBvofBoa6rUFAfoZ/" TargetMode="External"/><Relationship Id="rId82" Type="http://schemas.openxmlformats.org/officeDocument/2006/relationships/hyperlink" Target="https://kf.kobotoolbox.org/api/v2/assets/avstPQqLr3Ab3ZdcVTXZ6f/data/667160464/attachments/attoFMjjPayGMCCa7GjyJ5cP/" TargetMode="External"/><Relationship Id="rId81" Type="http://schemas.openxmlformats.org/officeDocument/2006/relationships/hyperlink" Target="https://kf.kobotoolbox.org/api/v2/assets/avstPQqLr3Ab3ZdcVTXZ6f/data/666561318/attachments/attiZeE8Jw9aMHLxxzaQiQNy/" TargetMode="External"/><Relationship Id="rId1" Type="http://schemas.openxmlformats.org/officeDocument/2006/relationships/comments" Target="../comments1.xml"/><Relationship Id="rId2" Type="http://schemas.openxmlformats.org/officeDocument/2006/relationships/hyperlink" Target="https://kf.kobotoolbox.org/api/v2/assets/avstPQqLr3Ab3ZdcVTXZ6f/data/663251533/attachments/attBWKrQCnTMv7auhU422Uu3/" TargetMode="External"/><Relationship Id="rId3" Type="http://schemas.openxmlformats.org/officeDocument/2006/relationships/hyperlink" Target="https://kf.kobotoolbox.org/api/v2/assets/avstPQqLr3Ab3ZdcVTXZ6f/data/663251533/attachments/attVVpXxpF3qsEnbUXJ79Htm/" TargetMode="External"/><Relationship Id="rId4" Type="http://schemas.openxmlformats.org/officeDocument/2006/relationships/hyperlink" Target="https://kf.kobotoolbox.org/api/v2/assets/avstPQqLr3Ab3ZdcVTXZ6f/data/663301002/attachments/attg4kP2W6ZMftBXbbYhXKqZ/" TargetMode="External"/><Relationship Id="rId9" Type="http://schemas.openxmlformats.org/officeDocument/2006/relationships/hyperlink" Target="https://kf.kobotoolbox.org/api/v2/assets/avstPQqLr3Ab3ZdcVTXZ6f/data/663630485/attachments/att6DkGeDscczRhQdqeYyGU3/" TargetMode="External"/><Relationship Id="rId5" Type="http://schemas.openxmlformats.org/officeDocument/2006/relationships/hyperlink" Target="https://kf.kobotoolbox.org/api/v2/assets/avstPQqLr3Ab3ZdcVTXZ6f/data/663301002/attachments/attN3Lf5vcXsmwf6Lre4jnYH/" TargetMode="External"/><Relationship Id="rId6" Type="http://schemas.openxmlformats.org/officeDocument/2006/relationships/hyperlink" Target="https://kf.kobotoolbox.org/api/v2/assets/avstPQqLr3Ab3ZdcVTXZ6f/data/663335540/attachments/att8QJmiQ6TDswj69xqWGwnB/" TargetMode="External"/><Relationship Id="rId7" Type="http://schemas.openxmlformats.org/officeDocument/2006/relationships/hyperlink" Target="https://kf.kobotoolbox.org/api/v2/assets/avstPQqLr3Ab3ZdcVTXZ6f/data/663335540/attachments/attdrQrJLATCmZAfwrJFtGPn/" TargetMode="External"/><Relationship Id="rId8" Type="http://schemas.openxmlformats.org/officeDocument/2006/relationships/hyperlink" Target="https://kf.kobotoolbox.org/api/v2/assets/avstPQqLr3Ab3ZdcVTXZ6f/data/663630485/attachments/att929sawMu4BTL72Yra6Ga7/" TargetMode="External"/><Relationship Id="rId73" Type="http://schemas.openxmlformats.org/officeDocument/2006/relationships/hyperlink" Target="https://kf.kobotoolbox.org/api/v2/assets/avstPQqLr3Ab3ZdcVTXZ6f/data/665992473/attachments/att4RSjtBsQjxgssPMkdyAiU/" TargetMode="External"/><Relationship Id="rId72" Type="http://schemas.openxmlformats.org/officeDocument/2006/relationships/hyperlink" Target="https://kf.kobotoolbox.org/api/v2/assets/avstPQqLr3Ab3ZdcVTXZ6f/data/665992473/attachments/attbFyceS73VZKbjtD8oswkP/" TargetMode="External"/><Relationship Id="rId75" Type="http://schemas.openxmlformats.org/officeDocument/2006/relationships/hyperlink" Target="https://kf.kobotoolbox.org/api/v2/assets/avstPQqLr3Ab3ZdcVTXZ6f/data/666003650/attachments/attANQ4W9y28a28qMKTbr7A4/" TargetMode="External"/><Relationship Id="rId74" Type="http://schemas.openxmlformats.org/officeDocument/2006/relationships/hyperlink" Target="https://kf.kobotoolbox.org/api/v2/assets/avstPQqLr3Ab3ZdcVTXZ6f/data/666003650/attachments/attCyCTev895ueqQ9Yxn2czk/" TargetMode="External"/><Relationship Id="rId77" Type="http://schemas.openxmlformats.org/officeDocument/2006/relationships/hyperlink" Target="https://kf.kobotoolbox.org/api/v2/assets/avstPQqLr3Ab3ZdcVTXZ6f/data/666541864/attachments/attQK2NzuFZwxWr5P7T37NYe/" TargetMode="External"/><Relationship Id="rId76" Type="http://schemas.openxmlformats.org/officeDocument/2006/relationships/hyperlink" Target="https://kf.kobotoolbox.org/api/v2/assets/avstPQqLr3Ab3ZdcVTXZ6f/data/666541864/attachments/attS62mFcBGTbMbxkyATgTz4/" TargetMode="External"/><Relationship Id="rId79" Type="http://schemas.openxmlformats.org/officeDocument/2006/relationships/hyperlink" Target="https://kf.kobotoolbox.org/api/v2/assets/avstPQqLr3Ab3ZdcVTXZ6f/data/666555256/attachments/att5DoBZ3YpwJWbRC7Ho7q6R/" TargetMode="External"/><Relationship Id="rId78" Type="http://schemas.openxmlformats.org/officeDocument/2006/relationships/hyperlink" Target="https://kf.kobotoolbox.org/api/v2/assets/avstPQqLr3Ab3ZdcVTXZ6f/data/666555256/attachments/attniYRuRgGHUdQiSwbNHnS6/" TargetMode="External"/><Relationship Id="rId71" Type="http://schemas.openxmlformats.org/officeDocument/2006/relationships/hyperlink" Target="https://kf.kobotoolbox.org/api/v2/assets/avstPQqLr3Ab3ZdcVTXZ6f/data/665962254/attachments/attaucif6YNQRYH87RRxQ9sQ/" TargetMode="External"/><Relationship Id="rId70" Type="http://schemas.openxmlformats.org/officeDocument/2006/relationships/hyperlink" Target="https://kf.kobotoolbox.org/api/v2/assets/avstPQqLr3Ab3ZdcVTXZ6f/data/665962254/attachments/attmHUfLEb2fVqvdZ2csMZej/" TargetMode="External"/><Relationship Id="rId62" Type="http://schemas.openxmlformats.org/officeDocument/2006/relationships/hyperlink" Target="https://kf.kobotoolbox.org/api/v2/assets/avstPQqLr3Ab3ZdcVTXZ6f/data/665917452/attachments/attqwjP3Dad7Ut8anhpoS4Ps/" TargetMode="External"/><Relationship Id="rId61" Type="http://schemas.openxmlformats.org/officeDocument/2006/relationships/hyperlink" Target="https://kf.kobotoolbox.org/api/v2/assets/avstPQqLr3Ab3ZdcVTXZ6f/data/665547526/attachments/attbojA8pLrc56DJvMFCAExD/" TargetMode="External"/><Relationship Id="rId64" Type="http://schemas.openxmlformats.org/officeDocument/2006/relationships/hyperlink" Target="https://kf.kobotoolbox.org/api/v2/assets/avstPQqLr3Ab3ZdcVTXZ6f/data/665929244/attachments/attuFGkg6tVzP5boDDMRyPDa/" TargetMode="External"/><Relationship Id="rId63" Type="http://schemas.openxmlformats.org/officeDocument/2006/relationships/hyperlink" Target="https://kf.kobotoolbox.org/api/v2/assets/avstPQqLr3Ab3ZdcVTXZ6f/data/665917452/attachments/attMZonA29XnmhPMbDFohDYS/" TargetMode="External"/><Relationship Id="rId66" Type="http://schemas.openxmlformats.org/officeDocument/2006/relationships/hyperlink" Target="https://kf.kobotoolbox.org/api/v2/assets/avstPQqLr3Ab3ZdcVTXZ6f/data/665938658/attachments/attiPrrTjiW7gxa5hztUCMvW/" TargetMode="External"/><Relationship Id="rId65" Type="http://schemas.openxmlformats.org/officeDocument/2006/relationships/hyperlink" Target="https://kf.kobotoolbox.org/api/v2/assets/avstPQqLr3Ab3ZdcVTXZ6f/data/665929244/attachments/att6EUWqjerbhTFxukVHKmY3/" TargetMode="External"/><Relationship Id="rId68" Type="http://schemas.openxmlformats.org/officeDocument/2006/relationships/hyperlink" Target="https://kf.kobotoolbox.org/api/v2/assets/avstPQqLr3Ab3ZdcVTXZ6f/data/665950621/attachments/attWqE5Rx6fxgqLnrLpyUmwe/" TargetMode="External"/><Relationship Id="rId67" Type="http://schemas.openxmlformats.org/officeDocument/2006/relationships/hyperlink" Target="https://kf.kobotoolbox.org/api/v2/assets/avstPQqLr3Ab3ZdcVTXZ6f/data/665938658/attachments/attwv9Yf9Raq48hjzQUdA6nN/" TargetMode="External"/><Relationship Id="rId60" Type="http://schemas.openxmlformats.org/officeDocument/2006/relationships/hyperlink" Target="https://kf.kobotoolbox.org/api/v2/assets/avstPQqLr3Ab3ZdcVTXZ6f/data/665547526/attachments/attU9W6AJ3HTbFwSW3PBjDkV/" TargetMode="External"/><Relationship Id="rId69" Type="http://schemas.openxmlformats.org/officeDocument/2006/relationships/hyperlink" Target="https://kf.kobotoolbox.org/api/v2/assets/avstPQqLr3Ab3ZdcVTXZ6f/data/665950621/attachments/att6ktxoJrEBj5uF2rbst6yp/" TargetMode="External"/><Relationship Id="rId51" Type="http://schemas.openxmlformats.org/officeDocument/2006/relationships/hyperlink" Target="https://kf.kobotoolbox.org/api/v2/assets/avstPQqLr3Ab3ZdcVTXZ6f/data/665129835/attachments/attbtWs4YRcXUzrqjM599hz4/" TargetMode="External"/><Relationship Id="rId50" Type="http://schemas.openxmlformats.org/officeDocument/2006/relationships/hyperlink" Target="https://kf.kobotoolbox.org/api/v2/assets/avstPQqLr3Ab3ZdcVTXZ6f/data/665129835/attachments/attReDcabQ7hgnkekFdNVwLp/" TargetMode="External"/><Relationship Id="rId53" Type="http://schemas.openxmlformats.org/officeDocument/2006/relationships/hyperlink" Target="https://kf.kobotoolbox.org/api/v2/assets/avstPQqLr3Ab3ZdcVTXZ6f/data/665480927/attachments/att9yndbhPyDhnfUnp5YMVe4/" TargetMode="External"/><Relationship Id="rId52" Type="http://schemas.openxmlformats.org/officeDocument/2006/relationships/hyperlink" Target="https://kf.kobotoolbox.org/api/v2/assets/avstPQqLr3Ab3ZdcVTXZ6f/data/665480927/attachments/attxY7XkNZWRiKNebot2CqUR/" TargetMode="External"/><Relationship Id="rId55" Type="http://schemas.openxmlformats.org/officeDocument/2006/relationships/hyperlink" Target="https://kf.kobotoolbox.org/api/v2/assets/avstPQqLr3Ab3ZdcVTXZ6f/data/665498025/attachments/attMPiatV9UdUhcWmg888Cxx/" TargetMode="External"/><Relationship Id="rId54" Type="http://schemas.openxmlformats.org/officeDocument/2006/relationships/hyperlink" Target="https://kf.kobotoolbox.org/api/v2/assets/avstPQqLr3Ab3ZdcVTXZ6f/data/665498025/attachments/att6cBZpmGhAKNyHwJ3Htpiq/" TargetMode="External"/><Relationship Id="rId57" Type="http://schemas.openxmlformats.org/officeDocument/2006/relationships/hyperlink" Target="https://kf.kobotoolbox.org/api/v2/assets/avstPQqLr3Ab3ZdcVTXZ6f/data/665515052/attachments/attszmJNs4e3VZBiQFjLf29F/" TargetMode="External"/><Relationship Id="rId56" Type="http://schemas.openxmlformats.org/officeDocument/2006/relationships/hyperlink" Target="https://kf.kobotoolbox.org/api/v2/assets/avstPQqLr3Ab3ZdcVTXZ6f/data/665515052/attachments/attbLAhA2vo7HCeA56ZwG6yr/" TargetMode="External"/><Relationship Id="rId59" Type="http://schemas.openxmlformats.org/officeDocument/2006/relationships/hyperlink" Target="https://kf.kobotoolbox.org/api/v2/assets/avstPQqLr3Ab3ZdcVTXZ6f/data/665529918/attachments/atteDtCPoXVYfePZhxir3X2H/" TargetMode="External"/><Relationship Id="rId58" Type="http://schemas.openxmlformats.org/officeDocument/2006/relationships/hyperlink" Target="https://kf.kobotoolbox.org/api/v2/assets/avstPQqLr3Ab3ZdcVTXZ6f/data/665529918/attachments/attneyv7m9zHBbX2u5Jdgs3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kf.kobotoolbox.org/api/v2/assets/avstPQqLr3Ab3ZdcVTXZ6f/data/671807446/attachments/att7tzJ23piUs4qyVS6Cq7yr/" TargetMode="External"/><Relationship Id="rId42" Type="http://schemas.openxmlformats.org/officeDocument/2006/relationships/hyperlink" Target="https://kf.kobotoolbox.org/api/v2/assets/avstPQqLr3Ab3ZdcVTXZ6f/data/672384776/attachments/att88h2umPJbgdjpRJUXqtCr/" TargetMode="External"/><Relationship Id="rId41" Type="http://schemas.openxmlformats.org/officeDocument/2006/relationships/hyperlink" Target="https://kf.kobotoolbox.org/api/v2/assets/avstPQqLr3Ab3ZdcVTXZ6f/data/671807446/attachments/attbmX3Wnrn4W6gB3tr8VEpq/" TargetMode="External"/><Relationship Id="rId44" Type="http://schemas.openxmlformats.org/officeDocument/2006/relationships/hyperlink" Target="https://kf.kobotoolbox.org/api/v2/assets/avstPQqLr3Ab3ZdcVTXZ6f/data/672399465/attachments/atteWEyiNCJHMfHBEe8Wx3ga/" TargetMode="External"/><Relationship Id="rId43" Type="http://schemas.openxmlformats.org/officeDocument/2006/relationships/hyperlink" Target="https://kf.kobotoolbox.org/api/v2/assets/avstPQqLr3Ab3ZdcVTXZ6f/data/672384776/attachments/attPGcLErZtCBVmu4SafzNRy/" TargetMode="External"/><Relationship Id="rId46" Type="http://schemas.openxmlformats.org/officeDocument/2006/relationships/hyperlink" Target="https://kf.kobotoolbox.org/api/v2/assets/avstPQqLr3Ab3ZdcVTXZ6f/data/672401891/attachments/atte95ai8cK8CztzRDCNcqtE/" TargetMode="External"/><Relationship Id="rId45" Type="http://schemas.openxmlformats.org/officeDocument/2006/relationships/hyperlink" Target="https://kf.kobotoolbox.org/api/v2/assets/avstPQqLr3Ab3ZdcVTXZ6f/data/672399465/attachments/attmi5pKQ6gPap9vc35C3T8f/" TargetMode="External"/><Relationship Id="rId107" Type="http://schemas.openxmlformats.org/officeDocument/2006/relationships/hyperlink" Target="https://kf.kobotoolbox.org/api/v2/assets/avstPQqLr3Ab3ZdcVTXZ6f/data/683566094/attachments/att8jtARj8Mcq986BpVQdJar/" TargetMode="External"/><Relationship Id="rId106" Type="http://schemas.openxmlformats.org/officeDocument/2006/relationships/hyperlink" Target="https://kf.kobotoolbox.org/api/v2/assets/avstPQqLr3Ab3ZdcVTXZ6f/data/683566094/attachments/att5RX2fezvmhidDdQ4jGQeF/" TargetMode="External"/><Relationship Id="rId105" Type="http://schemas.openxmlformats.org/officeDocument/2006/relationships/hyperlink" Target="https://kf.kobotoolbox.org/api/v2/assets/avstPQqLr3Ab3ZdcVTXZ6f/data/675190100/attachments/attStec4tjeJyyXvGCsPQNT4/" TargetMode="External"/><Relationship Id="rId104" Type="http://schemas.openxmlformats.org/officeDocument/2006/relationships/hyperlink" Target="https://kf.kobotoolbox.org/api/v2/assets/avstPQqLr3Ab3ZdcVTXZ6f/data/675190100/attachments/attZVrg3TK4FTEYj2ZdQANtX/" TargetMode="External"/><Relationship Id="rId109" Type="http://schemas.openxmlformats.org/officeDocument/2006/relationships/hyperlink" Target="https://kf.kobotoolbox.org/api/v2/assets/avstPQqLr3Ab3ZdcVTXZ6f/data/683617434/attachments/att9XjNcSZNQrWDwXHfBTiFu/" TargetMode="External"/><Relationship Id="rId108" Type="http://schemas.openxmlformats.org/officeDocument/2006/relationships/hyperlink" Target="https://kf.kobotoolbox.org/api/v2/assets/avstPQqLr3Ab3ZdcVTXZ6f/data/683617434/attachments/attzu73V8xqyP22K6aA8Lqik/" TargetMode="External"/><Relationship Id="rId48" Type="http://schemas.openxmlformats.org/officeDocument/2006/relationships/hyperlink" Target="https://kf.kobotoolbox.org/api/v2/assets/avstPQqLr3Ab3ZdcVTXZ6f/data/672418844/attachments/attukAH7mKL7NTwWr8HjgiRv/" TargetMode="External"/><Relationship Id="rId47" Type="http://schemas.openxmlformats.org/officeDocument/2006/relationships/hyperlink" Target="https://kf.kobotoolbox.org/api/v2/assets/avstPQqLr3Ab3ZdcVTXZ6f/data/672401891/attachments/attwFdqgzJATk79Vamacmys8/" TargetMode="External"/><Relationship Id="rId49" Type="http://schemas.openxmlformats.org/officeDocument/2006/relationships/hyperlink" Target="https://kf.kobotoolbox.org/api/v2/assets/avstPQqLr3Ab3ZdcVTXZ6f/data/672418844/attachments/attwKQvmEtLS2khuuGVPv7Yu/" TargetMode="External"/><Relationship Id="rId103" Type="http://schemas.openxmlformats.org/officeDocument/2006/relationships/hyperlink" Target="https://kf.kobotoolbox.org/api/v2/assets/avstPQqLr3Ab3ZdcVTXZ6f/data/673525470/attachments/attGupWjubWsNQzy34c7LBjP/" TargetMode="External"/><Relationship Id="rId102" Type="http://schemas.openxmlformats.org/officeDocument/2006/relationships/hyperlink" Target="https://kf.kobotoolbox.org/api/v2/assets/avstPQqLr3Ab3ZdcVTXZ6f/data/673525470/attachments/atttLjfwcJAFA8UeeHQkXXs6/" TargetMode="External"/><Relationship Id="rId101" Type="http://schemas.openxmlformats.org/officeDocument/2006/relationships/hyperlink" Target="https://kf.kobotoolbox.org/api/v2/assets/avstPQqLr3Ab3ZdcVTXZ6f/data/673518857/attachments/attymBtrNYEHd4Vhujn6TJio/" TargetMode="External"/><Relationship Id="rId100" Type="http://schemas.openxmlformats.org/officeDocument/2006/relationships/hyperlink" Target="https://kf.kobotoolbox.org/api/v2/assets/avstPQqLr3Ab3ZdcVTXZ6f/data/673518857/attachments/attiwMcndwW97CbhgJ3fRq5t/" TargetMode="External"/><Relationship Id="rId31" Type="http://schemas.openxmlformats.org/officeDocument/2006/relationships/hyperlink" Target="https://kf.kobotoolbox.org/api/v2/assets/avstPQqLr3Ab3ZdcVTXZ6f/data/671388954/attachments/attBVEW7eVWCLJeawdNL52w6/" TargetMode="External"/><Relationship Id="rId30" Type="http://schemas.openxmlformats.org/officeDocument/2006/relationships/hyperlink" Target="https://kf.kobotoolbox.org/api/v2/assets/avstPQqLr3Ab3ZdcVTXZ6f/data/671388954/attachments/attSEFpf2AziKJdmSjZiUTmf/" TargetMode="External"/><Relationship Id="rId33" Type="http://schemas.openxmlformats.org/officeDocument/2006/relationships/hyperlink" Target="https://kf.kobotoolbox.org/api/v2/assets/avstPQqLr3Ab3ZdcVTXZ6f/data/671409329/attachments/attJxaMbJGW9BNrL67A8ZPAb/" TargetMode="External"/><Relationship Id="rId32" Type="http://schemas.openxmlformats.org/officeDocument/2006/relationships/hyperlink" Target="https://kf.kobotoolbox.org/api/v2/assets/avstPQqLr3Ab3ZdcVTXZ6f/data/671409329/attachments/attUnxFVvMXRdus7XX55Pkwj/" TargetMode="External"/><Relationship Id="rId35" Type="http://schemas.openxmlformats.org/officeDocument/2006/relationships/hyperlink" Target="https://kf.kobotoolbox.org/api/v2/assets/avstPQqLr3Ab3ZdcVTXZ6f/data/671413321/attachments/attfH77AG3uCJjCnuNiK9AYo/" TargetMode="External"/><Relationship Id="rId34" Type="http://schemas.openxmlformats.org/officeDocument/2006/relationships/hyperlink" Target="https://kf.kobotoolbox.org/api/v2/assets/avstPQqLr3Ab3ZdcVTXZ6f/data/671413321/attachments/attcwiCFVdWQCnQJk4zFkqmR/" TargetMode="External"/><Relationship Id="rId37" Type="http://schemas.openxmlformats.org/officeDocument/2006/relationships/hyperlink" Target="https://kf.kobotoolbox.org/api/v2/assets/avstPQqLr3Ab3ZdcVTXZ6f/data/671794487/attachments/attqvV89dcMEpvUdAFxAHwSd/" TargetMode="External"/><Relationship Id="rId36" Type="http://schemas.openxmlformats.org/officeDocument/2006/relationships/hyperlink" Target="https://kf.kobotoolbox.org/api/v2/assets/avstPQqLr3Ab3ZdcVTXZ6f/data/671794487/attachments/atts9zpyyXs3x499HwTYPaNM/" TargetMode="External"/><Relationship Id="rId39" Type="http://schemas.openxmlformats.org/officeDocument/2006/relationships/hyperlink" Target="https://kf.kobotoolbox.org/api/v2/assets/avstPQqLr3Ab3ZdcVTXZ6f/data/671796147/attachments/attBCPmWynyknreyNwzvFaUQ/" TargetMode="External"/><Relationship Id="rId38" Type="http://schemas.openxmlformats.org/officeDocument/2006/relationships/hyperlink" Target="https://kf.kobotoolbox.org/api/v2/assets/avstPQqLr3Ab3ZdcVTXZ6f/data/671796147/attachments/attKj66PuWU63D6BVN4oMUiQ/" TargetMode="External"/><Relationship Id="rId20" Type="http://schemas.openxmlformats.org/officeDocument/2006/relationships/hyperlink" Target="https://kf.kobotoolbox.org/api/v2/assets/avstPQqLr3Ab3ZdcVTXZ6f/data/667231397/attachments/attJo39VAjassJZjM8HdU3iu/" TargetMode="External"/><Relationship Id="rId22" Type="http://schemas.openxmlformats.org/officeDocument/2006/relationships/hyperlink" Target="https://drive.google.com/drive/folders/1OaxybV_5AZznQVPhsboho4CY8IA9ILeH" TargetMode="External"/><Relationship Id="rId21" Type="http://schemas.openxmlformats.org/officeDocument/2006/relationships/hyperlink" Target="https://kf.kobotoolbox.org/api/v2/assets/avstPQqLr3Ab3ZdcVTXZ6f/data/667231397/attachments/attTzuQskB4uA4AySRKn4evQ/" TargetMode="External"/><Relationship Id="rId24" Type="http://schemas.openxmlformats.org/officeDocument/2006/relationships/hyperlink" Target="https://kf.kobotoolbox.org/api/v2/assets/avstPQqLr3Ab3ZdcVTXZ6f/data/668776785/attachments/attZNmDfit89QrDaBxaTB6jb/" TargetMode="External"/><Relationship Id="rId23" Type="http://schemas.openxmlformats.org/officeDocument/2006/relationships/hyperlink" Target="https://drive.google.com/drive/folders/1OaxybV_5AZznQVPhsboho4CY8IA9ILeH" TargetMode="External"/><Relationship Id="rId26" Type="http://schemas.openxmlformats.org/officeDocument/2006/relationships/hyperlink" Target="https://kf.kobotoolbox.org/api/v2/assets/avstPQqLr3Ab3ZdcVTXZ6f/data/670994701/attachments/attXwMZorUU25n4jARKCxpks/" TargetMode="External"/><Relationship Id="rId25" Type="http://schemas.openxmlformats.org/officeDocument/2006/relationships/hyperlink" Target="https://kf.kobotoolbox.org/api/v2/assets/avstPQqLr3Ab3ZdcVTXZ6f/data/668776785/attachments/attnCgtEEw5qYiTug8bhAwLZ/" TargetMode="External"/><Relationship Id="rId28" Type="http://schemas.openxmlformats.org/officeDocument/2006/relationships/hyperlink" Target="https://kf.kobotoolbox.org/api/v2/assets/avstPQqLr3Ab3ZdcVTXZ6f/data/671100060/attachments/attUe3uCrc5QkQBvLNuhWRDu/" TargetMode="External"/><Relationship Id="rId27" Type="http://schemas.openxmlformats.org/officeDocument/2006/relationships/hyperlink" Target="https://kf.kobotoolbox.org/api/v2/assets/avstPQqLr3Ab3ZdcVTXZ6f/data/670994701/attachments/attUGFgeGgo29ToeiAvwxW37/" TargetMode="External"/><Relationship Id="rId29" Type="http://schemas.openxmlformats.org/officeDocument/2006/relationships/hyperlink" Target="https://kf.kobotoolbox.org/api/v2/assets/avstPQqLr3Ab3ZdcVTXZ6f/data/671100060/attachments/attNufME6w3qkLa7ZKqLgWFS/" TargetMode="External"/><Relationship Id="rId95" Type="http://schemas.openxmlformats.org/officeDocument/2006/relationships/hyperlink" Target="https://kf.kobotoolbox.org/api/v2/assets/avstPQqLr3Ab3ZdcVTXZ6f/data/673469440/attachments/attFhM9XMge3zbgayJhVZnPN/" TargetMode="External"/><Relationship Id="rId94" Type="http://schemas.openxmlformats.org/officeDocument/2006/relationships/hyperlink" Target="https://kf.kobotoolbox.org/api/v2/assets/avstPQqLr3Ab3ZdcVTXZ6f/data/673469440/attachments/attXJjsHCjkiAkuPhUmALf7u/" TargetMode="External"/><Relationship Id="rId97" Type="http://schemas.openxmlformats.org/officeDocument/2006/relationships/hyperlink" Target="https://kf.kobotoolbox.org/api/v2/assets/avstPQqLr3Ab3ZdcVTXZ6f/data/673505160/attachments/attsRPtCo568etcDFxvAwwPG/" TargetMode="External"/><Relationship Id="rId96" Type="http://schemas.openxmlformats.org/officeDocument/2006/relationships/hyperlink" Target="https://kf.kobotoolbox.org/api/v2/assets/avstPQqLr3Ab3ZdcVTXZ6f/data/673505160/attachments/attGaWbpnDhFVbbazn7YspjZ/" TargetMode="External"/><Relationship Id="rId11" Type="http://schemas.openxmlformats.org/officeDocument/2006/relationships/hyperlink" Target="https://kf.kobotoolbox.org/api/v2/assets/avstPQqLr3Ab3ZdcVTXZ6f/data/666757182/attachments/attUmHMLMKGougYvFdDabhiy/" TargetMode="External"/><Relationship Id="rId99" Type="http://schemas.openxmlformats.org/officeDocument/2006/relationships/hyperlink" Target="https://kf.kobotoolbox.org/api/v2/assets/avstPQqLr3Ab3ZdcVTXZ6f/data/673511039/attachments/att8zMWM9JkeQN3wszEwSAot/" TargetMode="External"/><Relationship Id="rId10" Type="http://schemas.openxmlformats.org/officeDocument/2006/relationships/hyperlink" Target="https://kf.kobotoolbox.org/api/v2/assets/avstPQqLr3Ab3ZdcVTXZ6f/data/666757182/attachments/attpcLVSoFL5aU2WnD7GpcnC/" TargetMode="External"/><Relationship Id="rId98" Type="http://schemas.openxmlformats.org/officeDocument/2006/relationships/hyperlink" Target="https://kf.kobotoolbox.org/api/v2/assets/avstPQqLr3Ab3ZdcVTXZ6f/data/673511039/attachments/attkeCPsmYXrF5JDxdT6obVg/" TargetMode="External"/><Relationship Id="rId13" Type="http://schemas.openxmlformats.org/officeDocument/2006/relationships/hyperlink" Target="https://kf.kobotoolbox.org/api/v2/assets/avstPQqLr3Ab3ZdcVTXZ6f/data/666776091/attachments/attsyAVTDdXu5bvrPJtJHVmb/" TargetMode="External"/><Relationship Id="rId12" Type="http://schemas.openxmlformats.org/officeDocument/2006/relationships/hyperlink" Target="https://kf.kobotoolbox.org/api/v2/assets/avstPQqLr3Ab3ZdcVTXZ6f/data/666776091/attachments/attxm3dqMfmEu3X6beSEchNp/" TargetMode="External"/><Relationship Id="rId91" Type="http://schemas.openxmlformats.org/officeDocument/2006/relationships/hyperlink" Target="https://kf.kobotoolbox.org/api/v2/assets/avstPQqLr3Ab3ZdcVTXZ6f/data/673449102/attachments/att7vcNdWuD6n7QcTU8mwF5G/" TargetMode="External"/><Relationship Id="rId90" Type="http://schemas.openxmlformats.org/officeDocument/2006/relationships/hyperlink" Target="https://kf.kobotoolbox.org/api/v2/assets/avstPQqLr3Ab3ZdcVTXZ6f/data/673449102/attachments/attGs6QocvFpDcxK2EqdJXeM/" TargetMode="External"/><Relationship Id="rId93" Type="http://schemas.openxmlformats.org/officeDocument/2006/relationships/hyperlink" Target="https://kf.kobotoolbox.org/api/v2/assets/avstPQqLr3Ab3ZdcVTXZ6f/data/673459136/attachments/attus258rA85fMy6itzwj5Fd/" TargetMode="External"/><Relationship Id="rId92" Type="http://schemas.openxmlformats.org/officeDocument/2006/relationships/hyperlink" Target="https://kf.kobotoolbox.org/api/v2/assets/avstPQqLr3Ab3ZdcVTXZ6f/data/673459136/attachments/attZxBEG8Lhs7iVcKqxc7wUF/" TargetMode="External"/><Relationship Id="rId15" Type="http://schemas.openxmlformats.org/officeDocument/2006/relationships/hyperlink" Target="https://kf.kobotoolbox.org/api/v2/assets/avstPQqLr3Ab3ZdcVTXZ6f/data/666790955/attachments/attPrSwvJ5EvfgMp8domSxNB/" TargetMode="External"/><Relationship Id="rId110" Type="http://schemas.openxmlformats.org/officeDocument/2006/relationships/drawing" Target="../drawings/drawing2.xml"/><Relationship Id="rId14" Type="http://schemas.openxmlformats.org/officeDocument/2006/relationships/hyperlink" Target="https://kf.kobotoolbox.org/api/v2/assets/avstPQqLr3Ab3ZdcVTXZ6f/data/666790955/attachments/attRW95Krqrc3RXTPCcKcUDE/" TargetMode="External"/><Relationship Id="rId17" Type="http://schemas.openxmlformats.org/officeDocument/2006/relationships/hyperlink" Target="https://kf.kobotoolbox.org/api/v2/assets/avstPQqLr3Ab3ZdcVTXZ6f/data/666922248/attachments/attNV9PGH4KTitZWvC2MgEy5/" TargetMode="External"/><Relationship Id="rId16" Type="http://schemas.openxmlformats.org/officeDocument/2006/relationships/hyperlink" Target="https://kf.kobotoolbox.org/api/v2/assets/avstPQqLr3Ab3ZdcVTXZ6f/data/666922248/attachments/attFPbg7Ge7rQvs2PWeLnw2n/" TargetMode="External"/><Relationship Id="rId19" Type="http://schemas.openxmlformats.org/officeDocument/2006/relationships/hyperlink" Target="https://kf.kobotoolbox.org/api/v2/assets/avstPQqLr3Ab3ZdcVTXZ6f/data/667204904/attachments/atta6GG9NpjpGzwtNPLEDqeY/" TargetMode="External"/><Relationship Id="rId18" Type="http://schemas.openxmlformats.org/officeDocument/2006/relationships/hyperlink" Target="https://kf.kobotoolbox.org/api/v2/assets/avstPQqLr3Ab3ZdcVTXZ6f/data/667204904/attachments/attWFveHz6Q4b32fgBoxEyoo/" TargetMode="External"/><Relationship Id="rId111" Type="http://schemas.openxmlformats.org/officeDocument/2006/relationships/vmlDrawing" Target="../drawings/vmlDrawing2.vml"/><Relationship Id="rId84" Type="http://schemas.openxmlformats.org/officeDocument/2006/relationships/hyperlink" Target="https://kf.kobotoolbox.org/api/v2/assets/avstPQqLr3Ab3ZdcVTXZ6f/data/673232444/attachments/attbAQV6qc5drBWoQJuskVBe/" TargetMode="External"/><Relationship Id="rId83" Type="http://schemas.openxmlformats.org/officeDocument/2006/relationships/hyperlink" Target="https://kf.kobotoolbox.org/api/v2/assets/avstPQqLr3Ab3ZdcVTXZ6f/data/673230108/attachments/attD2EXeANJr4VCb3TUs4PLN/" TargetMode="External"/><Relationship Id="rId86" Type="http://schemas.openxmlformats.org/officeDocument/2006/relationships/hyperlink" Target="https://kf.kobotoolbox.org/api/v2/assets/avstPQqLr3Ab3ZdcVTXZ6f/data/673236048/attachments/attc4fh25BNYJsDRvqhEQANi/" TargetMode="External"/><Relationship Id="rId85" Type="http://schemas.openxmlformats.org/officeDocument/2006/relationships/hyperlink" Target="https://kf.kobotoolbox.org/api/v2/assets/avstPQqLr3Ab3ZdcVTXZ6f/data/673232444/attachments/attGGQJJU45xsdmtSnKKD2fV/" TargetMode="External"/><Relationship Id="rId88" Type="http://schemas.openxmlformats.org/officeDocument/2006/relationships/hyperlink" Target="https://kf.kobotoolbox.org/api/v2/assets/avstPQqLr3Ab3ZdcVTXZ6f/data/673441558/attachments/att9b3EwgRroUijwjcQFk32B/" TargetMode="External"/><Relationship Id="rId87" Type="http://schemas.openxmlformats.org/officeDocument/2006/relationships/hyperlink" Target="https://kf.kobotoolbox.org/api/v2/assets/avstPQqLr3Ab3ZdcVTXZ6f/data/673236048/attachments/att8og4DELe9cc5DV6G6Vx4g/" TargetMode="External"/><Relationship Id="rId89" Type="http://schemas.openxmlformats.org/officeDocument/2006/relationships/hyperlink" Target="https://kf.kobotoolbox.org/api/v2/assets/avstPQqLr3Ab3ZdcVTXZ6f/data/673441558/attachments/attVSraCmaJ7vpg3H3hxxxUb/" TargetMode="External"/><Relationship Id="rId80" Type="http://schemas.openxmlformats.org/officeDocument/2006/relationships/hyperlink" Target="https://kf.kobotoolbox.org/api/v2/assets/avstPQqLr3Ab3ZdcVTXZ6f/data/672978537/attachments/attgvyq44CxLAWMaYyzZDpnH/" TargetMode="External"/><Relationship Id="rId82" Type="http://schemas.openxmlformats.org/officeDocument/2006/relationships/hyperlink" Target="https://kf.kobotoolbox.org/api/v2/assets/avstPQqLr3Ab3ZdcVTXZ6f/data/673230108/attachments/att56Jw9FEsJDFtnQV6oKk8c/" TargetMode="External"/><Relationship Id="rId81" Type="http://schemas.openxmlformats.org/officeDocument/2006/relationships/hyperlink" Target="https://kf.kobotoolbox.org/api/v2/assets/avstPQqLr3Ab3ZdcVTXZ6f/data/672978537/attachments/attLEQYWXrHcpZjvJpJaWHSU/" TargetMode="External"/><Relationship Id="rId1" Type="http://schemas.openxmlformats.org/officeDocument/2006/relationships/comments" Target="../comments2.xml"/><Relationship Id="rId2" Type="http://schemas.openxmlformats.org/officeDocument/2006/relationships/hyperlink" Target="https://drive.google.com/drive/folders/1MBSuJmomFFgYSRIkbDt3pNqfBAMkNO5z" TargetMode="External"/><Relationship Id="rId3" Type="http://schemas.openxmlformats.org/officeDocument/2006/relationships/hyperlink" Target="https://drive.google.com/drive/folders/1MBSuJmomFFgYSRIkbDt3pNqfBAMkNO5z" TargetMode="External"/><Relationship Id="rId4" Type="http://schemas.openxmlformats.org/officeDocument/2006/relationships/hyperlink" Target="https://kf.kobotoolbox.org/api/v2/assets/avstPQqLr3Ab3ZdcVTXZ6f/data/665482326/attachments/attDNyGNxPHANeg3sMdXEP6h/" TargetMode="External"/><Relationship Id="rId9" Type="http://schemas.openxmlformats.org/officeDocument/2006/relationships/hyperlink" Target="https://kf.kobotoolbox.org/api/v2/assets/avstPQqLr3Ab3ZdcVTXZ6f/data/666665905/attachments/attxrBMzeUPvpkKaKmpJpkrz/" TargetMode="External"/><Relationship Id="rId5" Type="http://schemas.openxmlformats.org/officeDocument/2006/relationships/hyperlink" Target="https://kf.kobotoolbox.org/api/v2/assets/avstPQqLr3Ab3ZdcVTXZ6f/data/665482326/attachments/att5XMXrbCuasDQ2abHvgyyN/" TargetMode="External"/><Relationship Id="rId6" Type="http://schemas.openxmlformats.org/officeDocument/2006/relationships/hyperlink" Target="https://kf.kobotoolbox.org/api/v2/assets/avstPQqLr3Ab3ZdcVTXZ6f/data/666067792/attachments/attmqV7NnfnQea3cNMhEna4J/" TargetMode="External"/><Relationship Id="rId7" Type="http://schemas.openxmlformats.org/officeDocument/2006/relationships/hyperlink" Target="https://kf.kobotoolbox.org/api/v2/assets/avstPQqLr3Ab3ZdcVTXZ6f/data/666067792/attachments/attE5HwDReNZ4qxY9VpEyaKx/" TargetMode="External"/><Relationship Id="rId8" Type="http://schemas.openxmlformats.org/officeDocument/2006/relationships/hyperlink" Target="https://kf.kobotoolbox.org/api/v2/assets/avstPQqLr3Ab3ZdcVTXZ6f/data/666665905/attachments/att9oJgHEoQskbCYGaDSakpp/" TargetMode="External"/><Relationship Id="rId73" Type="http://schemas.openxmlformats.org/officeDocument/2006/relationships/hyperlink" Target="https://kf.kobotoolbox.org/api/v2/assets/avstPQqLr3Ab3ZdcVTXZ6f/data/672852898/attachments/atte9PE6uKEtUdAHM8uKLy7o/" TargetMode="External"/><Relationship Id="rId72" Type="http://schemas.openxmlformats.org/officeDocument/2006/relationships/hyperlink" Target="https://kf.kobotoolbox.org/api/v2/assets/avstPQqLr3Ab3ZdcVTXZ6f/data/672852898/attachments/attv6xDNwp8iBXPfHXxSAsjG/" TargetMode="External"/><Relationship Id="rId75" Type="http://schemas.openxmlformats.org/officeDocument/2006/relationships/hyperlink" Target="https://kf.kobotoolbox.org/api/v2/assets/avstPQqLr3Ab3ZdcVTXZ6f/data/672868714/attachments/att65iATyRAPvKdwNRJV8EQv/" TargetMode="External"/><Relationship Id="rId74" Type="http://schemas.openxmlformats.org/officeDocument/2006/relationships/hyperlink" Target="https://kf.kobotoolbox.org/api/v2/assets/avstPQqLr3Ab3ZdcVTXZ6f/data/672868714/attachments/attheZa76TGKmamWaDUEPnAk/" TargetMode="External"/><Relationship Id="rId77" Type="http://schemas.openxmlformats.org/officeDocument/2006/relationships/hyperlink" Target="https://kf.kobotoolbox.org/api/v2/assets/avstPQqLr3Ab3ZdcVTXZ6f/data/672870528/attachments/atteCTFvF65FtTquLNQijNET/" TargetMode="External"/><Relationship Id="rId76" Type="http://schemas.openxmlformats.org/officeDocument/2006/relationships/hyperlink" Target="https://kf.kobotoolbox.org/api/v2/assets/avstPQqLr3Ab3ZdcVTXZ6f/data/672870528/attachments/attUMB45vfkwioEQW8bz6CLN/" TargetMode="External"/><Relationship Id="rId79" Type="http://schemas.openxmlformats.org/officeDocument/2006/relationships/hyperlink" Target="https://kf.kobotoolbox.org/api/v2/assets/avstPQqLr3Ab3ZdcVTXZ6f/data/672890663/attachments/atttMfUsriZgcverjrjnPZCJ/" TargetMode="External"/><Relationship Id="rId78" Type="http://schemas.openxmlformats.org/officeDocument/2006/relationships/hyperlink" Target="https://kf.kobotoolbox.org/api/v2/assets/avstPQqLr3Ab3ZdcVTXZ6f/data/672890663/attachments/attYvygf7PohGzc46VoKSUyY/" TargetMode="External"/><Relationship Id="rId71" Type="http://schemas.openxmlformats.org/officeDocument/2006/relationships/hyperlink" Target="https://kf.kobotoolbox.org/api/v2/assets/avstPQqLr3Ab3ZdcVTXZ6f/data/672797990/attachments/attLkVxxGsCxnahgXKixpDY5/" TargetMode="External"/><Relationship Id="rId70" Type="http://schemas.openxmlformats.org/officeDocument/2006/relationships/hyperlink" Target="https://kf.kobotoolbox.org/api/v2/assets/avstPQqLr3Ab3ZdcVTXZ6f/data/672797990/attachments/attUNKRU3XmcaxzJbdkjSErj/" TargetMode="External"/><Relationship Id="rId62" Type="http://schemas.openxmlformats.org/officeDocument/2006/relationships/hyperlink" Target="https://kf.kobotoolbox.org/api/v2/assets/avstPQqLr3Ab3ZdcVTXZ6f/data/672522073/attachments/attSwMnqdo7NBUsdoGNGxeoE/" TargetMode="External"/><Relationship Id="rId61" Type="http://schemas.openxmlformats.org/officeDocument/2006/relationships/hyperlink" Target="https://kf.kobotoolbox.org/api/v2/assets/avstPQqLr3Ab3ZdcVTXZ6f/data/672509882/attachments/attRvsEMhgW6rf6unAKkooBt/" TargetMode="External"/><Relationship Id="rId64" Type="http://schemas.openxmlformats.org/officeDocument/2006/relationships/hyperlink" Target="https://kf.kobotoolbox.org/api/v2/assets/avstPQqLr3Ab3ZdcVTXZ6f/data/672744653/attachments/attax8XGNt8wo7LxZwW6dYwy/" TargetMode="External"/><Relationship Id="rId63" Type="http://schemas.openxmlformats.org/officeDocument/2006/relationships/hyperlink" Target="https://kf.kobotoolbox.org/api/v2/assets/avstPQqLr3Ab3ZdcVTXZ6f/data/672522073/attachments/att8iLmFxKxQTkFzndebhb85/" TargetMode="External"/><Relationship Id="rId66" Type="http://schemas.openxmlformats.org/officeDocument/2006/relationships/hyperlink" Target="https://kf.kobotoolbox.org/api/v2/assets/avstPQqLr3Ab3ZdcVTXZ6f/data/672776808/attachments/attR4fsMDge9xt2TrMGgjdoG/" TargetMode="External"/><Relationship Id="rId65" Type="http://schemas.openxmlformats.org/officeDocument/2006/relationships/hyperlink" Target="https://kf.kobotoolbox.org/api/v2/assets/avstPQqLr3Ab3ZdcVTXZ6f/data/672744653/attachments/attUVU636kqoxsk7b6JAUx37/" TargetMode="External"/><Relationship Id="rId68" Type="http://schemas.openxmlformats.org/officeDocument/2006/relationships/hyperlink" Target="https://kf.kobotoolbox.org/api/v2/assets/avstPQqLr3Ab3ZdcVTXZ6f/data/672784438/attachments/att52tusTaXibfRrovXHk9UT/" TargetMode="External"/><Relationship Id="rId67" Type="http://schemas.openxmlformats.org/officeDocument/2006/relationships/hyperlink" Target="https://kf.kobotoolbox.org/api/v2/assets/avstPQqLr3Ab3ZdcVTXZ6f/data/672776808/attachments/att6SvzeFB7N22WNdVj2XpmA/" TargetMode="External"/><Relationship Id="rId60" Type="http://schemas.openxmlformats.org/officeDocument/2006/relationships/hyperlink" Target="https://kf.kobotoolbox.org/api/v2/assets/avstPQqLr3Ab3ZdcVTXZ6f/data/672509882/attachments/att3bPjGjQQC6oAWgutgpzvr/" TargetMode="External"/><Relationship Id="rId69" Type="http://schemas.openxmlformats.org/officeDocument/2006/relationships/hyperlink" Target="https://kf.kobotoolbox.org/api/v2/assets/avstPQqLr3Ab3ZdcVTXZ6f/data/672784438/attachments/attYUXg7KoxUYpEnqYbiQzq4/" TargetMode="External"/><Relationship Id="rId51" Type="http://schemas.openxmlformats.org/officeDocument/2006/relationships/hyperlink" Target="https://kf.kobotoolbox.org/api/v2/assets/avstPQqLr3Ab3ZdcVTXZ6f/data/672437881/attachments/attR4K9sDjAG7RH9EvNNgoT8/" TargetMode="External"/><Relationship Id="rId50" Type="http://schemas.openxmlformats.org/officeDocument/2006/relationships/hyperlink" Target="https://kf.kobotoolbox.org/api/v2/assets/avstPQqLr3Ab3ZdcVTXZ6f/data/672437881/attachments/attncU4GdUFjincEXSKZmfGQ/" TargetMode="External"/><Relationship Id="rId53" Type="http://schemas.openxmlformats.org/officeDocument/2006/relationships/hyperlink" Target="https://kf.kobotoolbox.org/api/v2/assets/avstPQqLr3Ab3ZdcVTXZ6f/data/672450186/attachments/attGdxzpwd3YP4CDpVYg5s87/" TargetMode="External"/><Relationship Id="rId52" Type="http://schemas.openxmlformats.org/officeDocument/2006/relationships/hyperlink" Target="https://kf.kobotoolbox.org/api/v2/assets/avstPQqLr3Ab3ZdcVTXZ6f/data/672450186/attachments/att8Nv5N5YbaQyvKo56v5aTu/" TargetMode="External"/><Relationship Id="rId55" Type="http://schemas.openxmlformats.org/officeDocument/2006/relationships/hyperlink" Target="https://kf.kobotoolbox.org/api/v2/assets/avstPQqLr3Ab3ZdcVTXZ6f/data/672486535/attachments/att9TZNNMGBnERynehXkcx6x/" TargetMode="External"/><Relationship Id="rId54" Type="http://schemas.openxmlformats.org/officeDocument/2006/relationships/hyperlink" Target="https://kf.kobotoolbox.org/api/v2/assets/avstPQqLr3Ab3ZdcVTXZ6f/data/672486535/attachments/attBUrMRJk4J6vTBKDQKsRsX/" TargetMode="External"/><Relationship Id="rId57" Type="http://schemas.openxmlformats.org/officeDocument/2006/relationships/hyperlink" Target="https://kf.kobotoolbox.org/api/v2/assets/avstPQqLr3Ab3ZdcVTXZ6f/data/672493794/attachments/attZJDBeExNxYrFugZhbgSCP/" TargetMode="External"/><Relationship Id="rId56" Type="http://schemas.openxmlformats.org/officeDocument/2006/relationships/hyperlink" Target="https://kf.kobotoolbox.org/api/v2/assets/avstPQqLr3Ab3ZdcVTXZ6f/data/672493794/attachments/attGXFrFUpKs6ScFewHSmC2k/" TargetMode="External"/><Relationship Id="rId59" Type="http://schemas.openxmlformats.org/officeDocument/2006/relationships/hyperlink" Target="https://kf.kobotoolbox.org/api/v2/assets/avstPQqLr3Ab3ZdcVTXZ6f/data/672501043/attachments/attYwj3KU2ygpaMNTGWag5j9/" TargetMode="External"/><Relationship Id="rId58" Type="http://schemas.openxmlformats.org/officeDocument/2006/relationships/hyperlink" Target="https://kf.kobotoolbox.org/api/v2/assets/avstPQqLr3Ab3ZdcVTXZ6f/data/672501043/attachments/att3f6r3eQW9sgrD8jS5TQXH/"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kf.kobotoolbox.org/api/v2/assets/avstPQqLr3Ab3ZdcVTXZ6f/data/665011374/attachments/att7EwZDLqwviWARnLCkfLPY/" TargetMode="External"/><Relationship Id="rId42" Type="http://schemas.openxmlformats.org/officeDocument/2006/relationships/hyperlink" Target="https://kf.kobotoolbox.org/api/v2/assets/avstPQqLr3Ab3ZdcVTXZ6f/data/665042048/attachments/att9USKNgxStC3A3opUqF5V3/" TargetMode="External"/><Relationship Id="rId41" Type="http://schemas.openxmlformats.org/officeDocument/2006/relationships/hyperlink" Target="https://kf.kobotoolbox.org/api/v2/assets/avstPQqLr3Ab3ZdcVTXZ6f/data/665011374/attachments/att88S36n3JDx3SejpMEfXUD/" TargetMode="External"/><Relationship Id="rId44" Type="http://schemas.openxmlformats.org/officeDocument/2006/relationships/hyperlink" Target="https://kf.kobotoolbox.org/api/v2/assets/avstPQqLr3Ab3ZdcVTXZ6f/data/665066481/attachments/attsrV2eF8wGkdagQDsUHnr4/" TargetMode="External"/><Relationship Id="rId43" Type="http://schemas.openxmlformats.org/officeDocument/2006/relationships/hyperlink" Target="https://kf.kobotoolbox.org/api/v2/assets/avstPQqLr3Ab3ZdcVTXZ6f/data/665042048/attachments/attCqtCxSUukbhXgrvmtbRJD/" TargetMode="External"/><Relationship Id="rId46" Type="http://schemas.openxmlformats.org/officeDocument/2006/relationships/hyperlink" Target="https://kf.kobotoolbox.org/api/v2/assets/avstPQqLr3Ab3ZdcVTXZ6f/data/665085276/attachments/attbSRgyNgii2SNg3RiRdMvz/" TargetMode="External"/><Relationship Id="rId45" Type="http://schemas.openxmlformats.org/officeDocument/2006/relationships/hyperlink" Target="https://kf.kobotoolbox.org/api/v2/assets/avstPQqLr3Ab3ZdcVTXZ6f/data/665066481/attachments/attYvpzZAhqnqJ5VwYyS9cdm/" TargetMode="External"/><Relationship Id="rId48" Type="http://schemas.openxmlformats.org/officeDocument/2006/relationships/hyperlink" Target="https://kf.kobotoolbox.org/api/v2/assets/avstPQqLr3Ab3ZdcVTXZ6f/data/665099497/attachments/attdy8u6qEhdxjSW4CsbFb5z/" TargetMode="External"/><Relationship Id="rId47" Type="http://schemas.openxmlformats.org/officeDocument/2006/relationships/hyperlink" Target="https://kf.kobotoolbox.org/api/v2/assets/avstPQqLr3Ab3ZdcVTXZ6f/data/665085276/attachments/att4NZ6LF7LLJ5HcLv4h8zqk/" TargetMode="External"/><Relationship Id="rId49" Type="http://schemas.openxmlformats.org/officeDocument/2006/relationships/hyperlink" Target="https://kf.kobotoolbox.org/api/v2/assets/avstPQqLr3Ab3ZdcVTXZ6f/data/665099497/attachments/attAYR9DiWdJD96b4YTLDa2G/" TargetMode="External"/><Relationship Id="rId31" Type="http://schemas.openxmlformats.org/officeDocument/2006/relationships/hyperlink" Target="https://kf.kobotoolbox.org/api/v2/assets/avstPQqLr3Ab3ZdcVTXZ6f/data/664970971/attachments/attzgH95GGEHYf7Ax4PPuuwP/" TargetMode="External"/><Relationship Id="rId30" Type="http://schemas.openxmlformats.org/officeDocument/2006/relationships/hyperlink" Target="https://kf.kobotoolbox.org/api/v2/assets/avstPQqLr3Ab3ZdcVTXZ6f/data/664970971/attachments/attBENjVuAtXCvUJxfAihxVi/" TargetMode="External"/><Relationship Id="rId33" Type="http://schemas.openxmlformats.org/officeDocument/2006/relationships/hyperlink" Target="https://kf.kobotoolbox.org/api/v2/assets/avstPQqLr3Ab3ZdcVTXZ6f/data/664970990/attachments/attKrzUSP5Kc7s3Fm7KCxXG9/" TargetMode="External"/><Relationship Id="rId32" Type="http://schemas.openxmlformats.org/officeDocument/2006/relationships/hyperlink" Target="https://kf.kobotoolbox.org/api/v2/assets/avstPQqLr3Ab3ZdcVTXZ6f/data/664970990/attachments/attNtEYAfs6pqQoxfUKXfk5z/" TargetMode="External"/><Relationship Id="rId35" Type="http://schemas.openxmlformats.org/officeDocument/2006/relationships/hyperlink" Target="https://kf.kobotoolbox.org/api/v2/assets/avstPQqLr3Ab3ZdcVTXZ6f/data/664971006/attachments/attz7sjURUM9FeYj4BLVyyeg/" TargetMode="External"/><Relationship Id="rId34" Type="http://schemas.openxmlformats.org/officeDocument/2006/relationships/hyperlink" Target="https://kf.kobotoolbox.org/api/v2/assets/avstPQqLr3Ab3ZdcVTXZ6f/data/664971006/attachments/attKbPqi6B8JoLNxDnmEv4oK/" TargetMode="External"/><Relationship Id="rId37" Type="http://schemas.openxmlformats.org/officeDocument/2006/relationships/hyperlink" Target="https://kf.kobotoolbox.org/api/v2/assets/avstPQqLr3Ab3ZdcVTXZ6f/data/664997343/attachments/attVksBjdwSRZtjcN89wCVvd/" TargetMode="External"/><Relationship Id="rId36" Type="http://schemas.openxmlformats.org/officeDocument/2006/relationships/hyperlink" Target="https://kf.kobotoolbox.org/api/v2/assets/avstPQqLr3Ab3ZdcVTXZ6f/data/664997343/attachments/attVrZMWQwADff4PdHsgRraq/" TargetMode="External"/><Relationship Id="rId39" Type="http://schemas.openxmlformats.org/officeDocument/2006/relationships/hyperlink" Target="https://kf.kobotoolbox.org/api/v2/assets/avstPQqLr3Ab3ZdcVTXZ6f/data/665003147/attachments/atttxNpXRj46PFvTmTkJcFam/" TargetMode="External"/><Relationship Id="rId38" Type="http://schemas.openxmlformats.org/officeDocument/2006/relationships/hyperlink" Target="https://kf.kobotoolbox.org/api/v2/assets/avstPQqLr3Ab3ZdcVTXZ6f/data/665003147/attachments/attTdFDvH9uFVMLRLssUjsgE/" TargetMode="External"/><Relationship Id="rId20" Type="http://schemas.openxmlformats.org/officeDocument/2006/relationships/hyperlink" Target="https://kf.kobotoolbox.org/api/v2/assets/avstPQqLr3Ab3ZdcVTXZ6f/data/664131805/attachments/att285TJCLKfuYdqDF2wSU2T/" TargetMode="External"/><Relationship Id="rId22" Type="http://schemas.openxmlformats.org/officeDocument/2006/relationships/hyperlink" Target="https://kf.kobotoolbox.org/api/v2/assets/avstPQqLr3Ab3ZdcVTXZ6f/data/664154789/attachments/attcnS7SMrty77tNvsK5yMBx/" TargetMode="External"/><Relationship Id="rId21" Type="http://schemas.openxmlformats.org/officeDocument/2006/relationships/hyperlink" Target="https://kf.kobotoolbox.org/api/v2/assets/avstPQqLr3Ab3ZdcVTXZ6f/data/664131805/attachments/attgDZhQsqxCfqyrWGMH8XAY/" TargetMode="External"/><Relationship Id="rId24" Type="http://schemas.openxmlformats.org/officeDocument/2006/relationships/hyperlink" Target="https://kf.kobotoolbox.org/api/v2/assets/avstPQqLr3Ab3ZdcVTXZ6f/data/664175534/attachments/attacM9rPSSxDJGWtMmET8Mf/" TargetMode="External"/><Relationship Id="rId23" Type="http://schemas.openxmlformats.org/officeDocument/2006/relationships/hyperlink" Target="https://kf.kobotoolbox.org/api/v2/assets/avstPQqLr3Ab3ZdcVTXZ6f/data/664154789/attachments/att4TpZ59f6aGydDxMSUQ2r2/" TargetMode="External"/><Relationship Id="rId26" Type="http://schemas.openxmlformats.org/officeDocument/2006/relationships/hyperlink" Target="https://kf.kobotoolbox.org/api/v2/assets/avstPQqLr3Ab3ZdcVTXZ6f/data/664202679/attachments/attWcQz4TLCaYMjWBoVRXXav/" TargetMode="External"/><Relationship Id="rId25" Type="http://schemas.openxmlformats.org/officeDocument/2006/relationships/hyperlink" Target="https://kf.kobotoolbox.org/api/v2/assets/avstPQqLr3Ab3ZdcVTXZ6f/data/664175534/attachments/attk996YBVkQGZURPPGVZv5n/" TargetMode="External"/><Relationship Id="rId28" Type="http://schemas.openxmlformats.org/officeDocument/2006/relationships/hyperlink" Target="https://kf.kobotoolbox.org/api/v2/assets/avstPQqLr3Ab3ZdcVTXZ6f/data/664224458/attachments/attcEBqiEz4K3tRuMrD76ZWX/" TargetMode="External"/><Relationship Id="rId27" Type="http://schemas.openxmlformats.org/officeDocument/2006/relationships/hyperlink" Target="https://kf.kobotoolbox.org/api/v2/assets/avstPQqLr3Ab3ZdcVTXZ6f/data/664202679/attachments/attq8wHhnwNA7GSJ3L3PFnhu/" TargetMode="External"/><Relationship Id="rId29" Type="http://schemas.openxmlformats.org/officeDocument/2006/relationships/hyperlink" Target="https://kf.kobotoolbox.org/api/v2/assets/avstPQqLr3Ab3ZdcVTXZ6f/data/664224458/attachments/attaxm3oeHaLbcH5F2i9mNsK/" TargetMode="External"/><Relationship Id="rId95" Type="http://schemas.openxmlformats.org/officeDocument/2006/relationships/hyperlink" Target="https://kf.kobotoolbox.org/api/v2/assets/avstPQqLr3Ab3ZdcVTXZ6f/data/668159886/attachments/attpwuTnJQDAwM5cDfi663bN/" TargetMode="External"/><Relationship Id="rId94" Type="http://schemas.openxmlformats.org/officeDocument/2006/relationships/hyperlink" Target="https://kf.kobotoolbox.org/api/v2/assets/avstPQqLr3Ab3ZdcVTXZ6f/data/668159886/attachments/attUuBDSurJKaR8ocTrz8uRG/" TargetMode="External"/><Relationship Id="rId97" Type="http://schemas.openxmlformats.org/officeDocument/2006/relationships/hyperlink" Target="https://kf.kobotoolbox.org/api/v2/assets/avstPQqLr3Ab3ZdcVTXZ6f/data/668196459/attachments/attWZWZHHsbPYKeqrcBRyBxv/" TargetMode="External"/><Relationship Id="rId96" Type="http://schemas.openxmlformats.org/officeDocument/2006/relationships/hyperlink" Target="https://kf.kobotoolbox.org/api/v2/assets/avstPQqLr3Ab3ZdcVTXZ6f/data/668196459/attachments/attFdtawFpgVv2Y2xvFJkeSG/" TargetMode="External"/><Relationship Id="rId11" Type="http://schemas.openxmlformats.org/officeDocument/2006/relationships/hyperlink" Target="https://kf.kobotoolbox.org/api/v2/assets/avstPQqLr3Ab3ZdcVTXZ6f/data/663655830/attachments/attfzvzMBtnrabApiEvRCRMS/" TargetMode="External"/><Relationship Id="rId99" Type="http://schemas.openxmlformats.org/officeDocument/2006/relationships/vmlDrawing" Target="../drawings/vmlDrawing3.vml"/><Relationship Id="rId10" Type="http://schemas.openxmlformats.org/officeDocument/2006/relationships/hyperlink" Target="https://kf.kobotoolbox.org/api/v2/assets/avstPQqLr3Ab3ZdcVTXZ6f/data/663655830/attachments/attMgVfQxjHGzHqxKorbqRsb/" TargetMode="External"/><Relationship Id="rId98" Type="http://schemas.openxmlformats.org/officeDocument/2006/relationships/drawing" Target="../drawings/drawing3.xml"/><Relationship Id="rId13" Type="http://schemas.openxmlformats.org/officeDocument/2006/relationships/hyperlink" Target="https://kf.kobotoolbox.org/api/v2/assets/avstPQqLr3Ab3ZdcVTXZ6f/data/663732541/attachments/attTDpcqVFTdYLvZAYYmCEtF/" TargetMode="External"/><Relationship Id="rId12" Type="http://schemas.openxmlformats.org/officeDocument/2006/relationships/hyperlink" Target="https://kf.kobotoolbox.org/api/v2/assets/avstPQqLr3Ab3ZdcVTXZ6f/data/663732541/attachments/attdwtkkxxWMPXzr9nFauzRu/" TargetMode="External"/><Relationship Id="rId91" Type="http://schemas.openxmlformats.org/officeDocument/2006/relationships/hyperlink" Target="https://kf.kobotoolbox.org/api/v2/assets/avstPQqLr3Ab3ZdcVTXZ6f/data/667233389/attachments/attyg7HC4aDTdQxvJM9Znsyf/" TargetMode="External"/><Relationship Id="rId90" Type="http://schemas.openxmlformats.org/officeDocument/2006/relationships/hyperlink" Target="https://kf.kobotoolbox.org/api/v2/assets/avstPQqLr3Ab3ZdcVTXZ6f/data/667233389/attachments/att9uZivzemxs5gCaQQBsxed/" TargetMode="External"/><Relationship Id="rId93" Type="http://schemas.openxmlformats.org/officeDocument/2006/relationships/hyperlink" Target="https://kf.kobotoolbox.org/api/v2/assets/avstPQqLr3Ab3ZdcVTXZ6f/data/667247006/attachments/attaNkxPRMwF7pzH5MMpauVg/" TargetMode="External"/><Relationship Id="rId92" Type="http://schemas.openxmlformats.org/officeDocument/2006/relationships/hyperlink" Target="https://kf.kobotoolbox.org/api/v2/assets/avstPQqLr3Ab3ZdcVTXZ6f/data/667247006/attachments/att5fwKxdHqtaDkxjVjyd7rT/" TargetMode="External"/><Relationship Id="rId15" Type="http://schemas.openxmlformats.org/officeDocument/2006/relationships/hyperlink" Target="https://kf.kobotoolbox.org/api/v2/assets/avstPQqLr3Ab3ZdcVTXZ6f/data/663773956/attachments/attuqTD9rXWjdtcYHAXBTusn/" TargetMode="External"/><Relationship Id="rId14" Type="http://schemas.openxmlformats.org/officeDocument/2006/relationships/hyperlink" Target="https://kf.kobotoolbox.org/api/v2/assets/avstPQqLr3Ab3ZdcVTXZ6f/data/663773956/attachments/attbVJCDPFzqny5Mf2G4f76U/" TargetMode="External"/><Relationship Id="rId17" Type="http://schemas.openxmlformats.org/officeDocument/2006/relationships/hyperlink" Target="https://kf.kobotoolbox.org/api/v2/assets/avstPQqLr3Ab3ZdcVTXZ6f/data/663839040/attachments/attb2fKMXnjBPsWkR8mJqUDQ/" TargetMode="External"/><Relationship Id="rId16" Type="http://schemas.openxmlformats.org/officeDocument/2006/relationships/hyperlink" Target="https://kf.kobotoolbox.org/api/v2/assets/avstPQqLr3Ab3ZdcVTXZ6f/data/663839040/attachments/attKugCHwDTgZrMTayGkn7Hh/" TargetMode="External"/><Relationship Id="rId19" Type="http://schemas.openxmlformats.org/officeDocument/2006/relationships/hyperlink" Target="https://kf.kobotoolbox.org/api/v2/assets/avstPQqLr3Ab3ZdcVTXZ6f/data/664110988/attachments/attyZDscvqHBpWZeb6shDZyX/" TargetMode="External"/><Relationship Id="rId18" Type="http://schemas.openxmlformats.org/officeDocument/2006/relationships/hyperlink" Target="https://kf.kobotoolbox.org/api/v2/assets/avstPQqLr3Ab3ZdcVTXZ6f/data/664110988/attachments/attG6zMJyNjggZFEUoF2m44U/" TargetMode="External"/><Relationship Id="rId84" Type="http://schemas.openxmlformats.org/officeDocument/2006/relationships/hyperlink" Target="https://kf.kobotoolbox.org/api/v2/assets/avstPQqLr3Ab3ZdcVTXZ6f/data/667182647/attachments/attY6RiyKNu9aebsPEVY2vxm/" TargetMode="External"/><Relationship Id="rId83" Type="http://schemas.openxmlformats.org/officeDocument/2006/relationships/hyperlink" Target="https://kf.kobotoolbox.org/api/v2/assets/avstPQqLr3Ab3ZdcVTXZ6f/data/667160464/attachments/attC6XtwipHZakW8ZPwo333J/" TargetMode="External"/><Relationship Id="rId86" Type="http://schemas.openxmlformats.org/officeDocument/2006/relationships/hyperlink" Target="https://kf.kobotoolbox.org/api/v2/assets/avstPQqLr3Ab3ZdcVTXZ6f/data/667200392/attachments/attjULQJGdp8dYNBmXG72kUf/" TargetMode="External"/><Relationship Id="rId85" Type="http://schemas.openxmlformats.org/officeDocument/2006/relationships/hyperlink" Target="https://kf.kobotoolbox.org/api/v2/assets/avstPQqLr3Ab3ZdcVTXZ6f/data/667182647/attachments/att2UkTCgxZBbyEnaz9Eb6gA/" TargetMode="External"/><Relationship Id="rId88" Type="http://schemas.openxmlformats.org/officeDocument/2006/relationships/hyperlink" Target="https://kf.kobotoolbox.org/api/v2/assets/avstPQqLr3Ab3ZdcVTXZ6f/data/667218601/attachments/atttkGVW59yjVieoKVxQarzX/" TargetMode="External"/><Relationship Id="rId87" Type="http://schemas.openxmlformats.org/officeDocument/2006/relationships/hyperlink" Target="https://kf.kobotoolbox.org/api/v2/assets/avstPQqLr3Ab3ZdcVTXZ6f/data/667200392/attachments/attvnvcnMsLqpmj3eQFtmmsC/" TargetMode="External"/><Relationship Id="rId89" Type="http://schemas.openxmlformats.org/officeDocument/2006/relationships/hyperlink" Target="https://kf.kobotoolbox.org/api/v2/assets/avstPQqLr3Ab3ZdcVTXZ6f/data/667218601/attachments/attSQ2SZ4QaDtatzYuiPRzsJ/" TargetMode="External"/><Relationship Id="rId80" Type="http://schemas.openxmlformats.org/officeDocument/2006/relationships/hyperlink" Target="https://kf.kobotoolbox.org/api/v2/assets/avstPQqLr3Ab3ZdcVTXZ6f/data/666561318/attachments/attkoyQMbBvofBoa6rUFAfoZ/" TargetMode="External"/><Relationship Id="rId82" Type="http://schemas.openxmlformats.org/officeDocument/2006/relationships/hyperlink" Target="https://kf.kobotoolbox.org/api/v2/assets/avstPQqLr3Ab3ZdcVTXZ6f/data/667160464/attachments/attoFMjjPayGMCCa7GjyJ5cP/" TargetMode="External"/><Relationship Id="rId81" Type="http://schemas.openxmlformats.org/officeDocument/2006/relationships/hyperlink" Target="https://kf.kobotoolbox.org/api/v2/assets/avstPQqLr3Ab3ZdcVTXZ6f/data/666561318/attachments/attiZeE8Jw9aMHLxxzaQiQNy/" TargetMode="External"/><Relationship Id="rId1" Type="http://schemas.openxmlformats.org/officeDocument/2006/relationships/comments" Target="../comments3.xml"/><Relationship Id="rId2" Type="http://schemas.openxmlformats.org/officeDocument/2006/relationships/hyperlink" Target="https://kf.kobotoolbox.org/api/v2/assets/avstPQqLr3Ab3ZdcVTXZ6f/data/663251533/attachments/attBWKrQCnTMv7auhU422Uu3/" TargetMode="External"/><Relationship Id="rId3" Type="http://schemas.openxmlformats.org/officeDocument/2006/relationships/hyperlink" Target="https://kf.kobotoolbox.org/api/v2/assets/avstPQqLr3Ab3ZdcVTXZ6f/data/663251533/attachments/attVVpXxpF3qsEnbUXJ79Htm/" TargetMode="External"/><Relationship Id="rId4" Type="http://schemas.openxmlformats.org/officeDocument/2006/relationships/hyperlink" Target="https://kf.kobotoolbox.org/api/v2/assets/avstPQqLr3Ab3ZdcVTXZ6f/data/663301002/attachments/attg4kP2W6ZMftBXbbYhXKqZ/" TargetMode="External"/><Relationship Id="rId9" Type="http://schemas.openxmlformats.org/officeDocument/2006/relationships/hyperlink" Target="https://kf.kobotoolbox.org/api/v2/assets/avstPQqLr3Ab3ZdcVTXZ6f/data/663630485/attachments/att6DkGeDscczRhQdqeYyGU3/" TargetMode="External"/><Relationship Id="rId5" Type="http://schemas.openxmlformats.org/officeDocument/2006/relationships/hyperlink" Target="https://kf.kobotoolbox.org/api/v2/assets/avstPQqLr3Ab3ZdcVTXZ6f/data/663301002/attachments/attN3Lf5vcXsmwf6Lre4jnYH/" TargetMode="External"/><Relationship Id="rId6" Type="http://schemas.openxmlformats.org/officeDocument/2006/relationships/hyperlink" Target="https://kf.kobotoolbox.org/api/v2/assets/avstPQqLr3Ab3ZdcVTXZ6f/data/663335540/attachments/att8QJmiQ6TDswj69xqWGwnB/" TargetMode="External"/><Relationship Id="rId7" Type="http://schemas.openxmlformats.org/officeDocument/2006/relationships/hyperlink" Target="https://kf.kobotoolbox.org/api/v2/assets/avstPQqLr3Ab3ZdcVTXZ6f/data/663335540/attachments/attdrQrJLATCmZAfwrJFtGPn/" TargetMode="External"/><Relationship Id="rId8" Type="http://schemas.openxmlformats.org/officeDocument/2006/relationships/hyperlink" Target="https://kf.kobotoolbox.org/api/v2/assets/avstPQqLr3Ab3ZdcVTXZ6f/data/663630485/attachments/att929sawMu4BTL72Yra6Ga7/" TargetMode="External"/><Relationship Id="rId73" Type="http://schemas.openxmlformats.org/officeDocument/2006/relationships/hyperlink" Target="https://kf.kobotoolbox.org/api/v2/assets/avstPQqLr3Ab3ZdcVTXZ6f/data/665992473/attachments/att4RSjtBsQjxgssPMkdyAiU/" TargetMode="External"/><Relationship Id="rId72" Type="http://schemas.openxmlformats.org/officeDocument/2006/relationships/hyperlink" Target="https://kf.kobotoolbox.org/api/v2/assets/avstPQqLr3Ab3ZdcVTXZ6f/data/665992473/attachments/attbFyceS73VZKbjtD8oswkP/" TargetMode="External"/><Relationship Id="rId75" Type="http://schemas.openxmlformats.org/officeDocument/2006/relationships/hyperlink" Target="https://kf.kobotoolbox.org/api/v2/assets/avstPQqLr3Ab3ZdcVTXZ6f/data/666003650/attachments/attANQ4W9y28a28qMKTbr7A4/" TargetMode="External"/><Relationship Id="rId74" Type="http://schemas.openxmlformats.org/officeDocument/2006/relationships/hyperlink" Target="https://kf.kobotoolbox.org/api/v2/assets/avstPQqLr3Ab3ZdcVTXZ6f/data/666003650/attachments/attCyCTev895ueqQ9Yxn2czk/" TargetMode="External"/><Relationship Id="rId77" Type="http://schemas.openxmlformats.org/officeDocument/2006/relationships/hyperlink" Target="https://kf.kobotoolbox.org/api/v2/assets/avstPQqLr3Ab3ZdcVTXZ6f/data/666541864/attachments/attQK2NzuFZwxWr5P7T37NYe/" TargetMode="External"/><Relationship Id="rId76" Type="http://schemas.openxmlformats.org/officeDocument/2006/relationships/hyperlink" Target="https://kf.kobotoolbox.org/api/v2/assets/avstPQqLr3Ab3ZdcVTXZ6f/data/666541864/attachments/attS62mFcBGTbMbxkyATgTz4/" TargetMode="External"/><Relationship Id="rId79" Type="http://schemas.openxmlformats.org/officeDocument/2006/relationships/hyperlink" Target="https://kf.kobotoolbox.org/api/v2/assets/avstPQqLr3Ab3ZdcVTXZ6f/data/666555256/attachments/att5DoBZ3YpwJWbRC7Ho7q6R/" TargetMode="External"/><Relationship Id="rId78" Type="http://schemas.openxmlformats.org/officeDocument/2006/relationships/hyperlink" Target="https://kf.kobotoolbox.org/api/v2/assets/avstPQqLr3Ab3ZdcVTXZ6f/data/666555256/attachments/attniYRuRgGHUdQiSwbNHnS6/" TargetMode="External"/><Relationship Id="rId71" Type="http://schemas.openxmlformats.org/officeDocument/2006/relationships/hyperlink" Target="https://kf.kobotoolbox.org/api/v2/assets/avstPQqLr3Ab3ZdcVTXZ6f/data/665962254/attachments/attaucif6YNQRYH87RRxQ9sQ/" TargetMode="External"/><Relationship Id="rId70" Type="http://schemas.openxmlformats.org/officeDocument/2006/relationships/hyperlink" Target="https://kf.kobotoolbox.org/api/v2/assets/avstPQqLr3Ab3ZdcVTXZ6f/data/665962254/attachments/attmHUfLEb2fVqvdZ2csMZej/" TargetMode="External"/><Relationship Id="rId62" Type="http://schemas.openxmlformats.org/officeDocument/2006/relationships/hyperlink" Target="https://kf.kobotoolbox.org/api/v2/assets/avstPQqLr3Ab3ZdcVTXZ6f/data/665917452/attachments/attqwjP3Dad7Ut8anhpoS4Ps/" TargetMode="External"/><Relationship Id="rId61" Type="http://schemas.openxmlformats.org/officeDocument/2006/relationships/hyperlink" Target="https://kf.kobotoolbox.org/api/v2/assets/avstPQqLr3Ab3ZdcVTXZ6f/data/665547526/attachments/attbojA8pLrc56DJvMFCAExD/" TargetMode="External"/><Relationship Id="rId64" Type="http://schemas.openxmlformats.org/officeDocument/2006/relationships/hyperlink" Target="https://kf.kobotoolbox.org/api/v2/assets/avstPQqLr3Ab3ZdcVTXZ6f/data/665929244/attachments/attuFGkg6tVzP5boDDMRyPDa/" TargetMode="External"/><Relationship Id="rId63" Type="http://schemas.openxmlformats.org/officeDocument/2006/relationships/hyperlink" Target="https://kf.kobotoolbox.org/api/v2/assets/avstPQqLr3Ab3ZdcVTXZ6f/data/665917452/attachments/attMZonA29XnmhPMbDFohDYS/" TargetMode="External"/><Relationship Id="rId66" Type="http://schemas.openxmlformats.org/officeDocument/2006/relationships/hyperlink" Target="https://kf.kobotoolbox.org/api/v2/assets/avstPQqLr3Ab3ZdcVTXZ6f/data/665938658/attachments/attiPrrTjiW7gxa5hztUCMvW/" TargetMode="External"/><Relationship Id="rId65" Type="http://schemas.openxmlformats.org/officeDocument/2006/relationships/hyperlink" Target="https://kf.kobotoolbox.org/api/v2/assets/avstPQqLr3Ab3ZdcVTXZ6f/data/665929244/attachments/att6EUWqjerbhTFxukVHKmY3/" TargetMode="External"/><Relationship Id="rId68" Type="http://schemas.openxmlformats.org/officeDocument/2006/relationships/hyperlink" Target="https://kf.kobotoolbox.org/api/v2/assets/avstPQqLr3Ab3ZdcVTXZ6f/data/665950621/attachments/attWqE5Rx6fxgqLnrLpyUmwe/" TargetMode="External"/><Relationship Id="rId67" Type="http://schemas.openxmlformats.org/officeDocument/2006/relationships/hyperlink" Target="https://kf.kobotoolbox.org/api/v2/assets/avstPQqLr3Ab3ZdcVTXZ6f/data/665938658/attachments/attwv9Yf9Raq48hjzQUdA6nN/" TargetMode="External"/><Relationship Id="rId60" Type="http://schemas.openxmlformats.org/officeDocument/2006/relationships/hyperlink" Target="https://kf.kobotoolbox.org/api/v2/assets/avstPQqLr3Ab3ZdcVTXZ6f/data/665547526/attachments/attU9W6AJ3HTbFwSW3PBjDkV/" TargetMode="External"/><Relationship Id="rId69" Type="http://schemas.openxmlformats.org/officeDocument/2006/relationships/hyperlink" Target="https://kf.kobotoolbox.org/api/v2/assets/avstPQqLr3Ab3ZdcVTXZ6f/data/665950621/attachments/att6ktxoJrEBj5uF2rbst6yp/" TargetMode="External"/><Relationship Id="rId51" Type="http://schemas.openxmlformats.org/officeDocument/2006/relationships/hyperlink" Target="https://kf.kobotoolbox.org/api/v2/assets/avstPQqLr3Ab3ZdcVTXZ6f/data/665129835/attachments/attbtWs4YRcXUzrqjM599hz4/" TargetMode="External"/><Relationship Id="rId50" Type="http://schemas.openxmlformats.org/officeDocument/2006/relationships/hyperlink" Target="https://kf.kobotoolbox.org/api/v2/assets/avstPQqLr3Ab3ZdcVTXZ6f/data/665129835/attachments/attReDcabQ7hgnkekFdNVwLp/" TargetMode="External"/><Relationship Id="rId53" Type="http://schemas.openxmlformats.org/officeDocument/2006/relationships/hyperlink" Target="https://kf.kobotoolbox.org/api/v2/assets/avstPQqLr3Ab3ZdcVTXZ6f/data/665480927/attachments/att9yndbhPyDhnfUnp5YMVe4/" TargetMode="External"/><Relationship Id="rId52" Type="http://schemas.openxmlformats.org/officeDocument/2006/relationships/hyperlink" Target="https://kf.kobotoolbox.org/api/v2/assets/avstPQqLr3Ab3ZdcVTXZ6f/data/665480927/attachments/attxY7XkNZWRiKNebot2CqUR/" TargetMode="External"/><Relationship Id="rId55" Type="http://schemas.openxmlformats.org/officeDocument/2006/relationships/hyperlink" Target="https://kf.kobotoolbox.org/api/v2/assets/avstPQqLr3Ab3ZdcVTXZ6f/data/665498025/attachments/attMPiatV9UdUhcWmg888Cxx/" TargetMode="External"/><Relationship Id="rId54" Type="http://schemas.openxmlformats.org/officeDocument/2006/relationships/hyperlink" Target="https://kf.kobotoolbox.org/api/v2/assets/avstPQqLr3Ab3ZdcVTXZ6f/data/665498025/attachments/att6cBZpmGhAKNyHwJ3Htpiq/" TargetMode="External"/><Relationship Id="rId57" Type="http://schemas.openxmlformats.org/officeDocument/2006/relationships/hyperlink" Target="https://kf.kobotoolbox.org/api/v2/assets/avstPQqLr3Ab3ZdcVTXZ6f/data/665515052/attachments/attszmJNs4e3VZBiQFjLf29F/" TargetMode="External"/><Relationship Id="rId56" Type="http://schemas.openxmlformats.org/officeDocument/2006/relationships/hyperlink" Target="https://kf.kobotoolbox.org/api/v2/assets/avstPQqLr3Ab3ZdcVTXZ6f/data/665515052/attachments/attbLAhA2vo7HCeA56ZwG6yr/" TargetMode="External"/><Relationship Id="rId59" Type="http://schemas.openxmlformats.org/officeDocument/2006/relationships/hyperlink" Target="https://kf.kobotoolbox.org/api/v2/assets/avstPQqLr3Ab3ZdcVTXZ6f/data/665529918/attachments/atteDtCPoXVYfePZhxir3X2H/" TargetMode="External"/><Relationship Id="rId58" Type="http://schemas.openxmlformats.org/officeDocument/2006/relationships/hyperlink" Target="https://kf.kobotoolbox.org/api/v2/assets/avstPQqLr3Ab3ZdcVTXZ6f/data/665529918/attachments/attneyv7m9zHBbX2u5Jdgs3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2" t="s">
        <v>93</v>
      </c>
      <c r="CQ1" s="2" t="s">
        <v>94</v>
      </c>
      <c r="CR1" s="2" t="s">
        <v>95</v>
      </c>
      <c r="CS1" s="2" t="s">
        <v>96</v>
      </c>
      <c r="CT1" s="2" t="s">
        <v>97</v>
      </c>
      <c r="CU1" s="2" t="s">
        <v>94</v>
      </c>
      <c r="CV1" s="2" t="s">
        <v>95</v>
      </c>
      <c r="CW1" s="2" t="s">
        <v>96</v>
      </c>
      <c r="CX1" s="1" t="s">
        <v>97</v>
      </c>
      <c r="CY1" s="2" t="s">
        <v>98</v>
      </c>
      <c r="CZ1" s="2" t="s">
        <v>99</v>
      </c>
      <c r="DA1" s="2" t="s">
        <v>100</v>
      </c>
      <c r="DB1" s="2" t="s">
        <v>101</v>
      </c>
      <c r="DC1" s="1" t="s">
        <v>102</v>
      </c>
      <c r="DD1" s="2" t="s">
        <v>103</v>
      </c>
      <c r="DE1" s="2" t="s">
        <v>104</v>
      </c>
      <c r="DF1" s="2" t="s">
        <v>105</v>
      </c>
      <c r="DG1" s="2" t="s">
        <v>106</v>
      </c>
      <c r="DH1" s="2" t="s">
        <v>107</v>
      </c>
      <c r="DI1" s="1" t="s">
        <v>108</v>
      </c>
      <c r="DJ1" s="2" t="s">
        <v>109</v>
      </c>
      <c r="DK1" s="2" t="s">
        <v>110</v>
      </c>
      <c r="DL1" s="2" t="s">
        <v>111</v>
      </c>
      <c r="DM1" s="2" t="s">
        <v>112</v>
      </c>
      <c r="DN1" s="2"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2" t="s">
        <v>134</v>
      </c>
      <c r="EJ1" s="2" t="s">
        <v>135</v>
      </c>
      <c r="EK1" s="2" t="s">
        <v>136</v>
      </c>
      <c r="EL1" s="2" t="s">
        <v>137</v>
      </c>
      <c r="EM1" s="2" t="s">
        <v>138</v>
      </c>
      <c r="EN1" s="2" t="s">
        <v>139</v>
      </c>
      <c r="EO1" s="3" t="s">
        <v>140</v>
      </c>
      <c r="EP1" s="1" t="s">
        <v>141</v>
      </c>
      <c r="EQ1" s="1" t="s">
        <v>142</v>
      </c>
      <c r="ER1" s="2" t="s">
        <v>143</v>
      </c>
      <c r="ES1" s="1" t="s">
        <v>144</v>
      </c>
      <c r="ET1" s="1" t="s">
        <v>145</v>
      </c>
      <c r="EU1" s="1" t="s">
        <v>146</v>
      </c>
      <c r="EV1" s="1" t="s">
        <v>147</v>
      </c>
      <c r="EW1" s="1" t="s">
        <v>148</v>
      </c>
      <c r="EX1" s="2" t="s">
        <v>149</v>
      </c>
      <c r="EY1" s="2" t="s">
        <v>150</v>
      </c>
      <c r="EZ1" s="2" t="s">
        <v>151</v>
      </c>
      <c r="FA1" s="2"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2"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2" t="s">
        <v>317</v>
      </c>
      <c r="LK1" s="2" t="s">
        <v>318</v>
      </c>
      <c r="LL1" s="2" t="s">
        <v>319</v>
      </c>
      <c r="LM1" s="2" t="s">
        <v>320</v>
      </c>
      <c r="LN1" s="2" t="s">
        <v>321</v>
      </c>
      <c r="LO1" s="2" t="s">
        <v>322</v>
      </c>
      <c r="LP1" s="2" t="s">
        <v>323</v>
      </c>
      <c r="LQ1" s="2"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2" t="s">
        <v>362</v>
      </c>
      <c r="ND1" s="2" t="s">
        <v>363</v>
      </c>
      <c r="NE1" s="2"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2" t="s">
        <v>381</v>
      </c>
      <c r="NW1" s="1" t="s">
        <v>382</v>
      </c>
      <c r="NX1" s="1" t="s">
        <v>383</v>
      </c>
      <c r="NY1" s="2" t="s">
        <v>384</v>
      </c>
      <c r="NZ1" s="2" t="s">
        <v>385</v>
      </c>
      <c r="OA1" s="1" t="s">
        <v>386</v>
      </c>
      <c r="OB1" s="1" t="s">
        <v>387</v>
      </c>
      <c r="OC1" s="1" t="s">
        <v>388</v>
      </c>
      <c r="OD1" s="1" t="s">
        <v>389</v>
      </c>
      <c r="OE1" s="1" t="s">
        <v>390</v>
      </c>
      <c r="OF1" s="1" t="s">
        <v>391</v>
      </c>
      <c r="OG1" s="1" t="s">
        <v>392</v>
      </c>
      <c r="OH1" s="1" t="s">
        <v>393</v>
      </c>
      <c r="OI1" s="1" t="s">
        <v>394</v>
      </c>
      <c r="OJ1" s="2" t="s">
        <v>395</v>
      </c>
      <c r="OK1" s="1" t="s">
        <v>396</v>
      </c>
      <c r="OL1" s="1" t="s">
        <v>397</v>
      </c>
      <c r="OM1" s="1" t="s">
        <v>398</v>
      </c>
      <c r="ON1" s="1" t="s">
        <v>399</v>
      </c>
      <c r="OO1" s="1" t="s">
        <v>400</v>
      </c>
      <c r="OP1" s="4" t="s">
        <v>401</v>
      </c>
      <c r="OQ1" s="4" t="s">
        <v>402</v>
      </c>
      <c r="OR1" s="4" t="s">
        <v>403</v>
      </c>
      <c r="OS1" s="4" t="s">
        <v>404</v>
      </c>
      <c r="OT1" s="4" t="s">
        <v>405</v>
      </c>
      <c r="OU1" s="4" t="s">
        <v>406</v>
      </c>
      <c r="OV1" s="4" t="s">
        <v>407</v>
      </c>
      <c r="OW1" s="4" t="s">
        <v>408</v>
      </c>
      <c r="OX1" s="4" t="s">
        <v>409</v>
      </c>
      <c r="OY1" s="4" t="s">
        <v>410</v>
      </c>
      <c r="OZ1" s="4" t="s">
        <v>411</v>
      </c>
      <c r="PA1" s="4" t="s">
        <v>412</v>
      </c>
      <c r="PB1" s="4" t="s">
        <v>413</v>
      </c>
      <c r="PC1" s="4" t="s">
        <v>414</v>
      </c>
      <c r="PD1" s="4" t="s">
        <v>415</v>
      </c>
      <c r="PE1" s="4" t="s">
        <v>416</v>
      </c>
      <c r="PF1" s="4" t="s">
        <v>417</v>
      </c>
      <c r="PG1" s="4" t="s">
        <v>418</v>
      </c>
      <c r="PH1" s="4" t="s">
        <v>419</v>
      </c>
      <c r="PI1" s="4" t="s">
        <v>420</v>
      </c>
      <c r="PJ1" s="4" t="s">
        <v>421</v>
      </c>
      <c r="PK1" s="4" t="s">
        <v>422</v>
      </c>
      <c r="PL1" s="4" t="s">
        <v>423</v>
      </c>
      <c r="PM1" s="4" t="s">
        <v>424</v>
      </c>
      <c r="PN1" s="4" t="s">
        <v>425</v>
      </c>
      <c r="PO1" s="4" t="s">
        <v>426</v>
      </c>
      <c r="PP1" s="4" t="s">
        <v>427</v>
      </c>
      <c r="PQ1" s="4" t="s">
        <v>428</v>
      </c>
      <c r="PR1" s="4" t="s">
        <v>429</v>
      </c>
      <c r="PS1" s="4" t="s">
        <v>430</v>
      </c>
      <c r="PT1" s="5" t="s">
        <v>431</v>
      </c>
      <c r="PU1" s="2" t="s">
        <v>432</v>
      </c>
      <c r="PV1" s="2" t="s">
        <v>433</v>
      </c>
      <c r="PW1" s="2" t="s">
        <v>434</v>
      </c>
      <c r="PX1" s="2" t="s">
        <v>435</v>
      </c>
      <c r="PY1" s="2" t="s">
        <v>436</v>
      </c>
      <c r="PZ1" s="2" t="s">
        <v>437</v>
      </c>
      <c r="QA1" s="2" t="s">
        <v>438</v>
      </c>
      <c r="QB1" s="2" t="s">
        <v>439</v>
      </c>
      <c r="QC1" s="2" t="s">
        <v>440</v>
      </c>
      <c r="QD1" s="2" t="s">
        <v>441</v>
      </c>
      <c r="QE1" s="2" t="s">
        <v>442</v>
      </c>
      <c r="QF1" s="2" t="s">
        <v>443</v>
      </c>
      <c r="QG1" s="2" t="s">
        <v>444</v>
      </c>
      <c r="QH1" s="2" t="s">
        <v>445</v>
      </c>
      <c r="QI1" s="2" t="s">
        <v>446</v>
      </c>
      <c r="QJ1" s="2" t="s">
        <v>447</v>
      </c>
      <c r="QK1" s="2" t="s">
        <v>448</v>
      </c>
      <c r="QL1" s="2" t="s">
        <v>449</v>
      </c>
      <c r="QM1" s="2" t="s">
        <v>450</v>
      </c>
      <c r="QN1" s="2" t="s">
        <v>451</v>
      </c>
      <c r="QO1" s="2" t="s">
        <v>452</v>
      </c>
      <c r="QP1" s="2" t="s">
        <v>453</v>
      </c>
      <c r="QQ1" s="2" t="s">
        <v>454</v>
      </c>
      <c r="QR1" s="2" t="s">
        <v>455</v>
      </c>
      <c r="QS1" s="2" t="s">
        <v>456</v>
      </c>
      <c r="QT1" s="2" t="s">
        <v>457</v>
      </c>
      <c r="QU1" s="2" t="s">
        <v>458</v>
      </c>
      <c r="QV1" s="2" t="s">
        <v>459</v>
      </c>
      <c r="QW1" s="2" t="s">
        <v>460</v>
      </c>
      <c r="QX1" s="2" t="s">
        <v>461</v>
      </c>
      <c r="QY1" s="2" t="s">
        <v>462</v>
      </c>
      <c r="QZ1" s="2" t="s">
        <v>463</v>
      </c>
      <c r="RA1" s="2" t="s">
        <v>464</v>
      </c>
      <c r="RB1" s="2" t="s">
        <v>465</v>
      </c>
      <c r="RC1" s="2" t="s">
        <v>466</v>
      </c>
      <c r="RD1" s="2" t="s">
        <v>467</v>
      </c>
      <c r="RE1" s="2" t="s">
        <v>468</v>
      </c>
      <c r="RF1" s="2" t="s">
        <v>469</v>
      </c>
      <c r="RG1" s="2" t="s">
        <v>470</v>
      </c>
      <c r="RH1" s="2" t="s">
        <v>471</v>
      </c>
      <c r="RI1" s="2" t="s">
        <v>472</v>
      </c>
      <c r="RJ1" s="2" t="s">
        <v>473</v>
      </c>
      <c r="RK1" s="2" t="s">
        <v>474</v>
      </c>
      <c r="RL1" s="2" t="s">
        <v>475</v>
      </c>
      <c r="RM1" s="2" t="s">
        <v>476</v>
      </c>
      <c r="RN1" s="2" t="s">
        <v>477</v>
      </c>
      <c r="RO1" s="2" t="s">
        <v>478</v>
      </c>
      <c r="RP1" s="2" t="s">
        <v>479</v>
      </c>
      <c r="RQ1" s="2" t="s">
        <v>480</v>
      </c>
      <c r="RR1" s="5" t="s">
        <v>481</v>
      </c>
      <c r="RS1" s="2" t="s">
        <v>482</v>
      </c>
      <c r="RT1" s="2" t="s">
        <v>483</v>
      </c>
      <c r="RU1" s="2" t="s">
        <v>484</v>
      </c>
      <c r="RV1" s="2" t="s">
        <v>485</v>
      </c>
      <c r="RW1" s="2" t="s">
        <v>486</v>
      </c>
      <c r="RX1" s="2" t="s">
        <v>487</v>
      </c>
      <c r="RY1" s="2" t="s">
        <v>488</v>
      </c>
      <c r="RZ1" s="2" t="s">
        <v>489</v>
      </c>
      <c r="SA1" s="2" t="s">
        <v>490</v>
      </c>
      <c r="SB1" s="2" t="s">
        <v>491</v>
      </c>
      <c r="SC1" s="2" t="s">
        <v>492</v>
      </c>
      <c r="SD1" s="2" t="s">
        <v>493</v>
      </c>
      <c r="SE1" s="2" t="s">
        <v>494</v>
      </c>
      <c r="SF1" s="2" t="s">
        <v>495</v>
      </c>
      <c r="SG1" s="2" t="s">
        <v>496</v>
      </c>
      <c r="SH1" s="2" t="s">
        <v>497</v>
      </c>
      <c r="SI1" s="2" t="s">
        <v>498</v>
      </c>
      <c r="SJ1" s="2" t="s">
        <v>499</v>
      </c>
      <c r="SK1" s="2" t="s">
        <v>500</v>
      </c>
      <c r="SL1" s="2" t="s">
        <v>501</v>
      </c>
      <c r="SM1" s="2" t="s">
        <v>502</v>
      </c>
      <c r="SN1" s="2" t="s">
        <v>503</v>
      </c>
      <c r="SO1" s="2" t="s">
        <v>504</v>
      </c>
      <c r="SP1" s="2" t="s">
        <v>505</v>
      </c>
      <c r="SQ1" s="2" t="s">
        <v>506</v>
      </c>
      <c r="SR1" s="2" t="s">
        <v>507</v>
      </c>
      <c r="SS1" s="2" t="s">
        <v>508</v>
      </c>
      <c r="ST1" s="2" t="s">
        <v>509</v>
      </c>
      <c r="SU1" s="2" t="s">
        <v>510</v>
      </c>
      <c r="SV1" s="2" t="s">
        <v>511</v>
      </c>
      <c r="SW1" s="2" t="s">
        <v>512</v>
      </c>
      <c r="SX1" s="2"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E1" s="1" t="s">
        <v>546</v>
      </c>
      <c r="UF1" s="1" t="s">
        <v>547</v>
      </c>
      <c r="UG1" s="1" t="s">
        <v>548</v>
      </c>
      <c r="UH1" s="1" t="s">
        <v>549</v>
      </c>
      <c r="UI1" s="1" t="s">
        <v>550</v>
      </c>
      <c r="UJ1" s="1" t="s">
        <v>551</v>
      </c>
      <c r="UK1" s="1" t="s">
        <v>552</v>
      </c>
      <c r="UL1" s="1" t="s">
        <v>553</v>
      </c>
      <c r="UM1" s="1" t="s">
        <v>554</v>
      </c>
      <c r="UN1" s="1" t="s">
        <v>555</v>
      </c>
      <c r="UO1" s="1" t="s">
        <v>556</v>
      </c>
      <c r="UP1" s="1" t="s">
        <v>557</v>
      </c>
      <c r="UQ1" s="1" t="s">
        <v>558</v>
      </c>
      <c r="UR1" s="1" t="s">
        <v>559</v>
      </c>
      <c r="US1" s="1" t="s">
        <v>560</v>
      </c>
      <c r="UT1" s="1" t="s">
        <v>561</v>
      </c>
      <c r="UU1" s="1" t="s">
        <v>562</v>
      </c>
      <c r="UV1" s="1" t="s">
        <v>563</v>
      </c>
      <c r="UW1" s="1" t="s">
        <v>564</v>
      </c>
      <c r="UX1" s="1" t="s">
        <v>565</v>
      </c>
      <c r="UY1" s="1" t="s">
        <v>566</v>
      </c>
      <c r="UZ1" s="1" t="s">
        <v>567</v>
      </c>
      <c r="VA1" s="1" t="s">
        <v>568</v>
      </c>
      <c r="VB1" s="1" t="s">
        <v>569</v>
      </c>
      <c r="VC1" s="1" t="s">
        <v>570</v>
      </c>
      <c r="VD1" s="1" t="s">
        <v>571</v>
      </c>
      <c r="VE1" s="1" t="s">
        <v>572</v>
      </c>
      <c r="VF1" s="1" t="s">
        <v>573</v>
      </c>
      <c r="VG1" s="1" t="s">
        <v>574</v>
      </c>
      <c r="VH1" s="1" t="s">
        <v>575</v>
      </c>
      <c r="VI1" s="1" t="s">
        <v>576</v>
      </c>
      <c r="VJ1" s="1" t="s">
        <v>577</v>
      </c>
      <c r="VK1" s="1" t="s">
        <v>578</v>
      </c>
      <c r="VL1" s="1" t="s">
        <v>579</v>
      </c>
      <c r="VM1" s="1" t="s">
        <v>580</v>
      </c>
      <c r="VN1" s="1" t="s">
        <v>581</v>
      </c>
      <c r="VO1" s="1" t="s">
        <v>582</v>
      </c>
      <c r="VP1" s="1" t="s">
        <v>583</v>
      </c>
      <c r="VQ1" s="1" t="s">
        <v>584</v>
      </c>
      <c r="VR1" s="1" t="s">
        <v>585</v>
      </c>
      <c r="VS1" s="2" t="s">
        <v>586</v>
      </c>
      <c r="VT1" s="2" t="s">
        <v>587</v>
      </c>
      <c r="VU1" s="2" t="s">
        <v>588</v>
      </c>
      <c r="VV1" s="2" t="s">
        <v>589</v>
      </c>
      <c r="VW1" s="2" t="s">
        <v>590</v>
      </c>
      <c r="VX1" s="2" t="s">
        <v>591</v>
      </c>
      <c r="VY1" s="2" t="s">
        <v>592</v>
      </c>
      <c r="VZ1" s="2" t="s">
        <v>593</v>
      </c>
      <c r="WA1" s="2" t="s">
        <v>594</v>
      </c>
      <c r="WB1" s="2" t="s">
        <v>595</v>
      </c>
      <c r="WC1" s="2" t="s">
        <v>596</v>
      </c>
      <c r="WD1" s="2" t="s">
        <v>597</v>
      </c>
      <c r="WE1" s="2" t="s">
        <v>598</v>
      </c>
      <c r="WF1" s="2" t="s">
        <v>599</v>
      </c>
      <c r="WG1" s="2" t="s">
        <v>600</v>
      </c>
      <c r="WH1" s="2" t="s">
        <v>601</v>
      </c>
      <c r="WI1" s="2" t="s">
        <v>602</v>
      </c>
      <c r="WJ1" s="2" t="s">
        <v>603</v>
      </c>
      <c r="WK1" s="2" t="s">
        <v>604</v>
      </c>
      <c r="WL1" s="2" t="s">
        <v>605</v>
      </c>
      <c r="WM1" s="2" t="s">
        <v>606</v>
      </c>
      <c r="WN1" s="2" t="s">
        <v>607</v>
      </c>
      <c r="WO1" s="2" t="s">
        <v>608</v>
      </c>
      <c r="WP1" s="2" t="s">
        <v>609</v>
      </c>
      <c r="WQ1" s="2" t="s">
        <v>610</v>
      </c>
      <c r="WR1" s="2" t="s">
        <v>611</v>
      </c>
      <c r="WS1" s="2" t="s">
        <v>612</v>
      </c>
      <c r="WT1" s="2" t="s">
        <v>613</v>
      </c>
      <c r="WU1" s="2" t="s">
        <v>614</v>
      </c>
      <c r="WV1" s="2" t="s">
        <v>615</v>
      </c>
      <c r="WW1" s="2" t="s">
        <v>616</v>
      </c>
      <c r="WX1" s="2" t="s">
        <v>617</v>
      </c>
      <c r="WY1" s="2" t="s">
        <v>618</v>
      </c>
      <c r="WZ1" s="2" t="s">
        <v>619</v>
      </c>
      <c r="XA1" s="2" t="s">
        <v>620</v>
      </c>
      <c r="XB1" s="2" t="s">
        <v>621</v>
      </c>
      <c r="XC1" s="2" t="s">
        <v>622</v>
      </c>
      <c r="XD1" s="2" t="s">
        <v>623</v>
      </c>
      <c r="XE1" s="2" t="s">
        <v>624</v>
      </c>
      <c r="XF1" s="2" t="s">
        <v>625</v>
      </c>
      <c r="XG1" s="2" t="s">
        <v>626</v>
      </c>
      <c r="XH1" s="2" t="s">
        <v>627</v>
      </c>
      <c r="XI1" s="2" t="s">
        <v>628</v>
      </c>
      <c r="XJ1" s="2" t="s">
        <v>629</v>
      </c>
      <c r="XK1" s="2" t="s">
        <v>630</v>
      </c>
      <c r="XL1" s="2" t="s">
        <v>631</v>
      </c>
      <c r="XM1" s="2" t="s">
        <v>632</v>
      </c>
      <c r="XN1" s="2" t="s">
        <v>633</v>
      </c>
      <c r="XO1" s="2" t="s">
        <v>634</v>
      </c>
      <c r="XP1" s="2" t="s">
        <v>635</v>
      </c>
      <c r="XQ1" s="2" t="s">
        <v>636</v>
      </c>
      <c r="XR1" s="2" t="s">
        <v>637</v>
      </c>
      <c r="XS1" s="2" t="s">
        <v>638</v>
      </c>
      <c r="XT1" s="2" t="s">
        <v>639</v>
      </c>
      <c r="XU1" s="2" t="s">
        <v>640</v>
      </c>
      <c r="XV1" s="2" t="s">
        <v>641</v>
      </c>
      <c r="XW1" s="2" t="s">
        <v>642</v>
      </c>
      <c r="XX1" s="2" t="s">
        <v>643</v>
      </c>
      <c r="XY1" s="2" t="s">
        <v>644</v>
      </c>
      <c r="XZ1" s="2" t="s">
        <v>645</v>
      </c>
      <c r="YA1" s="2" t="s">
        <v>646</v>
      </c>
      <c r="YB1" s="5" t="s">
        <v>647</v>
      </c>
      <c r="YC1" s="2" t="s">
        <v>648</v>
      </c>
      <c r="YD1" s="2" t="s">
        <v>649</v>
      </c>
      <c r="YE1" s="2" t="s">
        <v>650</v>
      </c>
      <c r="YF1" s="2" t="s">
        <v>651</v>
      </c>
      <c r="YG1" s="2" t="s">
        <v>652</v>
      </c>
      <c r="YH1" s="2" t="s">
        <v>653</v>
      </c>
      <c r="YI1" s="2" t="s">
        <v>654</v>
      </c>
      <c r="YJ1" s="2" t="s">
        <v>655</v>
      </c>
      <c r="YK1" s="2" t="s">
        <v>656</v>
      </c>
      <c r="YL1" s="2" t="s">
        <v>657</v>
      </c>
      <c r="YM1" s="2" t="s">
        <v>658</v>
      </c>
      <c r="YN1" s="2" t="s">
        <v>659</v>
      </c>
      <c r="YO1" s="2" t="s">
        <v>660</v>
      </c>
      <c r="YP1" s="2" t="s">
        <v>661</v>
      </c>
      <c r="YQ1" s="2" t="s">
        <v>662</v>
      </c>
      <c r="YR1" s="2" t="s">
        <v>663</v>
      </c>
      <c r="YS1" s="2" t="s">
        <v>664</v>
      </c>
      <c r="YT1" s="2" t="s">
        <v>665</v>
      </c>
      <c r="YU1" s="2" t="s">
        <v>666</v>
      </c>
      <c r="YV1" s="2" t="s">
        <v>667</v>
      </c>
      <c r="YW1" s="2" t="s">
        <v>668</v>
      </c>
      <c r="YX1" s="2" t="s">
        <v>669</v>
      </c>
      <c r="YY1" s="2" t="s">
        <v>670</v>
      </c>
      <c r="YZ1" s="2" t="s">
        <v>671</v>
      </c>
      <c r="ZA1" s="2" t="s">
        <v>672</v>
      </c>
      <c r="ZB1" s="2" t="s">
        <v>673</v>
      </c>
      <c r="ZC1" s="2" t="s">
        <v>674</v>
      </c>
      <c r="ZD1" s="2" t="s">
        <v>675</v>
      </c>
      <c r="ZE1" s="2" t="s">
        <v>676</v>
      </c>
      <c r="ZF1" s="2" t="s">
        <v>677</v>
      </c>
      <c r="ZG1" s="2" t="s">
        <v>678</v>
      </c>
      <c r="ZH1" s="2" t="s">
        <v>679</v>
      </c>
      <c r="ZI1" s="2" t="s">
        <v>680</v>
      </c>
      <c r="ZJ1" s="2" t="s">
        <v>681</v>
      </c>
      <c r="ZK1" s="2" t="s">
        <v>682</v>
      </c>
      <c r="ZL1" s="2" t="s">
        <v>683</v>
      </c>
      <c r="ZM1" s="2" t="s">
        <v>684</v>
      </c>
      <c r="ZN1" s="1" t="s">
        <v>685</v>
      </c>
      <c r="ZO1" s="5" t="s">
        <v>686</v>
      </c>
      <c r="ZP1" s="1" t="s">
        <v>687</v>
      </c>
      <c r="ZQ1" s="1" t="s">
        <v>688</v>
      </c>
      <c r="ZR1" s="1" t="s">
        <v>689</v>
      </c>
      <c r="ZS1" s="1" t="s">
        <v>690</v>
      </c>
      <c r="ZT1" s="1" t="s">
        <v>691</v>
      </c>
      <c r="ZU1" s="1" t="s">
        <v>692</v>
      </c>
      <c r="ZV1" s="1" t="s">
        <v>693</v>
      </c>
      <c r="ZW1" s="1" t="s">
        <v>694</v>
      </c>
      <c r="ZX1" s="1" t="s">
        <v>695</v>
      </c>
      <c r="ZY1" s="1" t="s">
        <v>696</v>
      </c>
      <c r="ZZ1" s="1" t="s">
        <v>697</v>
      </c>
      <c r="AAA1" s="1" t="s">
        <v>698</v>
      </c>
      <c r="AAB1" s="1" t="s">
        <v>699</v>
      </c>
      <c r="AAC1" s="1" t="s">
        <v>700</v>
      </c>
      <c r="AAD1" s="1" t="s">
        <v>701</v>
      </c>
      <c r="AAE1" s="1" t="s">
        <v>702</v>
      </c>
      <c r="AAF1" s="1" t="s">
        <v>703</v>
      </c>
      <c r="AAG1" s="1" t="s">
        <v>704</v>
      </c>
      <c r="AAH1" s="1" t="s">
        <v>705</v>
      </c>
      <c r="AAI1" s="1" t="s">
        <v>706</v>
      </c>
      <c r="AAJ1" s="1" t="s">
        <v>707</v>
      </c>
      <c r="AAK1" s="1" t="s">
        <v>708</v>
      </c>
      <c r="AAL1" s="1" t="s">
        <v>709</v>
      </c>
      <c r="AAM1" s="2" t="s">
        <v>710</v>
      </c>
      <c r="AAN1" s="2" t="s">
        <v>711</v>
      </c>
      <c r="AAO1" s="2" t="s">
        <v>712</v>
      </c>
      <c r="AAP1" s="1" t="s">
        <v>713</v>
      </c>
      <c r="AAQ1" s="1" t="s">
        <v>714</v>
      </c>
      <c r="AAR1" s="1" t="s">
        <v>715</v>
      </c>
      <c r="AAS1" s="1" t="s">
        <v>716</v>
      </c>
      <c r="AAT1" s="1" t="s">
        <v>717</v>
      </c>
      <c r="AAU1" s="1" t="s">
        <v>718</v>
      </c>
      <c r="AAV1" s="1" t="s">
        <v>719</v>
      </c>
      <c r="AAW1" s="1" t="s">
        <v>720</v>
      </c>
      <c r="AAX1" s="1" t="s">
        <v>721</v>
      </c>
      <c r="AAY1" s="1" t="s">
        <v>722</v>
      </c>
      <c r="AAZ1" s="1" t="s">
        <v>723</v>
      </c>
      <c r="ABA1" s="1" t="s">
        <v>724</v>
      </c>
      <c r="ABB1" s="1" t="s">
        <v>725</v>
      </c>
      <c r="ABC1" s="1" t="s">
        <v>726</v>
      </c>
      <c r="ABD1" s="1" t="s">
        <v>727</v>
      </c>
      <c r="ABE1" s="1" t="s">
        <v>728</v>
      </c>
      <c r="ABF1" s="1" t="s">
        <v>729</v>
      </c>
      <c r="ABG1" s="1" t="s">
        <v>730</v>
      </c>
      <c r="ABH1" s="1" t="s">
        <v>731</v>
      </c>
      <c r="ABI1" s="1" t="s">
        <v>732</v>
      </c>
      <c r="ABJ1" s="1" t="s">
        <v>733</v>
      </c>
      <c r="ABK1" s="1" t="s">
        <v>734</v>
      </c>
      <c r="ABL1" s="1" t="s">
        <v>735</v>
      </c>
      <c r="ABM1" s="1" t="s">
        <v>736</v>
      </c>
      <c r="ABN1" s="1" t="s">
        <v>737</v>
      </c>
      <c r="ABO1" s="1" t="s">
        <v>738</v>
      </c>
      <c r="ABP1" s="1" t="s">
        <v>739</v>
      </c>
      <c r="ABQ1" s="3" t="s">
        <v>740</v>
      </c>
      <c r="ABR1" s="1" t="s">
        <v>741</v>
      </c>
      <c r="ABS1" s="1" t="s">
        <v>742</v>
      </c>
      <c r="ABT1" s="1" t="s">
        <v>743</v>
      </c>
      <c r="ABU1" s="1" t="s">
        <v>744</v>
      </c>
      <c r="ABV1" s="1" t="s">
        <v>745</v>
      </c>
      <c r="ABW1" s="1" t="s">
        <v>746</v>
      </c>
      <c r="ABX1" s="1" t="s">
        <v>747</v>
      </c>
      <c r="ABY1" s="1" t="s">
        <v>748</v>
      </c>
      <c r="ABZ1" s="1" t="s">
        <v>749</v>
      </c>
      <c r="ACA1" s="1" t="s">
        <v>750</v>
      </c>
      <c r="ACB1" s="1" t="s">
        <v>751</v>
      </c>
      <c r="ACC1" s="1" t="s">
        <v>752</v>
      </c>
      <c r="ACD1" s="1" t="s">
        <v>753</v>
      </c>
      <c r="ACE1" s="1" t="s">
        <v>754</v>
      </c>
      <c r="ACF1" s="1" t="s">
        <v>755</v>
      </c>
      <c r="ACG1" s="1" t="s">
        <v>756</v>
      </c>
      <c r="ACH1" s="1" t="s">
        <v>757</v>
      </c>
      <c r="ACI1" s="1" t="s">
        <v>758</v>
      </c>
      <c r="ACJ1" s="1" t="s">
        <v>759</v>
      </c>
      <c r="ACK1" s="2" t="s">
        <v>760</v>
      </c>
      <c r="ACL1" s="1" t="s">
        <v>761</v>
      </c>
      <c r="ACM1" s="1" t="s">
        <v>762</v>
      </c>
      <c r="ACN1" s="1" t="s">
        <v>763</v>
      </c>
      <c r="ACO1" s="1" t="s">
        <v>764</v>
      </c>
      <c r="ACP1" s="1" t="s">
        <v>765</v>
      </c>
      <c r="ACQ1" s="1" t="s">
        <v>766</v>
      </c>
      <c r="ACR1" s="1" t="s">
        <v>767</v>
      </c>
      <c r="ACS1" s="1" t="s">
        <v>768</v>
      </c>
      <c r="ACT1" s="1" t="s">
        <v>769</v>
      </c>
      <c r="ACU1" s="1" t="s">
        <v>770</v>
      </c>
      <c r="ACV1" s="1" t="s">
        <v>771</v>
      </c>
      <c r="ACW1" s="1" t="s">
        <v>772</v>
      </c>
      <c r="ACX1" s="1" t="s">
        <v>773</v>
      </c>
      <c r="ACY1" s="1" t="s">
        <v>774</v>
      </c>
      <c r="ACZ1" s="1" t="s">
        <v>775</v>
      </c>
      <c r="ADA1" s="1" t="s">
        <v>776</v>
      </c>
      <c r="ADB1" s="1" t="s">
        <v>777</v>
      </c>
      <c r="ADC1" s="1" t="s">
        <v>778</v>
      </c>
      <c r="ADD1" s="1" t="s">
        <v>779</v>
      </c>
      <c r="ADE1" s="1" t="s">
        <v>780</v>
      </c>
      <c r="ADF1" s="1" t="s">
        <v>781</v>
      </c>
      <c r="ADG1" s="1" t="s">
        <v>782</v>
      </c>
      <c r="ADH1" s="1" t="s">
        <v>783</v>
      </c>
      <c r="ADI1" s="1" t="s">
        <v>784</v>
      </c>
      <c r="ADJ1" s="1" t="s">
        <v>785</v>
      </c>
      <c r="ADK1" s="2" t="s">
        <v>786</v>
      </c>
      <c r="ADL1" s="2" t="s">
        <v>787</v>
      </c>
      <c r="ADM1" s="2" t="s">
        <v>788</v>
      </c>
      <c r="ADN1" s="2" t="s">
        <v>789</v>
      </c>
      <c r="ADO1" s="2" t="s">
        <v>790</v>
      </c>
      <c r="ADP1" s="2" t="s">
        <v>791</v>
      </c>
      <c r="ADQ1" s="2" t="s">
        <v>792</v>
      </c>
      <c r="ADR1" s="2" t="s">
        <v>793</v>
      </c>
      <c r="ADS1" s="2" t="s">
        <v>794</v>
      </c>
      <c r="ADT1" s="1" t="s">
        <v>795</v>
      </c>
      <c r="ADU1" s="2" t="s">
        <v>796</v>
      </c>
      <c r="ADV1" s="2" t="s">
        <v>797</v>
      </c>
      <c r="ADW1" s="2" t="s">
        <v>798</v>
      </c>
      <c r="ADX1" s="2" t="s">
        <v>799</v>
      </c>
      <c r="ADY1" s="2" t="s">
        <v>800</v>
      </c>
      <c r="ADZ1" s="1" t="s">
        <v>801</v>
      </c>
      <c r="AEA1" s="1" t="s">
        <v>802</v>
      </c>
      <c r="AEB1" s="1" t="s">
        <v>803</v>
      </c>
      <c r="AEC1" s="1" t="s">
        <v>804</v>
      </c>
      <c r="AED1" s="1" t="s">
        <v>805</v>
      </c>
      <c r="AEE1" s="2" t="s">
        <v>806</v>
      </c>
      <c r="AEF1" s="1" t="s">
        <v>807</v>
      </c>
      <c r="AEG1" s="2" t="s">
        <v>808</v>
      </c>
      <c r="AEH1" s="1" t="s">
        <v>809</v>
      </c>
      <c r="AEI1" s="3" t="s">
        <v>810</v>
      </c>
      <c r="AEJ1" s="1" t="s">
        <v>811</v>
      </c>
      <c r="AEK1" s="2" t="s">
        <v>812</v>
      </c>
      <c r="AEL1" s="2" t="s">
        <v>813</v>
      </c>
      <c r="AEM1" s="2" t="s">
        <v>814</v>
      </c>
      <c r="AEN1" s="2" t="s">
        <v>815</v>
      </c>
      <c r="AEO1" s="2" t="s">
        <v>816</v>
      </c>
      <c r="AEP1" s="2" t="s">
        <v>817</v>
      </c>
      <c r="AEQ1" s="2" t="s">
        <v>818</v>
      </c>
      <c r="AER1" s="2" t="s">
        <v>819</v>
      </c>
      <c r="AES1" s="2" t="s">
        <v>820</v>
      </c>
      <c r="AET1" s="2" t="s">
        <v>821</v>
      </c>
      <c r="AEU1" s="2" t="s">
        <v>822</v>
      </c>
      <c r="AEV1" s="2" t="s">
        <v>823</v>
      </c>
      <c r="AEW1" s="2" t="s">
        <v>824</v>
      </c>
      <c r="AEX1" s="1" t="s">
        <v>825</v>
      </c>
      <c r="AEY1" s="1" t="s">
        <v>826</v>
      </c>
      <c r="AEZ1" s="1" t="s">
        <v>827</v>
      </c>
      <c r="AFA1" s="1" t="s">
        <v>828</v>
      </c>
      <c r="AFB1" s="1" t="s">
        <v>829</v>
      </c>
      <c r="AFC1" s="1" t="s">
        <v>830</v>
      </c>
      <c r="AFD1" s="1" t="s">
        <v>831</v>
      </c>
      <c r="AFE1" s="1" t="s">
        <v>832</v>
      </c>
      <c r="AFF1" s="1" t="s">
        <v>833</v>
      </c>
      <c r="AFG1" s="1" t="s">
        <v>834</v>
      </c>
      <c r="AFH1" s="1" t="s">
        <v>835</v>
      </c>
      <c r="AFI1" s="1" t="s">
        <v>836</v>
      </c>
    </row>
    <row r="2">
      <c r="A2" s="6">
        <v>46057.0</v>
      </c>
      <c r="B2" s="6">
        <v>46057.0</v>
      </c>
      <c r="C2" s="7" t="s">
        <v>837</v>
      </c>
      <c r="D2" s="7" t="s">
        <v>838</v>
      </c>
      <c r="E2" s="8">
        <v>6.285602796489E12</v>
      </c>
      <c r="F2" s="9"/>
      <c r="G2" s="8">
        <v>-7.195</v>
      </c>
      <c r="H2" s="8">
        <v>110.97612</v>
      </c>
      <c r="I2" s="9"/>
      <c r="J2" s="8">
        <v>4.77</v>
      </c>
      <c r="K2" s="9"/>
      <c r="L2" s="9"/>
      <c r="M2" s="8">
        <v>-7.35560821</v>
      </c>
      <c r="N2" s="8">
        <v>110.3349</v>
      </c>
      <c r="O2" s="9"/>
      <c r="P2" s="8">
        <v>4.06</v>
      </c>
      <c r="Q2" s="9"/>
      <c r="R2" s="9" t="s">
        <v>839</v>
      </c>
      <c r="S2" s="9"/>
      <c r="T2" s="9"/>
      <c r="U2" s="9"/>
      <c r="V2" s="9"/>
      <c r="W2" s="9"/>
      <c r="X2" s="9"/>
      <c r="Y2" s="9"/>
      <c r="Z2" s="9"/>
      <c r="AA2" s="9"/>
      <c r="AB2" s="9"/>
      <c r="AC2" s="7" t="s">
        <v>840</v>
      </c>
      <c r="AD2" s="7" t="s">
        <v>841</v>
      </c>
      <c r="AE2" s="7" t="s">
        <v>842</v>
      </c>
      <c r="AF2" s="9" t="s">
        <v>843</v>
      </c>
      <c r="AG2" s="9" t="s">
        <v>844</v>
      </c>
      <c r="AH2" s="8">
        <v>5.0</v>
      </c>
      <c r="AI2" s="9" t="s">
        <v>845</v>
      </c>
      <c r="AJ2" s="9" t="s">
        <v>846</v>
      </c>
      <c r="AK2" s="8">
        <v>56.0</v>
      </c>
      <c r="AL2" s="9" t="s">
        <v>847</v>
      </c>
      <c r="AM2" s="9" t="s">
        <v>848</v>
      </c>
      <c r="AN2" s="9" t="s">
        <v>849</v>
      </c>
      <c r="AO2" s="9" t="s">
        <v>850</v>
      </c>
      <c r="AP2" s="8">
        <v>1.0</v>
      </c>
      <c r="AQ2" s="8">
        <v>0.0</v>
      </c>
      <c r="AR2" s="8">
        <v>0.0</v>
      </c>
      <c r="AS2" s="8">
        <v>0.0</v>
      </c>
      <c r="AT2" s="8">
        <v>0.0</v>
      </c>
      <c r="AU2" s="8">
        <v>0.0</v>
      </c>
      <c r="AV2" s="8">
        <v>0.0</v>
      </c>
      <c r="AW2" s="8">
        <v>0.0</v>
      </c>
      <c r="AX2" s="9"/>
      <c r="AY2" s="9" t="s">
        <v>851</v>
      </c>
      <c r="AZ2" s="8">
        <v>1.0</v>
      </c>
      <c r="BA2" s="8">
        <v>1.0</v>
      </c>
      <c r="BB2" s="8">
        <v>0.0</v>
      </c>
      <c r="BC2" s="8">
        <v>0.0</v>
      </c>
      <c r="BD2" s="8">
        <v>0.0</v>
      </c>
      <c r="BE2" s="8">
        <v>0.0</v>
      </c>
      <c r="BF2" s="8">
        <v>0.0</v>
      </c>
      <c r="BG2" s="8">
        <v>0.0</v>
      </c>
      <c r="BH2" s="9"/>
      <c r="BI2" s="9" t="s">
        <v>852</v>
      </c>
      <c r="BJ2" s="8">
        <v>1.0</v>
      </c>
      <c r="BK2" s="8">
        <v>2.0</v>
      </c>
      <c r="BL2" s="8">
        <v>1.0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856</v>
      </c>
      <c r="CD2" s="8">
        <v>0.0</v>
      </c>
      <c r="CE2" s="8">
        <v>0.0</v>
      </c>
      <c r="CF2" s="8">
        <v>0.0</v>
      </c>
      <c r="CG2" s="8">
        <v>0.0</v>
      </c>
      <c r="CH2" s="8">
        <v>0.0</v>
      </c>
      <c r="CI2" s="8">
        <v>1.0</v>
      </c>
      <c r="CJ2" s="8">
        <v>0.0</v>
      </c>
      <c r="CK2" s="9"/>
      <c r="CL2" s="9" t="s">
        <v>857</v>
      </c>
      <c r="CM2" s="8">
        <v>2020.0</v>
      </c>
      <c r="CN2" s="9" t="s">
        <v>858</v>
      </c>
      <c r="CO2" s="9" t="s">
        <v>859</v>
      </c>
      <c r="CP2" s="9" t="s">
        <v>860</v>
      </c>
      <c r="CQ2" s="8">
        <v>0.0</v>
      </c>
      <c r="CR2" s="8">
        <v>0.0</v>
      </c>
      <c r="CS2" s="8">
        <v>0.0</v>
      </c>
      <c r="CT2" s="8">
        <v>0.0</v>
      </c>
      <c r="CU2" s="10">
        <v>1.0</v>
      </c>
      <c r="CV2" s="10">
        <v>0.0</v>
      </c>
      <c r="CW2" s="10">
        <v>0.0</v>
      </c>
      <c r="CX2" s="8">
        <v>0.0</v>
      </c>
      <c r="CY2" s="9" t="s">
        <v>860</v>
      </c>
      <c r="CZ2" s="8">
        <v>1.0</v>
      </c>
      <c r="DA2" s="8">
        <v>0.0</v>
      </c>
      <c r="DB2" s="8">
        <v>0.0</v>
      </c>
      <c r="DC2" s="9"/>
      <c r="DD2" s="9" t="s">
        <v>861</v>
      </c>
      <c r="DE2" s="8">
        <v>0.0</v>
      </c>
      <c r="DF2" s="8">
        <v>0.0</v>
      </c>
      <c r="DG2" s="8">
        <v>1.0</v>
      </c>
      <c r="DH2" s="8">
        <v>0.0</v>
      </c>
      <c r="DI2" s="9"/>
      <c r="DJ2" s="9" t="s">
        <v>861</v>
      </c>
      <c r="DK2" s="8">
        <v>0.0</v>
      </c>
      <c r="DL2" s="8">
        <v>0.0</v>
      </c>
      <c r="DM2" s="8">
        <v>1.0</v>
      </c>
      <c r="DN2" s="8">
        <v>0.0</v>
      </c>
      <c r="DO2" s="9"/>
      <c r="DP2" s="8">
        <v>1.0</v>
      </c>
      <c r="DQ2" s="8">
        <v>0.0</v>
      </c>
      <c r="DR2" s="8">
        <v>0.0</v>
      </c>
      <c r="DS2" s="9"/>
      <c r="DT2" s="9"/>
      <c r="DU2" s="9"/>
      <c r="DV2" s="9" t="s">
        <v>857</v>
      </c>
      <c r="DW2" s="9"/>
      <c r="DX2" s="9"/>
      <c r="DY2" s="9"/>
      <c r="DZ2" s="9"/>
      <c r="EA2" s="9"/>
      <c r="EB2" s="9"/>
      <c r="EC2" s="9"/>
      <c r="ED2" s="9"/>
      <c r="EE2" s="9"/>
      <c r="EF2" s="9"/>
      <c r="EG2" s="9"/>
      <c r="EH2" s="9"/>
      <c r="EI2" s="9" t="s">
        <v>862</v>
      </c>
      <c r="EJ2" s="8">
        <v>0.0</v>
      </c>
      <c r="EK2" s="8">
        <v>0.0</v>
      </c>
      <c r="EL2" s="8">
        <v>0.0</v>
      </c>
      <c r="EM2" s="8">
        <v>1.0</v>
      </c>
      <c r="EN2" s="8">
        <v>0.0</v>
      </c>
      <c r="EO2" s="11"/>
      <c r="EP2" s="9" t="s">
        <v>863</v>
      </c>
      <c r="EQ2" s="9" t="s">
        <v>864</v>
      </c>
      <c r="ER2" s="9" t="s">
        <v>861</v>
      </c>
      <c r="ES2" s="8">
        <v>1.0</v>
      </c>
      <c r="ET2" s="8">
        <v>0.0</v>
      </c>
      <c r="EU2" s="8">
        <v>0.0</v>
      </c>
      <c r="EV2" s="8">
        <v>0.0</v>
      </c>
      <c r="EW2" s="9"/>
      <c r="EX2" s="9" t="s">
        <v>865</v>
      </c>
      <c r="EY2" s="8">
        <v>1.0</v>
      </c>
      <c r="EZ2" s="8">
        <v>0.0</v>
      </c>
      <c r="FA2" s="8">
        <v>0.0</v>
      </c>
      <c r="FB2" s="9"/>
      <c r="FC2" s="9" t="s">
        <v>866</v>
      </c>
      <c r="FD2" s="9"/>
      <c r="FE2" s="9" t="s">
        <v>867</v>
      </c>
      <c r="FF2" s="9" t="s">
        <v>868</v>
      </c>
      <c r="FG2" s="9" t="s">
        <v>867</v>
      </c>
      <c r="FH2" s="9" t="s">
        <v>869</v>
      </c>
      <c r="FI2" s="9" t="s">
        <v>867</v>
      </c>
      <c r="FJ2" s="9" t="s">
        <v>868</v>
      </c>
      <c r="FK2" s="9" t="s">
        <v>867</v>
      </c>
      <c r="FL2" s="9" t="s">
        <v>870</v>
      </c>
      <c r="FM2" s="9" t="s">
        <v>867</v>
      </c>
      <c r="FN2" s="9" t="s">
        <v>869</v>
      </c>
      <c r="FO2" s="9" t="s">
        <v>867</v>
      </c>
      <c r="FP2" s="9" t="s">
        <v>870</v>
      </c>
      <c r="FQ2" s="9" t="s">
        <v>867</v>
      </c>
      <c r="FR2" s="9" t="s">
        <v>857</v>
      </c>
      <c r="FS2" s="9" t="s">
        <v>867</v>
      </c>
      <c r="FT2" s="9" t="s">
        <v>871</v>
      </c>
      <c r="FU2" s="9" t="s">
        <v>872</v>
      </c>
      <c r="FV2" s="8">
        <v>1.0</v>
      </c>
      <c r="FW2" s="8">
        <v>0.0</v>
      </c>
      <c r="FX2" s="8">
        <v>0.0</v>
      </c>
      <c r="FY2" s="8">
        <v>0.0</v>
      </c>
      <c r="FZ2" s="9" t="s">
        <v>873</v>
      </c>
      <c r="GA2" s="9" t="s">
        <v>874</v>
      </c>
      <c r="GB2" s="8">
        <v>1.0</v>
      </c>
      <c r="GC2" s="8">
        <v>0.0</v>
      </c>
      <c r="GD2" s="8">
        <v>0.0</v>
      </c>
      <c r="GE2" s="8">
        <v>0.0</v>
      </c>
      <c r="GF2" s="9"/>
      <c r="GG2" s="9" t="s">
        <v>875</v>
      </c>
      <c r="GH2" s="9" t="s">
        <v>857</v>
      </c>
      <c r="GI2" s="9" t="s">
        <v>876</v>
      </c>
      <c r="GJ2" s="8">
        <v>1.0</v>
      </c>
      <c r="GK2" s="8">
        <v>0.0</v>
      </c>
      <c r="GL2" s="8">
        <v>0.0</v>
      </c>
      <c r="GM2" s="8">
        <v>0.0</v>
      </c>
      <c r="GN2" s="9"/>
      <c r="GO2" s="8">
        <v>10.0</v>
      </c>
      <c r="GP2" s="9" t="s">
        <v>877</v>
      </c>
      <c r="GQ2" s="9" t="s">
        <v>878</v>
      </c>
      <c r="GR2" s="8">
        <v>1.0</v>
      </c>
      <c r="GS2" s="8">
        <v>1.0</v>
      </c>
      <c r="GT2" s="8">
        <v>0.0</v>
      </c>
      <c r="GU2" s="8">
        <v>0.0</v>
      </c>
      <c r="GV2" s="8">
        <v>0.0</v>
      </c>
      <c r="GW2" s="8">
        <v>0.0</v>
      </c>
      <c r="GX2" s="8">
        <v>0.0</v>
      </c>
      <c r="GY2" s="9"/>
      <c r="GZ2" s="9" t="s">
        <v>857</v>
      </c>
      <c r="HA2" s="8">
        <v>15.0</v>
      </c>
      <c r="HB2" s="8">
        <v>150000.0</v>
      </c>
      <c r="HC2" s="8">
        <v>0.0</v>
      </c>
      <c r="HD2" s="8">
        <v>0.0</v>
      </c>
      <c r="HE2" s="8">
        <v>3.0</v>
      </c>
      <c r="HF2" s="8">
        <v>75000.0</v>
      </c>
      <c r="HG2" s="8">
        <v>3.0</v>
      </c>
      <c r="HH2" s="8">
        <v>25000.0</v>
      </c>
      <c r="HI2" s="9"/>
      <c r="HJ2" s="9"/>
      <c r="HK2" s="9"/>
      <c r="HL2" s="9"/>
      <c r="HM2" s="9"/>
      <c r="HN2" s="9"/>
      <c r="HO2" s="9"/>
      <c r="HP2" s="9"/>
      <c r="HQ2" s="9"/>
      <c r="HR2" s="9"/>
      <c r="HS2" s="9"/>
      <c r="HT2" s="9"/>
      <c r="HU2" s="9"/>
      <c r="HV2" s="9"/>
      <c r="HW2" s="9"/>
      <c r="HX2" s="9"/>
      <c r="HY2" s="8">
        <v>15.0</v>
      </c>
      <c r="HZ2" s="8">
        <v>150000.0</v>
      </c>
      <c r="IA2" s="8">
        <v>6.0</v>
      </c>
      <c r="IB2" s="8">
        <v>75000.0</v>
      </c>
      <c r="IC2" s="9"/>
      <c r="ID2" s="9"/>
      <c r="IE2" s="9"/>
      <c r="IF2" s="9"/>
      <c r="IG2" s="9"/>
      <c r="IH2" s="9"/>
      <c r="II2" s="9"/>
      <c r="IJ2" s="9"/>
      <c r="IK2" s="9" t="s">
        <v>879</v>
      </c>
      <c r="IL2" s="9" t="s">
        <v>880</v>
      </c>
      <c r="IM2" s="9" t="s">
        <v>857</v>
      </c>
      <c r="IN2" s="9" t="s">
        <v>881</v>
      </c>
      <c r="IO2" s="9" t="s">
        <v>882</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885</v>
      </c>
      <c r="KU2" s="9" t="s">
        <v>886</v>
      </c>
      <c r="KV2" s="9" t="s">
        <v>872</v>
      </c>
      <c r="KW2" s="8">
        <v>1.0</v>
      </c>
      <c r="KX2" s="8">
        <v>0.0</v>
      </c>
      <c r="KY2" s="8">
        <v>0.0</v>
      </c>
      <c r="KZ2" s="8">
        <v>0.0</v>
      </c>
      <c r="LA2" s="9" t="s">
        <v>884</v>
      </c>
      <c r="LB2" s="9" t="s">
        <v>884</v>
      </c>
      <c r="LC2" s="8">
        <v>0.0</v>
      </c>
      <c r="LD2" s="8">
        <v>0.0</v>
      </c>
      <c r="LE2" s="8">
        <v>0.0</v>
      </c>
      <c r="LF2" s="8">
        <v>0.0</v>
      </c>
      <c r="LG2" s="9" t="s">
        <v>857</v>
      </c>
      <c r="LH2" s="8">
        <v>200000.0</v>
      </c>
      <c r="LI2" s="9"/>
      <c r="LJ2" s="9" t="s">
        <v>887</v>
      </c>
      <c r="LK2" s="8">
        <v>0.0</v>
      </c>
      <c r="LL2" s="8">
        <v>0.0</v>
      </c>
      <c r="LM2" s="8">
        <v>0.0</v>
      </c>
      <c r="LN2" s="8">
        <v>0.0</v>
      </c>
      <c r="LO2" s="8">
        <v>1.0</v>
      </c>
      <c r="LP2" s="8">
        <v>0.0</v>
      </c>
      <c r="LQ2" s="8">
        <v>0.0</v>
      </c>
      <c r="LR2" s="9"/>
      <c r="LS2" s="8">
        <v>15.0</v>
      </c>
      <c r="LT2" s="8">
        <v>15.0</v>
      </c>
      <c r="LU2" s="8">
        <v>15.0</v>
      </c>
      <c r="LV2" s="8">
        <v>5.0</v>
      </c>
      <c r="LW2" s="8">
        <v>5.0</v>
      </c>
      <c r="LX2" s="8">
        <v>5.0</v>
      </c>
      <c r="LY2" s="8">
        <v>5.0</v>
      </c>
      <c r="LZ2" s="8">
        <v>5.0</v>
      </c>
      <c r="MA2" s="8">
        <v>5.0</v>
      </c>
      <c r="MB2" s="9" t="s">
        <v>881</v>
      </c>
      <c r="MC2" s="8">
        <v>60.0</v>
      </c>
      <c r="MD2" s="8">
        <v>0.0</v>
      </c>
      <c r="ME2" s="8">
        <v>60.0</v>
      </c>
      <c r="MF2" s="8">
        <v>0.0</v>
      </c>
      <c r="MG2" s="8">
        <v>60.0</v>
      </c>
      <c r="MH2" s="8">
        <v>0.0</v>
      </c>
      <c r="MI2" s="9"/>
      <c r="MJ2" s="9"/>
      <c r="MK2" s="9"/>
      <c r="ML2" s="9"/>
      <c r="MM2" s="9"/>
      <c r="MN2" s="9"/>
      <c r="MO2" s="9"/>
      <c r="MP2" s="9"/>
      <c r="MQ2" s="9"/>
      <c r="MR2" s="9" t="s">
        <v>888</v>
      </c>
      <c r="MS2" s="9"/>
      <c r="MT2" s="9" t="s">
        <v>889</v>
      </c>
      <c r="MU2" s="9" t="s">
        <v>890</v>
      </c>
      <c r="MV2" s="9" t="s">
        <v>891</v>
      </c>
      <c r="MW2" s="8">
        <v>1.0</v>
      </c>
      <c r="MX2" s="8">
        <v>1.0</v>
      </c>
      <c r="MY2" s="8">
        <v>1.0</v>
      </c>
      <c r="MZ2" s="8">
        <v>0.0</v>
      </c>
      <c r="NA2" s="9"/>
      <c r="NB2" s="8">
        <v>3.0</v>
      </c>
      <c r="NC2" s="9" t="s">
        <v>892</v>
      </c>
      <c r="ND2" s="8">
        <v>0.0</v>
      </c>
      <c r="NE2" s="8">
        <v>1.0</v>
      </c>
      <c r="NF2" s="9"/>
      <c r="NG2" s="8">
        <v>50.0</v>
      </c>
      <c r="NH2" s="8">
        <v>1.0</v>
      </c>
      <c r="NI2" s="9"/>
      <c r="NJ2" s="8">
        <v>1000.0</v>
      </c>
      <c r="NK2" s="8">
        <v>1.0</v>
      </c>
      <c r="NL2" s="9" t="s">
        <v>881</v>
      </c>
      <c r="NM2" s="9" t="s">
        <v>893</v>
      </c>
      <c r="NN2" s="9" t="s">
        <v>894</v>
      </c>
      <c r="NO2" s="9" t="s">
        <v>895</v>
      </c>
      <c r="NP2" s="9"/>
      <c r="NQ2" s="9"/>
      <c r="NR2" s="9"/>
      <c r="NS2" s="9"/>
      <c r="NT2" s="9"/>
      <c r="NU2" s="9"/>
      <c r="NV2" s="9" t="s">
        <v>896</v>
      </c>
      <c r="NW2" s="9"/>
      <c r="NX2" s="9" t="s">
        <v>897</v>
      </c>
      <c r="NY2" s="8">
        <v>120.0</v>
      </c>
      <c r="NZ2" s="8">
        <v>15.0</v>
      </c>
      <c r="OA2" s="8">
        <v>0.0</v>
      </c>
      <c r="OB2" s="8">
        <v>30.0</v>
      </c>
      <c r="OC2" s="8">
        <v>10.0</v>
      </c>
      <c r="OD2" s="8">
        <v>0.0</v>
      </c>
      <c r="OE2" s="9" t="s">
        <v>898</v>
      </c>
      <c r="OF2" s="9" t="s">
        <v>899</v>
      </c>
      <c r="OG2" s="9" t="s">
        <v>857</v>
      </c>
      <c r="OH2" s="8">
        <v>5.0</v>
      </c>
      <c r="OI2" s="8">
        <v>0.0</v>
      </c>
      <c r="OJ2" s="8">
        <v>0.0</v>
      </c>
      <c r="OK2" s="8">
        <v>0.0</v>
      </c>
      <c r="OL2" s="8">
        <v>0.0</v>
      </c>
      <c r="OM2" s="8">
        <v>0.0</v>
      </c>
      <c r="ON2" s="8">
        <v>0.0</v>
      </c>
      <c r="OO2" s="8">
        <v>0.0</v>
      </c>
      <c r="OP2" s="9" t="str">
        <f>VLOOKUP(AG2,'BUS 2'!$G$1:$CU$424,2,0)</f>
        <v>Sapi pedaging</v>
      </c>
      <c r="OQ2" s="8">
        <f>VLOOKUP(AG2,'BUS 2'!$G$1:$CU$424,3,0)</f>
        <v>1</v>
      </c>
      <c r="OR2" s="8">
        <f>VLOOKUP(AG2,'BUS 2'!$G$1:$CU$424,4,0)</f>
        <v>0</v>
      </c>
      <c r="OS2" s="8">
        <f>VLOOKUP(AG2,'BUS 2'!$G$1:$CU$424,5,0)</f>
        <v>0</v>
      </c>
      <c r="OT2" s="8">
        <f>VLOOKUP(AG2,'BUS 2'!$G$1:$CU$424,6,0)</f>
        <v>0</v>
      </c>
      <c r="OU2" s="8">
        <f>VLOOKUP(AG2,'BUS 2'!$G$1:$CU$424,7,0)</f>
        <v>0</v>
      </c>
      <c r="OV2" s="8">
        <f>VLOOKUP(AG2,'BUS 2'!$G$1:$CU$424,8,0)</f>
        <v>0</v>
      </c>
      <c r="OW2" s="8">
        <f>VLOOKUP(AG2,'BUS 2'!$G$1:$CU$424,9,0)</f>
        <v>0</v>
      </c>
      <c r="OX2" s="8">
        <f>VLOOKUP(AG2,'BUS 2'!$G$1:$CU$424,10,0)</f>
        <v>0</v>
      </c>
      <c r="OY2" s="8">
        <f>VLOOKUP(AG2,'BUS 2'!$G$1:$CU$424,11,0)</f>
        <v>0</v>
      </c>
      <c r="OZ2" s="8" t="str">
        <f>VLOOKUP(AG2,'BUS 2'!$G$1:$CU$424,12,0)</f>
        <v>Sapi pedaging</v>
      </c>
      <c r="PA2" s="8">
        <f>VLOOKUP(AG2,'BUS 2'!$G$1:$CU$424,13,0)</f>
        <v>1</v>
      </c>
      <c r="PB2" s="8">
        <f>VLOOKUP(AG2,'BUS 2'!$G$1:$CU$424,14,0)</f>
        <v>0</v>
      </c>
      <c r="PC2" s="8">
        <f>VLOOKUP(AG2,'BUS 2'!$G$1:$CU$424,15,0)</f>
        <v>0</v>
      </c>
      <c r="PD2" s="8">
        <f>VLOOKUP(AG2,'BUS 2'!$G$1:$CU$424,16,0)</f>
        <v>0</v>
      </c>
      <c r="PE2" s="8">
        <f>VLOOKUP(AG2,'BUS 2'!$G$1:$CU$424,17,0)</f>
        <v>0</v>
      </c>
      <c r="PF2" s="8">
        <f>VLOOKUP(AG2,'BUS 2'!$G$1:$CU$424,18,0)</f>
        <v>0</v>
      </c>
      <c r="PG2" s="8">
        <f>VLOOKUP(AG2,'BUS 2'!$G$1:$CU$424,19,0)</f>
        <v>0</v>
      </c>
      <c r="PH2" s="8">
        <f>VLOOKUP(AG2,'BUS 2'!$G$1:$CU$424,20,0)</f>
        <v>0</v>
      </c>
      <c r="PI2" s="8">
        <f>VLOOKUP(AG2,'BUS 2'!$G$1:$CU$424,21,0)</f>
        <v>0</v>
      </c>
      <c r="PJ2" s="8" t="str">
        <f>VLOOKUP(AG2,'BUS 2'!$G$1:$CU$424,22,0)</f>
        <v>Tidak ada</v>
      </c>
      <c r="PK2" s="8">
        <f>VLOOKUP(AG2,'BUS 2'!$G$1:$CU$424,23,0)</f>
        <v>0</v>
      </c>
      <c r="PL2" s="8">
        <f>VLOOKUP(AG2,'BUS 2'!$G$1:$CU$424,24,0)</f>
        <v>0</v>
      </c>
      <c r="PM2" s="8">
        <f>VLOOKUP(AG2,'BUS 2'!$G$1:$CU$424,25,0)</f>
        <v>0</v>
      </c>
      <c r="PN2" s="8">
        <f>VLOOKUP(AG2,'BUS 2'!$G$1:$CU$424,26,0)</f>
        <v>0</v>
      </c>
      <c r="PO2" s="8">
        <f>VLOOKUP(AG2,'BUS 2'!$G$1:$CU$424,27,0)</f>
        <v>0</v>
      </c>
      <c r="PP2" s="8">
        <f>VLOOKUP(AG2,'BUS 2'!$G$1:$CU$424,28,0)</f>
        <v>0</v>
      </c>
      <c r="PQ2" s="8">
        <f>VLOOKUP(AG2,'BUS 2'!$G$1:$CU$424,29,0)</f>
        <v>0</v>
      </c>
      <c r="PR2" s="8">
        <f>VLOOKUP(AG2,'BUS 2'!$G$1:$CU$424,30,0)</f>
        <v>0</v>
      </c>
      <c r="PS2" s="8">
        <f>VLOOKUP(AG2,'BUS 2'!$G$1:$CU$424,31,0)</f>
        <v>1</v>
      </c>
      <c r="PT2" s="9" t="s">
        <v>900</v>
      </c>
      <c r="PU2" s="8">
        <v>1.0</v>
      </c>
      <c r="PV2" s="8">
        <v>0.0</v>
      </c>
      <c r="PW2" s="8">
        <v>0.0</v>
      </c>
      <c r="PX2" s="8">
        <v>0.0</v>
      </c>
      <c r="PY2" s="8">
        <v>0.0</v>
      </c>
      <c r="PZ2" s="8">
        <v>0.0</v>
      </c>
      <c r="QA2" s="8">
        <v>1.0</v>
      </c>
      <c r="QB2" s="8">
        <v>0.0</v>
      </c>
      <c r="QC2" s="8">
        <v>0.0</v>
      </c>
      <c r="QD2" s="8">
        <v>0.0</v>
      </c>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8">
        <f>VLOOKUP(AG2,'BUS 2'!$G$1:$CU$424,33,0)</f>
        <v>5</v>
      </c>
      <c r="SZ2" s="9" t="str">
        <f>VLOOKUP(AG2,'BUS 2'!$G$1:$CU$424,34,0)</f>
        <v/>
      </c>
      <c r="TA2" s="9" t="str">
        <f>VLOOKUP(AG2,'BUS 2'!$G$1:$CU$424,35,0)</f>
        <v/>
      </c>
      <c r="TB2" s="9" t="str">
        <f>VLOOKUP(AG2,'BUS 2'!$G$1:$CU$424,36,0)</f>
        <v/>
      </c>
      <c r="TC2" s="9" t="str">
        <f>VLOOKUP(AG2,'BUS 2'!$G$1:$CU$424,37,0)</f>
        <v/>
      </c>
      <c r="TD2" s="9" t="str">
        <f>VLOOKUP(AG2,'BUS 2'!$G$1:$CU$424,38,0)</f>
        <v/>
      </c>
      <c r="TE2" s="9" t="str">
        <f>VLOOKUP(AG2,'BUS 2'!$G$1:$CU$424,39,0)</f>
        <v/>
      </c>
      <c r="TF2" s="9" t="str">
        <f>VLOOKUP(AG2,'BUS 2'!$G$1:$CU$424,40,0)</f>
        <v/>
      </c>
      <c r="TG2" s="8">
        <f>VLOOKUP(AG2,'BUS 2'!$G$1:$CU$424,42,0)</f>
        <v>5</v>
      </c>
      <c r="TH2" s="8" t="str">
        <f>VLOOKUP(AG2,'BUS 2'!$G$1:$CU$424,43,0)</f>
        <v/>
      </c>
      <c r="TI2" s="8" t="str">
        <f>VLOOKUP(AG2,'BUS 2'!$G$1:$CU$424,44,0)</f>
        <v/>
      </c>
      <c r="TJ2" s="8" t="str">
        <f>VLOOKUP(AG2,'BUS 2'!$G$1:$CU$424,45,0)</f>
        <v/>
      </c>
      <c r="TK2" s="8" t="str">
        <f>VLOOKUP(AG2,'BUS 2'!$G$1:$CU$424,46,0)</f>
        <v/>
      </c>
      <c r="TL2" s="8" t="str">
        <f>VLOOKUP(AG2,'BUS 2'!$G$1:$CU$424,47,0)</f>
        <v/>
      </c>
      <c r="TM2" s="8" t="str">
        <f>VLOOKUP(AG2,'BUS 2'!$G$1:$CU$424,48,0)</f>
        <v/>
      </c>
      <c r="TN2" s="8" t="str">
        <f>VLOOKUP(AG2,'BUS 2'!$G$1:$CU$424,49,0)</f>
        <v/>
      </c>
      <c r="TO2" s="8" t="str">
        <f>VLOOKUP(AG2,'BUS 2'!$G$1:$CU$424,50,0)</f>
        <v/>
      </c>
      <c r="TP2" s="8" t="str">
        <f>VLOOKUP(AG2,'BUS 2'!$G$1:$CU$424,51,0)</f>
        <v/>
      </c>
      <c r="TQ2" s="8" t="str">
        <f>VLOOKUP(AG2,'BUS 2'!$G$1:$CU$424,52,0)</f>
        <v/>
      </c>
      <c r="TR2" s="8" t="str">
        <f>VLOOKUP(AG2,'BUS 2'!$G$1:$CU$424,53,0)</f>
        <v/>
      </c>
      <c r="TS2" s="9" t="str">
        <f>VLOOKUP(AG2,'BUS 2'!$G$1:$CU$424,54,0)</f>
        <v/>
      </c>
      <c r="TT2" s="9" t="str">
        <f>VLOOKUP(AG2,'BUS 2'!$G$1:$CU$424,55,0)</f>
        <v/>
      </c>
      <c r="TU2" s="9" t="str">
        <f>VLOOKUP(AG2,'BUS 2'!$G$1:$CU$424,56,0)</f>
        <v/>
      </c>
      <c r="TV2" s="9" t="str">
        <f>VLOOKUP(AG2,'BUS 2'!$G$1:$CU$424,57,0)</f>
        <v/>
      </c>
      <c r="TW2" s="9" t="str">
        <f>VLOOKUP(AG2,'BUS 2'!$G$1:$CU$424,58,0)</f>
        <v/>
      </c>
      <c r="TX2" s="9" t="str">
        <f>VLOOKUP(AG2,'BUS 2'!$G$1:$CU$424,59,0)</f>
        <v/>
      </c>
      <c r="TY2" s="9" t="str">
        <f>VLOOKUP(AG2,'BUS 2'!$G$1:$CU$424,60,0)</f>
        <v/>
      </c>
      <c r="TZ2" s="9" t="str">
        <f>VLOOKUP(AG2,'BUS 2'!$G$1:$CU$424,61,0)</f>
        <v/>
      </c>
      <c r="UA2" s="9" t="str">
        <f>VLOOKUP(AG2,'BUS 2'!$G$1:$CU$424,62,0)</f>
        <v/>
      </c>
      <c r="UB2" s="9" t="str">
        <f>VLOOKUP(AG2,'BUS 2'!$G$1:$CU$424,63,0)</f>
        <v/>
      </c>
      <c r="UC2" s="9" t="str">
        <f>VLOOKUP(AG2,'BUS 2'!$G$1:$CU$424,64,0)</f>
        <v/>
      </c>
      <c r="UD2" s="9" t="str">
        <f>VLOOKUP(AG2,'BUS 2'!$G$1:$CU$424,65,0)</f>
        <v/>
      </c>
      <c r="UE2" s="9" t="str">
        <f>VLOOKUP(AG2,'BUS 2'!$G$1:$CU$424,66,0)</f>
        <v/>
      </c>
      <c r="UF2" s="9" t="str">
        <f>VLOOKUP(AG2,'BUS 2'!$G$1:$CU$424,67,0)</f>
        <v/>
      </c>
      <c r="UG2" s="9" t="str">
        <f>VLOOKUP(AG2,'BUS 2'!$G$1:$CU$424,68,0)</f>
        <v/>
      </c>
      <c r="UH2" s="9" t="str">
        <f>VLOOKUP(AG2,'BUS 2'!$G$1:$CU$424,69,0)</f>
        <v/>
      </c>
      <c r="UI2" s="9" t="str">
        <f>VLOOKUP(AG2,'BUS 2'!$G$1:$CU$424,70,0)</f>
        <v/>
      </c>
      <c r="UJ2" s="9" t="str">
        <f>VLOOKUP(AG2,'BUS 2'!$G$1:$CU$424,71,0)</f>
        <v/>
      </c>
      <c r="UK2" s="9" t="str">
        <f>VLOOKUP(AG2,'BUS 2'!$G$1:$CU$424,72,0)</f>
        <v/>
      </c>
      <c r="UL2" s="9" t="str">
        <f>VLOOKUP(AG2,'BUS 2'!$G$1:$CU$424,73,0)</f>
        <v/>
      </c>
      <c r="UM2" s="9" t="str">
        <f>VLOOKUP(AG2,'BUS 2'!$G$1:$CU$424,74,0)</f>
        <v/>
      </c>
      <c r="UN2" s="9" t="str">
        <f>VLOOKUP(AG2,'BUS 2'!$G$1:$CU$424,75,0)</f>
        <v/>
      </c>
      <c r="UO2" s="9" t="str">
        <f>VLOOKUP(AG2,'BUS 2'!$G$1:$CU$424,76,0)</f>
        <v/>
      </c>
      <c r="UP2" s="9" t="str">
        <f>VLOOKUP(AG2,'BUS 2'!$G$1:$CU$424,77,0)</f>
        <v/>
      </c>
      <c r="UQ2" s="9" t="str">
        <f>VLOOKUP(AG2,'BUS 2'!$G$1:$CU$424,78,0)</f>
        <v/>
      </c>
      <c r="UR2" s="9" t="str">
        <f>VLOOKUP(AG2,'BUS 2'!$G$1:$CU$424,79,0)</f>
        <v/>
      </c>
      <c r="US2" s="9" t="str">
        <f>VLOOKUP(AG2,'BUS 2'!$G$1:$CU$424,80,0)</f>
        <v/>
      </c>
      <c r="UT2" s="9" t="str">
        <f>VLOOKUP(AG2,'BUS 2'!$G$1:$CU$424,81,0)</f>
        <v/>
      </c>
      <c r="UU2" s="9" t="s">
        <v>901</v>
      </c>
      <c r="UV2" s="9"/>
      <c r="UW2" s="9"/>
      <c r="UX2" s="9"/>
      <c r="UY2" s="9"/>
      <c r="UZ2" s="9"/>
      <c r="VA2" s="9"/>
      <c r="VB2" s="9"/>
      <c r="VC2" s="9" t="s">
        <v>902</v>
      </c>
      <c r="VD2" s="9"/>
      <c r="VE2" s="9"/>
      <c r="VF2" s="9"/>
      <c r="VG2" s="9"/>
      <c r="VH2" s="9"/>
      <c r="VI2" s="9"/>
      <c r="VJ2" s="9"/>
      <c r="VK2" s="9" t="s">
        <v>903</v>
      </c>
      <c r="VL2" s="9"/>
      <c r="VM2" s="9"/>
      <c r="VN2" s="9"/>
      <c r="VO2" s="9"/>
      <c r="VP2" s="9"/>
      <c r="VQ2" s="9"/>
      <c r="VR2" s="9"/>
      <c r="VS2" s="9" t="s">
        <v>904</v>
      </c>
      <c r="VT2" s="8">
        <v>0.0</v>
      </c>
      <c r="VU2" s="8">
        <v>0.0</v>
      </c>
      <c r="VV2" s="8">
        <v>0.0</v>
      </c>
      <c r="VW2" s="8">
        <v>0.0</v>
      </c>
      <c r="VX2" s="8">
        <v>0.0</v>
      </c>
      <c r="VY2" s="8">
        <v>0.0</v>
      </c>
      <c r="VZ2" s="8">
        <v>0.0</v>
      </c>
      <c r="WA2" s="8">
        <v>1.0</v>
      </c>
      <c r="WB2" s="8">
        <v>0.0</v>
      </c>
      <c r="WC2" s="8">
        <v>0.0</v>
      </c>
      <c r="WD2" s="8">
        <v>0.0</v>
      </c>
      <c r="WE2" s="8">
        <v>0.0</v>
      </c>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8">
        <v>2.0</v>
      </c>
      <c r="ZW2" s="9"/>
      <c r="ZX2" s="9"/>
      <c r="ZY2" s="9"/>
      <c r="ZZ2" s="9"/>
      <c r="AAA2" s="9"/>
      <c r="AAB2" s="9"/>
      <c r="AAC2" s="9"/>
      <c r="AAD2" s="9" t="s">
        <v>905</v>
      </c>
      <c r="AAE2" s="9"/>
      <c r="AAF2" s="9"/>
      <c r="AAG2" s="9"/>
      <c r="AAH2" s="9"/>
      <c r="AAI2" s="9"/>
      <c r="AAJ2" s="9"/>
      <c r="AAK2" s="9"/>
      <c r="AAL2" s="9" t="s">
        <v>857</v>
      </c>
      <c r="AAM2" s="9" t="s">
        <v>892</v>
      </c>
      <c r="AAN2" s="8">
        <v>1.0</v>
      </c>
      <c r="AAO2" s="8">
        <v>0.0</v>
      </c>
      <c r="AAP2" s="9"/>
      <c r="AAQ2" s="8">
        <v>50.0</v>
      </c>
      <c r="AAR2" s="9" t="s">
        <v>857</v>
      </c>
      <c r="AAS2" s="9" t="s">
        <v>867</v>
      </c>
      <c r="AAT2" s="9" t="s">
        <v>906</v>
      </c>
      <c r="AAU2" s="8">
        <v>1.0</v>
      </c>
      <c r="AAV2" s="8">
        <v>0.0</v>
      </c>
      <c r="AAW2" s="8">
        <v>0.0</v>
      </c>
      <c r="AAX2" s="8">
        <v>0.0</v>
      </c>
      <c r="AAY2" s="8">
        <v>0.0</v>
      </c>
      <c r="AAZ2" s="8">
        <v>0.0</v>
      </c>
      <c r="ABA2" s="8">
        <v>0.0</v>
      </c>
      <c r="ABB2" s="9" t="s">
        <v>907</v>
      </c>
      <c r="ABC2" s="8">
        <v>1.0</v>
      </c>
      <c r="ABD2" s="8">
        <v>0.0</v>
      </c>
      <c r="ABE2" s="8">
        <v>0.0</v>
      </c>
      <c r="ABF2" s="8">
        <v>0.0</v>
      </c>
      <c r="ABG2" s="8">
        <v>0.0</v>
      </c>
      <c r="ABH2" s="9"/>
      <c r="ABI2" s="9"/>
      <c r="ABJ2" s="9"/>
      <c r="ABK2" s="9"/>
      <c r="ABL2" s="9"/>
      <c r="ABM2" s="9"/>
      <c r="ABN2" s="9"/>
      <c r="ABO2" s="9"/>
      <c r="ABP2" s="9"/>
      <c r="ABQ2" s="11" t="s">
        <v>908</v>
      </c>
      <c r="ABR2" s="9" t="s">
        <v>909</v>
      </c>
      <c r="ABS2" s="8">
        <v>1000.0</v>
      </c>
      <c r="ABT2" s="9"/>
      <c r="ABU2" s="8">
        <v>50.0</v>
      </c>
      <c r="ABV2" s="8">
        <v>50.0</v>
      </c>
      <c r="ABW2" s="9" t="s">
        <v>910</v>
      </c>
      <c r="ABX2" s="9"/>
      <c r="ABY2" s="8">
        <v>40.0</v>
      </c>
      <c r="ABZ2" s="8">
        <v>7000.0</v>
      </c>
      <c r="ACA2" s="8">
        <v>20.0</v>
      </c>
      <c r="ACB2" s="8">
        <v>7000.0</v>
      </c>
      <c r="ACC2" s="8">
        <v>400.0</v>
      </c>
      <c r="ACD2" s="8">
        <v>500.0</v>
      </c>
      <c r="ACE2" s="9" t="s">
        <v>857</v>
      </c>
      <c r="ACF2" s="9" t="s">
        <v>911</v>
      </c>
      <c r="ACG2" s="9" t="s">
        <v>911</v>
      </c>
      <c r="ACH2" s="9" t="s">
        <v>911</v>
      </c>
      <c r="ACI2" s="9"/>
      <c r="ACJ2" s="9"/>
      <c r="ACK2" s="9"/>
      <c r="ACL2" s="9"/>
      <c r="ACM2" s="9"/>
      <c r="ACN2" s="9"/>
      <c r="ACO2" s="9"/>
      <c r="ACP2" s="9"/>
      <c r="ACQ2" s="9"/>
      <c r="ACR2" s="9"/>
      <c r="ACS2" s="9"/>
      <c r="ACT2" s="9" t="s">
        <v>912</v>
      </c>
      <c r="ACU2" s="9" t="s">
        <v>913</v>
      </c>
      <c r="ACV2" s="9" t="s">
        <v>914</v>
      </c>
      <c r="ACW2" s="9" t="s">
        <v>915</v>
      </c>
      <c r="ACX2" s="9" t="s">
        <v>916</v>
      </c>
      <c r="ACY2" s="9" t="s">
        <v>915</v>
      </c>
      <c r="ACZ2" s="8">
        <v>0.0</v>
      </c>
      <c r="ADA2" s="8">
        <v>1.0</v>
      </c>
      <c r="ADB2" s="8">
        <v>0.0</v>
      </c>
      <c r="ADC2" s="8">
        <v>0.0</v>
      </c>
      <c r="ADD2" s="9" t="s">
        <v>917</v>
      </c>
      <c r="ADE2" s="9" t="s">
        <v>917</v>
      </c>
      <c r="ADF2" s="9" t="s">
        <v>917</v>
      </c>
      <c r="ADG2" s="9" t="s">
        <v>917</v>
      </c>
      <c r="ADH2" s="9" t="s">
        <v>881</v>
      </c>
      <c r="ADI2" s="9"/>
      <c r="ADJ2" s="9" t="s">
        <v>918</v>
      </c>
      <c r="ADK2" s="9"/>
      <c r="ADL2" s="9"/>
      <c r="ADM2" s="9"/>
      <c r="ADN2" s="9"/>
      <c r="ADO2" s="9"/>
      <c r="ADP2" s="9"/>
      <c r="ADQ2" s="9"/>
      <c r="ADR2" s="9"/>
      <c r="ADS2" s="9"/>
      <c r="ADT2" s="9"/>
      <c r="ADU2" s="9" t="s">
        <v>919</v>
      </c>
      <c r="ADV2" s="8">
        <v>0.0</v>
      </c>
      <c r="ADW2" s="8">
        <v>0.0</v>
      </c>
      <c r="ADX2" s="8">
        <v>0.0</v>
      </c>
      <c r="ADY2" s="8">
        <v>0.0</v>
      </c>
      <c r="ADZ2" s="8">
        <v>1.0</v>
      </c>
      <c r="AEA2" s="8">
        <v>0.0</v>
      </c>
      <c r="AEB2" s="8">
        <v>0.0</v>
      </c>
      <c r="AEC2" s="8">
        <v>0.0</v>
      </c>
      <c r="AED2" s="12"/>
      <c r="AEE2" s="13" t="s">
        <v>872</v>
      </c>
      <c r="AEF2" s="14"/>
      <c r="AEG2" s="13" t="s">
        <v>920</v>
      </c>
      <c r="AEH2" s="9"/>
      <c r="AEI2" s="11" t="s">
        <v>921</v>
      </c>
      <c r="AEJ2" s="9" t="s">
        <v>871</v>
      </c>
      <c r="AEK2" s="13" t="s">
        <v>922</v>
      </c>
      <c r="AEL2" s="15">
        <v>1.0</v>
      </c>
      <c r="AEM2" s="15">
        <v>1.0</v>
      </c>
      <c r="AEN2" s="15">
        <v>1.0</v>
      </c>
      <c r="AEO2" s="15">
        <v>1.0</v>
      </c>
      <c r="AEP2" s="15">
        <v>1.0</v>
      </c>
      <c r="AEQ2" s="15">
        <v>1.0</v>
      </c>
      <c r="AER2" s="15">
        <v>1.0</v>
      </c>
      <c r="AES2" s="15">
        <v>1.0</v>
      </c>
      <c r="AET2" s="15">
        <v>1.0</v>
      </c>
      <c r="AEU2" s="15">
        <v>0.0</v>
      </c>
      <c r="AEV2" s="15">
        <v>1.0</v>
      </c>
      <c r="AEW2" s="15">
        <v>0.0</v>
      </c>
      <c r="AEX2" s="9"/>
      <c r="AEY2" s="9" t="s">
        <v>923</v>
      </c>
      <c r="AEZ2" s="9"/>
      <c r="AFA2" s="9" t="s">
        <v>924</v>
      </c>
      <c r="AFB2" s="9"/>
      <c r="AFC2" s="9" t="s">
        <v>925</v>
      </c>
      <c r="AFD2" s="16" t="s">
        <v>926</v>
      </c>
      <c r="AFE2" s="9" t="s">
        <v>927</v>
      </c>
      <c r="AFF2" s="16" t="s">
        <v>928</v>
      </c>
      <c r="AFG2" s="9" t="s">
        <v>929</v>
      </c>
      <c r="AFH2" s="9"/>
      <c r="AFI2" s="9"/>
    </row>
    <row r="3">
      <c r="A3" s="6">
        <v>46057.0</v>
      </c>
      <c r="B3" s="6">
        <v>46057.0</v>
      </c>
      <c r="C3" s="7" t="s">
        <v>837</v>
      </c>
      <c r="D3" s="7" t="s">
        <v>930</v>
      </c>
      <c r="E3" s="8">
        <v>6.285602796486E12</v>
      </c>
      <c r="F3" s="9"/>
      <c r="G3" s="8">
        <v>-7.3547225</v>
      </c>
      <c r="H3" s="8">
        <v>110.3350094</v>
      </c>
      <c r="I3" s="9"/>
      <c r="J3" s="8">
        <v>4.72</v>
      </c>
      <c r="K3" s="9"/>
      <c r="L3" s="9"/>
      <c r="M3" s="8">
        <v>-7.3547225</v>
      </c>
      <c r="N3" s="8">
        <v>110.3349516</v>
      </c>
      <c r="O3" s="9"/>
      <c r="P3" s="8">
        <v>4.72</v>
      </c>
      <c r="Q3" s="9"/>
      <c r="R3" s="9" t="s">
        <v>839</v>
      </c>
      <c r="S3" s="9"/>
      <c r="T3" s="9"/>
      <c r="U3" s="9"/>
      <c r="V3" s="9"/>
      <c r="W3" s="9"/>
      <c r="X3" s="9"/>
      <c r="Y3" s="9"/>
      <c r="Z3" s="9"/>
      <c r="AA3" s="9"/>
      <c r="AB3" s="9"/>
      <c r="AC3" s="7" t="s">
        <v>840</v>
      </c>
      <c r="AD3" s="7" t="s">
        <v>841</v>
      </c>
      <c r="AE3" s="7" t="s">
        <v>842</v>
      </c>
      <c r="AF3" s="9" t="s">
        <v>931</v>
      </c>
      <c r="AG3" s="9" t="s">
        <v>932</v>
      </c>
      <c r="AH3" s="8">
        <v>11.0</v>
      </c>
      <c r="AI3" s="9" t="s">
        <v>933</v>
      </c>
      <c r="AJ3" s="9" t="s">
        <v>934</v>
      </c>
      <c r="AK3" s="8">
        <v>59.0</v>
      </c>
      <c r="AL3" s="9" t="s">
        <v>847</v>
      </c>
      <c r="AM3" s="9" t="s">
        <v>848</v>
      </c>
      <c r="AN3" s="9" t="s">
        <v>849</v>
      </c>
      <c r="AO3" s="9" t="s">
        <v>851</v>
      </c>
      <c r="AP3" s="8">
        <v>1.0</v>
      </c>
      <c r="AQ3" s="8">
        <v>1.0</v>
      </c>
      <c r="AR3" s="8">
        <v>0.0</v>
      </c>
      <c r="AS3" s="8">
        <v>0.0</v>
      </c>
      <c r="AT3" s="8">
        <v>0.0</v>
      </c>
      <c r="AU3" s="8">
        <v>0.0</v>
      </c>
      <c r="AV3" s="8">
        <v>0.0</v>
      </c>
      <c r="AW3" s="8">
        <v>0.0</v>
      </c>
      <c r="AX3" s="9"/>
      <c r="AY3" s="9" t="s">
        <v>935</v>
      </c>
      <c r="AZ3" s="8">
        <v>0.0</v>
      </c>
      <c r="BA3" s="8">
        <v>1.0</v>
      </c>
      <c r="BB3" s="8">
        <v>0.0</v>
      </c>
      <c r="BC3" s="8">
        <v>0.0</v>
      </c>
      <c r="BD3" s="8">
        <v>0.0</v>
      </c>
      <c r="BE3" s="8">
        <v>0.0</v>
      </c>
      <c r="BF3" s="8">
        <v>0.0</v>
      </c>
      <c r="BG3" s="8">
        <v>0.0</v>
      </c>
      <c r="BH3" s="9"/>
      <c r="BI3" s="9" t="s">
        <v>936</v>
      </c>
      <c r="BJ3" s="8">
        <v>3.0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2014.0</v>
      </c>
      <c r="CN3" s="9" t="s">
        <v>858</v>
      </c>
      <c r="CO3" s="9" t="s">
        <v>859</v>
      </c>
      <c r="CP3" s="9" t="s">
        <v>860</v>
      </c>
      <c r="CQ3" s="8">
        <v>0.0</v>
      </c>
      <c r="CR3" s="8">
        <v>0.0</v>
      </c>
      <c r="CS3" s="8">
        <v>0.0</v>
      </c>
      <c r="CT3" s="8">
        <v>0.0</v>
      </c>
      <c r="CU3" s="10">
        <v>1.0</v>
      </c>
      <c r="CV3" s="10">
        <v>0.0</v>
      </c>
      <c r="CW3" s="10">
        <v>0.0</v>
      </c>
      <c r="CX3" s="8">
        <v>0.0</v>
      </c>
      <c r="CY3" s="9" t="s">
        <v>860</v>
      </c>
      <c r="CZ3" s="8">
        <v>1.0</v>
      </c>
      <c r="DA3" s="8">
        <v>0.0</v>
      </c>
      <c r="DB3" s="8">
        <v>0.0</v>
      </c>
      <c r="DC3" s="9"/>
      <c r="DD3" s="9" t="s">
        <v>937</v>
      </c>
      <c r="DE3" s="8">
        <v>1.0</v>
      </c>
      <c r="DF3" s="8">
        <v>0.0</v>
      </c>
      <c r="DG3" s="8">
        <v>1.0</v>
      </c>
      <c r="DH3" s="8">
        <v>0.0</v>
      </c>
      <c r="DI3" s="9"/>
      <c r="DJ3" s="9" t="s">
        <v>861</v>
      </c>
      <c r="DK3" s="8">
        <v>0.0</v>
      </c>
      <c r="DL3" s="8">
        <v>0.0</v>
      </c>
      <c r="DM3" s="8">
        <v>1.0</v>
      </c>
      <c r="DN3" s="8">
        <v>0.0</v>
      </c>
      <c r="DO3" s="9"/>
      <c r="DP3" s="8">
        <v>1.0</v>
      </c>
      <c r="DQ3" s="8">
        <v>0.0</v>
      </c>
      <c r="DR3" s="8">
        <v>0.0</v>
      </c>
      <c r="DS3" s="9"/>
      <c r="DT3" s="9"/>
      <c r="DU3" s="9"/>
      <c r="DV3" s="9" t="s">
        <v>938</v>
      </c>
      <c r="DW3" s="9" t="s">
        <v>939</v>
      </c>
      <c r="DX3" s="9" t="s">
        <v>940</v>
      </c>
      <c r="DY3" s="9"/>
      <c r="DZ3" s="9"/>
      <c r="EA3" s="9"/>
      <c r="EB3" s="9"/>
      <c r="EC3" s="9"/>
      <c r="ED3" s="9"/>
      <c r="EE3" s="9"/>
      <c r="EF3" s="9"/>
      <c r="EG3" s="9"/>
      <c r="EH3" s="9"/>
      <c r="EI3" s="9" t="s">
        <v>941</v>
      </c>
      <c r="EJ3" s="8">
        <v>0.0</v>
      </c>
      <c r="EK3" s="8">
        <v>1.0</v>
      </c>
      <c r="EL3" s="8">
        <v>1.0</v>
      </c>
      <c r="EM3" s="8">
        <v>0.0</v>
      </c>
      <c r="EN3" s="8">
        <v>0.0</v>
      </c>
      <c r="EO3" s="11"/>
      <c r="EP3" s="9" t="s">
        <v>863</v>
      </c>
      <c r="EQ3" s="9" t="s">
        <v>864</v>
      </c>
      <c r="ER3" s="9" t="s">
        <v>861</v>
      </c>
      <c r="ES3" s="8">
        <v>1.0</v>
      </c>
      <c r="ET3" s="8">
        <v>0.0</v>
      </c>
      <c r="EU3" s="8">
        <v>0.0</v>
      </c>
      <c r="EV3" s="8">
        <v>0.0</v>
      </c>
      <c r="EW3" s="9"/>
      <c r="EX3" s="9" t="s">
        <v>865</v>
      </c>
      <c r="EY3" s="8">
        <v>1.0</v>
      </c>
      <c r="EZ3" s="8">
        <v>0.0</v>
      </c>
      <c r="FA3" s="8">
        <v>0.0</v>
      </c>
      <c r="FB3" s="9"/>
      <c r="FC3" s="9" t="s">
        <v>942</v>
      </c>
      <c r="FD3" s="9"/>
      <c r="FE3" s="9" t="s">
        <v>867</v>
      </c>
      <c r="FF3" s="9" t="s">
        <v>868</v>
      </c>
      <c r="FG3" s="9" t="s">
        <v>867</v>
      </c>
      <c r="FH3" s="9" t="s">
        <v>869</v>
      </c>
      <c r="FI3" s="9" t="s">
        <v>867</v>
      </c>
      <c r="FJ3" s="9" t="s">
        <v>869</v>
      </c>
      <c r="FK3" s="9" t="s">
        <v>867</v>
      </c>
      <c r="FL3" s="9" t="s">
        <v>870</v>
      </c>
      <c r="FM3" s="9" t="s">
        <v>867</v>
      </c>
      <c r="FN3" s="9" t="s">
        <v>943</v>
      </c>
      <c r="FO3" s="9" t="s">
        <v>867</v>
      </c>
      <c r="FP3" s="9" t="s">
        <v>870</v>
      </c>
      <c r="FQ3" s="9" t="s">
        <v>867</v>
      </c>
      <c r="FR3" s="9" t="s">
        <v>857</v>
      </c>
      <c r="FS3" s="9" t="s">
        <v>867</v>
      </c>
      <c r="FT3" s="9" t="s">
        <v>871</v>
      </c>
      <c r="FU3" s="9" t="s">
        <v>872</v>
      </c>
      <c r="FV3" s="8">
        <v>1.0</v>
      </c>
      <c r="FW3" s="8">
        <v>0.0</v>
      </c>
      <c r="FX3" s="8">
        <v>0.0</v>
      </c>
      <c r="FY3" s="8">
        <v>0.0</v>
      </c>
      <c r="FZ3" s="9" t="s">
        <v>944</v>
      </c>
      <c r="GA3" s="9" t="s">
        <v>874</v>
      </c>
      <c r="GB3" s="8">
        <v>1.0</v>
      </c>
      <c r="GC3" s="8">
        <v>0.0</v>
      </c>
      <c r="GD3" s="8">
        <v>0.0</v>
      </c>
      <c r="GE3" s="8">
        <v>0.0</v>
      </c>
      <c r="GF3" s="9"/>
      <c r="GG3" s="9" t="s">
        <v>875</v>
      </c>
      <c r="GH3" s="9" t="s">
        <v>881</v>
      </c>
      <c r="GI3" s="9"/>
      <c r="GJ3" s="9"/>
      <c r="GK3" s="9"/>
      <c r="GL3" s="9"/>
      <c r="GM3" s="9"/>
      <c r="GN3" s="9"/>
      <c r="GO3" s="9"/>
      <c r="GP3" s="9" t="s">
        <v>877</v>
      </c>
      <c r="GQ3" s="9" t="s">
        <v>878</v>
      </c>
      <c r="GR3" s="8">
        <v>1.0</v>
      </c>
      <c r="GS3" s="8">
        <v>1.0</v>
      </c>
      <c r="GT3" s="8">
        <v>0.0</v>
      </c>
      <c r="GU3" s="8">
        <v>0.0</v>
      </c>
      <c r="GV3" s="8">
        <v>0.0</v>
      </c>
      <c r="GW3" s="8">
        <v>0.0</v>
      </c>
      <c r="GX3" s="8">
        <v>0.0</v>
      </c>
      <c r="GY3" s="9"/>
      <c r="GZ3" s="9" t="s">
        <v>857</v>
      </c>
      <c r="HA3" s="8">
        <v>15.0</v>
      </c>
      <c r="HB3" s="8">
        <v>150000.0</v>
      </c>
      <c r="HC3" s="8">
        <v>0.0</v>
      </c>
      <c r="HD3" s="8">
        <v>0.0</v>
      </c>
      <c r="HE3" s="8">
        <v>12.0</v>
      </c>
      <c r="HF3" s="8">
        <v>100000.0</v>
      </c>
      <c r="HG3" s="8">
        <v>0.0</v>
      </c>
      <c r="HH3" s="8">
        <v>0.0</v>
      </c>
      <c r="HI3" s="9"/>
      <c r="HJ3" s="9"/>
      <c r="HK3" s="9"/>
      <c r="HL3" s="9"/>
      <c r="HM3" s="9"/>
      <c r="HN3" s="9"/>
      <c r="HO3" s="9"/>
      <c r="HP3" s="9"/>
      <c r="HQ3" s="9"/>
      <c r="HR3" s="9"/>
      <c r="HS3" s="9"/>
      <c r="HT3" s="9"/>
      <c r="HU3" s="9"/>
      <c r="HV3" s="9"/>
      <c r="HW3" s="9"/>
      <c r="HX3" s="9"/>
      <c r="HY3" s="8">
        <v>15.0</v>
      </c>
      <c r="HZ3" s="8">
        <v>150000.0</v>
      </c>
      <c r="IA3" s="8">
        <v>0.0</v>
      </c>
      <c r="IB3" s="8">
        <v>0.0</v>
      </c>
      <c r="IC3" s="9"/>
      <c r="ID3" s="9"/>
      <c r="IE3" s="9"/>
      <c r="IF3" s="9"/>
      <c r="IG3" s="9"/>
      <c r="IH3" s="9"/>
      <c r="II3" s="9"/>
      <c r="IJ3" s="9"/>
      <c r="IK3" s="9" t="s">
        <v>879</v>
      </c>
      <c r="IL3" s="9" t="s">
        <v>880</v>
      </c>
      <c r="IM3" s="9" t="s">
        <v>857</v>
      </c>
      <c r="IN3" s="9" t="s">
        <v>881</v>
      </c>
      <c r="IO3" s="9" t="s">
        <v>882</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872</v>
      </c>
      <c r="KW3" s="8">
        <v>1.0</v>
      </c>
      <c r="KX3" s="8">
        <v>0.0</v>
      </c>
      <c r="KY3" s="8">
        <v>0.0</v>
      </c>
      <c r="KZ3" s="8">
        <v>0.0</v>
      </c>
      <c r="LA3" s="9" t="s">
        <v>945</v>
      </c>
      <c r="LB3" s="9" t="s">
        <v>884</v>
      </c>
      <c r="LC3" s="8">
        <v>0.0</v>
      </c>
      <c r="LD3" s="8">
        <v>0.0</v>
      </c>
      <c r="LE3" s="8">
        <v>0.0</v>
      </c>
      <c r="LF3" s="8">
        <v>0.0</v>
      </c>
      <c r="LG3" s="9" t="s">
        <v>881</v>
      </c>
      <c r="LH3" s="9"/>
      <c r="LI3" s="8">
        <v>100000.0</v>
      </c>
      <c r="LJ3" s="9" t="s">
        <v>887</v>
      </c>
      <c r="LK3" s="8">
        <v>0.0</v>
      </c>
      <c r="LL3" s="8">
        <v>0.0</v>
      </c>
      <c r="LM3" s="8">
        <v>0.0</v>
      </c>
      <c r="LN3" s="8">
        <v>0.0</v>
      </c>
      <c r="LO3" s="8">
        <v>1.0</v>
      </c>
      <c r="LP3" s="8">
        <v>0.0</v>
      </c>
      <c r="LQ3" s="8">
        <v>0.0</v>
      </c>
      <c r="LR3" s="9"/>
      <c r="LS3" s="8">
        <v>30.0</v>
      </c>
      <c r="LT3" s="8">
        <v>30.0</v>
      </c>
      <c r="LU3" s="8">
        <v>0.0</v>
      </c>
      <c r="LV3" s="8">
        <v>5.0</v>
      </c>
      <c r="LW3" s="8">
        <v>5.0</v>
      </c>
      <c r="LX3" s="8">
        <v>0.0</v>
      </c>
      <c r="LY3" s="8">
        <v>5.0</v>
      </c>
      <c r="LZ3" s="8">
        <v>5.0</v>
      </c>
      <c r="MA3" s="8">
        <v>0.0</v>
      </c>
      <c r="MB3" s="9" t="s">
        <v>857</v>
      </c>
      <c r="MC3" s="8">
        <v>30.0</v>
      </c>
      <c r="MD3" s="8">
        <v>20.0</v>
      </c>
      <c r="ME3" s="8">
        <v>30.0</v>
      </c>
      <c r="MF3" s="8">
        <v>20.0</v>
      </c>
      <c r="MG3" s="8">
        <v>30.0</v>
      </c>
      <c r="MH3" s="8">
        <v>15.0</v>
      </c>
      <c r="MI3" s="9" t="s">
        <v>946</v>
      </c>
      <c r="MJ3" s="8">
        <v>0.0</v>
      </c>
      <c r="MK3" s="8">
        <v>0.0</v>
      </c>
      <c r="ML3" s="8">
        <v>1.0</v>
      </c>
      <c r="MM3" s="8">
        <v>0.0</v>
      </c>
      <c r="MN3" s="8">
        <v>0.0</v>
      </c>
      <c r="MO3" s="8">
        <v>0.0</v>
      </c>
      <c r="MP3" s="9"/>
      <c r="MQ3" s="9"/>
      <c r="MR3" s="9" t="s">
        <v>947</v>
      </c>
      <c r="MS3" s="9"/>
      <c r="MT3" s="9" t="s">
        <v>948</v>
      </c>
      <c r="MU3" s="9" t="s">
        <v>890</v>
      </c>
      <c r="MV3" s="9" t="s">
        <v>949</v>
      </c>
      <c r="MW3" s="8">
        <v>1.0</v>
      </c>
      <c r="MX3" s="8">
        <v>0.0</v>
      </c>
      <c r="MY3" s="8">
        <v>0.0</v>
      </c>
      <c r="MZ3" s="8">
        <v>0.0</v>
      </c>
      <c r="NA3" s="9"/>
      <c r="NB3" s="8">
        <v>3.0</v>
      </c>
      <c r="NC3" s="9"/>
      <c r="ND3" s="9"/>
      <c r="NE3" s="9"/>
      <c r="NF3" s="9"/>
      <c r="NG3" s="9"/>
      <c r="NH3" s="9"/>
      <c r="NI3" s="9"/>
      <c r="NJ3" s="9"/>
      <c r="NK3" s="9"/>
      <c r="NL3" s="9" t="s">
        <v>881</v>
      </c>
      <c r="NM3" s="9" t="s">
        <v>893</v>
      </c>
      <c r="NN3" s="9" t="s">
        <v>894</v>
      </c>
      <c r="NO3" s="9" t="s">
        <v>895</v>
      </c>
      <c r="NP3" s="9"/>
      <c r="NQ3" s="9"/>
      <c r="NR3" s="9"/>
      <c r="NS3" s="9"/>
      <c r="NT3" s="9"/>
      <c r="NU3" s="9"/>
      <c r="NV3" s="9" t="s">
        <v>896</v>
      </c>
      <c r="NW3" s="9"/>
      <c r="NX3" s="9" t="s">
        <v>914</v>
      </c>
      <c r="NY3" s="8">
        <v>60.0</v>
      </c>
      <c r="NZ3" s="8">
        <v>30.0</v>
      </c>
      <c r="OA3" s="8">
        <v>0.0</v>
      </c>
      <c r="OB3" s="8">
        <v>15.0</v>
      </c>
      <c r="OC3" s="8">
        <v>15.0</v>
      </c>
      <c r="OD3" s="8">
        <v>0.0</v>
      </c>
      <c r="OE3" s="9" t="s">
        <v>898</v>
      </c>
      <c r="OF3" s="9" t="s">
        <v>899</v>
      </c>
      <c r="OG3" s="9" t="s">
        <v>857</v>
      </c>
      <c r="OH3" s="8">
        <v>2.0</v>
      </c>
      <c r="OI3" s="8">
        <v>0.0</v>
      </c>
      <c r="OJ3" s="8">
        <v>0.0</v>
      </c>
      <c r="OK3" s="8">
        <v>0.0</v>
      </c>
      <c r="OL3" s="8">
        <v>0.0</v>
      </c>
      <c r="OM3" s="8">
        <v>0.0</v>
      </c>
      <c r="ON3" s="8">
        <v>0.0</v>
      </c>
      <c r="OO3" s="8">
        <v>0.0</v>
      </c>
      <c r="OP3" s="9" t="str">
        <f>VLOOKUP(AG3,'BUS 2'!$G$1:$CU$424,2,0)</f>
        <v>Sapi pedaging</v>
      </c>
      <c r="OQ3" s="8">
        <f>VLOOKUP(AG3,'BUS 2'!$G$1:$CU$424,3,0)</f>
        <v>1</v>
      </c>
      <c r="OR3" s="8">
        <f>VLOOKUP(AG3,'BUS 2'!$G$1:$CU$424,4,0)</f>
        <v>0</v>
      </c>
      <c r="OS3" s="8">
        <f>VLOOKUP(AG3,'BUS 2'!$G$1:$CU$424,5,0)</f>
        <v>0</v>
      </c>
      <c r="OT3" s="8">
        <f>VLOOKUP(AG3,'BUS 2'!$G$1:$CU$424,6,0)</f>
        <v>0</v>
      </c>
      <c r="OU3" s="8">
        <f>VLOOKUP(AG3,'BUS 2'!$G$1:$CU$424,7,0)</f>
        <v>0</v>
      </c>
      <c r="OV3" s="8">
        <f>VLOOKUP(AG3,'BUS 2'!$G$1:$CU$424,8,0)</f>
        <v>0</v>
      </c>
      <c r="OW3" s="8">
        <f>VLOOKUP(AG3,'BUS 2'!$G$1:$CU$424,9,0)</f>
        <v>0</v>
      </c>
      <c r="OX3" s="8">
        <f>VLOOKUP(AG3,'BUS 2'!$G$1:$CU$424,10,0)</f>
        <v>0</v>
      </c>
      <c r="OY3" s="8">
        <f>VLOOKUP(AG3,'BUS 2'!$G$1:$CU$424,11,0)</f>
        <v>0</v>
      </c>
      <c r="OZ3" s="8" t="str">
        <f>VLOOKUP(AG3,'BUS 2'!$G$1:$CU$424,12,0)</f>
        <v>Sapi pedaging</v>
      </c>
      <c r="PA3" s="8">
        <f>VLOOKUP(AG3,'BUS 2'!$G$1:$CU$424,13,0)</f>
        <v>1</v>
      </c>
      <c r="PB3" s="8">
        <f>VLOOKUP(AG3,'BUS 2'!$G$1:$CU$424,14,0)</f>
        <v>0</v>
      </c>
      <c r="PC3" s="8">
        <f>VLOOKUP(AG3,'BUS 2'!$G$1:$CU$424,15,0)</f>
        <v>0</v>
      </c>
      <c r="PD3" s="8">
        <f>VLOOKUP(AG3,'BUS 2'!$G$1:$CU$424,16,0)</f>
        <v>0</v>
      </c>
      <c r="PE3" s="8">
        <f>VLOOKUP(AG3,'BUS 2'!$G$1:$CU$424,17,0)</f>
        <v>0</v>
      </c>
      <c r="PF3" s="8">
        <f>VLOOKUP(AG3,'BUS 2'!$G$1:$CU$424,18,0)</f>
        <v>0</v>
      </c>
      <c r="PG3" s="8">
        <f>VLOOKUP(AG3,'BUS 2'!$G$1:$CU$424,19,0)</f>
        <v>0</v>
      </c>
      <c r="PH3" s="8">
        <f>VLOOKUP(AG3,'BUS 2'!$G$1:$CU$424,20,0)</f>
        <v>0</v>
      </c>
      <c r="PI3" s="8">
        <f>VLOOKUP(AG3,'BUS 2'!$G$1:$CU$424,21,0)</f>
        <v>0</v>
      </c>
      <c r="PJ3" s="8" t="str">
        <f>VLOOKUP(AG3,'BUS 2'!$G$1:$CU$424,22,0)</f>
        <v>Tidak ada</v>
      </c>
      <c r="PK3" s="8">
        <f>VLOOKUP(AG3,'BUS 2'!$G$1:$CU$424,23,0)</f>
        <v>0</v>
      </c>
      <c r="PL3" s="8">
        <f>VLOOKUP(AG3,'BUS 2'!$G$1:$CU$424,24,0)</f>
        <v>0</v>
      </c>
      <c r="PM3" s="8">
        <f>VLOOKUP(AG3,'BUS 2'!$G$1:$CU$424,25,0)</f>
        <v>0</v>
      </c>
      <c r="PN3" s="8">
        <f>VLOOKUP(AG3,'BUS 2'!$G$1:$CU$424,26,0)</f>
        <v>0</v>
      </c>
      <c r="PO3" s="8">
        <f>VLOOKUP(AG3,'BUS 2'!$G$1:$CU$424,27,0)</f>
        <v>0</v>
      </c>
      <c r="PP3" s="8">
        <f>VLOOKUP(AG3,'BUS 2'!$G$1:$CU$424,28,0)</f>
        <v>0</v>
      </c>
      <c r="PQ3" s="8">
        <f>VLOOKUP(AG3,'BUS 2'!$G$1:$CU$424,29,0)</f>
        <v>0</v>
      </c>
      <c r="PR3" s="8">
        <f>VLOOKUP(AG3,'BUS 2'!$G$1:$CU$424,30,0)</f>
        <v>0</v>
      </c>
      <c r="PS3" s="8">
        <f>VLOOKUP(AG3,'BUS 2'!$G$1:$CU$424,31,0)</f>
        <v>1</v>
      </c>
      <c r="PT3" s="9" t="s">
        <v>900</v>
      </c>
      <c r="PU3" s="8">
        <v>1.0</v>
      </c>
      <c r="PV3" s="8">
        <v>0.0</v>
      </c>
      <c r="PW3" s="8">
        <v>0.0</v>
      </c>
      <c r="PX3" s="8">
        <v>0.0</v>
      </c>
      <c r="PY3" s="8">
        <v>0.0</v>
      </c>
      <c r="PZ3" s="8">
        <v>0.0</v>
      </c>
      <c r="QA3" s="8">
        <v>1.0</v>
      </c>
      <c r="QB3" s="8">
        <v>0.0</v>
      </c>
      <c r="QC3" s="8">
        <v>0.0</v>
      </c>
      <c r="QD3" s="8">
        <v>0.0</v>
      </c>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8">
        <f>VLOOKUP(AG3,'BUS 2'!$G$1:$CU$424,33,0)</f>
        <v>3</v>
      </c>
      <c r="SZ3" s="9" t="str">
        <f>VLOOKUP(AG3,'BUS 2'!$G$1:$CU$424,34,0)</f>
        <v/>
      </c>
      <c r="TA3" s="9" t="str">
        <f>VLOOKUP(AG3,'BUS 2'!$G$1:$CU$424,35,0)</f>
        <v/>
      </c>
      <c r="TB3" s="9" t="str">
        <f>VLOOKUP(AG3,'BUS 2'!$G$1:$CU$424,36,0)</f>
        <v/>
      </c>
      <c r="TC3" s="9" t="str">
        <f>VLOOKUP(AG3,'BUS 2'!$G$1:$CU$424,37,0)</f>
        <v/>
      </c>
      <c r="TD3" s="9" t="str">
        <f>VLOOKUP(AG3,'BUS 2'!$G$1:$CU$424,38,0)</f>
        <v/>
      </c>
      <c r="TE3" s="9" t="str">
        <f>VLOOKUP(AG3,'BUS 2'!$G$1:$CU$424,39,0)</f>
        <v/>
      </c>
      <c r="TF3" s="9" t="str">
        <f>VLOOKUP(AG3,'BUS 2'!$G$1:$CU$424,40,0)</f>
        <v/>
      </c>
      <c r="TG3" s="8">
        <f>VLOOKUP(AG3,'BUS 2'!$G$1:$CU$424,42,0)</f>
        <v>3</v>
      </c>
      <c r="TH3" s="8" t="str">
        <f>VLOOKUP(AG3,'BUS 2'!$G$1:$CU$424,43,0)</f>
        <v/>
      </c>
      <c r="TI3" s="8" t="str">
        <f>VLOOKUP(AG3,'BUS 2'!$G$1:$CU$424,44,0)</f>
        <v/>
      </c>
      <c r="TJ3" s="8" t="str">
        <f>VLOOKUP(AG3,'BUS 2'!$G$1:$CU$424,45,0)</f>
        <v/>
      </c>
      <c r="TK3" s="8" t="str">
        <f>VLOOKUP(AG3,'BUS 2'!$G$1:$CU$424,46,0)</f>
        <v/>
      </c>
      <c r="TL3" s="8" t="str">
        <f>VLOOKUP(AG3,'BUS 2'!$G$1:$CU$424,47,0)</f>
        <v/>
      </c>
      <c r="TM3" s="8" t="str">
        <f>VLOOKUP(AG3,'BUS 2'!$G$1:$CU$424,48,0)</f>
        <v/>
      </c>
      <c r="TN3" s="8" t="str">
        <f>VLOOKUP(AG3,'BUS 2'!$G$1:$CU$424,49,0)</f>
        <v/>
      </c>
      <c r="TO3" s="8" t="str">
        <f>VLOOKUP(AG3,'BUS 2'!$G$1:$CU$424,50,0)</f>
        <v/>
      </c>
      <c r="TP3" s="8" t="str">
        <f>VLOOKUP(AG3,'BUS 2'!$G$1:$CU$424,51,0)</f>
        <v/>
      </c>
      <c r="TQ3" s="8" t="str">
        <f>VLOOKUP(AG3,'BUS 2'!$G$1:$CU$424,52,0)</f>
        <v/>
      </c>
      <c r="TR3" s="8" t="str">
        <f>VLOOKUP(AG3,'BUS 2'!$G$1:$CU$424,53,0)</f>
        <v/>
      </c>
      <c r="TS3" s="9" t="str">
        <f>VLOOKUP(AG3,'BUS 2'!$G$1:$CU$424,54,0)</f>
        <v/>
      </c>
      <c r="TT3" s="9" t="str">
        <f>VLOOKUP(AG3,'BUS 2'!$G$1:$CU$424,55,0)</f>
        <v/>
      </c>
      <c r="TU3" s="9" t="str">
        <f>VLOOKUP(AG3,'BUS 2'!$G$1:$CU$424,56,0)</f>
        <v/>
      </c>
      <c r="TV3" s="9" t="str">
        <f>VLOOKUP(AG3,'BUS 2'!$G$1:$CU$424,57,0)</f>
        <v/>
      </c>
      <c r="TW3" s="9" t="str">
        <f>VLOOKUP(AG3,'BUS 2'!$G$1:$CU$424,58,0)</f>
        <v/>
      </c>
      <c r="TX3" s="9" t="str">
        <f>VLOOKUP(AG3,'BUS 2'!$G$1:$CU$424,59,0)</f>
        <v/>
      </c>
      <c r="TY3" s="9" t="str">
        <f>VLOOKUP(AG3,'BUS 2'!$G$1:$CU$424,60,0)</f>
        <v/>
      </c>
      <c r="TZ3" s="9" t="str">
        <f>VLOOKUP(AG3,'BUS 2'!$G$1:$CU$424,61,0)</f>
        <v/>
      </c>
      <c r="UA3" s="9" t="str">
        <f>VLOOKUP(AG3,'BUS 2'!$G$1:$CU$424,62,0)</f>
        <v/>
      </c>
      <c r="UB3" s="9" t="str">
        <f>VLOOKUP(AG3,'BUS 2'!$G$1:$CU$424,63,0)</f>
        <v/>
      </c>
      <c r="UC3" s="9" t="str">
        <f>VLOOKUP(AG3,'BUS 2'!$G$1:$CU$424,64,0)</f>
        <v/>
      </c>
      <c r="UD3" s="9" t="str">
        <f>VLOOKUP(AG3,'BUS 2'!$G$1:$CU$424,65,0)</f>
        <v/>
      </c>
      <c r="UE3" s="9" t="str">
        <f>VLOOKUP(AG3,'BUS 2'!$G$1:$CU$424,66,0)</f>
        <v/>
      </c>
      <c r="UF3" s="9" t="str">
        <f>VLOOKUP(AG3,'BUS 2'!$G$1:$CU$424,67,0)</f>
        <v/>
      </c>
      <c r="UG3" s="9" t="str">
        <f>VLOOKUP(AG3,'BUS 2'!$G$1:$CU$424,68,0)</f>
        <v/>
      </c>
      <c r="UH3" s="9" t="str">
        <f>VLOOKUP(AG3,'BUS 2'!$G$1:$CU$424,69,0)</f>
        <v/>
      </c>
      <c r="UI3" s="9" t="str">
        <f>VLOOKUP(AG3,'BUS 2'!$G$1:$CU$424,70,0)</f>
        <v/>
      </c>
      <c r="UJ3" s="9" t="str">
        <f>VLOOKUP(AG3,'BUS 2'!$G$1:$CU$424,71,0)</f>
        <v/>
      </c>
      <c r="UK3" s="9" t="str">
        <f>VLOOKUP(AG3,'BUS 2'!$G$1:$CU$424,72,0)</f>
        <v/>
      </c>
      <c r="UL3" s="9" t="str">
        <f>VLOOKUP(AG3,'BUS 2'!$G$1:$CU$424,73,0)</f>
        <v/>
      </c>
      <c r="UM3" s="9" t="str">
        <f>VLOOKUP(AG3,'BUS 2'!$G$1:$CU$424,74,0)</f>
        <v/>
      </c>
      <c r="UN3" s="9" t="str">
        <f>VLOOKUP(AG3,'BUS 2'!$G$1:$CU$424,75,0)</f>
        <v/>
      </c>
      <c r="UO3" s="9" t="str">
        <f>VLOOKUP(AG3,'BUS 2'!$G$1:$CU$424,76,0)</f>
        <v/>
      </c>
      <c r="UP3" s="9" t="str">
        <f>VLOOKUP(AG3,'BUS 2'!$G$1:$CU$424,77,0)</f>
        <v/>
      </c>
      <c r="UQ3" s="9" t="str">
        <f>VLOOKUP(AG3,'BUS 2'!$G$1:$CU$424,78,0)</f>
        <v/>
      </c>
      <c r="UR3" s="9" t="str">
        <f>VLOOKUP(AG3,'BUS 2'!$G$1:$CU$424,79,0)</f>
        <v/>
      </c>
      <c r="US3" s="9" t="str">
        <f>VLOOKUP(AG3,'BUS 2'!$G$1:$CU$424,80,0)</f>
        <v/>
      </c>
      <c r="UT3" s="9" t="str">
        <f>VLOOKUP(AG3,'BUS 2'!$G$1:$CU$424,81,0)</f>
        <v/>
      </c>
      <c r="UU3" s="9" t="s">
        <v>901</v>
      </c>
      <c r="UV3" s="9"/>
      <c r="UW3" s="9"/>
      <c r="UX3" s="9"/>
      <c r="UY3" s="9"/>
      <c r="UZ3" s="9"/>
      <c r="VA3" s="9"/>
      <c r="VB3" s="9"/>
      <c r="VC3" s="9" t="s">
        <v>950</v>
      </c>
      <c r="VD3" s="9"/>
      <c r="VE3" s="9"/>
      <c r="VF3" s="9"/>
      <c r="VG3" s="9"/>
      <c r="VH3" s="9"/>
      <c r="VI3" s="9"/>
      <c r="VJ3" s="9"/>
      <c r="VK3" s="9" t="s">
        <v>903</v>
      </c>
      <c r="VL3" s="9"/>
      <c r="VM3" s="9"/>
      <c r="VN3" s="9"/>
      <c r="VO3" s="9"/>
      <c r="VP3" s="9"/>
      <c r="VQ3" s="9"/>
      <c r="VR3" s="9"/>
      <c r="VS3" s="9" t="s">
        <v>951</v>
      </c>
      <c r="VT3" s="8">
        <v>0.0</v>
      </c>
      <c r="VU3" s="8">
        <v>0.0</v>
      </c>
      <c r="VV3" s="8">
        <v>0.0</v>
      </c>
      <c r="VW3" s="8">
        <v>0.0</v>
      </c>
      <c r="VX3" s="8">
        <v>0.0</v>
      </c>
      <c r="VY3" s="8">
        <v>0.0</v>
      </c>
      <c r="VZ3" s="8">
        <v>1.0</v>
      </c>
      <c r="WA3" s="8">
        <v>0.0</v>
      </c>
      <c r="WB3" s="8">
        <v>0.0</v>
      </c>
      <c r="WC3" s="8">
        <v>0.0</v>
      </c>
      <c r="WD3" s="8">
        <v>0.0</v>
      </c>
      <c r="WE3" s="8">
        <v>0.0</v>
      </c>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8">
        <v>2.0</v>
      </c>
      <c r="ZW3" s="9"/>
      <c r="ZX3" s="9"/>
      <c r="ZY3" s="9"/>
      <c r="ZZ3" s="9"/>
      <c r="AAA3" s="9"/>
      <c r="AAB3" s="9"/>
      <c r="AAC3" s="9"/>
      <c r="AAD3" s="9" t="s">
        <v>905</v>
      </c>
      <c r="AAE3" s="9"/>
      <c r="AAF3" s="9"/>
      <c r="AAG3" s="9"/>
      <c r="AAH3" s="9"/>
      <c r="AAI3" s="9"/>
      <c r="AAJ3" s="9"/>
      <c r="AAK3" s="9"/>
      <c r="AAL3" s="9" t="s">
        <v>881</v>
      </c>
      <c r="AAM3" s="9"/>
      <c r="AAN3" s="9"/>
      <c r="AAO3" s="9"/>
      <c r="AAP3" s="9"/>
      <c r="AAQ3" s="9"/>
      <c r="AAR3" s="9" t="s">
        <v>857</v>
      </c>
      <c r="AAS3" s="9" t="s">
        <v>867</v>
      </c>
      <c r="AAT3" s="9" t="s">
        <v>952</v>
      </c>
      <c r="AAU3" s="8">
        <v>0.0</v>
      </c>
      <c r="AAV3" s="8">
        <v>0.0</v>
      </c>
      <c r="AAW3" s="8">
        <v>0.0</v>
      </c>
      <c r="AAX3" s="8">
        <v>1.0</v>
      </c>
      <c r="AAY3" s="8">
        <v>1.0</v>
      </c>
      <c r="AAZ3" s="8">
        <v>0.0</v>
      </c>
      <c r="ABA3" s="8">
        <v>0.0</v>
      </c>
      <c r="ABB3" s="9"/>
      <c r="ABC3" s="9"/>
      <c r="ABD3" s="9"/>
      <c r="ABE3" s="9"/>
      <c r="ABF3" s="9"/>
      <c r="ABG3" s="9"/>
      <c r="ABH3" s="9"/>
      <c r="ABI3" s="9"/>
      <c r="ABJ3" s="9"/>
      <c r="ABK3" s="9"/>
      <c r="ABL3" s="9"/>
      <c r="ABM3" s="9"/>
      <c r="ABN3" s="9"/>
      <c r="ABO3" s="9"/>
      <c r="ABP3" s="9"/>
      <c r="ABQ3" s="11" t="s">
        <v>953</v>
      </c>
      <c r="ABR3" s="9" t="s">
        <v>954</v>
      </c>
      <c r="ABS3" s="9"/>
      <c r="ABT3" s="8">
        <v>1000.0</v>
      </c>
      <c r="ABU3" s="9"/>
      <c r="ABV3" s="9"/>
      <c r="ABW3" s="9"/>
      <c r="ABX3" s="9"/>
      <c r="ABY3" s="9"/>
      <c r="ABZ3" s="9"/>
      <c r="ACA3" s="9"/>
      <c r="ACB3" s="9"/>
      <c r="ACC3" s="9"/>
      <c r="ACD3" s="9"/>
      <c r="ACE3" s="9"/>
      <c r="ACF3" s="9"/>
      <c r="ACG3" s="9"/>
      <c r="ACH3" s="9"/>
      <c r="ACI3" s="9"/>
      <c r="ACJ3" s="9"/>
      <c r="ACK3" s="9" t="s">
        <v>955</v>
      </c>
      <c r="ACL3" s="8">
        <v>0.0</v>
      </c>
      <c r="ACM3" s="8">
        <v>0.0</v>
      </c>
      <c r="ACN3" s="8">
        <v>0.0</v>
      </c>
      <c r="ACO3" s="8">
        <v>1.0</v>
      </c>
      <c r="ACP3" s="8">
        <v>0.0</v>
      </c>
      <c r="ACQ3" s="8">
        <v>0.0</v>
      </c>
      <c r="ACR3" s="8">
        <v>0.0</v>
      </c>
      <c r="ACS3" s="9"/>
      <c r="ACT3" s="9" t="s">
        <v>956</v>
      </c>
      <c r="ACU3" s="9" t="s">
        <v>913</v>
      </c>
      <c r="ACV3" s="9" t="s">
        <v>957</v>
      </c>
      <c r="ACW3" s="9" t="s">
        <v>915</v>
      </c>
      <c r="ACX3" s="9" t="s">
        <v>958</v>
      </c>
      <c r="ACY3" s="9" t="s">
        <v>915</v>
      </c>
      <c r="ACZ3" s="8">
        <v>0.0</v>
      </c>
      <c r="ADA3" s="8">
        <v>1.0</v>
      </c>
      <c r="ADB3" s="8">
        <v>0.0</v>
      </c>
      <c r="ADC3" s="8">
        <v>0.0</v>
      </c>
      <c r="ADD3" s="9" t="s">
        <v>918</v>
      </c>
      <c r="ADE3" s="9" t="s">
        <v>918</v>
      </c>
      <c r="ADF3" s="9" t="s">
        <v>918</v>
      </c>
      <c r="ADG3" s="9" t="s">
        <v>918</v>
      </c>
      <c r="ADH3" s="9" t="s">
        <v>857</v>
      </c>
      <c r="ADI3" s="9" t="s">
        <v>959</v>
      </c>
      <c r="ADJ3" s="9" t="s">
        <v>918</v>
      </c>
      <c r="ADK3" s="9"/>
      <c r="ADL3" s="9"/>
      <c r="ADM3" s="9"/>
      <c r="ADN3" s="9"/>
      <c r="ADO3" s="9"/>
      <c r="ADP3" s="9"/>
      <c r="ADQ3" s="9"/>
      <c r="ADR3" s="9"/>
      <c r="ADS3" s="9"/>
      <c r="ADT3" s="9"/>
      <c r="ADU3" s="9" t="s">
        <v>919</v>
      </c>
      <c r="ADV3" s="8">
        <v>0.0</v>
      </c>
      <c r="ADW3" s="8">
        <v>0.0</v>
      </c>
      <c r="ADX3" s="8">
        <v>0.0</v>
      </c>
      <c r="ADY3" s="8">
        <v>0.0</v>
      </c>
      <c r="ADZ3" s="8">
        <v>1.0</v>
      </c>
      <c r="AEA3" s="8">
        <v>0.0</v>
      </c>
      <c r="AEB3" s="8">
        <v>0.0</v>
      </c>
      <c r="AEC3" s="8">
        <v>0.0</v>
      </c>
      <c r="AED3" s="12"/>
      <c r="AEE3" s="17" t="s">
        <v>872</v>
      </c>
      <c r="AEF3" s="9"/>
      <c r="AEG3" s="17" t="s">
        <v>920</v>
      </c>
      <c r="AEH3" s="9"/>
      <c r="AEI3" s="11" t="s">
        <v>960</v>
      </c>
      <c r="AEJ3" s="9" t="s">
        <v>961</v>
      </c>
      <c r="AEK3" s="17" t="s">
        <v>962</v>
      </c>
      <c r="AEL3" s="18">
        <v>1.0</v>
      </c>
      <c r="AEM3" s="18">
        <v>1.0</v>
      </c>
      <c r="AEN3" s="18">
        <v>1.0</v>
      </c>
      <c r="AEO3" s="18">
        <v>1.0</v>
      </c>
      <c r="AEP3" s="18">
        <v>1.0</v>
      </c>
      <c r="AEQ3" s="18">
        <v>1.0</v>
      </c>
      <c r="AER3" s="18">
        <v>1.0</v>
      </c>
      <c r="AES3" s="18">
        <v>0.0</v>
      </c>
      <c r="AET3" s="18">
        <v>1.0</v>
      </c>
      <c r="AEU3" s="18">
        <v>0.0</v>
      </c>
      <c r="AEV3" s="18">
        <v>1.0</v>
      </c>
      <c r="AEW3" s="18">
        <v>0.0</v>
      </c>
      <c r="AEX3" s="9"/>
      <c r="AEY3" s="9" t="s">
        <v>923</v>
      </c>
      <c r="AEZ3" s="9"/>
      <c r="AFA3" s="9" t="s">
        <v>924</v>
      </c>
      <c r="AFB3" s="9"/>
      <c r="AFC3" s="9" t="s">
        <v>963</v>
      </c>
      <c r="AFD3" s="16" t="s">
        <v>964</v>
      </c>
      <c r="AFE3" s="9" t="s">
        <v>965</v>
      </c>
      <c r="AFF3" s="16" t="s">
        <v>966</v>
      </c>
      <c r="AFG3" s="9" t="s">
        <v>929</v>
      </c>
      <c r="AFH3" s="9"/>
      <c r="AFI3" s="9"/>
    </row>
    <row r="4">
      <c r="A4" s="6">
        <v>46057.0</v>
      </c>
      <c r="B4" s="6">
        <v>46057.0</v>
      </c>
      <c r="C4" s="7" t="s">
        <v>837</v>
      </c>
      <c r="D4" s="7" t="s">
        <v>967</v>
      </c>
      <c r="E4" s="8">
        <v>6.282279139177E12</v>
      </c>
      <c r="F4" s="9"/>
      <c r="G4" s="8">
        <v>-7.3525908</v>
      </c>
      <c r="H4" s="8">
        <v>110.3416979</v>
      </c>
      <c r="I4" s="9"/>
      <c r="J4" s="8">
        <v>4.95</v>
      </c>
      <c r="K4" s="9"/>
      <c r="L4" s="9"/>
      <c r="M4" s="8">
        <v>-7.35261481</v>
      </c>
      <c r="N4" s="8">
        <v>110.3417281</v>
      </c>
      <c r="O4" s="9"/>
      <c r="P4" s="8">
        <v>4.93</v>
      </c>
      <c r="Q4" s="9"/>
      <c r="R4" s="9" t="s">
        <v>839</v>
      </c>
      <c r="S4" s="9"/>
      <c r="T4" s="9"/>
      <c r="U4" s="9"/>
      <c r="V4" s="9"/>
      <c r="W4" s="9"/>
      <c r="X4" s="9"/>
      <c r="Y4" s="9"/>
      <c r="Z4" s="9"/>
      <c r="AA4" s="9"/>
      <c r="AB4" s="9"/>
      <c r="AC4" s="7" t="s">
        <v>840</v>
      </c>
      <c r="AD4" s="7" t="s">
        <v>841</v>
      </c>
      <c r="AE4" s="7" t="s">
        <v>842</v>
      </c>
      <c r="AF4" s="9" t="s">
        <v>931</v>
      </c>
      <c r="AG4" s="9" t="s">
        <v>968</v>
      </c>
      <c r="AH4" s="8">
        <v>12.0</v>
      </c>
      <c r="AI4" s="9" t="s">
        <v>933</v>
      </c>
      <c r="AJ4" s="9" t="s">
        <v>934</v>
      </c>
      <c r="AK4" s="8">
        <v>60.0</v>
      </c>
      <c r="AL4" s="9" t="s">
        <v>847</v>
      </c>
      <c r="AM4" s="9" t="s">
        <v>848</v>
      </c>
      <c r="AN4" s="9" t="s">
        <v>849</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9"/>
      <c r="BI4" s="9" t="s">
        <v>936</v>
      </c>
      <c r="BJ4" s="8">
        <v>3.0</v>
      </c>
      <c r="BK4" s="8">
        <v>1.0</v>
      </c>
      <c r="BL4" s="8">
        <v>0.0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2014.0</v>
      </c>
      <c r="CN4" s="9" t="s">
        <v>858</v>
      </c>
      <c r="CO4" s="9" t="s">
        <v>859</v>
      </c>
      <c r="CP4" s="9" t="s">
        <v>860</v>
      </c>
      <c r="CQ4" s="8">
        <v>0.0</v>
      </c>
      <c r="CR4" s="8">
        <v>0.0</v>
      </c>
      <c r="CS4" s="8">
        <v>0.0</v>
      </c>
      <c r="CT4" s="8">
        <v>0.0</v>
      </c>
      <c r="CU4" s="10">
        <v>1.0</v>
      </c>
      <c r="CV4" s="10">
        <v>0.0</v>
      </c>
      <c r="CW4" s="10">
        <v>0.0</v>
      </c>
      <c r="CX4" s="8">
        <v>0.0</v>
      </c>
      <c r="CY4" s="9" t="s">
        <v>860</v>
      </c>
      <c r="CZ4" s="8">
        <v>1.0</v>
      </c>
      <c r="DA4" s="8">
        <v>0.0</v>
      </c>
      <c r="DB4" s="8">
        <v>0.0</v>
      </c>
      <c r="DC4" s="9"/>
      <c r="DD4" s="9" t="s">
        <v>937</v>
      </c>
      <c r="DE4" s="8">
        <v>1.0</v>
      </c>
      <c r="DF4" s="8">
        <v>0.0</v>
      </c>
      <c r="DG4" s="8">
        <v>1.0</v>
      </c>
      <c r="DH4" s="8">
        <v>0.0</v>
      </c>
      <c r="DI4" s="9"/>
      <c r="DJ4" s="9" t="s">
        <v>937</v>
      </c>
      <c r="DK4" s="8">
        <v>1.0</v>
      </c>
      <c r="DL4" s="8">
        <v>0.0</v>
      </c>
      <c r="DM4" s="8">
        <v>1.0</v>
      </c>
      <c r="DN4" s="8">
        <v>0.0</v>
      </c>
      <c r="DO4" s="9"/>
      <c r="DP4" s="8">
        <v>1.0</v>
      </c>
      <c r="DQ4" s="8">
        <v>0.0</v>
      </c>
      <c r="DR4" s="8">
        <v>0.0</v>
      </c>
      <c r="DS4" s="9"/>
      <c r="DT4" s="9"/>
      <c r="DU4" s="9"/>
      <c r="DV4" s="9" t="s">
        <v>938</v>
      </c>
      <c r="DW4" s="9" t="s">
        <v>939</v>
      </c>
      <c r="DX4" s="9" t="s">
        <v>940</v>
      </c>
      <c r="DY4" s="9"/>
      <c r="DZ4" s="9"/>
      <c r="EA4" s="9"/>
      <c r="EB4" s="9"/>
      <c r="EC4" s="9"/>
      <c r="ED4" s="9"/>
      <c r="EE4" s="9"/>
      <c r="EF4" s="9"/>
      <c r="EG4" s="9"/>
      <c r="EH4" s="9"/>
      <c r="EI4" s="9" t="s">
        <v>969</v>
      </c>
      <c r="EJ4" s="8">
        <v>0.0</v>
      </c>
      <c r="EK4" s="8">
        <v>0.0</v>
      </c>
      <c r="EL4" s="8">
        <v>0.0</v>
      </c>
      <c r="EM4" s="8">
        <v>0.0</v>
      </c>
      <c r="EN4" s="8">
        <v>1.0</v>
      </c>
      <c r="EO4" s="11" t="s">
        <v>970</v>
      </c>
      <c r="EP4" s="9" t="s">
        <v>863</v>
      </c>
      <c r="EQ4" s="9" t="s">
        <v>864</v>
      </c>
      <c r="ER4" s="9" t="s">
        <v>861</v>
      </c>
      <c r="ES4" s="8">
        <v>1.0</v>
      </c>
      <c r="ET4" s="8">
        <v>0.0</v>
      </c>
      <c r="EU4" s="8">
        <v>0.0</v>
      </c>
      <c r="EV4" s="8">
        <v>0.0</v>
      </c>
      <c r="EW4" s="9"/>
      <c r="EX4" s="9" t="s">
        <v>865</v>
      </c>
      <c r="EY4" s="8">
        <v>1.0</v>
      </c>
      <c r="EZ4" s="8">
        <v>0.0</v>
      </c>
      <c r="FA4" s="8">
        <v>0.0</v>
      </c>
      <c r="FB4" s="9"/>
      <c r="FC4" s="9" t="s">
        <v>866</v>
      </c>
      <c r="FD4" s="9"/>
      <c r="FE4" s="9" t="s">
        <v>867</v>
      </c>
      <c r="FF4" s="9" t="s">
        <v>868</v>
      </c>
      <c r="FG4" s="9" t="s">
        <v>867</v>
      </c>
      <c r="FH4" s="9" t="s">
        <v>869</v>
      </c>
      <c r="FI4" s="9" t="s">
        <v>867</v>
      </c>
      <c r="FJ4" s="9" t="s">
        <v>869</v>
      </c>
      <c r="FK4" s="9" t="s">
        <v>867</v>
      </c>
      <c r="FL4" s="9" t="s">
        <v>869</v>
      </c>
      <c r="FM4" s="9" t="s">
        <v>867</v>
      </c>
      <c r="FN4" s="9" t="s">
        <v>869</v>
      </c>
      <c r="FO4" s="9" t="s">
        <v>867</v>
      </c>
      <c r="FP4" s="9" t="s">
        <v>869</v>
      </c>
      <c r="FQ4" s="9" t="s">
        <v>867</v>
      </c>
      <c r="FR4" s="9" t="s">
        <v>857</v>
      </c>
      <c r="FS4" s="9" t="s">
        <v>867</v>
      </c>
      <c r="FT4" s="9" t="s">
        <v>871</v>
      </c>
      <c r="FU4" s="9" t="s">
        <v>872</v>
      </c>
      <c r="FV4" s="8">
        <v>1.0</v>
      </c>
      <c r="FW4" s="8">
        <v>0.0</v>
      </c>
      <c r="FX4" s="8">
        <v>0.0</v>
      </c>
      <c r="FY4" s="8">
        <v>0.0</v>
      </c>
      <c r="FZ4" s="9" t="s">
        <v>873</v>
      </c>
      <c r="GA4" s="9" t="s">
        <v>874</v>
      </c>
      <c r="GB4" s="8">
        <v>1.0</v>
      </c>
      <c r="GC4" s="8">
        <v>0.0</v>
      </c>
      <c r="GD4" s="8">
        <v>0.0</v>
      </c>
      <c r="GE4" s="8">
        <v>0.0</v>
      </c>
      <c r="GF4" s="9"/>
      <c r="GG4" s="9" t="s">
        <v>875</v>
      </c>
      <c r="GH4" s="9" t="s">
        <v>857</v>
      </c>
      <c r="GI4" s="9" t="s">
        <v>876</v>
      </c>
      <c r="GJ4" s="8">
        <v>1.0</v>
      </c>
      <c r="GK4" s="8">
        <v>0.0</v>
      </c>
      <c r="GL4" s="8">
        <v>0.0</v>
      </c>
      <c r="GM4" s="8">
        <v>0.0</v>
      </c>
      <c r="GN4" s="9"/>
      <c r="GO4" s="8">
        <v>10.0</v>
      </c>
      <c r="GP4" s="9" t="s">
        <v>877</v>
      </c>
      <c r="GQ4" s="9" t="s">
        <v>878</v>
      </c>
      <c r="GR4" s="8">
        <v>1.0</v>
      </c>
      <c r="GS4" s="8">
        <v>1.0</v>
      </c>
      <c r="GT4" s="8">
        <v>0.0</v>
      </c>
      <c r="GU4" s="8">
        <v>0.0</v>
      </c>
      <c r="GV4" s="8">
        <v>0.0</v>
      </c>
      <c r="GW4" s="8">
        <v>0.0</v>
      </c>
      <c r="GX4" s="8">
        <v>0.0</v>
      </c>
      <c r="GY4" s="9"/>
      <c r="GZ4" s="9" t="s">
        <v>857</v>
      </c>
      <c r="HA4" s="8">
        <v>200.0</v>
      </c>
      <c r="HB4" s="8">
        <v>200000.0</v>
      </c>
      <c r="HC4" s="8">
        <v>100.0</v>
      </c>
      <c r="HD4" s="8">
        <v>100000.0</v>
      </c>
      <c r="HE4" s="8">
        <v>9.0</v>
      </c>
      <c r="HF4" s="8">
        <v>75000.0</v>
      </c>
      <c r="HG4" s="8">
        <v>3.0</v>
      </c>
      <c r="HH4" s="8">
        <v>25000.0</v>
      </c>
      <c r="HI4" s="9"/>
      <c r="HJ4" s="9"/>
      <c r="HK4" s="9"/>
      <c r="HL4" s="9"/>
      <c r="HM4" s="9"/>
      <c r="HN4" s="9"/>
      <c r="HO4" s="9"/>
      <c r="HP4" s="9"/>
      <c r="HQ4" s="9"/>
      <c r="HR4" s="9"/>
      <c r="HS4" s="9"/>
      <c r="HT4" s="9"/>
      <c r="HU4" s="9"/>
      <c r="HV4" s="9"/>
      <c r="HW4" s="9"/>
      <c r="HX4" s="9"/>
      <c r="HY4" s="8">
        <v>100.0</v>
      </c>
      <c r="HZ4" s="8">
        <v>100000.0</v>
      </c>
      <c r="IA4" s="8">
        <v>9.0</v>
      </c>
      <c r="IB4" s="8">
        <v>50000.0</v>
      </c>
      <c r="IC4" s="9"/>
      <c r="ID4" s="9"/>
      <c r="IE4" s="9"/>
      <c r="IF4" s="9"/>
      <c r="IG4" s="9"/>
      <c r="IH4" s="9"/>
      <c r="II4" s="9"/>
      <c r="IJ4" s="9"/>
      <c r="IK4" s="9" t="s">
        <v>971</v>
      </c>
      <c r="IL4" s="9" t="s">
        <v>880</v>
      </c>
      <c r="IM4" s="9" t="s">
        <v>857</v>
      </c>
      <c r="IN4" s="9" t="s">
        <v>881</v>
      </c>
      <c r="IO4" s="9" t="s">
        <v>882</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872</v>
      </c>
      <c r="KW4" s="8">
        <v>1.0</v>
      </c>
      <c r="KX4" s="8">
        <v>0.0</v>
      </c>
      <c r="KY4" s="8">
        <v>0.0</v>
      </c>
      <c r="KZ4" s="8">
        <v>0.0</v>
      </c>
      <c r="LA4" s="9" t="s">
        <v>884</v>
      </c>
      <c r="LB4" s="9" t="s">
        <v>884</v>
      </c>
      <c r="LC4" s="8">
        <v>3.0</v>
      </c>
      <c r="LD4" s="8">
        <v>3.0</v>
      </c>
      <c r="LE4" s="8">
        <v>0.0</v>
      </c>
      <c r="LF4" s="8">
        <v>3.0</v>
      </c>
      <c r="LG4" s="9" t="s">
        <v>857</v>
      </c>
      <c r="LH4" s="8">
        <v>75000.0</v>
      </c>
      <c r="LI4" s="9"/>
      <c r="LJ4" s="9" t="s">
        <v>887</v>
      </c>
      <c r="LK4" s="8">
        <v>0.0</v>
      </c>
      <c r="LL4" s="8">
        <v>0.0</v>
      </c>
      <c r="LM4" s="8">
        <v>0.0</v>
      </c>
      <c r="LN4" s="8">
        <v>0.0</v>
      </c>
      <c r="LO4" s="8">
        <v>1.0</v>
      </c>
      <c r="LP4" s="8">
        <v>0.0</v>
      </c>
      <c r="LQ4" s="8">
        <v>0.0</v>
      </c>
      <c r="LR4" s="9"/>
      <c r="LS4" s="8">
        <v>10.0</v>
      </c>
      <c r="LT4" s="8">
        <v>15.0</v>
      </c>
      <c r="LU4" s="8">
        <v>0.0</v>
      </c>
      <c r="LV4" s="8">
        <v>5.0</v>
      </c>
      <c r="LW4" s="8">
        <v>5.0</v>
      </c>
      <c r="LX4" s="8">
        <v>0.0</v>
      </c>
      <c r="LY4" s="8">
        <v>5.0</v>
      </c>
      <c r="LZ4" s="8">
        <v>5.0</v>
      </c>
      <c r="MA4" s="8">
        <v>0.0</v>
      </c>
      <c r="MB4" s="9" t="s">
        <v>857</v>
      </c>
      <c r="MC4" s="8">
        <v>30.0</v>
      </c>
      <c r="MD4" s="8">
        <v>30.0</v>
      </c>
      <c r="ME4" s="8">
        <v>30.0</v>
      </c>
      <c r="MF4" s="8">
        <v>20.0</v>
      </c>
      <c r="MG4" s="8">
        <v>30.0</v>
      </c>
      <c r="MH4" s="8">
        <v>20.0</v>
      </c>
      <c r="MI4" s="9" t="s">
        <v>946</v>
      </c>
      <c r="MJ4" s="8">
        <v>0.0</v>
      </c>
      <c r="MK4" s="8">
        <v>0.0</v>
      </c>
      <c r="ML4" s="8">
        <v>1.0</v>
      </c>
      <c r="MM4" s="8">
        <v>0.0</v>
      </c>
      <c r="MN4" s="8">
        <v>0.0</v>
      </c>
      <c r="MO4" s="8">
        <v>0.0</v>
      </c>
      <c r="MP4" s="9"/>
      <c r="MQ4" s="9"/>
      <c r="MR4" s="9" t="s">
        <v>972</v>
      </c>
      <c r="MS4" s="9"/>
      <c r="MT4" s="9" t="s">
        <v>888</v>
      </c>
      <c r="MU4" s="9" t="s">
        <v>881</v>
      </c>
      <c r="MV4" s="9"/>
      <c r="MW4" s="9"/>
      <c r="MX4" s="9"/>
      <c r="MY4" s="9"/>
      <c r="MZ4" s="9"/>
      <c r="NA4" s="9"/>
      <c r="NB4" s="9"/>
      <c r="NC4" s="9"/>
      <c r="ND4" s="9"/>
      <c r="NE4" s="9"/>
      <c r="NF4" s="9"/>
      <c r="NG4" s="9"/>
      <c r="NH4" s="9"/>
      <c r="NI4" s="9"/>
      <c r="NJ4" s="9"/>
      <c r="NK4" s="9"/>
      <c r="NL4" s="9" t="s">
        <v>881</v>
      </c>
      <c r="NM4" s="9" t="s">
        <v>893</v>
      </c>
      <c r="NN4" s="9" t="s">
        <v>894</v>
      </c>
      <c r="NO4" s="9" t="s">
        <v>973</v>
      </c>
      <c r="NP4" s="9"/>
      <c r="NQ4" s="9"/>
      <c r="NR4" s="9"/>
      <c r="NS4" s="9"/>
      <c r="NT4" s="9"/>
      <c r="NU4" s="9"/>
      <c r="NV4" s="9" t="s">
        <v>896</v>
      </c>
      <c r="NW4" s="9"/>
      <c r="NX4" s="9" t="s">
        <v>897</v>
      </c>
      <c r="NY4" s="8">
        <v>45.0</v>
      </c>
      <c r="NZ4" s="8">
        <v>20.0</v>
      </c>
      <c r="OA4" s="8">
        <v>0.0</v>
      </c>
      <c r="OB4" s="8">
        <v>15.0</v>
      </c>
      <c r="OC4" s="8">
        <v>15.0</v>
      </c>
      <c r="OD4" s="8">
        <v>0.0</v>
      </c>
      <c r="OE4" s="9" t="s">
        <v>898</v>
      </c>
      <c r="OF4" s="9" t="s">
        <v>899</v>
      </c>
      <c r="OG4" s="9" t="s">
        <v>857</v>
      </c>
      <c r="OH4" s="8">
        <v>5.0</v>
      </c>
      <c r="OI4" s="8">
        <v>0.0</v>
      </c>
      <c r="OJ4" s="8">
        <v>0.0</v>
      </c>
      <c r="OK4" s="8">
        <v>0.0</v>
      </c>
      <c r="OL4" s="8">
        <v>0.0</v>
      </c>
      <c r="OM4" s="8">
        <v>0.0</v>
      </c>
      <c r="ON4" s="8">
        <v>0.0</v>
      </c>
      <c r="OO4" s="8">
        <v>0.0</v>
      </c>
      <c r="OP4" s="9" t="str">
        <f>VLOOKUP(AG4,'BUS 2'!$G$1:$CU$424,2,0)</f>
        <v>Sapi pedaging</v>
      </c>
      <c r="OQ4" s="8">
        <f>VLOOKUP(AG4,'BUS 2'!$G$1:$CU$424,3,0)</f>
        <v>1</v>
      </c>
      <c r="OR4" s="8">
        <f>VLOOKUP(AG4,'BUS 2'!$G$1:$CU$424,4,0)</f>
        <v>0</v>
      </c>
      <c r="OS4" s="8">
        <f>VLOOKUP(AG4,'BUS 2'!$G$1:$CU$424,5,0)</f>
        <v>0</v>
      </c>
      <c r="OT4" s="8">
        <f>VLOOKUP(AG4,'BUS 2'!$G$1:$CU$424,6,0)</f>
        <v>0</v>
      </c>
      <c r="OU4" s="8">
        <f>VLOOKUP(AG4,'BUS 2'!$G$1:$CU$424,7,0)</f>
        <v>0</v>
      </c>
      <c r="OV4" s="8">
        <f>VLOOKUP(AG4,'BUS 2'!$G$1:$CU$424,8,0)</f>
        <v>0</v>
      </c>
      <c r="OW4" s="8">
        <f>VLOOKUP(AG4,'BUS 2'!$G$1:$CU$424,9,0)</f>
        <v>0</v>
      </c>
      <c r="OX4" s="8">
        <f>VLOOKUP(AG4,'BUS 2'!$G$1:$CU$424,10,0)</f>
        <v>0</v>
      </c>
      <c r="OY4" s="8">
        <f>VLOOKUP(AG4,'BUS 2'!$G$1:$CU$424,11,0)</f>
        <v>0</v>
      </c>
      <c r="OZ4" s="8" t="str">
        <f>VLOOKUP(AG4,'BUS 2'!$G$1:$CU$424,12,0)</f>
        <v>Sapi pedaging</v>
      </c>
      <c r="PA4" s="8">
        <f>VLOOKUP(AG4,'BUS 2'!$G$1:$CU$424,13,0)</f>
        <v>1</v>
      </c>
      <c r="PB4" s="8">
        <f>VLOOKUP(AG4,'BUS 2'!$G$1:$CU$424,14,0)</f>
        <v>0</v>
      </c>
      <c r="PC4" s="8">
        <f>VLOOKUP(AG4,'BUS 2'!$G$1:$CU$424,15,0)</f>
        <v>0</v>
      </c>
      <c r="PD4" s="8">
        <f>VLOOKUP(AG4,'BUS 2'!$G$1:$CU$424,16,0)</f>
        <v>0</v>
      </c>
      <c r="PE4" s="8">
        <f>VLOOKUP(AG4,'BUS 2'!$G$1:$CU$424,17,0)</f>
        <v>0</v>
      </c>
      <c r="PF4" s="8">
        <f>VLOOKUP(AG4,'BUS 2'!$G$1:$CU$424,18,0)</f>
        <v>0</v>
      </c>
      <c r="PG4" s="8">
        <f>VLOOKUP(AG4,'BUS 2'!$G$1:$CU$424,19,0)</f>
        <v>0</v>
      </c>
      <c r="PH4" s="8">
        <f>VLOOKUP(AG4,'BUS 2'!$G$1:$CU$424,20,0)</f>
        <v>0</v>
      </c>
      <c r="PI4" s="8">
        <f>VLOOKUP(AG4,'BUS 2'!$G$1:$CU$424,21,0)</f>
        <v>0</v>
      </c>
      <c r="PJ4" s="8" t="str">
        <f>VLOOKUP(AG4,'BUS 2'!$G$1:$CU$424,22,0)</f>
        <v>Tidak ada</v>
      </c>
      <c r="PK4" s="8">
        <f>VLOOKUP(AG4,'BUS 2'!$G$1:$CU$424,23,0)</f>
        <v>0</v>
      </c>
      <c r="PL4" s="8">
        <f>VLOOKUP(AG4,'BUS 2'!$G$1:$CU$424,24,0)</f>
        <v>0</v>
      </c>
      <c r="PM4" s="8">
        <f>VLOOKUP(AG4,'BUS 2'!$G$1:$CU$424,25,0)</f>
        <v>0</v>
      </c>
      <c r="PN4" s="8">
        <f>VLOOKUP(AG4,'BUS 2'!$G$1:$CU$424,26,0)</f>
        <v>0</v>
      </c>
      <c r="PO4" s="8">
        <f>VLOOKUP(AG4,'BUS 2'!$G$1:$CU$424,27,0)</f>
        <v>0</v>
      </c>
      <c r="PP4" s="8">
        <f>VLOOKUP(AG4,'BUS 2'!$G$1:$CU$424,28,0)</f>
        <v>0</v>
      </c>
      <c r="PQ4" s="8">
        <f>VLOOKUP(AG4,'BUS 2'!$G$1:$CU$424,29,0)</f>
        <v>0</v>
      </c>
      <c r="PR4" s="8">
        <f>VLOOKUP(AG4,'BUS 2'!$G$1:$CU$424,30,0)</f>
        <v>0</v>
      </c>
      <c r="PS4" s="8">
        <f>VLOOKUP(AG4,'BUS 2'!$G$1:$CU$424,31,0)</f>
        <v>1</v>
      </c>
      <c r="PT4" s="9" t="s">
        <v>900</v>
      </c>
      <c r="PU4" s="8">
        <v>1.0</v>
      </c>
      <c r="PV4" s="8">
        <v>0.0</v>
      </c>
      <c r="PW4" s="8">
        <v>0.0</v>
      </c>
      <c r="PX4" s="8">
        <v>0.0</v>
      </c>
      <c r="PY4" s="8">
        <v>0.0</v>
      </c>
      <c r="PZ4" s="8">
        <v>0.0</v>
      </c>
      <c r="QA4" s="8">
        <v>1.0</v>
      </c>
      <c r="QB4" s="8">
        <v>0.0</v>
      </c>
      <c r="QC4" s="8">
        <v>0.0</v>
      </c>
      <c r="QD4" s="8">
        <v>0.0</v>
      </c>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8">
        <f>VLOOKUP(AG4,'BUS 2'!$G$1:$CU$424,33,0)</f>
        <v>5</v>
      </c>
      <c r="SZ4" s="9" t="str">
        <f>VLOOKUP(AG4,'BUS 2'!$G$1:$CU$424,34,0)</f>
        <v/>
      </c>
      <c r="TA4" s="9" t="str">
        <f>VLOOKUP(AG4,'BUS 2'!$G$1:$CU$424,35,0)</f>
        <v/>
      </c>
      <c r="TB4" s="9" t="str">
        <f>VLOOKUP(AG4,'BUS 2'!$G$1:$CU$424,36,0)</f>
        <v/>
      </c>
      <c r="TC4" s="9" t="str">
        <f>VLOOKUP(AG4,'BUS 2'!$G$1:$CU$424,37,0)</f>
        <v/>
      </c>
      <c r="TD4" s="9" t="str">
        <f>VLOOKUP(AG4,'BUS 2'!$G$1:$CU$424,38,0)</f>
        <v/>
      </c>
      <c r="TE4" s="9" t="str">
        <f>VLOOKUP(AG4,'BUS 2'!$G$1:$CU$424,39,0)</f>
        <v/>
      </c>
      <c r="TF4" s="9" t="str">
        <f>VLOOKUP(AG4,'BUS 2'!$G$1:$CU$424,40,0)</f>
        <v/>
      </c>
      <c r="TG4" s="8">
        <f>VLOOKUP(AG4,'BUS 2'!$G$1:$CU$424,42,0)</f>
        <v>5</v>
      </c>
      <c r="TH4" s="8" t="str">
        <f>VLOOKUP(AG4,'BUS 2'!$G$1:$CU$424,43,0)</f>
        <v/>
      </c>
      <c r="TI4" s="8" t="str">
        <f>VLOOKUP(AG4,'BUS 2'!$G$1:$CU$424,44,0)</f>
        <v/>
      </c>
      <c r="TJ4" s="8" t="str">
        <f>VLOOKUP(AG4,'BUS 2'!$G$1:$CU$424,45,0)</f>
        <v/>
      </c>
      <c r="TK4" s="8" t="str">
        <f>VLOOKUP(AG4,'BUS 2'!$G$1:$CU$424,46,0)</f>
        <v/>
      </c>
      <c r="TL4" s="8" t="str">
        <f>VLOOKUP(AG4,'BUS 2'!$G$1:$CU$424,47,0)</f>
        <v/>
      </c>
      <c r="TM4" s="8" t="str">
        <f>VLOOKUP(AG4,'BUS 2'!$G$1:$CU$424,48,0)</f>
        <v/>
      </c>
      <c r="TN4" s="8" t="str">
        <f>VLOOKUP(AG4,'BUS 2'!$G$1:$CU$424,49,0)</f>
        <v/>
      </c>
      <c r="TO4" s="8" t="str">
        <f>VLOOKUP(AG4,'BUS 2'!$G$1:$CU$424,50,0)</f>
        <v/>
      </c>
      <c r="TP4" s="8" t="str">
        <f>VLOOKUP(AG4,'BUS 2'!$G$1:$CU$424,51,0)</f>
        <v/>
      </c>
      <c r="TQ4" s="8" t="str">
        <f>VLOOKUP(AG4,'BUS 2'!$G$1:$CU$424,52,0)</f>
        <v/>
      </c>
      <c r="TR4" s="8" t="str">
        <f>VLOOKUP(AG4,'BUS 2'!$G$1:$CU$424,53,0)</f>
        <v/>
      </c>
      <c r="TS4" s="9" t="str">
        <f>VLOOKUP(AG4,'BUS 2'!$G$1:$CU$424,54,0)</f>
        <v/>
      </c>
      <c r="TT4" s="9" t="str">
        <f>VLOOKUP(AG4,'BUS 2'!$G$1:$CU$424,55,0)</f>
        <v/>
      </c>
      <c r="TU4" s="9" t="str">
        <f>VLOOKUP(AG4,'BUS 2'!$G$1:$CU$424,56,0)</f>
        <v/>
      </c>
      <c r="TV4" s="9" t="str">
        <f>VLOOKUP(AG4,'BUS 2'!$G$1:$CU$424,57,0)</f>
        <v/>
      </c>
      <c r="TW4" s="9" t="str">
        <f>VLOOKUP(AG4,'BUS 2'!$G$1:$CU$424,58,0)</f>
        <v/>
      </c>
      <c r="TX4" s="9" t="str">
        <f>VLOOKUP(AG4,'BUS 2'!$G$1:$CU$424,59,0)</f>
        <v/>
      </c>
      <c r="TY4" s="9" t="str">
        <f>VLOOKUP(AG4,'BUS 2'!$G$1:$CU$424,60,0)</f>
        <v/>
      </c>
      <c r="TZ4" s="9" t="str">
        <f>VLOOKUP(AG4,'BUS 2'!$G$1:$CU$424,61,0)</f>
        <v/>
      </c>
      <c r="UA4" s="9" t="str">
        <f>VLOOKUP(AG4,'BUS 2'!$G$1:$CU$424,62,0)</f>
        <v/>
      </c>
      <c r="UB4" s="9" t="str">
        <f>VLOOKUP(AG4,'BUS 2'!$G$1:$CU$424,63,0)</f>
        <v/>
      </c>
      <c r="UC4" s="9" t="str">
        <f>VLOOKUP(AG4,'BUS 2'!$G$1:$CU$424,64,0)</f>
        <v/>
      </c>
      <c r="UD4" s="9" t="str">
        <f>VLOOKUP(AG4,'BUS 2'!$G$1:$CU$424,65,0)</f>
        <v/>
      </c>
      <c r="UE4" s="9" t="str">
        <f>VLOOKUP(AG4,'BUS 2'!$G$1:$CU$424,66,0)</f>
        <v/>
      </c>
      <c r="UF4" s="9" t="str">
        <f>VLOOKUP(AG4,'BUS 2'!$G$1:$CU$424,67,0)</f>
        <v/>
      </c>
      <c r="UG4" s="9" t="str">
        <f>VLOOKUP(AG4,'BUS 2'!$G$1:$CU$424,68,0)</f>
        <v/>
      </c>
      <c r="UH4" s="9" t="str">
        <f>VLOOKUP(AG4,'BUS 2'!$G$1:$CU$424,69,0)</f>
        <v/>
      </c>
      <c r="UI4" s="9" t="str">
        <f>VLOOKUP(AG4,'BUS 2'!$G$1:$CU$424,70,0)</f>
        <v/>
      </c>
      <c r="UJ4" s="9" t="str">
        <f>VLOOKUP(AG4,'BUS 2'!$G$1:$CU$424,71,0)</f>
        <v/>
      </c>
      <c r="UK4" s="9" t="str">
        <f>VLOOKUP(AG4,'BUS 2'!$G$1:$CU$424,72,0)</f>
        <v/>
      </c>
      <c r="UL4" s="9" t="str">
        <f>VLOOKUP(AG4,'BUS 2'!$G$1:$CU$424,73,0)</f>
        <v/>
      </c>
      <c r="UM4" s="9" t="str">
        <f>VLOOKUP(AG4,'BUS 2'!$G$1:$CU$424,74,0)</f>
        <v/>
      </c>
      <c r="UN4" s="9" t="str">
        <f>VLOOKUP(AG4,'BUS 2'!$G$1:$CU$424,75,0)</f>
        <v/>
      </c>
      <c r="UO4" s="9" t="str">
        <f>VLOOKUP(AG4,'BUS 2'!$G$1:$CU$424,76,0)</f>
        <v/>
      </c>
      <c r="UP4" s="9" t="str">
        <f>VLOOKUP(AG4,'BUS 2'!$G$1:$CU$424,77,0)</f>
        <v/>
      </c>
      <c r="UQ4" s="9" t="str">
        <f>VLOOKUP(AG4,'BUS 2'!$G$1:$CU$424,78,0)</f>
        <v/>
      </c>
      <c r="UR4" s="9" t="str">
        <f>VLOOKUP(AG4,'BUS 2'!$G$1:$CU$424,79,0)</f>
        <v/>
      </c>
      <c r="US4" s="9" t="str">
        <f>VLOOKUP(AG4,'BUS 2'!$G$1:$CU$424,80,0)</f>
        <v/>
      </c>
      <c r="UT4" s="9" t="str">
        <f>VLOOKUP(AG4,'BUS 2'!$G$1:$CU$424,81,0)</f>
        <v/>
      </c>
      <c r="UU4" s="9" t="s">
        <v>901</v>
      </c>
      <c r="UV4" s="9"/>
      <c r="UW4" s="9"/>
      <c r="UX4" s="9"/>
      <c r="UY4" s="9"/>
      <c r="UZ4" s="9"/>
      <c r="VA4" s="9"/>
      <c r="VB4" s="9"/>
      <c r="VC4" s="9" t="s">
        <v>950</v>
      </c>
      <c r="VD4" s="9"/>
      <c r="VE4" s="9"/>
      <c r="VF4" s="9"/>
      <c r="VG4" s="9"/>
      <c r="VH4" s="9"/>
      <c r="VI4" s="9"/>
      <c r="VJ4" s="9"/>
      <c r="VK4" s="9" t="s">
        <v>903</v>
      </c>
      <c r="VL4" s="9"/>
      <c r="VM4" s="9"/>
      <c r="VN4" s="9"/>
      <c r="VO4" s="9"/>
      <c r="VP4" s="9"/>
      <c r="VQ4" s="9"/>
      <c r="VR4" s="9"/>
      <c r="VS4" s="9" t="s">
        <v>904</v>
      </c>
      <c r="VT4" s="8">
        <v>0.0</v>
      </c>
      <c r="VU4" s="8">
        <v>0.0</v>
      </c>
      <c r="VV4" s="8">
        <v>0.0</v>
      </c>
      <c r="VW4" s="8">
        <v>0.0</v>
      </c>
      <c r="VX4" s="8">
        <v>0.0</v>
      </c>
      <c r="VY4" s="8">
        <v>0.0</v>
      </c>
      <c r="VZ4" s="8">
        <v>0.0</v>
      </c>
      <c r="WA4" s="8">
        <v>1.0</v>
      </c>
      <c r="WB4" s="8">
        <v>0.0</v>
      </c>
      <c r="WC4" s="8">
        <v>0.0</v>
      </c>
      <c r="WD4" s="8">
        <v>0.0</v>
      </c>
      <c r="WE4" s="8">
        <v>0.0</v>
      </c>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8">
        <v>2.0</v>
      </c>
      <c r="ZW4" s="9"/>
      <c r="ZX4" s="9"/>
      <c r="ZY4" s="9"/>
      <c r="ZZ4" s="9"/>
      <c r="AAA4" s="9"/>
      <c r="AAB4" s="9"/>
      <c r="AAC4" s="9"/>
      <c r="AAD4" s="9" t="s">
        <v>905</v>
      </c>
      <c r="AAE4" s="9"/>
      <c r="AAF4" s="9"/>
      <c r="AAG4" s="9"/>
      <c r="AAH4" s="9"/>
      <c r="AAI4" s="9"/>
      <c r="AAJ4" s="9"/>
      <c r="AAK4" s="9"/>
      <c r="AAL4" s="9" t="s">
        <v>881</v>
      </c>
      <c r="AAM4" s="9"/>
      <c r="AAN4" s="9"/>
      <c r="AAO4" s="9"/>
      <c r="AAP4" s="9"/>
      <c r="AAQ4" s="9"/>
      <c r="AAR4" s="9" t="s">
        <v>857</v>
      </c>
      <c r="AAS4" s="9" t="s">
        <v>867</v>
      </c>
      <c r="AAT4" s="9" t="s">
        <v>974</v>
      </c>
      <c r="AAU4" s="8">
        <v>0.0</v>
      </c>
      <c r="AAV4" s="8">
        <v>1.0</v>
      </c>
      <c r="AAW4" s="8">
        <v>0.0</v>
      </c>
      <c r="AAX4" s="8">
        <v>0.0</v>
      </c>
      <c r="AAY4" s="8">
        <v>1.0</v>
      </c>
      <c r="AAZ4" s="8">
        <v>0.0</v>
      </c>
      <c r="ABA4" s="8">
        <v>0.0</v>
      </c>
      <c r="ABB4" s="9"/>
      <c r="ABC4" s="9"/>
      <c r="ABD4" s="9"/>
      <c r="ABE4" s="9"/>
      <c r="ABF4" s="9"/>
      <c r="ABG4" s="9"/>
      <c r="ABH4" s="9"/>
      <c r="ABI4" s="9" t="s">
        <v>969</v>
      </c>
      <c r="ABJ4" s="8">
        <v>0.0</v>
      </c>
      <c r="ABK4" s="8">
        <v>0.0</v>
      </c>
      <c r="ABL4" s="8">
        <v>0.0</v>
      </c>
      <c r="ABM4" s="8">
        <v>0.0</v>
      </c>
      <c r="ABN4" s="8">
        <v>1.0</v>
      </c>
      <c r="ABO4" s="9" t="s">
        <v>975</v>
      </c>
      <c r="ABP4" s="9"/>
      <c r="ABQ4" s="11"/>
      <c r="ABR4" s="9"/>
      <c r="ABS4" s="9"/>
      <c r="ABT4" s="9"/>
      <c r="ABU4" s="9"/>
      <c r="ABV4" s="9"/>
      <c r="ABW4" s="9"/>
      <c r="ABX4" s="9"/>
      <c r="ABY4" s="9"/>
      <c r="ABZ4" s="9"/>
      <c r="ACA4" s="9"/>
      <c r="ACB4" s="9"/>
      <c r="ACC4" s="9"/>
      <c r="ACD4" s="9"/>
      <c r="ACE4" s="9"/>
      <c r="ACF4" s="9"/>
      <c r="ACG4" s="9"/>
      <c r="ACH4" s="9"/>
      <c r="ACI4" s="9" t="s">
        <v>911</v>
      </c>
      <c r="ACJ4" s="9" t="s">
        <v>945</v>
      </c>
      <c r="ACK4" s="9" t="s">
        <v>976</v>
      </c>
      <c r="ACL4" s="8">
        <v>0.0</v>
      </c>
      <c r="ACM4" s="8">
        <v>0.0</v>
      </c>
      <c r="ACN4" s="8">
        <v>1.0</v>
      </c>
      <c r="ACO4" s="8">
        <v>1.0</v>
      </c>
      <c r="ACP4" s="8">
        <v>0.0</v>
      </c>
      <c r="ACQ4" s="8">
        <v>0.0</v>
      </c>
      <c r="ACR4" s="8">
        <v>0.0</v>
      </c>
      <c r="ACS4" s="9"/>
      <c r="ACT4" s="9" t="s">
        <v>912</v>
      </c>
      <c r="ACU4" s="9" t="s">
        <v>913</v>
      </c>
      <c r="ACV4" s="9" t="s">
        <v>914</v>
      </c>
      <c r="ACW4" s="9" t="s">
        <v>915</v>
      </c>
      <c r="ACX4" s="9" t="s">
        <v>958</v>
      </c>
      <c r="ACY4" s="9" t="s">
        <v>915</v>
      </c>
      <c r="ACZ4" s="8">
        <v>0.0</v>
      </c>
      <c r="ADA4" s="8">
        <v>1.0</v>
      </c>
      <c r="ADB4" s="8">
        <v>0.0</v>
      </c>
      <c r="ADC4" s="8">
        <v>0.0</v>
      </c>
      <c r="ADD4" s="9" t="s">
        <v>918</v>
      </c>
      <c r="ADE4" s="9" t="s">
        <v>918</v>
      </c>
      <c r="ADF4" s="9" t="s">
        <v>918</v>
      </c>
      <c r="ADG4" s="9" t="s">
        <v>918</v>
      </c>
      <c r="ADH4" s="9" t="s">
        <v>857</v>
      </c>
      <c r="ADI4" s="9" t="s">
        <v>977</v>
      </c>
      <c r="ADJ4" s="9" t="s">
        <v>918</v>
      </c>
      <c r="ADK4" s="9"/>
      <c r="ADL4" s="9"/>
      <c r="ADM4" s="9"/>
      <c r="ADN4" s="9"/>
      <c r="ADO4" s="9"/>
      <c r="ADP4" s="9"/>
      <c r="ADQ4" s="9"/>
      <c r="ADR4" s="9"/>
      <c r="ADS4" s="9"/>
      <c r="ADT4" s="9"/>
      <c r="ADU4" s="9" t="s">
        <v>919</v>
      </c>
      <c r="ADV4" s="8">
        <v>0.0</v>
      </c>
      <c r="ADW4" s="8">
        <v>0.0</v>
      </c>
      <c r="ADX4" s="8">
        <v>0.0</v>
      </c>
      <c r="ADY4" s="8">
        <v>0.0</v>
      </c>
      <c r="ADZ4" s="8">
        <v>1.0</v>
      </c>
      <c r="AEA4" s="8">
        <v>0.0</v>
      </c>
      <c r="AEB4" s="8">
        <v>0.0</v>
      </c>
      <c r="AEC4" s="8">
        <v>0.0</v>
      </c>
      <c r="AED4" s="12"/>
      <c r="AEE4" s="17" t="s">
        <v>872</v>
      </c>
      <c r="AEF4" s="9"/>
      <c r="AEG4" s="17" t="s">
        <v>920</v>
      </c>
      <c r="AEH4" s="9"/>
      <c r="AEI4" s="11" t="s">
        <v>960</v>
      </c>
      <c r="AEJ4" s="9" t="s">
        <v>961</v>
      </c>
      <c r="AEK4" s="17" t="s">
        <v>978</v>
      </c>
      <c r="AEL4" s="18">
        <v>1.0</v>
      </c>
      <c r="AEM4" s="18">
        <v>1.0</v>
      </c>
      <c r="AEN4" s="18">
        <v>1.0</v>
      </c>
      <c r="AEO4" s="18">
        <v>1.0</v>
      </c>
      <c r="AEP4" s="18">
        <v>1.0</v>
      </c>
      <c r="AEQ4" s="18">
        <v>1.0</v>
      </c>
      <c r="AER4" s="18">
        <v>1.0</v>
      </c>
      <c r="AES4" s="18">
        <v>0.0</v>
      </c>
      <c r="AET4" s="18">
        <v>0.0</v>
      </c>
      <c r="AEU4" s="18">
        <v>0.0</v>
      </c>
      <c r="AEV4" s="18">
        <v>0.0</v>
      </c>
      <c r="AEW4" s="18">
        <v>0.0</v>
      </c>
      <c r="AEX4" s="9"/>
      <c r="AEY4" s="9" t="s">
        <v>923</v>
      </c>
      <c r="AEZ4" s="9"/>
      <c r="AFA4" s="9" t="s">
        <v>924</v>
      </c>
      <c r="AFB4" s="9"/>
      <c r="AFC4" s="9" t="s">
        <v>979</v>
      </c>
      <c r="AFD4" s="16" t="s">
        <v>980</v>
      </c>
      <c r="AFE4" s="9" t="s">
        <v>981</v>
      </c>
      <c r="AFF4" s="16" t="s">
        <v>982</v>
      </c>
      <c r="AFG4" s="9" t="s">
        <v>983</v>
      </c>
      <c r="AFH4" s="9"/>
      <c r="AFI4" s="9"/>
    </row>
    <row r="5">
      <c r="A5" s="6">
        <v>46057.0</v>
      </c>
      <c r="B5" s="6">
        <v>46057.0</v>
      </c>
      <c r="C5" s="7" t="s">
        <v>837</v>
      </c>
      <c r="D5" s="7" t="s">
        <v>984</v>
      </c>
      <c r="E5" s="8">
        <v>6.2852322746E10</v>
      </c>
      <c r="F5" s="9"/>
      <c r="G5" s="8">
        <v>-7.3524846</v>
      </c>
      <c r="H5" s="8">
        <v>110.3427894</v>
      </c>
      <c r="I5" s="9"/>
      <c r="J5" s="8">
        <v>2.35</v>
      </c>
      <c r="K5" s="9"/>
      <c r="L5" s="9"/>
      <c r="M5" s="8">
        <v>-7.35252359</v>
      </c>
      <c r="N5" s="8">
        <v>110.3428578</v>
      </c>
      <c r="O5" s="9"/>
      <c r="P5" s="8">
        <v>4.92</v>
      </c>
      <c r="Q5" s="9"/>
      <c r="R5" s="9" t="s">
        <v>839</v>
      </c>
      <c r="S5" s="9"/>
      <c r="T5" s="9"/>
      <c r="U5" s="9"/>
      <c r="V5" s="9"/>
      <c r="W5" s="9"/>
      <c r="X5" s="9"/>
      <c r="Y5" s="9"/>
      <c r="Z5" s="9"/>
      <c r="AA5" s="9"/>
      <c r="AB5" s="9"/>
      <c r="AC5" s="7" t="s">
        <v>840</v>
      </c>
      <c r="AD5" s="7" t="s">
        <v>841</v>
      </c>
      <c r="AE5" s="7" t="s">
        <v>842</v>
      </c>
      <c r="AF5" s="9" t="s">
        <v>931</v>
      </c>
      <c r="AG5" s="9" t="s">
        <v>985</v>
      </c>
      <c r="AH5" s="8">
        <v>4.0</v>
      </c>
      <c r="AI5" s="9" t="s">
        <v>845</v>
      </c>
      <c r="AJ5" s="9" t="s">
        <v>934</v>
      </c>
      <c r="AK5" s="8">
        <v>53.0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9"/>
      <c r="BI5" s="9" t="s">
        <v>936</v>
      </c>
      <c r="BJ5" s="8">
        <v>1.0</v>
      </c>
      <c r="BK5" s="8">
        <v>1.0</v>
      </c>
      <c r="BL5" s="8">
        <v>2.0</v>
      </c>
      <c r="BM5" s="8">
        <v>0.0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2022.0</v>
      </c>
      <c r="CN5" s="9" t="s">
        <v>858</v>
      </c>
      <c r="CO5" s="9" t="s">
        <v>859</v>
      </c>
      <c r="CP5" s="9" t="s">
        <v>860</v>
      </c>
      <c r="CQ5" s="8">
        <v>0.0</v>
      </c>
      <c r="CR5" s="8">
        <v>0.0</v>
      </c>
      <c r="CS5" s="8">
        <v>0.0</v>
      </c>
      <c r="CT5" s="8">
        <v>0.0</v>
      </c>
      <c r="CU5" s="10">
        <v>1.0</v>
      </c>
      <c r="CV5" s="10">
        <v>0.0</v>
      </c>
      <c r="CW5" s="10">
        <v>0.0</v>
      </c>
      <c r="CX5" s="8">
        <v>0.0</v>
      </c>
      <c r="CY5" s="9" t="s">
        <v>860</v>
      </c>
      <c r="CZ5" s="8">
        <v>1.0</v>
      </c>
      <c r="DA5" s="8">
        <v>0.0</v>
      </c>
      <c r="DB5" s="8">
        <v>0.0</v>
      </c>
      <c r="DC5" s="9"/>
      <c r="DD5" s="9" t="s">
        <v>937</v>
      </c>
      <c r="DE5" s="8">
        <v>1.0</v>
      </c>
      <c r="DF5" s="8">
        <v>0.0</v>
      </c>
      <c r="DG5" s="8">
        <v>1.0</v>
      </c>
      <c r="DH5" s="8">
        <v>0.0</v>
      </c>
      <c r="DI5" s="9"/>
      <c r="DJ5" s="9" t="s">
        <v>937</v>
      </c>
      <c r="DK5" s="8">
        <v>1.0</v>
      </c>
      <c r="DL5" s="8">
        <v>0.0</v>
      </c>
      <c r="DM5" s="8">
        <v>1.0</v>
      </c>
      <c r="DN5" s="8">
        <v>0.0</v>
      </c>
      <c r="DO5" s="9"/>
      <c r="DP5" s="8">
        <v>1.0</v>
      </c>
      <c r="DQ5" s="8">
        <v>0.0</v>
      </c>
      <c r="DR5" s="8">
        <v>0.0</v>
      </c>
      <c r="DS5" s="9"/>
      <c r="DT5" s="9"/>
      <c r="DU5" s="9"/>
      <c r="DV5" s="9" t="s">
        <v>938</v>
      </c>
      <c r="DW5" s="9" t="s">
        <v>939</v>
      </c>
      <c r="DX5" s="9" t="s">
        <v>987</v>
      </c>
      <c r="DY5" s="9"/>
      <c r="DZ5" s="9"/>
      <c r="EA5" s="9"/>
      <c r="EB5" s="9"/>
      <c r="EC5" s="9"/>
      <c r="ED5" s="9"/>
      <c r="EE5" s="9"/>
      <c r="EF5" s="9"/>
      <c r="EG5" s="9"/>
      <c r="EH5" s="9"/>
      <c r="EI5" s="9" t="s">
        <v>988</v>
      </c>
      <c r="EJ5" s="8">
        <v>0.0</v>
      </c>
      <c r="EK5" s="8">
        <v>0.0</v>
      </c>
      <c r="EL5" s="8">
        <v>1.0</v>
      </c>
      <c r="EM5" s="8">
        <v>0.0</v>
      </c>
      <c r="EN5" s="8">
        <v>0.0</v>
      </c>
      <c r="EO5" s="11"/>
      <c r="EP5" s="9" t="s">
        <v>863</v>
      </c>
      <c r="EQ5" s="9" t="s">
        <v>864</v>
      </c>
      <c r="ER5" s="9" t="s">
        <v>861</v>
      </c>
      <c r="ES5" s="8">
        <v>1.0</v>
      </c>
      <c r="ET5" s="8">
        <v>0.0</v>
      </c>
      <c r="EU5" s="8">
        <v>0.0</v>
      </c>
      <c r="EV5" s="8">
        <v>0.0</v>
      </c>
      <c r="EW5" s="9"/>
      <c r="EX5" s="9" t="s">
        <v>865</v>
      </c>
      <c r="EY5" s="8">
        <v>1.0</v>
      </c>
      <c r="EZ5" s="8">
        <v>0.0</v>
      </c>
      <c r="FA5" s="8">
        <v>0.0</v>
      </c>
      <c r="FB5" s="9"/>
      <c r="FC5" s="9" t="s">
        <v>866</v>
      </c>
      <c r="FD5" s="9"/>
      <c r="FE5" s="9" t="s">
        <v>867</v>
      </c>
      <c r="FF5" s="9" t="s">
        <v>869</v>
      </c>
      <c r="FG5" s="9" t="s">
        <v>867</v>
      </c>
      <c r="FH5" s="9" t="s">
        <v>869</v>
      </c>
      <c r="FI5" s="9" t="s">
        <v>867</v>
      </c>
      <c r="FJ5" s="9" t="s">
        <v>868</v>
      </c>
      <c r="FK5" s="9" t="s">
        <v>867</v>
      </c>
      <c r="FL5" s="9" t="s">
        <v>869</v>
      </c>
      <c r="FM5" s="9" t="s">
        <v>867</v>
      </c>
      <c r="FN5" s="9" t="s">
        <v>943</v>
      </c>
      <c r="FO5" s="9" t="s">
        <v>867</v>
      </c>
      <c r="FP5" s="9" t="s">
        <v>943</v>
      </c>
      <c r="FQ5" s="9" t="s">
        <v>867</v>
      </c>
      <c r="FR5" s="9" t="s">
        <v>857</v>
      </c>
      <c r="FS5" s="9" t="s">
        <v>867</v>
      </c>
      <c r="FT5" s="9" t="s">
        <v>871</v>
      </c>
      <c r="FU5" s="9" t="s">
        <v>989</v>
      </c>
      <c r="FV5" s="8">
        <v>1.0</v>
      </c>
      <c r="FW5" s="8">
        <v>1.0</v>
      </c>
      <c r="FX5" s="8">
        <v>0.0</v>
      </c>
      <c r="FY5" s="8">
        <v>0.0</v>
      </c>
      <c r="FZ5" s="9" t="s">
        <v>944</v>
      </c>
      <c r="GA5" s="9" t="s">
        <v>990</v>
      </c>
      <c r="GB5" s="8">
        <v>1.0</v>
      </c>
      <c r="GC5" s="8">
        <v>1.0</v>
      </c>
      <c r="GD5" s="8">
        <v>0.0</v>
      </c>
      <c r="GE5" s="8">
        <v>0.0</v>
      </c>
      <c r="GF5" s="9"/>
      <c r="GG5" s="9" t="s">
        <v>875</v>
      </c>
      <c r="GH5" s="9" t="s">
        <v>881</v>
      </c>
      <c r="GI5" s="9"/>
      <c r="GJ5" s="9"/>
      <c r="GK5" s="9"/>
      <c r="GL5" s="9"/>
      <c r="GM5" s="9"/>
      <c r="GN5" s="9"/>
      <c r="GO5" s="9"/>
      <c r="GP5" s="9" t="s">
        <v>877</v>
      </c>
      <c r="GQ5" s="9" t="s">
        <v>878</v>
      </c>
      <c r="GR5" s="8">
        <v>1.0</v>
      </c>
      <c r="GS5" s="8">
        <v>1.0</v>
      </c>
      <c r="GT5" s="8">
        <v>0.0</v>
      </c>
      <c r="GU5" s="8">
        <v>0.0</v>
      </c>
      <c r="GV5" s="8">
        <v>0.0</v>
      </c>
      <c r="GW5" s="8">
        <v>0.0</v>
      </c>
      <c r="GX5" s="8">
        <v>0.0</v>
      </c>
      <c r="GY5" s="9"/>
      <c r="GZ5" s="9" t="s">
        <v>857</v>
      </c>
      <c r="HA5" s="8">
        <v>150.0</v>
      </c>
      <c r="HB5" s="8">
        <v>150000.0</v>
      </c>
      <c r="HC5" s="8">
        <v>50.0</v>
      </c>
      <c r="HD5" s="8">
        <v>50000.0</v>
      </c>
      <c r="HE5" s="8">
        <v>12.0</v>
      </c>
      <c r="HF5" s="8">
        <v>100000.0</v>
      </c>
      <c r="HG5" s="8">
        <v>2.0</v>
      </c>
      <c r="HH5" s="8">
        <v>50000.0</v>
      </c>
      <c r="HI5" s="9"/>
      <c r="HJ5" s="9"/>
      <c r="HK5" s="9"/>
      <c r="HL5" s="9"/>
      <c r="HM5" s="9"/>
      <c r="HN5" s="9"/>
      <c r="HO5" s="9"/>
      <c r="HP5" s="9"/>
      <c r="HQ5" s="9"/>
      <c r="HR5" s="9"/>
      <c r="HS5" s="9"/>
      <c r="HT5" s="9"/>
      <c r="HU5" s="9"/>
      <c r="HV5" s="9"/>
      <c r="HW5" s="9"/>
      <c r="HX5" s="9"/>
      <c r="HY5" s="8">
        <v>100.0</v>
      </c>
      <c r="HZ5" s="8">
        <v>100000.0</v>
      </c>
      <c r="IA5" s="8">
        <v>6.0</v>
      </c>
      <c r="IB5" s="8">
        <v>50000.0</v>
      </c>
      <c r="IC5" s="9"/>
      <c r="ID5" s="9"/>
      <c r="IE5" s="9"/>
      <c r="IF5" s="9"/>
      <c r="IG5" s="9"/>
      <c r="IH5" s="9"/>
      <c r="II5" s="9"/>
      <c r="IJ5" s="9"/>
      <c r="IK5" s="9" t="s">
        <v>879</v>
      </c>
      <c r="IL5" s="9" t="s">
        <v>880</v>
      </c>
      <c r="IM5" s="9" t="s">
        <v>857</v>
      </c>
      <c r="IN5" s="9" t="s">
        <v>881</v>
      </c>
      <c r="IO5" s="9" t="s">
        <v>882</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872</v>
      </c>
      <c r="KW5" s="8">
        <v>1.0</v>
      </c>
      <c r="KX5" s="8">
        <v>0.0</v>
      </c>
      <c r="KY5" s="8">
        <v>0.0</v>
      </c>
      <c r="KZ5" s="8">
        <v>0.0</v>
      </c>
      <c r="LA5" s="9" t="s">
        <v>884</v>
      </c>
      <c r="LB5" s="9" t="s">
        <v>884</v>
      </c>
      <c r="LC5" s="8">
        <v>0.0</v>
      </c>
      <c r="LD5" s="8">
        <v>0.0</v>
      </c>
      <c r="LE5" s="8">
        <v>0.0</v>
      </c>
      <c r="LF5" s="8">
        <v>3.0</v>
      </c>
      <c r="LG5" s="9" t="s">
        <v>881</v>
      </c>
      <c r="LH5" s="9"/>
      <c r="LI5" s="8">
        <v>0.0</v>
      </c>
      <c r="LJ5" s="9" t="s">
        <v>887</v>
      </c>
      <c r="LK5" s="8">
        <v>0.0</v>
      </c>
      <c r="LL5" s="8">
        <v>0.0</v>
      </c>
      <c r="LM5" s="8">
        <v>0.0</v>
      </c>
      <c r="LN5" s="8">
        <v>0.0</v>
      </c>
      <c r="LO5" s="8">
        <v>1.0</v>
      </c>
      <c r="LP5" s="8">
        <v>0.0</v>
      </c>
      <c r="LQ5" s="8">
        <v>0.0</v>
      </c>
      <c r="LR5" s="9"/>
      <c r="LS5" s="8">
        <v>15.0</v>
      </c>
      <c r="LT5" s="8">
        <v>15.0</v>
      </c>
      <c r="LU5" s="8">
        <v>0.0</v>
      </c>
      <c r="LV5" s="8">
        <v>5.0</v>
      </c>
      <c r="LW5" s="8">
        <v>5.0</v>
      </c>
      <c r="LX5" s="8">
        <v>0.0</v>
      </c>
      <c r="LY5" s="8">
        <v>5.0</v>
      </c>
      <c r="LZ5" s="8">
        <v>5.0</v>
      </c>
      <c r="MA5" s="8">
        <v>0.0</v>
      </c>
      <c r="MB5" s="9" t="s">
        <v>857</v>
      </c>
      <c r="MC5" s="8">
        <v>60.0</v>
      </c>
      <c r="MD5" s="8">
        <v>30.0</v>
      </c>
      <c r="ME5" s="8">
        <v>60.0</v>
      </c>
      <c r="MF5" s="8">
        <v>30.0</v>
      </c>
      <c r="MG5" s="8">
        <v>0.0</v>
      </c>
      <c r="MH5" s="8">
        <v>0.0</v>
      </c>
      <c r="MI5" s="9" t="s">
        <v>946</v>
      </c>
      <c r="MJ5" s="8">
        <v>0.0</v>
      </c>
      <c r="MK5" s="8">
        <v>0.0</v>
      </c>
      <c r="ML5" s="8">
        <v>1.0</v>
      </c>
      <c r="MM5" s="8">
        <v>0.0</v>
      </c>
      <c r="MN5" s="8">
        <v>0.0</v>
      </c>
      <c r="MO5" s="8">
        <v>0.0</v>
      </c>
      <c r="MP5" s="9"/>
      <c r="MQ5" s="9"/>
      <c r="MR5" s="9" t="s">
        <v>991</v>
      </c>
      <c r="MS5" s="9"/>
      <c r="MT5" s="8">
        <v>0.0</v>
      </c>
      <c r="MU5" s="9" t="s">
        <v>881</v>
      </c>
      <c r="MV5" s="9"/>
      <c r="MW5" s="9"/>
      <c r="MX5" s="9"/>
      <c r="MY5" s="9"/>
      <c r="MZ5" s="9"/>
      <c r="NA5" s="9"/>
      <c r="NB5" s="9"/>
      <c r="NC5" s="9"/>
      <c r="ND5" s="9"/>
      <c r="NE5" s="9"/>
      <c r="NF5" s="9"/>
      <c r="NG5" s="9"/>
      <c r="NH5" s="9"/>
      <c r="NI5" s="9"/>
      <c r="NJ5" s="9"/>
      <c r="NK5" s="9"/>
      <c r="NL5" s="9" t="s">
        <v>881</v>
      </c>
      <c r="NM5" s="9" t="s">
        <v>992</v>
      </c>
      <c r="NN5" s="9" t="s">
        <v>993</v>
      </c>
      <c r="NO5" s="9"/>
      <c r="NP5" s="9"/>
      <c r="NQ5" s="9" t="s">
        <v>994</v>
      </c>
      <c r="NR5" s="9"/>
      <c r="NS5" s="8">
        <v>24.0</v>
      </c>
      <c r="NT5" s="9" t="s">
        <v>896</v>
      </c>
      <c r="NU5" s="9"/>
      <c r="NV5" s="9" t="s">
        <v>896</v>
      </c>
      <c r="NW5" s="9"/>
      <c r="NX5" s="9" t="s">
        <v>897</v>
      </c>
      <c r="NY5" s="8">
        <v>45.0</v>
      </c>
      <c r="NZ5" s="8">
        <v>15.0</v>
      </c>
      <c r="OA5" s="8">
        <v>0.0</v>
      </c>
      <c r="OB5" s="8">
        <v>10.0</v>
      </c>
      <c r="OC5" s="8">
        <v>5.0</v>
      </c>
      <c r="OD5" s="8">
        <v>0.0</v>
      </c>
      <c r="OE5" s="9" t="s">
        <v>898</v>
      </c>
      <c r="OF5" s="9" t="s">
        <v>899</v>
      </c>
      <c r="OG5" s="9" t="s">
        <v>857</v>
      </c>
      <c r="OH5" s="8">
        <v>0.0</v>
      </c>
      <c r="OI5" s="8">
        <v>0.0</v>
      </c>
      <c r="OJ5" s="8">
        <v>0.0</v>
      </c>
      <c r="OK5" s="8">
        <v>0.0</v>
      </c>
      <c r="OL5" s="8">
        <v>0.0</v>
      </c>
      <c r="OM5" s="8">
        <v>0.0</v>
      </c>
      <c r="ON5" s="8">
        <v>0.0</v>
      </c>
      <c r="OO5" s="8">
        <v>0.0</v>
      </c>
      <c r="OP5" s="9" t="str">
        <f>VLOOKUP(AG5,'BUS 2'!$G$1:$CU$424,2,0)</f>
        <v>Sapi pedaging</v>
      </c>
      <c r="OQ5" s="8">
        <f>VLOOKUP(AG5,'BUS 2'!$G$1:$CU$424,3,0)</f>
        <v>1</v>
      </c>
      <c r="OR5" s="8">
        <f>VLOOKUP(AG5,'BUS 2'!$G$1:$CU$424,4,0)</f>
        <v>0</v>
      </c>
      <c r="OS5" s="8">
        <f>VLOOKUP(AG5,'BUS 2'!$G$1:$CU$424,5,0)</f>
        <v>0</v>
      </c>
      <c r="OT5" s="8">
        <f>VLOOKUP(AG5,'BUS 2'!$G$1:$CU$424,6,0)</f>
        <v>0</v>
      </c>
      <c r="OU5" s="8">
        <f>VLOOKUP(AG5,'BUS 2'!$G$1:$CU$424,7,0)</f>
        <v>0</v>
      </c>
      <c r="OV5" s="8">
        <f>VLOOKUP(AG5,'BUS 2'!$G$1:$CU$424,8,0)</f>
        <v>0</v>
      </c>
      <c r="OW5" s="8">
        <f>VLOOKUP(AG5,'BUS 2'!$G$1:$CU$424,9,0)</f>
        <v>0</v>
      </c>
      <c r="OX5" s="8">
        <f>VLOOKUP(AG5,'BUS 2'!$G$1:$CU$424,10,0)</f>
        <v>0</v>
      </c>
      <c r="OY5" s="8">
        <f>VLOOKUP(AG5,'BUS 2'!$G$1:$CU$424,11,0)</f>
        <v>0</v>
      </c>
      <c r="OZ5" s="8" t="str">
        <f>VLOOKUP(AG5,'BUS 2'!$G$1:$CU$424,12,0)</f>
        <v>Sapi pedaging</v>
      </c>
      <c r="PA5" s="8">
        <f>VLOOKUP(AG5,'BUS 2'!$G$1:$CU$424,13,0)</f>
        <v>1</v>
      </c>
      <c r="PB5" s="8">
        <f>VLOOKUP(AG5,'BUS 2'!$G$1:$CU$424,14,0)</f>
        <v>0</v>
      </c>
      <c r="PC5" s="8">
        <f>VLOOKUP(AG5,'BUS 2'!$G$1:$CU$424,15,0)</f>
        <v>0</v>
      </c>
      <c r="PD5" s="8">
        <f>VLOOKUP(AG5,'BUS 2'!$G$1:$CU$424,16,0)</f>
        <v>0</v>
      </c>
      <c r="PE5" s="8">
        <f>VLOOKUP(AG5,'BUS 2'!$G$1:$CU$424,17,0)</f>
        <v>0</v>
      </c>
      <c r="PF5" s="8">
        <f>VLOOKUP(AG5,'BUS 2'!$G$1:$CU$424,18,0)</f>
        <v>0</v>
      </c>
      <c r="PG5" s="8">
        <f>VLOOKUP(AG5,'BUS 2'!$G$1:$CU$424,19,0)</f>
        <v>0</v>
      </c>
      <c r="PH5" s="8">
        <f>VLOOKUP(AG5,'BUS 2'!$G$1:$CU$424,20,0)</f>
        <v>0</v>
      </c>
      <c r="PI5" s="8">
        <f>VLOOKUP(AG5,'BUS 2'!$G$1:$CU$424,21,0)</f>
        <v>0</v>
      </c>
      <c r="PJ5" s="8" t="str">
        <f>VLOOKUP(AG5,'BUS 2'!$G$1:$CU$424,22,0)</f>
        <v>Sapi pedaging</v>
      </c>
      <c r="PK5" s="8">
        <f>VLOOKUP(AG5,'BUS 2'!$G$1:$CU$424,23,0)</f>
        <v>1</v>
      </c>
      <c r="PL5" s="8">
        <f>VLOOKUP(AG5,'BUS 2'!$G$1:$CU$424,24,0)</f>
        <v>0</v>
      </c>
      <c r="PM5" s="8">
        <f>VLOOKUP(AG5,'BUS 2'!$G$1:$CU$424,25,0)</f>
        <v>0</v>
      </c>
      <c r="PN5" s="8">
        <f>VLOOKUP(AG5,'BUS 2'!$G$1:$CU$424,26,0)</f>
        <v>0</v>
      </c>
      <c r="PO5" s="8">
        <f>VLOOKUP(AG5,'BUS 2'!$G$1:$CU$424,27,0)</f>
        <v>0</v>
      </c>
      <c r="PP5" s="8">
        <f>VLOOKUP(AG5,'BUS 2'!$G$1:$CU$424,28,0)</f>
        <v>0</v>
      </c>
      <c r="PQ5" s="8">
        <f>VLOOKUP(AG5,'BUS 2'!$G$1:$CU$424,29,0)</f>
        <v>0</v>
      </c>
      <c r="PR5" s="8">
        <f>VLOOKUP(AG5,'BUS 2'!$G$1:$CU$424,30,0)</f>
        <v>0</v>
      </c>
      <c r="PS5" s="8">
        <f>VLOOKUP(AG5,'BUS 2'!$G$1:$CU$424,31,0)</f>
        <v>0</v>
      </c>
      <c r="PT5" s="9" t="s">
        <v>900</v>
      </c>
      <c r="PU5" s="8">
        <v>1.0</v>
      </c>
      <c r="PV5" s="8">
        <v>0.0</v>
      </c>
      <c r="PW5" s="8">
        <v>0.0</v>
      </c>
      <c r="PX5" s="8">
        <v>0.0</v>
      </c>
      <c r="PY5" s="8">
        <v>0.0</v>
      </c>
      <c r="PZ5" s="8">
        <v>0.0</v>
      </c>
      <c r="QA5" s="8">
        <v>1.0</v>
      </c>
      <c r="QB5" s="8">
        <v>0.0</v>
      </c>
      <c r="QC5" s="8">
        <v>0.0</v>
      </c>
      <c r="QD5" s="8">
        <v>0.0</v>
      </c>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8">
        <f>VLOOKUP(AG5,'BUS 2'!$G$1:$CU$424,33,0)</f>
        <v>2</v>
      </c>
      <c r="SZ5" s="9" t="str">
        <f>VLOOKUP(AG5,'BUS 2'!$G$1:$CU$424,34,0)</f>
        <v/>
      </c>
      <c r="TA5" s="9" t="str">
        <f>VLOOKUP(AG5,'BUS 2'!$G$1:$CU$424,35,0)</f>
        <v/>
      </c>
      <c r="TB5" s="9" t="str">
        <f>VLOOKUP(AG5,'BUS 2'!$G$1:$CU$424,36,0)</f>
        <v/>
      </c>
      <c r="TC5" s="9" t="str">
        <f>VLOOKUP(AG5,'BUS 2'!$G$1:$CU$424,37,0)</f>
        <v/>
      </c>
      <c r="TD5" s="9" t="str">
        <f>VLOOKUP(AG5,'BUS 2'!$G$1:$CU$424,38,0)</f>
        <v/>
      </c>
      <c r="TE5" s="9" t="str">
        <f>VLOOKUP(AG5,'BUS 2'!$G$1:$CU$424,39,0)</f>
        <v/>
      </c>
      <c r="TF5" s="9" t="str">
        <f>VLOOKUP(AG5,'BUS 2'!$G$1:$CU$424,40,0)</f>
        <v/>
      </c>
      <c r="TG5" s="8">
        <f>VLOOKUP(AG5,'BUS 2'!$G$1:$CU$424,42,0)</f>
        <v>0</v>
      </c>
      <c r="TH5" s="8" t="str">
        <f>VLOOKUP(AG5,'BUS 2'!$G$1:$CU$424,43,0)</f>
        <v/>
      </c>
      <c r="TI5" s="8" t="str">
        <f>VLOOKUP(AG5,'BUS 2'!$G$1:$CU$424,44,0)</f>
        <v/>
      </c>
      <c r="TJ5" s="8" t="str">
        <f>VLOOKUP(AG5,'BUS 2'!$G$1:$CU$424,45,0)</f>
        <v/>
      </c>
      <c r="TK5" s="8" t="str">
        <f>VLOOKUP(AG5,'BUS 2'!$G$1:$CU$424,46,0)</f>
        <v/>
      </c>
      <c r="TL5" s="8" t="str">
        <f>VLOOKUP(AG5,'BUS 2'!$G$1:$CU$424,47,0)</f>
        <v/>
      </c>
      <c r="TM5" s="8" t="str">
        <f>VLOOKUP(AG5,'BUS 2'!$G$1:$CU$424,48,0)</f>
        <v/>
      </c>
      <c r="TN5" s="8" t="str">
        <f>VLOOKUP(AG5,'BUS 2'!$G$1:$CU$424,49,0)</f>
        <v/>
      </c>
      <c r="TO5" s="8">
        <f>VLOOKUP(AG5,'BUS 2'!$G$1:$CU$424,50,0)</f>
        <v>2</v>
      </c>
      <c r="TP5" s="8">
        <f>VLOOKUP(AG5,'BUS 2'!$G$1:$CU$424,51,0)</f>
        <v>0</v>
      </c>
      <c r="TQ5" s="8">
        <f>VLOOKUP(AG5,'BUS 2'!$G$1:$CU$424,52,0)</f>
        <v>0</v>
      </c>
      <c r="TR5" s="8">
        <f>VLOOKUP(AG5,'BUS 2'!$G$1:$CU$424,53,0)</f>
        <v>0</v>
      </c>
      <c r="TS5" s="9" t="str">
        <f>VLOOKUP(AG5,'BUS 2'!$G$1:$CU$424,54,0)</f>
        <v/>
      </c>
      <c r="TT5" s="9" t="str">
        <f>VLOOKUP(AG5,'BUS 2'!$G$1:$CU$424,55,0)</f>
        <v/>
      </c>
      <c r="TU5" s="9" t="str">
        <f>VLOOKUP(AG5,'BUS 2'!$G$1:$CU$424,56,0)</f>
        <v/>
      </c>
      <c r="TV5" s="9" t="str">
        <f>VLOOKUP(AG5,'BUS 2'!$G$1:$CU$424,57,0)</f>
        <v/>
      </c>
      <c r="TW5" s="9" t="str">
        <f>VLOOKUP(AG5,'BUS 2'!$G$1:$CU$424,58,0)</f>
        <v/>
      </c>
      <c r="TX5" s="9" t="str">
        <f>VLOOKUP(AG5,'BUS 2'!$G$1:$CU$424,59,0)</f>
        <v/>
      </c>
      <c r="TY5" s="9" t="str">
        <f>VLOOKUP(AG5,'BUS 2'!$G$1:$CU$424,60,0)</f>
        <v/>
      </c>
      <c r="TZ5" s="9" t="str">
        <f>VLOOKUP(AG5,'BUS 2'!$G$1:$CU$424,61,0)</f>
        <v/>
      </c>
      <c r="UA5" s="9" t="str">
        <f>VLOOKUP(AG5,'BUS 2'!$G$1:$CU$424,62,0)</f>
        <v/>
      </c>
      <c r="UB5" s="9" t="str">
        <f>VLOOKUP(AG5,'BUS 2'!$G$1:$CU$424,63,0)</f>
        <v/>
      </c>
      <c r="UC5" s="9" t="str">
        <f>VLOOKUP(AG5,'BUS 2'!$G$1:$CU$424,64,0)</f>
        <v/>
      </c>
      <c r="UD5" s="9" t="str">
        <f>VLOOKUP(AG5,'BUS 2'!$G$1:$CU$424,65,0)</f>
        <v/>
      </c>
      <c r="UE5" s="9" t="str">
        <f>VLOOKUP(AG5,'BUS 2'!$G$1:$CU$424,66,0)</f>
        <v/>
      </c>
      <c r="UF5" s="9" t="str">
        <f>VLOOKUP(AG5,'BUS 2'!$G$1:$CU$424,67,0)</f>
        <v/>
      </c>
      <c r="UG5" s="9" t="str">
        <f>VLOOKUP(AG5,'BUS 2'!$G$1:$CU$424,68,0)</f>
        <v/>
      </c>
      <c r="UH5" s="9" t="str">
        <f>VLOOKUP(AG5,'BUS 2'!$G$1:$CU$424,69,0)</f>
        <v/>
      </c>
      <c r="UI5" s="9" t="str">
        <f>VLOOKUP(AG5,'BUS 2'!$G$1:$CU$424,70,0)</f>
        <v/>
      </c>
      <c r="UJ5" s="9" t="str">
        <f>VLOOKUP(AG5,'BUS 2'!$G$1:$CU$424,71,0)</f>
        <v/>
      </c>
      <c r="UK5" s="9" t="str">
        <f>VLOOKUP(AG5,'BUS 2'!$G$1:$CU$424,72,0)</f>
        <v/>
      </c>
      <c r="UL5" s="9" t="str">
        <f>VLOOKUP(AG5,'BUS 2'!$G$1:$CU$424,73,0)</f>
        <v/>
      </c>
      <c r="UM5" s="9" t="str">
        <f>VLOOKUP(AG5,'BUS 2'!$G$1:$CU$424,74,0)</f>
        <v/>
      </c>
      <c r="UN5" s="9" t="str">
        <f>VLOOKUP(AG5,'BUS 2'!$G$1:$CU$424,75,0)</f>
        <v/>
      </c>
      <c r="UO5" s="9" t="str">
        <f>VLOOKUP(AG5,'BUS 2'!$G$1:$CU$424,76,0)</f>
        <v/>
      </c>
      <c r="UP5" s="9" t="str">
        <f>VLOOKUP(AG5,'BUS 2'!$G$1:$CU$424,77,0)</f>
        <v/>
      </c>
      <c r="UQ5" s="9" t="str">
        <f>VLOOKUP(AG5,'BUS 2'!$G$1:$CU$424,78,0)</f>
        <v/>
      </c>
      <c r="UR5" s="9" t="str">
        <f>VLOOKUP(AG5,'BUS 2'!$G$1:$CU$424,79,0)</f>
        <v/>
      </c>
      <c r="US5" s="9" t="str">
        <f>VLOOKUP(AG5,'BUS 2'!$G$1:$CU$424,80,0)</f>
        <v/>
      </c>
      <c r="UT5" s="9" t="str">
        <f>VLOOKUP(AG5,'BUS 2'!$G$1:$CU$424,81,0)</f>
        <v/>
      </c>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t="s">
        <v>881</v>
      </c>
      <c r="AAM5" s="9"/>
      <c r="AAN5" s="9"/>
      <c r="AAO5" s="9"/>
      <c r="AAP5" s="9"/>
      <c r="AAQ5" s="9"/>
      <c r="AAR5" s="9" t="s">
        <v>857</v>
      </c>
      <c r="AAS5" s="9" t="s">
        <v>867</v>
      </c>
      <c r="AAT5" s="9" t="s">
        <v>995</v>
      </c>
      <c r="AAU5" s="8">
        <v>1.0</v>
      </c>
      <c r="AAV5" s="8">
        <v>0.0</v>
      </c>
      <c r="AAW5" s="8">
        <v>0.0</v>
      </c>
      <c r="AAX5" s="8">
        <v>0.0</v>
      </c>
      <c r="AAY5" s="8">
        <v>1.0</v>
      </c>
      <c r="AAZ5" s="8">
        <v>0.0</v>
      </c>
      <c r="ABA5" s="8">
        <v>0.0</v>
      </c>
      <c r="ABB5" s="9" t="s">
        <v>907</v>
      </c>
      <c r="ABC5" s="8">
        <v>1.0</v>
      </c>
      <c r="ABD5" s="8">
        <v>0.0</v>
      </c>
      <c r="ABE5" s="8">
        <v>0.0</v>
      </c>
      <c r="ABF5" s="8">
        <v>0.0</v>
      </c>
      <c r="ABG5" s="8">
        <v>0.0</v>
      </c>
      <c r="ABH5" s="9"/>
      <c r="ABI5" s="9"/>
      <c r="ABJ5" s="9"/>
      <c r="ABK5" s="9"/>
      <c r="ABL5" s="9"/>
      <c r="ABM5" s="9"/>
      <c r="ABN5" s="9"/>
      <c r="ABO5" s="9"/>
      <c r="ABP5" s="9"/>
      <c r="ABQ5" s="11" t="s">
        <v>953</v>
      </c>
      <c r="ABR5" s="9" t="s">
        <v>909</v>
      </c>
      <c r="ABS5" s="8">
        <v>1500.0</v>
      </c>
      <c r="ABT5" s="9"/>
      <c r="ABU5" s="8">
        <v>500.0</v>
      </c>
      <c r="ABV5" s="8">
        <v>500.0</v>
      </c>
      <c r="ABW5" s="9" t="s">
        <v>910</v>
      </c>
      <c r="ABX5" s="9"/>
      <c r="ABY5" s="8">
        <v>20.0</v>
      </c>
      <c r="ABZ5" s="8">
        <v>10.0</v>
      </c>
      <c r="ACA5" s="8">
        <v>10.0</v>
      </c>
      <c r="ACB5" s="8">
        <v>700.0</v>
      </c>
      <c r="ACC5" s="8">
        <v>7000.0</v>
      </c>
      <c r="ACD5" s="8">
        <v>400.0</v>
      </c>
      <c r="ACE5" s="9" t="s">
        <v>881</v>
      </c>
      <c r="ACF5" s="9" t="s">
        <v>911</v>
      </c>
      <c r="ACG5" s="9" t="s">
        <v>911</v>
      </c>
      <c r="ACH5" s="9" t="s">
        <v>911</v>
      </c>
      <c r="ACI5" s="9"/>
      <c r="ACJ5" s="9"/>
      <c r="ACK5" s="9" t="s">
        <v>976</v>
      </c>
      <c r="ACL5" s="8">
        <v>0.0</v>
      </c>
      <c r="ACM5" s="8">
        <v>0.0</v>
      </c>
      <c r="ACN5" s="8">
        <v>1.0</v>
      </c>
      <c r="ACO5" s="8">
        <v>1.0</v>
      </c>
      <c r="ACP5" s="8">
        <v>0.0</v>
      </c>
      <c r="ACQ5" s="8">
        <v>0.0</v>
      </c>
      <c r="ACR5" s="8">
        <v>0.0</v>
      </c>
      <c r="ACS5" s="9"/>
      <c r="ACT5" s="9" t="s">
        <v>912</v>
      </c>
      <c r="ACU5" s="9" t="s">
        <v>913</v>
      </c>
      <c r="ACV5" s="9" t="s">
        <v>996</v>
      </c>
      <c r="ACW5" s="9" t="s">
        <v>997</v>
      </c>
      <c r="ACX5" s="9" t="s">
        <v>958</v>
      </c>
      <c r="ACY5" s="9" t="s">
        <v>915</v>
      </c>
      <c r="ACZ5" s="8">
        <v>0.0</v>
      </c>
      <c r="ADA5" s="8">
        <v>1.0</v>
      </c>
      <c r="ADB5" s="8">
        <v>0.0</v>
      </c>
      <c r="ADC5" s="8">
        <v>0.0</v>
      </c>
      <c r="ADD5" s="9" t="s">
        <v>918</v>
      </c>
      <c r="ADE5" s="9" t="s">
        <v>918</v>
      </c>
      <c r="ADF5" s="9" t="s">
        <v>918</v>
      </c>
      <c r="ADG5" s="9" t="s">
        <v>918</v>
      </c>
      <c r="ADH5" s="9" t="s">
        <v>857</v>
      </c>
      <c r="ADI5" s="9" t="s">
        <v>998</v>
      </c>
      <c r="ADJ5" s="9" t="s">
        <v>918</v>
      </c>
      <c r="ADK5" s="9"/>
      <c r="ADL5" s="9"/>
      <c r="ADM5" s="9"/>
      <c r="ADN5" s="9"/>
      <c r="ADO5" s="9"/>
      <c r="ADP5" s="9"/>
      <c r="ADQ5" s="9"/>
      <c r="ADR5" s="9"/>
      <c r="ADS5" s="9"/>
      <c r="ADT5" s="9"/>
      <c r="ADU5" s="9" t="s">
        <v>919</v>
      </c>
      <c r="ADV5" s="8">
        <v>0.0</v>
      </c>
      <c r="ADW5" s="8">
        <v>0.0</v>
      </c>
      <c r="ADX5" s="8">
        <v>0.0</v>
      </c>
      <c r="ADY5" s="8">
        <v>0.0</v>
      </c>
      <c r="ADZ5" s="8">
        <v>1.0</v>
      </c>
      <c r="AEA5" s="8">
        <v>0.0</v>
      </c>
      <c r="AEB5" s="8">
        <v>0.0</v>
      </c>
      <c r="AEC5" s="8">
        <v>0.0</v>
      </c>
      <c r="AED5" s="12"/>
      <c r="AEE5" s="17" t="s">
        <v>872</v>
      </c>
      <c r="AEF5" s="9"/>
      <c r="AEG5" s="17" t="s">
        <v>920</v>
      </c>
      <c r="AEH5" s="9"/>
      <c r="AEI5" s="11" t="s">
        <v>999</v>
      </c>
      <c r="AEJ5" s="9" t="s">
        <v>961</v>
      </c>
      <c r="AEK5" s="17" t="s">
        <v>1000</v>
      </c>
      <c r="AEL5" s="18">
        <v>1.0</v>
      </c>
      <c r="AEM5" s="18">
        <v>1.0</v>
      </c>
      <c r="AEN5" s="18">
        <v>1.0</v>
      </c>
      <c r="AEO5" s="18">
        <v>1.0</v>
      </c>
      <c r="AEP5" s="18">
        <v>1.0</v>
      </c>
      <c r="AEQ5" s="18">
        <v>0.0</v>
      </c>
      <c r="AER5" s="18">
        <v>0.0</v>
      </c>
      <c r="AES5" s="18">
        <v>0.0</v>
      </c>
      <c r="AET5" s="18">
        <v>0.0</v>
      </c>
      <c r="AEU5" s="18">
        <v>0.0</v>
      </c>
      <c r="AEV5" s="18">
        <v>0.0</v>
      </c>
      <c r="AEW5" s="18">
        <v>0.0</v>
      </c>
      <c r="AEX5" s="9"/>
      <c r="AEY5" s="9" t="s">
        <v>923</v>
      </c>
      <c r="AEZ5" s="9"/>
      <c r="AFA5" s="9" t="s">
        <v>924</v>
      </c>
      <c r="AFB5" s="9"/>
      <c r="AFC5" s="9" t="s">
        <v>1001</v>
      </c>
      <c r="AFD5" s="16" t="s">
        <v>1002</v>
      </c>
      <c r="AFE5" s="9" t="s">
        <v>1003</v>
      </c>
      <c r="AFF5" s="16" t="s">
        <v>1004</v>
      </c>
      <c r="AFG5" s="9" t="s">
        <v>983</v>
      </c>
      <c r="AFH5" s="9"/>
      <c r="AFI5" s="9" t="s">
        <v>1005</v>
      </c>
    </row>
    <row r="6">
      <c r="A6" s="6">
        <v>46057.0</v>
      </c>
      <c r="B6" s="6">
        <v>46057.0</v>
      </c>
      <c r="C6" s="7" t="s">
        <v>837</v>
      </c>
      <c r="D6" s="7" t="s">
        <v>1006</v>
      </c>
      <c r="E6" s="8">
        <v>6.282136100417E12</v>
      </c>
      <c r="F6" s="9"/>
      <c r="G6" s="8">
        <v>-7.351814</v>
      </c>
      <c r="H6" s="8">
        <v>110.3523472</v>
      </c>
      <c r="I6" s="9"/>
      <c r="J6" s="8">
        <v>4.82</v>
      </c>
      <c r="K6" s="9"/>
      <c r="L6" s="9"/>
      <c r="M6" s="8">
        <v>-7.3511364</v>
      </c>
      <c r="N6" s="8">
        <v>110.3523</v>
      </c>
      <c r="O6" s="9"/>
      <c r="P6" s="8">
        <v>4.5</v>
      </c>
      <c r="Q6" s="9"/>
      <c r="R6" s="9" t="s">
        <v>839</v>
      </c>
      <c r="S6" s="9"/>
      <c r="T6" s="9"/>
      <c r="U6" s="9"/>
      <c r="V6" s="9"/>
      <c r="W6" s="9"/>
      <c r="X6" s="9"/>
      <c r="Y6" s="9"/>
      <c r="Z6" s="9"/>
      <c r="AA6" s="9"/>
      <c r="AB6" s="9"/>
      <c r="AC6" s="7" t="s">
        <v>840</v>
      </c>
      <c r="AD6" s="7" t="s">
        <v>841</v>
      </c>
      <c r="AE6" s="7" t="s">
        <v>1007</v>
      </c>
      <c r="AF6" s="9" t="s">
        <v>931</v>
      </c>
      <c r="AG6" s="9" t="s">
        <v>1008</v>
      </c>
      <c r="AH6" s="8">
        <v>11.0</v>
      </c>
      <c r="AI6" s="9" t="s">
        <v>933</v>
      </c>
      <c r="AJ6" s="9" t="s">
        <v>934</v>
      </c>
      <c r="AK6" s="8">
        <v>60.0</v>
      </c>
      <c r="AL6" s="9" t="s">
        <v>847</v>
      </c>
      <c r="AM6" s="9" t="s">
        <v>848</v>
      </c>
      <c r="AN6" s="9" t="s">
        <v>1009</v>
      </c>
      <c r="AO6" s="9" t="s">
        <v>850</v>
      </c>
      <c r="AP6" s="8">
        <v>1.0</v>
      </c>
      <c r="AQ6" s="8">
        <v>0.0</v>
      </c>
      <c r="AR6" s="8">
        <v>0.0</v>
      </c>
      <c r="AS6" s="8">
        <v>0.0</v>
      </c>
      <c r="AT6" s="8">
        <v>0.0</v>
      </c>
      <c r="AU6" s="8">
        <v>0.0</v>
      </c>
      <c r="AV6" s="8">
        <v>0.0</v>
      </c>
      <c r="AW6" s="8">
        <v>0.0</v>
      </c>
      <c r="AX6" s="9"/>
      <c r="AY6" s="9" t="s">
        <v>1010</v>
      </c>
      <c r="AZ6" s="8">
        <v>0.0</v>
      </c>
      <c r="BA6" s="8">
        <v>0.0</v>
      </c>
      <c r="BB6" s="8">
        <v>1.0</v>
      </c>
      <c r="BC6" s="8">
        <v>0.0</v>
      </c>
      <c r="BD6" s="8">
        <v>0.0</v>
      </c>
      <c r="BE6" s="8">
        <v>0.0</v>
      </c>
      <c r="BF6" s="8">
        <v>0.0</v>
      </c>
      <c r="BG6" s="8">
        <v>0.0</v>
      </c>
      <c r="BH6" s="9"/>
      <c r="BI6" s="9" t="s">
        <v>936</v>
      </c>
      <c r="BJ6" s="8">
        <v>2.0</v>
      </c>
      <c r="BK6" s="8">
        <v>2.0</v>
      </c>
      <c r="BL6" s="8">
        <v>2.0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856</v>
      </c>
      <c r="CD6" s="8">
        <v>0.0</v>
      </c>
      <c r="CE6" s="8">
        <v>0.0</v>
      </c>
      <c r="CF6" s="8">
        <v>0.0</v>
      </c>
      <c r="CG6" s="8">
        <v>0.0</v>
      </c>
      <c r="CH6" s="8">
        <v>0.0</v>
      </c>
      <c r="CI6" s="8">
        <v>1.0</v>
      </c>
      <c r="CJ6" s="8">
        <v>0.0</v>
      </c>
      <c r="CK6" s="9"/>
      <c r="CL6" s="9" t="s">
        <v>857</v>
      </c>
      <c r="CM6" s="8">
        <v>2015.0</v>
      </c>
      <c r="CN6" s="9" t="s">
        <v>858</v>
      </c>
      <c r="CO6" s="9" t="s">
        <v>859</v>
      </c>
      <c r="CP6" s="9" t="s">
        <v>860</v>
      </c>
      <c r="CQ6" s="8">
        <v>0.0</v>
      </c>
      <c r="CR6" s="8">
        <v>0.0</v>
      </c>
      <c r="CS6" s="8">
        <v>0.0</v>
      </c>
      <c r="CT6" s="8">
        <v>0.0</v>
      </c>
      <c r="CU6" s="10">
        <v>1.0</v>
      </c>
      <c r="CV6" s="10">
        <v>0.0</v>
      </c>
      <c r="CW6" s="10">
        <v>0.0</v>
      </c>
      <c r="CX6" s="8">
        <v>0.0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8">
        <v>1.0</v>
      </c>
      <c r="DQ6" s="8">
        <v>0.0</v>
      </c>
      <c r="DR6" s="8">
        <v>0.0</v>
      </c>
      <c r="DS6" s="9"/>
      <c r="DT6" s="9"/>
      <c r="DU6" s="9"/>
      <c r="DV6" s="9" t="s">
        <v>938</v>
      </c>
      <c r="DW6" s="9" t="s">
        <v>939</v>
      </c>
      <c r="DX6" s="9" t="s">
        <v>987</v>
      </c>
      <c r="DY6" s="9"/>
      <c r="DZ6" s="9"/>
      <c r="EA6" s="9"/>
      <c r="EB6" s="9"/>
      <c r="EC6" s="9"/>
      <c r="ED6" s="9"/>
      <c r="EE6" s="9"/>
      <c r="EF6" s="9"/>
      <c r="EG6" s="9"/>
      <c r="EH6" s="9"/>
      <c r="EI6" s="9" t="s">
        <v>1011</v>
      </c>
      <c r="EJ6" s="8">
        <v>0.0</v>
      </c>
      <c r="EK6" s="8">
        <v>0.0</v>
      </c>
      <c r="EL6" s="8">
        <v>1.0</v>
      </c>
      <c r="EM6" s="8">
        <v>1.0</v>
      </c>
      <c r="EN6" s="8">
        <v>0.0</v>
      </c>
      <c r="EO6" s="11"/>
      <c r="EP6" s="9" t="s">
        <v>863</v>
      </c>
      <c r="EQ6" s="9" t="s">
        <v>864</v>
      </c>
      <c r="ER6" s="9" t="s">
        <v>1012</v>
      </c>
      <c r="ES6" s="8">
        <v>1.0</v>
      </c>
      <c r="ET6" s="8">
        <v>0.0</v>
      </c>
      <c r="EU6" s="8">
        <v>1.0</v>
      </c>
      <c r="EV6" s="8">
        <v>0.0</v>
      </c>
      <c r="EW6" s="9"/>
      <c r="EX6" s="9" t="s">
        <v>1013</v>
      </c>
      <c r="EY6" s="8">
        <v>1.0</v>
      </c>
      <c r="EZ6" s="8">
        <v>1.0</v>
      </c>
      <c r="FA6" s="8">
        <v>0.0</v>
      </c>
      <c r="FB6" s="9"/>
      <c r="FC6" s="9" t="s">
        <v>866</v>
      </c>
      <c r="FD6" s="9"/>
      <c r="FE6" s="9" t="s">
        <v>867</v>
      </c>
      <c r="FF6" s="9" t="s">
        <v>868</v>
      </c>
      <c r="FG6" s="9" t="s">
        <v>867</v>
      </c>
      <c r="FH6" s="9" t="s">
        <v>869</v>
      </c>
      <c r="FI6" s="9" t="s">
        <v>867</v>
      </c>
      <c r="FJ6" s="9" t="s">
        <v>869</v>
      </c>
      <c r="FK6" s="9" t="s">
        <v>867</v>
      </c>
      <c r="FL6" s="9" t="s">
        <v>869</v>
      </c>
      <c r="FM6" s="9" t="s">
        <v>867</v>
      </c>
      <c r="FN6" s="9" t="s">
        <v>870</v>
      </c>
      <c r="FO6" s="9" t="s">
        <v>867</v>
      </c>
      <c r="FP6" s="9" t="s">
        <v>870</v>
      </c>
      <c r="FQ6" s="9" t="s">
        <v>867</v>
      </c>
      <c r="FR6" s="9" t="s">
        <v>857</v>
      </c>
      <c r="FS6" s="9" t="s">
        <v>867</v>
      </c>
      <c r="FT6" s="9" t="s">
        <v>871</v>
      </c>
      <c r="FU6" s="9" t="s">
        <v>989</v>
      </c>
      <c r="FV6" s="8">
        <v>1.0</v>
      </c>
      <c r="FW6" s="8">
        <v>1.0</v>
      </c>
      <c r="FX6" s="8">
        <v>0.0</v>
      </c>
      <c r="FY6" s="8">
        <v>0.0</v>
      </c>
      <c r="FZ6" s="9" t="s">
        <v>944</v>
      </c>
      <c r="GA6" s="9" t="s">
        <v>990</v>
      </c>
      <c r="GB6" s="8">
        <v>1.0</v>
      </c>
      <c r="GC6" s="8">
        <v>1.0</v>
      </c>
      <c r="GD6" s="8">
        <v>0.0</v>
      </c>
      <c r="GE6" s="8">
        <v>0.0</v>
      </c>
      <c r="GF6" s="9"/>
      <c r="GG6" s="9" t="s">
        <v>875</v>
      </c>
      <c r="GH6" s="9" t="s">
        <v>881</v>
      </c>
      <c r="GI6" s="9"/>
      <c r="GJ6" s="9"/>
      <c r="GK6" s="9"/>
      <c r="GL6" s="9"/>
      <c r="GM6" s="9"/>
      <c r="GN6" s="9"/>
      <c r="GO6" s="9"/>
      <c r="GP6" s="9" t="s">
        <v>877</v>
      </c>
      <c r="GQ6" s="9" t="s">
        <v>878</v>
      </c>
      <c r="GR6" s="8">
        <v>1.0</v>
      </c>
      <c r="GS6" s="8">
        <v>1.0</v>
      </c>
      <c r="GT6" s="8">
        <v>0.0</v>
      </c>
      <c r="GU6" s="8">
        <v>0.0</v>
      </c>
      <c r="GV6" s="8">
        <v>0.0</v>
      </c>
      <c r="GW6" s="8">
        <v>0.0</v>
      </c>
      <c r="GX6" s="8">
        <v>0.0</v>
      </c>
      <c r="GY6" s="9"/>
      <c r="GZ6" s="9" t="s">
        <v>881</v>
      </c>
      <c r="HA6" s="8">
        <v>200.0</v>
      </c>
      <c r="HB6" s="8">
        <v>200000.0</v>
      </c>
      <c r="HC6" s="8">
        <v>50.0</v>
      </c>
      <c r="HD6" s="8">
        <v>50000.0</v>
      </c>
      <c r="HE6" s="8">
        <v>12.0</v>
      </c>
      <c r="HF6" s="8">
        <v>100000.0</v>
      </c>
      <c r="HG6" s="8">
        <v>3.0</v>
      </c>
      <c r="HH6" s="8">
        <v>25000.0</v>
      </c>
      <c r="HI6" s="9"/>
      <c r="HJ6" s="9"/>
      <c r="HK6" s="9"/>
      <c r="HL6" s="9"/>
      <c r="HM6" s="9"/>
      <c r="HN6" s="9"/>
      <c r="HO6" s="9"/>
      <c r="HP6" s="9"/>
      <c r="HQ6" s="9"/>
      <c r="HR6" s="9"/>
      <c r="HS6" s="9"/>
      <c r="HT6" s="9"/>
      <c r="HU6" s="9"/>
      <c r="HV6" s="9"/>
      <c r="HW6" s="9"/>
      <c r="HX6" s="9"/>
      <c r="HY6" s="8">
        <v>150.0</v>
      </c>
      <c r="HZ6" s="8">
        <v>150000.0</v>
      </c>
      <c r="IA6" s="8">
        <v>9.0</v>
      </c>
      <c r="IB6" s="8">
        <v>75000.0</v>
      </c>
      <c r="IC6" s="9"/>
      <c r="ID6" s="9"/>
      <c r="IE6" s="9"/>
      <c r="IF6" s="9"/>
      <c r="IG6" s="9"/>
      <c r="IH6" s="9"/>
      <c r="II6" s="9"/>
      <c r="IJ6" s="9"/>
      <c r="IK6" s="9" t="s">
        <v>879</v>
      </c>
      <c r="IL6" s="9" t="s">
        <v>880</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886</v>
      </c>
      <c r="KU6" s="9" t="s">
        <v>886</v>
      </c>
      <c r="KV6" s="9" t="s">
        <v>1014</v>
      </c>
      <c r="KW6" s="8">
        <v>0.0</v>
      </c>
      <c r="KX6" s="8">
        <v>1.0</v>
      </c>
      <c r="KY6" s="8">
        <v>0.0</v>
      </c>
      <c r="KZ6" s="8">
        <v>0.0</v>
      </c>
      <c r="LA6" s="9" t="s">
        <v>884</v>
      </c>
      <c r="LB6" s="9" t="s">
        <v>884</v>
      </c>
      <c r="LC6" s="8">
        <v>0.0</v>
      </c>
      <c r="LD6" s="8">
        <v>0.0</v>
      </c>
      <c r="LE6" s="8">
        <v>0.0</v>
      </c>
      <c r="LF6" s="8">
        <v>0.0</v>
      </c>
      <c r="LG6" s="9" t="s">
        <v>857</v>
      </c>
      <c r="LH6" s="8">
        <v>100000.0</v>
      </c>
      <c r="LI6" s="9"/>
      <c r="LJ6" s="9" t="s">
        <v>887</v>
      </c>
      <c r="LK6" s="8">
        <v>0.0</v>
      </c>
      <c r="LL6" s="8">
        <v>0.0</v>
      </c>
      <c r="LM6" s="8">
        <v>0.0</v>
      </c>
      <c r="LN6" s="8">
        <v>0.0</v>
      </c>
      <c r="LO6" s="8">
        <v>1.0</v>
      </c>
      <c r="LP6" s="8">
        <v>0.0</v>
      </c>
      <c r="LQ6" s="8">
        <v>0.0</v>
      </c>
      <c r="LR6" s="9"/>
      <c r="LS6" s="8">
        <v>15.0</v>
      </c>
      <c r="LT6" s="8">
        <v>15.0</v>
      </c>
      <c r="LU6" s="8">
        <v>0.0</v>
      </c>
      <c r="LV6" s="8">
        <v>5.0</v>
      </c>
      <c r="LW6" s="8">
        <v>5.0</v>
      </c>
      <c r="LX6" s="8">
        <v>0.0</v>
      </c>
      <c r="LY6" s="8">
        <v>5.0</v>
      </c>
      <c r="LZ6" s="8">
        <v>5.0</v>
      </c>
      <c r="MA6" s="8">
        <v>0.0</v>
      </c>
      <c r="MB6" s="9" t="s">
        <v>857</v>
      </c>
      <c r="MC6" s="8">
        <v>30.0</v>
      </c>
      <c r="MD6" s="8">
        <v>15.0</v>
      </c>
      <c r="ME6" s="8">
        <v>30.0</v>
      </c>
      <c r="MF6" s="8">
        <v>15.0</v>
      </c>
      <c r="MG6" s="8">
        <v>0.0</v>
      </c>
      <c r="MH6" s="8">
        <v>0.0</v>
      </c>
      <c r="MI6" s="9" t="s">
        <v>946</v>
      </c>
      <c r="MJ6" s="8">
        <v>0.0</v>
      </c>
      <c r="MK6" s="8">
        <v>0.0</v>
      </c>
      <c r="ML6" s="8">
        <v>1.0</v>
      </c>
      <c r="MM6" s="8">
        <v>0.0</v>
      </c>
      <c r="MN6" s="8">
        <v>0.0</v>
      </c>
      <c r="MO6" s="8">
        <v>0.0</v>
      </c>
      <c r="MP6" s="9"/>
      <c r="MQ6" s="9"/>
      <c r="MR6" s="9" t="s">
        <v>1015</v>
      </c>
      <c r="MS6" s="9"/>
      <c r="MT6" s="9" t="s">
        <v>947</v>
      </c>
      <c r="MU6" s="9" t="s">
        <v>881</v>
      </c>
      <c r="MV6" s="9"/>
      <c r="MW6" s="9"/>
      <c r="MX6" s="9"/>
      <c r="MY6" s="9"/>
      <c r="MZ6" s="9"/>
      <c r="NA6" s="9"/>
      <c r="NB6" s="9"/>
      <c r="NC6" s="9"/>
      <c r="ND6" s="9"/>
      <c r="NE6" s="9"/>
      <c r="NF6" s="9"/>
      <c r="NG6" s="9"/>
      <c r="NH6" s="9"/>
      <c r="NI6" s="9"/>
      <c r="NJ6" s="9"/>
      <c r="NK6" s="9"/>
      <c r="NL6" s="9" t="s">
        <v>881</v>
      </c>
      <c r="NM6" s="9" t="s">
        <v>893</v>
      </c>
      <c r="NN6" s="9" t="s">
        <v>993</v>
      </c>
      <c r="NO6" s="9" t="s">
        <v>973</v>
      </c>
      <c r="NP6" s="9"/>
      <c r="NQ6" s="9"/>
      <c r="NR6" s="9"/>
      <c r="NS6" s="9"/>
      <c r="NT6" s="9"/>
      <c r="NU6" s="9"/>
      <c r="NV6" s="9" t="s">
        <v>896</v>
      </c>
      <c r="NW6" s="9"/>
      <c r="NX6" s="9" t="s">
        <v>897</v>
      </c>
      <c r="NY6" s="8">
        <v>45.0</v>
      </c>
      <c r="NZ6" s="8">
        <v>30.0</v>
      </c>
      <c r="OA6" s="8">
        <v>0.0</v>
      </c>
      <c r="OB6" s="8">
        <v>10.0</v>
      </c>
      <c r="OC6" s="8">
        <v>5.0</v>
      </c>
      <c r="OD6" s="8">
        <v>0.0</v>
      </c>
      <c r="OE6" s="9" t="s">
        <v>898</v>
      </c>
      <c r="OF6" s="9" t="s">
        <v>899</v>
      </c>
      <c r="OG6" s="9" t="s">
        <v>881</v>
      </c>
      <c r="OH6" s="8">
        <v>0.0</v>
      </c>
      <c r="OI6" s="8">
        <v>0.0</v>
      </c>
      <c r="OJ6" s="8">
        <v>0.0</v>
      </c>
      <c r="OK6" s="8">
        <v>0.0</v>
      </c>
      <c r="OL6" s="8">
        <v>0.0</v>
      </c>
      <c r="OM6" s="8">
        <v>0.0</v>
      </c>
      <c r="ON6" s="8">
        <v>0.0</v>
      </c>
      <c r="OO6" s="8">
        <v>0.0</v>
      </c>
      <c r="OP6" s="9" t="str">
        <f>VLOOKUP(AG6,'BUS 2'!$G$1:$CU$424,2,0)</f>
        <v>Sapi pedaging</v>
      </c>
      <c r="OQ6" s="8">
        <f>VLOOKUP(AG6,'BUS 2'!$G$1:$CU$424,3,0)</f>
        <v>1</v>
      </c>
      <c r="OR6" s="8">
        <f>VLOOKUP(AG6,'BUS 2'!$G$1:$CU$424,4,0)</f>
        <v>0</v>
      </c>
      <c r="OS6" s="8">
        <f>VLOOKUP(AG6,'BUS 2'!$G$1:$CU$424,5,0)</f>
        <v>0</v>
      </c>
      <c r="OT6" s="8">
        <f>VLOOKUP(AG6,'BUS 2'!$G$1:$CU$424,6,0)</f>
        <v>0</v>
      </c>
      <c r="OU6" s="8">
        <f>VLOOKUP(AG6,'BUS 2'!$G$1:$CU$424,7,0)</f>
        <v>0</v>
      </c>
      <c r="OV6" s="8">
        <f>VLOOKUP(AG6,'BUS 2'!$G$1:$CU$424,8,0)</f>
        <v>0</v>
      </c>
      <c r="OW6" s="8">
        <f>VLOOKUP(AG6,'BUS 2'!$G$1:$CU$424,9,0)</f>
        <v>0</v>
      </c>
      <c r="OX6" s="8">
        <f>VLOOKUP(AG6,'BUS 2'!$G$1:$CU$424,10,0)</f>
        <v>0</v>
      </c>
      <c r="OY6" s="8">
        <f>VLOOKUP(AG6,'BUS 2'!$G$1:$CU$424,11,0)</f>
        <v>0</v>
      </c>
      <c r="OZ6" s="8" t="str">
        <f>VLOOKUP(AG6,'BUS 2'!$G$1:$CU$424,12,0)</f>
        <v>Sapi pedaging</v>
      </c>
      <c r="PA6" s="8">
        <f>VLOOKUP(AG6,'BUS 2'!$G$1:$CU$424,13,0)</f>
        <v>1</v>
      </c>
      <c r="PB6" s="8">
        <f>VLOOKUP(AG6,'BUS 2'!$G$1:$CU$424,14,0)</f>
        <v>0</v>
      </c>
      <c r="PC6" s="8">
        <f>VLOOKUP(AG6,'BUS 2'!$G$1:$CU$424,15,0)</f>
        <v>0</v>
      </c>
      <c r="PD6" s="8">
        <f>VLOOKUP(AG6,'BUS 2'!$G$1:$CU$424,16,0)</f>
        <v>0</v>
      </c>
      <c r="PE6" s="8">
        <f>VLOOKUP(AG6,'BUS 2'!$G$1:$CU$424,17,0)</f>
        <v>0</v>
      </c>
      <c r="PF6" s="8">
        <f>VLOOKUP(AG6,'BUS 2'!$G$1:$CU$424,18,0)</f>
        <v>0</v>
      </c>
      <c r="PG6" s="8">
        <f>VLOOKUP(AG6,'BUS 2'!$G$1:$CU$424,19,0)</f>
        <v>0</v>
      </c>
      <c r="PH6" s="8">
        <f>VLOOKUP(AG6,'BUS 2'!$G$1:$CU$424,20,0)</f>
        <v>0</v>
      </c>
      <c r="PI6" s="8">
        <f>VLOOKUP(AG6,'BUS 2'!$G$1:$CU$424,21,0)</f>
        <v>0</v>
      </c>
      <c r="PJ6" s="8" t="str">
        <f>VLOOKUP(AG6,'BUS 2'!$G$1:$CU$424,22,0)</f>
        <v>Tidak ada</v>
      </c>
      <c r="PK6" s="8">
        <f>VLOOKUP(AG6,'BUS 2'!$G$1:$CU$424,23,0)</f>
        <v>0</v>
      </c>
      <c r="PL6" s="8">
        <f>VLOOKUP(AG6,'BUS 2'!$G$1:$CU$424,24,0)</f>
        <v>0</v>
      </c>
      <c r="PM6" s="8">
        <f>VLOOKUP(AG6,'BUS 2'!$G$1:$CU$424,25,0)</f>
        <v>0</v>
      </c>
      <c r="PN6" s="8">
        <f>VLOOKUP(AG6,'BUS 2'!$G$1:$CU$424,26,0)</f>
        <v>0</v>
      </c>
      <c r="PO6" s="8">
        <f>VLOOKUP(AG6,'BUS 2'!$G$1:$CU$424,27,0)</f>
        <v>0</v>
      </c>
      <c r="PP6" s="8">
        <f>VLOOKUP(AG6,'BUS 2'!$G$1:$CU$424,28,0)</f>
        <v>0</v>
      </c>
      <c r="PQ6" s="8">
        <f>VLOOKUP(AG6,'BUS 2'!$G$1:$CU$424,29,0)</f>
        <v>0</v>
      </c>
      <c r="PR6" s="8">
        <f>VLOOKUP(AG6,'BUS 2'!$G$1:$CU$424,30,0)</f>
        <v>0</v>
      </c>
      <c r="PS6" s="8">
        <f>VLOOKUP(AG6,'BUS 2'!$G$1:$CU$424,31,0)</f>
        <v>1</v>
      </c>
      <c r="PT6" s="9" t="s">
        <v>900</v>
      </c>
      <c r="PU6" s="8">
        <v>1.0</v>
      </c>
      <c r="PV6" s="8">
        <v>0.0</v>
      </c>
      <c r="PW6" s="8">
        <v>0.0</v>
      </c>
      <c r="PX6" s="8">
        <v>0.0</v>
      </c>
      <c r="PY6" s="8">
        <v>0.0</v>
      </c>
      <c r="PZ6" s="8">
        <v>0.0</v>
      </c>
      <c r="QA6" s="8">
        <v>1.0</v>
      </c>
      <c r="QB6" s="8">
        <v>0.0</v>
      </c>
      <c r="QC6" s="8">
        <v>0.0</v>
      </c>
      <c r="QD6" s="8">
        <v>0.0</v>
      </c>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8">
        <f>VLOOKUP(AG6,'BUS 2'!$G$1:$CU$424,33,0)</f>
        <v>2</v>
      </c>
      <c r="SZ6" s="9" t="str">
        <f>VLOOKUP(AG6,'BUS 2'!$G$1:$CU$424,34,0)</f>
        <v/>
      </c>
      <c r="TA6" s="9" t="str">
        <f>VLOOKUP(AG6,'BUS 2'!$G$1:$CU$424,35,0)</f>
        <v/>
      </c>
      <c r="TB6" s="9" t="str">
        <f>VLOOKUP(AG6,'BUS 2'!$G$1:$CU$424,36,0)</f>
        <v/>
      </c>
      <c r="TC6" s="9" t="str">
        <f>VLOOKUP(AG6,'BUS 2'!$G$1:$CU$424,37,0)</f>
        <v/>
      </c>
      <c r="TD6" s="9" t="str">
        <f>VLOOKUP(AG6,'BUS 2'!$G$1:$CU$424,38,0)</f>
        <v/>
      </c>
      <c r="TE6" s="9" t="str">
        <f>VLOOKUP(AG6,'BUS 2'!$G$1:$CU$424,39,0)</f>
        <v/>
      </c>
      <c r="TF6" s="9" t="str">
        <f>VLOOKUP(AG6,'BUS 2'!$G$1:$CU$424,40,0)</f>
        <v/>
      </c>
      <c r="TG6" s="8">
        <f>VLOOKUP(AG6,'BUS 2'!$G$1:$CU$424,42,0)</f>
        <v>2</v>
      </c>
      <c r="TH6" s="8" t="str">
        <f>VLOOKUP(AG6,'BUS 2'!$G$1:$CU$424,43,0)</f>
        <v/>
      </c>
      <c r="TI6" s="8" t="str">
        <f>VLOOKUP(AG6,'BUS 2'!$G$1:$CU$424,44,0)</f>
        <v/>
      </c>
      <c r="TJ6" s="8" t="str">
        <f>VLOOKUP(AG6,'BUS 2'!$G$1:$CU$424,45,0)</f>
        <v/>
      </c>
      <c r="TK6" s="8" t="str">
        <f>VLOOKUP(AG6,'BUS 2'!$G$1:$CU$424,46,0)</f>
        <v/>
      </c>
      <c r="TL6" s="8" t="str">
        <f>VLOOKUP(AG6,'BUS 2'!$G$1:$CU$424,47,0)</f>
        <v/>
      </c>
      <c r="TM6" s="8" t="str">
        <f>VLOOKUP(AG6,'BUS 2'!$G$1:$CU$424,48,0)</f>
        <v/>
      </c>
      <c r="TN6" s="8" t="str">
        <f>VLOOKUP(AG6,'BUS 2'!$G$1:$CU$424,49,0)</f>
        <v/>
      </c>
      <c r="TO6" s="8" t="str">
        <f>VLOOKUP(AG6,'BUS 2'!$G$1:$CU$424,50,0)</f>
        <v/>
      </c>
      <c r="TP6" s="8" t="str">
        <f>VLOOKUP(AG6,'BUS 2'!$G$1:$CU$424,51,0)</f>
        <v/>
      </c>
      <c r="TQ6" s="8" t="str">
        <f>VLOOKUP(AG6,'BUS 2'!$G$1:$CU$424,52,0)</f>
        <v/>
      </c>
      <c r="TR6" s="8" t="str">
        <f>VLOOKUP(AG6,'BUS 2'!$G$1:$CU$424,53,0)</f>
        <v/>
      </c>
      <c r="TS6" s="9" t="str">
        <f>VLOOKUP(AG6,'BUS 2'!$G$1:$CU$424,54,0)</f>
        <v/>
      </c>
      <c r="TT6" s="9" t="str">
        <f>VLOOKUP(AG6,'BUS 2'!$G$1:$CU$424,55,0)</f>
        <v/>
      </c>
      <c r="TU6" s="9" t="str">
        <f>VLOOKUP(AG6,'BUS 2'!$G$1:$CU$424,56,0)</f>
        <v/>
      </c>
      <c r="TV6" s="9" t="str">
        <f>VLOOKUP(AG6,'BUS 2'!$G$1:$CU$424,57,0)</f>
        <v/>
      </c>
      <c r="TW6" s="9" t="str">
        <f>VLOOKUP(AG6,'BUS 2'!$G$1:$CU$424,58,0)</f>
        <v/>
      </c>
      <c r="TX6" s="9" t="str">
        <f>VLOOKUP(AG6,'BUS 2'!$G$1:$CU$424,59,0)</f>
        <v/>
      </c>
      <c r="TY6" s="9" t="str">
        <f>VLOOKUP(AG6,'BUS 2'!$G$1:$CU$424,60,0)</f>
        <v/>
      </c>
      <c r="TZ6" s="9" t="str">
        <f>VLOOKUP(AG6,'BUS 2'!$G$1:$CU$424,61,0)</f>
        <v/>
      </c>
      <c r="UA6" s="9" t="str">
        <f>VLOOKUP(AG6,'BUS 2'!$G$1:$CU$424,62,0)</f>
        <v/>
      </c>
      <c r="UB6" s="9" t="str">
        <f>VLOOKUP(AG6,'BUS 2'!$G$1:$CU$424,63,0)</f>
        <v/>
      </c>
      <c r="UC6" s="9" t="str">
        <f>VLOOKUP(AG6,'BUS 2'!$G$1:$CU$424,64,0)</f>
        <v/>
      </c>
      <c r="UD6" s="9" t="str">
        <f>VLOOKUP(AG6,'BUS 2'!$G$1:$CU$424,65,0)</f>
        <v/>
      </c>
      <c r="UE6" s="9" t="str">
        <f>VLOOKUP(AG6,'BUS 2'!$G$1:$CU$424,66,0)</f>
        <v/>
      </c>
      <c r="UF6" s="9" t="str">
        <f>VLOOKUP(AG6,'BUS 2'!$G$1:$CU$424,67,0)</f>
        <v/>
      </c>
      <c r="UG6" s="9" t="str">
        <f>VLOOKUP(AG6,'BUS 2'!$G$1:$CU$424,68,0)</f>
        <v/>
      </c>
      <c r="UH6" s="9" t="str">
        <f>VLOOKUP(AG6,'BUS 2'!$G$1:$CU$424,69,0)</f>
        <v/>
      </c>
      <c r="UI6" s="9" t="str">
        <f>VLOOKUP(AG6,'BUS 2'!$G$1:$CU$424,70,0)</f>
        <v/>
      </c>
      <c r="UJ6" s="9" t="str">
        <f>VLOOKUP(AG6,'BUS 2'!$G$1:$CU$424,71,0)</f>
        <v/>
      </c>
      <c r="UK6" s="9" t="str">
        <f>VLOOKUP(AG6,'BUS 2'!$G$1:$CU$424,72,0)</f>
        <v/>
      </c>
      <c r="UL6" s="9" t="str">
        <f>VLOOKUP(AG6,'BUS 2'!$G$1:$CU$424,73,0)</f>
        <v/>
      </c>
      <c r="UM6" s="9" t="str">
        <f>VLOOKUP(AG6,'BUS 2'!$G$1:$CU$424,74,0)</f>
        <v/>
      </c>
      <c r="UN6" s="9" t="str">
        <f>VLOOKUP(AG6,'BUS 2'!$G$1:$CU$424,75,0)</f>
        <v/>
      </c>
      <c r="UO6" s="9" t="str">
        <f>VLOOKUP(AG6,'BUS 2'!$G$1:$CU$424,76,0)</f>
        <v/>
      </c>
      <c r="UP6" s="9" t="str">
        <f>VLOOKUP(AG6,'BUS 2'!$G$1:$CU$424,77,0)</f>
        <v/>
      </c>
      <c r="UQ6" s="9" t="str">
        <f>VLOOKUP(AG6,'BUS 2'!$G$1:$CU$424,78,0)</f>
        <v/>
      </c>
      <c r="UR6" s="9" t="str">
        <f>VLOOKUP(AG6,'BUS 2'!$G$1:$CU$424,79,0)</f>
        <v/>
      </c>
      <c r="US6" s="9" t="str">
        <f>VLOOKUP(AG6,'BUS 2'!$G$1:$CU$424,80,0)</f>
        <v/>
      </c>
      <c r="UT6" s="9" t="str">
        <f>VLOOKUP(AG6,'BUS 2'!$G$1:$CU$424,81,0)</f>
        <v/>
      </c>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t="s">
        <v>881</v>
      </c>
      <c r="AAM6" s="9"/>
      <c r="AAN6" s="9"/>
      <c r="AAO6" s="9"/>
      <c r="AAP6" s="9"/>
      <c r="AAQ6" s="9"/>
      <c r="AAR6" s="9" t="s">
        <v>857</v>
      </c>
      <c r="AAS6" s="9" t="s">
        <v>867</v>
      </c>
      <c r="AAT6" s="9" t="s">
        <v>1016</v>
      </c>
      <c r="AAU6" s="8">
        <v>0.0</v>
      </c>
      <c r="AAV6" s="8">
        <v>0.0</v>
      </c>
      <c r="AAW6" s="8">
        <v>0.0</v>
      </c>
      <c r="AAX6" s="8">
        <v>0.0</v>
      </c>
      <c r="AAY6" s="8">
        <v>1.0</v>
      </c>
      <c r="AAZ6" s="8">
        <v>0.0</v>
      </c>
      <c r="ABA6" s="8">
        <v>0.0</v>
      </c>
      <c r="ABB6" s="9"/>
      <c r="ABC6" s="9"/>
      <c r="ABD6" s="9"/>
      <c r="ABE6" s="9"/>
      <c r="ABF6" s="9"/>
      <c r="ABG6" s="9"/>
      <c r="ABH6" s="9"/>
      <c r="ABI6" s="9"/>
      <c r="ABJ6" s="9"/>
      <c r="ABK6" s="9"/>
      <c r="ABL6" s="9"/>
      <c r="ABM6" s="9"/>
      <c r="ABN6" s="9"/>
      <c r="ABO6" s="9"/>
      <c r="ABP6" s="9"/>
      <c r="ABQ6" s="11"/>
      <c r="ABR6" s="9"/>
      <c r="ABS6" s="9"/>
      <c r="ABT6" s="9"/>
      <c r="ABU6" s="9"/>
      <c r="ABV6" s="9"/>
      <c r="ABW6" s="9"/>
      <c r="ABX6" s="9"/>
      <c r="ABY6" s="9"/>
      <c r="ABZ6" s="9"/>
      <c r="ACA6" s="9"/>
      <c r="ACB6" s="9"/>
      <c r="ACC6" s="9"/>
      <c r="ACD6" s="9"/>
      <c r="ACE6" s="9"/>
      <c r="ACF6" s="9"/>
      <c r="ACG6" s="9"/>
      <c r="ACH6" s="9"/>
      <c r="ACI6" s="9"/>
      <c r="ACJ6" s="9"/>
      <c r="ACK6" s="9" t="s">
        <v>976</v>
      </c>
      <c r="ACL6" s="8">
        <v>0.0</v>
      </c>
      <c r="ACM6" s="8">
        <v>0.0</v>
      </c>
      <c r="ACN6" s="8">
        <v>1.0</v>
      </c>
      <c r="ACO6" s="8">
        <v>1.0</v>
      </c>
      <c r="ACP6" s="8">
        <v>0.0</v>
      </c>
      <c r="ACQ6" s="8">
        <v>0.0</v>
      </c>
      <c r="ACR6" s="8">
        <v>0.0</v>
      </c>
      <c r="ACS6" s="9"/>
      <c r="ACT6" s="9" t="s">
        <v>912</v>
      </c>
      <c r="ACU6" s="9" t="s">
        <v>913</v>
      </c>
      <c r="ACV6" s="9" t="s">
        <v>996</v>
      </c>
      <c r="ACW6" s="9" t="s">
        <v>915</v>
      </c>
      <c r="ACX6" s="9" t="s">
        <v>916</v>
      </c>
      <c r="ACY6" s="9" t="s">
        <v>1017</v>
      </c>
      <c r="ACZ6" s="8">
        <v>1.0</v>
      </c>
      <c r="ADA6" s="8">
        <v>1.0</v>
      </c>
      <c r="ADB6" s="8">
        <v>1.0</v>
      </c>
      <c r="ADC6" s="8">
        <v>0.0</v>
      </c>
      <c r="ADD6" s="9" t="s">
        <v>918</v>
      </c>
      <c r="ADE6" s="9" t="s">
        <v>918</v>
      </c>
      <c r="ADF6" s="9" t="s">
        <v>918</v>
      </c>
      <c r="ADG6" s="9" t="s">
        <v>918</v>
      </c>
      <c r="ADH6" s="9" t="s">
        <v>857</v>
      </c>
      <c r="ADI6" s="9" t="s">
        <v>912</v>
      </c>
      <c r="ADJ6" s="9" t="s">
        <v>918</v>
      </c>
      <c r="ADK6" s="9"/>
      <c r="ADL6" s="9"/>
      <c r="ADM6" s="9"/>
      <c r="ADN6" s="9"/>
      <c r="ADO6" s="9"/>
      <c r="ADP6" s="9"/>
      <c r="ADQ6" s="9"/>
      <c r="ADR6" s="9"/>
      <c r="ADS6" s="9"/>
      <c r="ADT6" s="9"/>
      <c r="ADU6" s="9" t="s">
        <v>1018</v>
      </c>
      <c r="ADV6" s="8">
        <v>0.0</v>
      </c>
      <c r="ADW6" s="8">
        <v>0.0</v>
      </c>
      <c r="ADX6" s="8">
        <v>0.0</v>
      </c>
      <c r="ADY6" s="8">
        <v>0.0</v>
      </c>
      <c r="ADZ6" s="8">
        <v>1.0</v>
      </c>
      <c r="AEA6" s="8">
        <v>1.0</v>
      </c>
      <c r="AEB6" s="8">
        <v>0.0</v>
      </c>
      <c r="AEC6" s="8">
        <v>0.0</v>
      </c>
      <c r="AED6" s="12"/>
      <c r="AEE6" s="17" t="s">
        <v>872</v>
      </c>
      <c r="AEF6" s="9"/>
      <c r="AEG6" s="17" t="s">
        <v>920</v>
      </c>
      <c r="AEH6" s="9"/>
      <c r="AEI6" s="11" t="s">
        <v>921</v>
      </c>
      <c r="AEJ6" s="9" t="s">
        <v>961</v>
      </c>
      <c r="AEK6" s="17" t="s">
        <v>1019</v>
      </c>
      <c r="AEL6" s="18">
        <v>0.0</v>
      </c>
      <c r="AEM6" s="18">
        <v>1.0</v>
      </c>
      <c r="AEN6" s="18">
        <v>1.0</v>
      </c>
      <c r="AEO6" s="18">
        <v>1.0</v>
      </c>
      <c r="AEP6" s="18">
        <v>1.0</v>
      </c>
      <c r="AEQ6" s="18">
        <v>1.0</v>
      </c>
      <c r="AER6" s="18">
        <v>1.0</v>
      </c>
      <c r="AES6" s="18">
        <v>0.0</v>
      </c>
      <c r="AET6" s="18">
        <v>0.0</v>
      </c>
      <c r="AEU6" s="18">
        <v>0.0</v>
      </c>
      <c r="AEV6" s="18">
        <v>0.0</v>
      </c>
      <c r="AEW6" s="18">
        <v>0.0</v>
      </c>
      <c r="AEX6" s="9"/>
      <c r="AEY6" s="9" t="s">
        <v>923</v>
      </c>
      <c r="AEZ6" s="9"/>
      <c r="AFA6" s="9" t="s">
        <v>924</v>
      </c>
      <c r="AFB6" s="9"/>
      <c r="AFC6" s="9" t="s">
        <v>1020</v>
      </c>
      <c r="AFD6" s="16" t="s">
        <v>1021</v>
      </c>
      <c r="AFE6" s="9" t="s">
        <v>1022</v>
      </c>
      <c r="AFF6" s="16" t="s">
        <v>1023</v>
      </c>
      <c r="AFG6" s="9" t="s">
        <v>983</v>
      </c>
      <c r="AFH6" s="9"/>
      <c r="AFI6" s="9"/>
    </row>
    <row r="7">
      <c r="A7" s="6">
        <v>46057.0</v>
      </c>
      <c r="B7" s="6">
        <v>46057.0</v>
      </c>
      <c r="C7" s="7" t="s">
        <v>837</v>
      </c>
      <c r="D7" s="7" t="s">
        <v>1024</v>
      </c>
      <c r="E7" s="8">
        <v>6.285701460813E12</v>
      </c>
      <c r="F7" s="9"/>
      <c r="G7" s="8">
        <v>-7.32433259</v>
      </c>
      <c r="H7" s="8">
        <v>110.381371</v>
      </c>
      <c r="I7" s="9"/>
      <c r="J7" s="8">
        <v>4.87</v>
      </c>
      <c r="K7" s="9"/>
      <c r="L7" s="9"/>
      <c r="M7" s="8">
        <v>-7.3243404</v>
      </c>
      <c r="N7" s="8">
        <v>110.3813</v>
      </c>
      <c r="O7" s="9"/>
      <c r="P7" s="8">
        <v>4.87</v>
      </c>
      <c r="Q7" s="9"/>
      <c r="R7" s="9" t="s">
        <v>839</v>
      </c>
      <c r="S7" s="9"/>
      <c r="T7" s="9"/>
      <c r="U7" s="9"/>
      <c r="V7" s="9"/>
      <c r="W7" s="9"/>
      <c r="X7" s="9"/>
      <c r="Y7" s="9"/>
      <c r="Z7" s="9"/>
      <c r="AA7" s="9"/>
      <c r="AB7" s="9"/>
      <c r="AC7" s="7" t="s">
        <v>1025</v>
      </c>
      <c r="AD7" s="7" t="s">
        <v>1026</v>
      </c>
      <c r="AE7" s="7" t="s">
        <v>1026</v>
      </c>
      <c r="AF7" s="9" t="s">
        <v>931</v>
      </c>
      <c r="AG7" s="9" t="s">
        <v>1027</v>
      </c>
      <c r="AH7" s="8">
        <v>16.0</v>
      </c>
      <c r="AI7" s="9" t="s">
        <v>933</v>
      </c>
      <c r="AJ7" s="9" t="s">
        <v>934</v>
      </c>
      <c r="AK7" s="8">
        <v>60.0</v>
      </c>
      <c r="AL7" s="9" t="s">
        <v>847</v>
      </c>
      <c r="AM7" s="9" t="s">
        <v>848</v>
      </c>
      <c r="AN7" s="9" t="s">
        <v>849</v>
      </c>
      <c r="AO7" s="9" t="s">
        <v>850</v>
      </c>
      <c r="AP7" s="8">
        <v>1.0</v>
      </c>
      <c r="AQ7" s="8">
        <v>0.0</v>
      </c>
      <c r="AR7" s="8">
        <v>0.0</v>
      </c>
      <c r="AS7" s="8">
        <v>0.0</v>
      </c>
      <c r="AT7" s="8">
        <v>0.0</v>
      </c>
      <c r="AU7" s="8">
        <v>0.0</v>
      </c>
      <c r="AV7" s="8">
        <v>0.0</v>
      </c>
      <c r="AW7" s="8">
        <v>0.0</v>
      </c>
      <c r="AX7" s="9"/>
      <c r="AY7" s="9" t="s">
        <v>935</v>
      </c>
      <c r="AZ7" s="8">
        <v>0.0</v>
      </c>
      <c r="BA7" s="8">
        <v>1.0</v>
      </c>
      <c r="BB7" s="8">
        <v>0.0</v>
      </c>
      <c r="BC7" s="8">
        <v>0.0</v>
      </c>
      <c r="BD7" s="8">
        <v>0.0</v>
      </c>
      <c r="BE7" s="8">
        <v>0.0</v>
      </c>
      <c r="BF7" s="8">
        <v>0.0</v>
      </c>
      <c r="BG7" s="8">
        <v>0.0</v>
      </c>
      <c r="BH7" s="9"/>
      <c r="BI7" s="9" t="s">
        <v>852</v>
      </c>
      <c r="BJ7" s="8">
        <v>1.0</v>
      </c>
      <c r="BK7" s="8">
        <v>4.0</v>
      </c>
      <c r="BL7" s="8">
        <v>0.0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2010.0</v>
      </c>
      <c r="CN7" s="9" t="s">
        <v>858</v>
      </c>
      <c r="CO7" s="9" t="s">
        <v>859</v>
      </c>
      <c r="CP7" s="9" t="s">
        <v>860</v>
      </c>
      <c r="CQ7" s="8">
        <v>0.0</v>
      </c>
      <c r="CR7" s="8">
        <v>0.0</v>
      </c>
      <c r="CS7" s="8">
        <v>0.0</v>
      </c>
      <c r="CT7" s="8">
        <v>0.0</v>
      </c>
      <c r="CU7" s="10">
        <v>1.0</v>
      </c>
      <c r="CV7" s="10">
        <v>0.0</v>
      </c>
      <c r="CW7" s="10">
        <v>0.0</v>
      </c>
      <c r="CX7" s="8">
        <v>0.0</v>
      </c>
      <c r="CY7" s="9" t="s">
        <v>860</v>
      </c>
      <c r="CZ7" s="8">
        <v>1.0</v>
      </c>
      <c r="DA7" s="8">
        <v>0.0</v>
      </c>
      <c r="DB7" s="8">
        <v>0.0</v>
      </c>
      <c r="DC7" s="9"/>
      <c r="DD7" s="9" t="s">
        <v>937</v>
      </c>
      <c r="DE7" s="8">
        <v>1.0</v>
      </c>
      <c r="DF7" s="8">
        <v>0.0</v>
      </c>
      <c r="DG7" s="8">
        <v>1.0</v>
      </c>
      <c r="DH7" s="8">
        <v>0.0</v>
      </c>
      <c r="DI7" s="9"/>
      <c r="DJ7" s="9" t="s">
        <v>937</v>
      </c>
      <c r="DK7" s="8">
        <v>1.0</v>
      </c>
      <c r="DL7" s="8">
        <v>0.0</v>
      </c>
      <c r="DM7" s="8">
        <v>1.0</v>
      </c>
      <c r="DN7" s="8">
        <v>0.0</v>
      </c>
      <c r="DO7" s="9"/>
      <c r="DP7" s="8">
        <v>1.0</v>
      </c>
      <c r="DQ7" s="8">
        <v>0.0</v>
      </c>
      <c r="DR7" s="8">
        <v>0.0</v>
      </c>
      <c r="DS7" s="9"/>
      <c r="DT7" s="9"/>
      <c r="DU7" s="9"/>
      <c r="DV7" s="9" t="s">
        <v>938</v>
      </c>
      <c r="DW7" s="9" t="s">
        <v>939</v>
      </c>
      <c r="DX7" s="9" t="s">
        <v>987</v>
      </c>
      <c r="DY7" s="9"/>
      <c r="DZ7" s="9"/>
      <c r="EA7" s="9"/>
      <c r="EB7" s="9"/>
      <c r="EC7" s="9"/>
      <c r="ED7" s="9"/>
      <c r="EE7" s="9"/>
      <c r="EF7" s="9"/>
      <c r="EG7" s="9"/>
      <c r="EH7" s="9"/>
      <c r="EI7" s="9" t="s">
        <v>941</v>
      </c>
      <c r="EJ7" s="8">
        <v>0.0</v>
      </c>
      <c r="EK7" s="8">
        <v>1.0</v>
      </c>
      <c r="EL7" s="8">
        <v>1.0</v>
      </c>
      <c r="EM7" s="8">
        <v>0.0</v>
      </c>
      <c r="EN7" s="8">
        <v>0.0</v>
      </c>
      <c r="EO7" s="11"/>
      <c r="EP7" s="9" t="s">
        <v>863</v>
      </c>
      <c r="EQ7" s="9" t="s">
        <v>864</v>
      </c>
      <c r="ER7" s="9" t="s">
        <v>861</v>
      </c>
      <c r="ES7" s="8">
        <v>1.0</v>
      </c>
      <c r="ET7" s="8">
        <v>0.0</v>
      </c>
      <c r="EU7" s="8">
        <v>0.0</v>
      </c>
      <c r="EV7" s="8">
        <v>0.0</v>
      </c>
      <c r="EW7" s="9"/>
      <c r="EX7" s="9" t="s">
        <v>1013</v>
      </c>
      <c r="EY7" s="8">
        <v>1.0</v>
      </c>
      <c r="EZ7" s="8">
        <v>1.0</v>
      </c>
      <c r="FA7" s="8">
        <v>0.0</v>
      </c>
      <c r="FB7" s="9"/>
      <c r="FC7" s="9" t="s">
        <v>1028</v>
      </c>
      <c r="FD7" s="9"/>
      <c r="FE7" s="9" t="s">
        <v>867</v>
      </c>
      <c r="FF7" s="9" t="s">
        <v>868</v>
      </c>
      <c r="FG7" s="9" t="s">
        <v>867</v>
      </c>
      <c r="FH7" s="9" t="s">
        <v>869</v>
      </c>
      <c r="FI7" s="9" t="s">
        <v>867</v>
      </c>
      <c r="FJ7" s="9" t="s">
        <v>868</v>
      </c>
      <c r="FK7" s="9" t="s">
        <v>867</v>
      </c>
      <c r="FL7" s="9" t="s">
        <v>869</v>
      </c>
      <c r="FM7" s="9" t="s">
        <v>867</v>
      </c>
      <c r="FN7" s="9" t="s">
        <v>870</v>
      </c>
      <c r="FO7" s="9" t="s">
        <v>867</v>
      </c>
      <c r="FP7" s="9" t="s">
        <v>870</v>
      </c>
      <c r="FQ7" s="9" t="s">
        <v>867</v>
      </c>
      <c r="FR7" s="9" t="s">
        <v>857</v>
      </c>
      <c r="FS7" s="9" t="s">
        <v>867</v>
      </c>
      <c r="FT7" s="9" t="s">
        <v>871</v>
      </c>
      <c r="FU7" s="9" t="s">
        <v>989</v>
      </c>
      <c r="FV7" s="8">
        <v>1.0</v>
      </c>
      <c r="FW7" s="8">
        <v>1.0</v>
      </c>
      <c r="FX7" s="8">
        <v>0.0</v>
      </c>
      <c r="FY7" s="8">
        <v>0.0</v>
      </c>
      <c r="FZ7" s="9" t="s">
        <v>944</v>
      </c>
      <c r="GA7" s="9" t="s">
        <v>990</v>
      </c>
      <c r="GB7" s="8">
        <v>1.0</v>
      </c>
      <c r="GC7" s="8">
        <v>1.0</v>
      </c>
      <c r="GD7" s="8">
        <v>0.0</v>
      </c>
      <c r="GE7" s="8">
        <v>0.0</v>
      </c>
      <c r="GF7" s="9"/>
      <c r="GG7" s="9" t="s">
        <v>875</v>
      </c>
      <c r="GH7" s="9" t="s">
        <v>857</v>
      </c>
      <c r="GI7" s="9" t="s">
        <v>876</v>
      </c>
      <c r="GJ7" s="8">
        <v>1.0</v>
      </c>
      <c r="GK7" s="8">
        <v>0.0</v>
      </c>
      <c r="GL7" s="8">
        <v>0.0</v>
      </c>
      <c r="GM7" s="8">
        <v>0.0</v>
      </c>
      <c r="GN7" s="9"/>
      <c r="GO7" s="8">
        <v>8.0</v>
      </c>
      <c r="GP7" s="9" t="s">
        <v>877</v>
      </c>
      <c r="GQ7" s="9" t="s">
        <v>878</v>
      </c>
      <c r="GR7" s="8">
        <v>1.0</v>
      </c>
      <c r="GS7" s="8">
        <v>1.0</v>
      </c>
      <c r="GT7" s="8">
        <v>0.0</v>
      </c>
      <c r="GU7" s="8">
        <v>0.0</v>
      </c>
      <c r="GV7" s="8">
        <v>0.0</v>
      </c>
      <c r="GW7" s="8">
        <v>0.0</v>
      </c>
      <c r="GX7" s="8">
        <v>0.0</v>
      </c>
      <c r="GY7" s="9"/>
      <c r="GZ7" s="9" t="s">
        <v>857</v>
      </c>
      <c r="HA7" s="8">
        <v>150.0</v>
      </c>
      <c r="HB7" s="8">
        <v>150000.0</v>
      </c>
      <c r="HC7" s="8">
        <v>50.0</v>
      </c>
      <c r="HD7" s="8">
        <v>50000.0</v>
      </c>
      <c r="HE7" s="8">
        <v>12.0</v>
      </c>
      <c r="HF7" s="8">
        <v>100000.0</v>
      </c>
      <c r="HG7" s="8">
        <v>3.0</v>
      </c>
      <c r="HH7" s="8">
        <v>25000.0</v>
      </c>
      <c r="HI7" s="9"/>
      <c r="HJ7" s="9"/>
      <c r="HK7" s="9"/>
      <c r="HL7" s="9"/>
      <c r="HM7" s="9"/>
      <c r="HN7" s="9"/>
      <c r="HO7" s="9"/>
      <c r="HP7" s="9"/>
      <c r="HQ7" s="9"/>
      <c r="HR7" s="9"/>
      <c r="HS7" s="9"/>
      <c r="HT7" s="9"/>
      <c r="HU7" s="9"/>
      <c r="HV7" s="9"/>
      <c r="HW7" s="9"/>
      <c r="HX7" s="9"/>
      <c r="HY7" s="8">
        <v>50.0</v>
      </c>
      <c r="HZ7" s="8">
        <v>50000.0</v>
      </c>
      <c r="IA7" s="8">
        <v>3.0</v>
      </c>
      <c r="IB7" s="8">
        <v>25000.0</v>
      </c>
      <c r="IC7" s="9"/>
      <c r="ID7" s="9"/>
      <c r="IE7" s="9"/>
      <c r="IF7" s="9"/>
      <c r="IG7" s="9"/>
      <c r="IH7" s="9"/>
      <c r="II7" s="9"/>
      <c r="IJ7" s="9"/>
      <c r="IK7" s="9" t="s">
        <v>879</v>
      </c>
      <c r="IL7" s="9" t="s">
        <v>880</v>
      </c>
      <c r="IM7" s="9" t="s">
        <v>857</v>
      </c>
      <c r="IN7" s="9" t="s">
        <v>881</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989</v>
      </c>
      <c r="KW7" s="8">
        <v>1.0</v>
      </c>
      <c r="KX7" s="8">
        <v>1.0</v>
      </c>
      <c r="KY7" s="8">
        <v>0.0</v>
      </c>
      <c r="KZ7" s="8">
        <v>0.0</v>
      </c>
      <c r="LA7" s="9" t="s">
        <v>884</v>
      </c>
      <c r="LB7" s="9" t="s">
        <v>884</v>
      </c>
      <c r="LC7" s="8">
        <v>0.0</v>
      </c>
      <c r="LD7" s="8">
        <v>0.0</v>
      </c>
      <c r="LE7" s="8">
        <v>0.0</v>
      </c>
      <c r="LF7" s="8">
        <v>0.0</v>
      </c>
      <c r="LG7" s="9" t="s">
        <v>857</v>
      </c>
      <c r="LH7" s="8">
        <v>100000.0</v>
      </c>
      <c r="LI7" s="9"/>
      <c r="LJ7" s="9" t="s">
        <v>887</v>
      </c>
      <c r="LK7" s="8">
        <v>0.0</v>
      </c>
      <c r="LL7" s="8">
        <v>0.0</v>
      </c>
      <c r="LM7" s="8">
        <v>0.0</v>
      </c>
      <c r="LN7" s="8">
        <v>0.0</v>
      </c>
      <c r="LO7" s="8">
        <v>1.0</v>
      </c>
      <c r="LP7" s="8">
        <v>0.0</v>
      </c>
      <c r="LQ7" s="8">
        <v>0.0</v>
      </c>
      <c r="LR7" s="9"/>
      <c r="LS7" s="8">
        <v>15.0</v>
      </c>
      <c r="LT7" s="8">
        <v>15.0</v>
      </c>
      <c r="LU7" s="8">
        <v>0.0</v>
      </c>
      <c r="LV7" s="8">
        <v>5.0</v>
      </c>
      <c r="LW7" s="8">
        <v>5.0</v>
      </c>
      <c r="LX7" s="8">
        <v>0.0</v>
      </c>
      <c r="LY7" s="8">
        <v>5.0</v>
      </c>
      <c r="LZ7" s="8">
        <v>5.0</v>
      </c>
      <c r="MA7" s="8">
        <v>0.0</v>
      </c>
      <c r="MB7" s="9" t="s">
        <v>857</v>
      </c>
      <c r="MC7" s="8">
        <v>30.0</v>
      </c>
      <c r="MD7" s="8">
        <v>15.0</v>
      </c>
      <c r="ME7" s="8">
        <v>30.0</v>
      </c>
      <c r="MF7" s="8">
        <v>15.0</v>
      </c>
      <c r="MG7" s="8">
        <v>0.0</v>
      </c>
      <c r="MH7" s="8">
        <v>0.0</v>
      </c>
      <c r="MI7" s="9" t="s">
        <v>946</v>
      </c>
      <c r="MJ7" s="8">
        <v>0.0</v>
      </c>
      <c r="MK7" s="8">
        <v>0.0</v>
      </c>
      <c r="ML7" s="8">
        <v>1.0</v>
      </c>
      <c r="MM7" s="8">
        <v>0.0</v>
      </c>
      <c r="MN7" s="8">
        <v>0.0</v>
      </c>
      <c r="MO7" s="8">
        <v>0.0</v>
      </c>
      <c r="MP7" s="9"/>
      <c r="MQ7" s="9"/>
      <c r="MR7" s="9" t="s">
        <v>1029</v>
      </c>
      <c r="MS7" s="9"/>
      <c r="MT7" s="9" t="s">
        <v>888</v>
      </c>
      <c r="MU7" s="9" t="s">
        <v>1030</v>
      </c>
      <c r="MV7" s="9" t="s">
        <v>1031</v>
      </c>
      <c r="MW7" s="8">
        <v>0.0</v>
      </c>
      <c r="MX7" s="8">
        <v>1.0</v>
      </c>
      <c r="MY7" s="8">
        <v>0.0</v>
      </c>
      <c r="MZ7" s="8">
        <v>0.0</v>
      </c>
      <c r="NA7" s="9"/>
      <c r="NB7" s="9"/>
      <c r="NC7" s="9"/>
      <c r="ND7" s="9"/>
      <c r="NE7" s="9"/>
      <c r="NF7" s="9"/>
      <c r="NG7" s="9"/>
      <c r="NH7" s="9"/>
      <c r="NI7" s="9"/>
      <c r="NJ7" s="9"/>
      <c r="NK7" s="9"/>
      <c r="NL7" s="9" t="s">
        <v>881</v>
      </c>
      <c r="NM7" s="9" t="s">
        <v>893</v>
      </c>
      <c r="NN7" s="9" t="s">
        <v>1032</v>
      </c>
      <c r="NO7" s="9" t="s">
        <v>994</v>
      </c>
      <c r="NP7" s="9"/>
      <c r="NQ7" s="9"/>
      <c r="NR7" s="9"/>
      <c r="NS7" s="9"/>
      <c r="NT7" s="9"/>
      <c r="NU7" s="9"/>
      <c r="NV7" s="9" t="s">
        <v>896</v>
      </c>
      <c r="NW7" s="9"/>
      <c r="NX7" s="9" t="s">
        <v>897</v>
      </c>
      <c r="NY7" s="8">
        <v>40.0</v>
      </c>
      <c r="NZ7" s="8">
        <v>20.0</v>
      </c>
      <c r="OA7" s="8">
        <v>0.0</v>
      </c>
      <c r="OB7" s="8">
        <v>10.0</v>
      </c>
      <c r="OC7" s="8">
        <v>10.0</v>
      </c>
      <c r="OD7" s="8">
        <v>0.0</v>
      </c>
      <c r="OE7" s="9" t="s">
        <v>898</v>
      </c>
      <c r="OF7" s="9" t="s">
        <v>899</v>
      </c>
      <c r="OG7" s="9" t="s">
        <v>857</v>
      </c>
      <c r="OH7" s="8">
        <v>0.0</v>
      </c>
      <c r="OI7" s="8">
        <v>0.0</v>
      </c>
      <c r="OJ7" s="8">
        <v>0.0</v>
      </c>
      <c r="OK7" s="8">
        <v>0.0</v>
      </c>
      <c r="OL7" s="8">
        <v>0.0</v>
      </c>
      <c r="OM7" s="8">
        <v>0.0</v>
      </c>
      <c r="ON7" s="8">
        <v>0.0</v>
      </c>
      <c r="OO7" s="8">
        <v>0.0</v>
      </c>
      <c r="OP7" s="9" t="str">
        <f>VLOOKUP(AG7,'BUS 2'!$G$1:$CU$424,2,0)</f>
        <v>Sapi pedaging</v>
      </c>
      <c r="OQ7" s="8">
        <f>VLOOKUP(AG7,'BUS 2'!$G$1:$CU$424,3,0)</f>
        <v>1</v>
      </c>
      <c r="OR7" s="8">
        <f>VLOOKUP(AG7,'BUS 2'!$G$1:$CU$424,4,0)</f>
        <v>0</v>
      </c>
      <c r="OS7" s="8">
        <f>VLOOKUP(AG7,'BUS 2'!$G$1:$CU$424,5,0)</f>
        <v>0</v>
      </c>
      <c r="OT7" s="8">
        <f>VLOOKUP(AG7,'BUS 2'!$G$1:$CU$424,6,0)</f>
        <v>0</v>
      </c>
      <c r="OU7" s="8">
        <f>VLOOKUP(AG7,'BUS 2'!$G$1:$CU$424,7,0)</f>
        <v>0</v>
      </c>
      <c r="OV7" s="8">
        <f>VLOOKUP(AG7,'BUS 2'!$G$1:$CU$424,8,0)</f>
        <v>0</v>
      </c>
      <c r="OW7" s="8">
        <f>VLOOKUP(AG7,'BUS 2'!$G$1:$CU$424,9,0)</f>
        <v>0</v>
      </c>
      <c r="OX7" s="8">
        <f>VLOOKUP(AG7,'BUS 2'!$G$1:$CU$424,10,0)</f>
        <v>0</v>
      </c>
      <c r="OY7" s="8">
        <f>VLOOKUP(AG7,'BUS 2'!$G$1:$CU$424,11,0)</f>
        <v>0</v>
      </c>
      <c r="OZ7" s="8" t="str">
        <f>VLOOKUP(AG7,'BUS 2'!$G$1:$CU$424,12,0)</f>
        <v>Sapi pedaging</v>
      </c>
      <c r="PA7" s="8">
        <f>VLOOKUP(AG7,'BUS 2'!$G$1:$CU$424,13,0)</f>
        <v>1</v>
      </c>
      <c r="PB7" s="8">
        <f>VLOOKUP(AG7,'BUS 2'!$G$1:$CU$424,14,0)</f>
        <v>0</v>
      </c>
      <c r="PC7" s="8">
        <f>VLOOKUP(AG7,'BUS 2'!$G$1:$CU$424,15,0)</f>
        <v>0</v>
      </c>
      <c r="PD7" s="8">
        <f>VLOOKUP(AG7,'BUS 2'!$G$1:$CU$424,16,0)</f>
        <v>0</v>
      </c>
      <c r="PE7" s="8">
        <f>VLOOKUP(AG7,'BUS 2'!$G$1:$CU$424,17,0)</f>
        <v>0</v>
      </c>
      <c r="PF7" s="8">
        <f>VLOOKUP(AG7,'BUS 2'!$G$1:$CU$424,18,0)</f>
        <v>0</v>
      </c>
      <c r="PG7" s="8">
        <f>VLOOKUP(AG7,'BUS 2'!$G$1:$CU$424,19,0)</f>
        <v>0</v>
      </c>
      <c r="PH7" s="8">
        <f>VLOOKUP(AG7,'BUS 2'!$G$1:$CU$424,20,0)</f>
        <v>0</v>
      </c>
      <c r="PI7" s="8">
        <f>VLOOKUP(AG7,'BUS 2'!$G$1:$CU$424,21,0)</f>
        <v>0</v>
      </c>
      <c r="PJ7" s="8" t="str">
        <f>VLOOKUP(AG7,'BUS 2'!$G$1:$CU$424,22,0)</f>
        <v>Tidak ada</v>
      </c>
      <c r="PK7" s="8">
        <f>VLOOKUP(AG7,'BUS 2'!$G$1:$CU$424,23,0)</f>
        <v>0</v>
      </c>
      <c r="PL7" s="8">
        <f>VLOOKUP(AG7,'BUS 2'!$G$1:$CU$424,24,0)</f>
        <v>0</v>
      </c>
      <c r="PM7" s="8">
        <f>VLOOKUP(AG7,'BUS 2'!$G$1:$CU$424,25,0)</f>
        <v>0</v>
      </c>
      <c r="PN7" s="8">
        <f>VLOOKUP(AG7,'BUS 2'!$G$1:$CU$424,26,0)</f>
        <v>0</v>
      </c>
      <c r="PO7" s="8">
        <f>VLOOKUP(AG7,'BUS 2'!$G$1:$CU$424,27,0)</f>
        <v>0</v>
      </c>
      <c r="PP7" s="8">
        <f>VLOOKUP(AG7,'BUS 2'!$G$1:$CU$424,28,0)</f>
        <v>0</v>
      </c>
      <c r="PQ7" s="8">
        <f>VLOOKUP(AG7,'BUS 2'!$G$1:$CU$424,29,0)</f>
        <v>0</v>
      </c>
      <c r="PR7" s="8">
        <f>VLOOKUP(AG7,'BUS 2'!$G$1:$CU$424,30,0)</f>
        <v>0</v>
      </c>
      <c r="PS7" s="8">
        <f>VLOOKUP(AG7,'BUS 2'!$G$1:$CU$424,31,0)</f>
        <v>1</v>
      </c>
      <c r="PT7" s="9" t="s">
        <v>900</v>
      </c>
      <c r="PU7" s="8">
        <v>1.0</v>
      </c>
      <c r="PV7" s="8">
        <v>0.0</v>
      </c>
      <c r="PW7" s="8">
        <v>0.0</v>
      </c>
      <c r="PX7" s="8">
        <v>0.0</v>
      </c>
      <c r="PY7" s="8">
        <v>0.0</v>
      </c>
      <c r="PZ7" s="8">
        <v>0.0</v>
      </c>
      <c r="QA7" s="8">
        <v>1.0</v>
      </c>
      <c r="QB7" s="8">
        <v>0.0</v>
      </c>
      <c r="QC7" s="8">
        <v>0.0</v>
      </c>
      <c r="QD7" s="8">
        <v>0.0</v>
      </c>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8">
        <f>VLOOKUP(AG7,'BUS 2'!$G$1:$CU$424,33,0)</f>
        <v>3</v>
      </c>
      <c r="SZ7" s="9" t="str">
        <f>VLOOKUP(AG7,'BUS 2'!$G$1:$CU$424,34,0)</f>
        <v/>
      </c>
      <c r="TA7" s="9" t="str">
        <f>VLOOKUP(AG7,'BUS 2'!$G$1:$CU$424,35,0)</f>
        <v/>
      </c>
      <c r="TB7" s="9" t="str">
        <f>VLOOKUP(AG7,'BUS 2'!$G$1:$CU$424,36,0)</f>
        <v/>
      </c>
      <c r="TC7" s="9" t="str">
        <f>VLOOKUP(AG7,'BUS 2'!$G$1:$CU$424,37,0)</f>
        <v/>
      </c>
      <c r="TD7" s="9" t="str">
        <f>VLOOKUP(AG7,'BUS 2'!$G$1:$CU$424,38,0)</f>
        <v/>
      </c>
      <c r="TE7" s="9" t="str">
        <f>VLOOKUP(AG7,'BUS 2'!$G$1:$CU$424,39,0)</f>
        <v/>
      </c>
      <c r="TF7" s="9" t="str">
        <f>VLOOKUP(AG7,'BUS 2'!$G$1:$CU$424,40,0)</f>
        <v/>
      </c>
      <c r="TG7" s="8">
        <f>VLOOKUP(AG7,'BUS 2'!$G$1:$CU$424,42,0)</f>
        <v>3</v>
      </c>
      <c r="TH7" s="8" t="str">
        <f>VLOOKUP(AG7,'BUS 2'!$G$1:$CU$424,43,0)</f>
        <v/>
      </c>
      <c r="TI7" s="8" t="str">
        <f>VLOOKUP(AG7,'BUS 2'!$G$1:$CU$424,44,0)</f>
        <v/>
      </c>
      <c r="TJ7" s="8" t="str">
        <f>VLOOKUP(AG7,'BUS 2'!$G$1:$CU$424,45,0)</f>
        <v/>
      </c>
      <c r="TK7" s="8" t="str">
        <f>VLOOKUP(AG7,'BUS 2'!$G$1:$CU$424,46,0)</f>
        <v/>
      </c>
      <c r="TL7" s="8" t="str">
        <f>VLOOKUP(AG7,'BUS 2'!$G$1:$CU$424,47,0)</f>
        <v/>
      </c>
      <c r="TM7" s="8" t="str">
        <f>VLOOKUP(AG7,'BUS 2'!$G$1:$CU$424,48,0)</f>
        <v/>
      </c>
      <c r="TN7" s="8" t="str">
        <f>VLOOKUP(AG7,'BUS 2'!$G$1:$CU$424,49,0)</f>
        <v/>
      </c>
      <c r="TO7" s="8" t="str">
        <f>VLOOKUP(AG7,'BUS 2'!$G$1:$CU$424,50,0)</f>
        <v/>
      </c>
      <c r="TP7" s="8" t="str">
        <f>VLOOKUP(AG7,'BUS 2'!$G$1:$CU$424,51,0)</f>
        <v/>
      </c>
      <c r="TQ7" s="8" t="str">
        <f>VLOOKUP(AG7,'BUS 2'!$G$1:$CU$424,52,0)</f>
        <v/>
      </c>
      <c r="TR7" s="8" t="str">
        <f>VLOOKUP(AG7,'BUS 2'!$G$1:$CU$424,53,0)</f>
        <v/>
      </c>
      <c r="TS7" s="9" t="str">
        <f>VLOOKUP(AG7,'BUS 2'!$G$1:$CU$424,54,0)</f>
        <v/>
      </c>
      <c r="TT7" s="9" t="str">
        <f>VLOOKUP(AG7,'BUS 2'!$G$1:$CU$424,55,0)</f>
        <v/>
      </c>
      <c r="TU7" s="9" t="str">
        <f>VLOOKUP(AG7,'BUS 2'!$G$1:$CU$424,56,0)</f>
        <v/>
      </c>
      <c r="TV7" s="9" t="str">
        <f>VLOOKUP(AG7,'BUS 2'!$G$1:$CU$424,57,0)</f>
        <v/>
      </c>
      <c r="TW7" s="9" t="str">
        <f>VLOOKUP(AG7,'BUS 2'!$G$1:$CU$424,58,0)</f>
        <v/>
      </c>
      <c r="TX7" s="9" t="str">
        <f>VLOOKUP(AG7,'BUS 2'!$G$1:$CU$424,59,0)</f>
        <v/>
      </c>
      <c r="TY7" s="9" t="str">
        <f>VLOOKUP(AG7,'BUS 2'!$G$1:$CU$424,60,0)</f>
        <v/>
      </c>
      <c r="TZ7" s="9" t="str">
        <f>VLOOKUP(AG7,'BUS 2'!$G$1:$CU$424,61,0)</f>
        <v/>
      </c>
      <c r="UA7" s="9" t="str">
        <f>VLOOKUP(AG7,'BUS 2'!$G$1:$CU$424,62,0)</f>
        <v/>
      </c>
      <c r="UB7" s="9" t="str">
        <f>VLOOKUP(AG7,'BUS 2'!$G$1:$CU$424,63,0)</f>
        <v/>
      </c>
      <c r="UC7" s="9" t="str">
        <f>VLOOKUP(AG7,'BUS 2'!$G$1:$CU$424,64,0)</f>
        <v/>
      </c>
      <c r="UD7" s="9" t="str">
        <f>VLOOKUP(AG7,'BUS 2'!$G$1:$CU$424,65,0)</f>
        <v/>
      </c>
      <c r="UE7" s="9" t="str">
        <f>VLOOKUP(AG7,'BUS 2'!$G$1:$CU$424,66,0)</f>
        <v/>
      </c>
      <c r="UF7" s="9" t="str">
        <f>VLOOKUP(AG7,'BUS 2'!$G$1:$CU$424,67,0)</f>
        <v/>
      </c>
      <c r="UG7" s="9" t="str">
        <f>VLOOKUP(AG7,'BUS 2'!$G$1:$CU$424,68,0)</f>
        <v/>
      </c>
      <c r="UH7" s="9" t="str">
        <f>VLOOKUP(AG7,'BUS 2'!$G$1:$CU$424,69,0)</f>
        <v/>
      </c>
      <c r="UI7" s="9" t="str">
        <f>VLOOKUP(AG7,'BUS 2'!$G$1:$CU$424,70,0)</f>
        <v/>
      </c>
      <c r="UJ7" s="9" t="str">
        <f>VLOOKUP(AG7,'BUS 2'!$G$1:$CU$424,71,0)</f>
        <v/>
      </c>
      <c r="UK7" s="9" t="str">
        <f>VLOOKUP(AG7,'BUS 2'!$G$1:$CU$424,72,0)</f>
        <v/>
      </c>
      <c r="UL7" s="9" t="str">
        <f>VLOOKUP(AG7,'BUS 2'!$G$1:$CU$424,73,0)</f>
        <v/>
      </c>
      <c r="UM7" s="9" t="str">
        <f>VLOOKUP(AG7,'BUS 2'!$G$1:$CU$424,74,0)</f>
        <v/>
      </c>
      <c r="UN7" s="9" t="str">
        <f>VLOOKUP(AG7,'BUS 2'!$G$1:$CU$424,75,0)</f>
        <v/>
      </c>
      <c r="UO7" s="9" t="str">
        <f>VLOOKUP(AG7,'BUS 2'!$G$1:$CU$424,76,0)</f>
        <v/>
      </c>
      <c r="UP7" s="9" t="str">
        <f>VLOOKUP(AG7,'BUS 2'!$G$1:$CU$424,77,0)</f>
        <v/>
      </c>
      <c r="UQ7" s="9" t="str">
        <f>VLOOKUP(AG7,'BUS 2'!$G$1:$CU$424,78,0)</f>
        <v/>
      </c>
      <c r="UR7" s="9" t="str">
        <f>VLOOKUP(AG7,'BUS 2'!$G$1:$CU$424,79,0)</f>
        <v/>
      </c>
      <c r="US7" s="9" t="str">
        <f>VLOOKUP(AG7,'BUS 2'!$G$1:$CU$424,80,0)</f>
        <v/>
      </c>
      <c r="UT7" s="9" t="str">
        <f>VLOOKUP(AG7,'BUS 2'!$G$1:$CU$424,81,0)</f>
        <v/>
      </c>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t="s">
        <v>857</v>
      </c>
      <c r="AAM7" s="9" t="s">
        <v>1033</v>
      </c>
      <c r="AAN7" s="8">
        <v>1.0</v>
      </c>
      <c r="AAO7" s="8">
        <v>1.0</v>
      </c>
      <c r="AAP7" s="8">
        <v>45.0</v>
      </c>
      <c r="AAQ7" s="8">
        <v>45.0</v>
      </c>
      <c r="AAR7" s="9" t="s">
        <v>857</v>
      </c>
      <c r="AAS7" s="9" t="s">
        <v>867</v>
      </c>
      <c r="AAT7" s="9" t="s">
        <v>995</v>
      </c>
      <c r="AAU7" s="8">
        <v>1.0</v>
      </c>
      <c r="AAV7" s="8">
        <v>0.0</v>
      </c>
      <c r="AAW7" s="8">
        <v>0.0</v>
      </c>
      <c r="AAX7" s="8">
        <v>0.0</v>
      </c>
      <c r="AAY7" s="8">
        <v>1.0</v>
      </c>
      <c r="AAZ7" s="8">
        <v>0.0</v>
      </c>
      <c r="ABA7" s="8">
        <v>0.0</v>
      </c>
      <c r="ABB7" s="9" t="s">
        <v>907</v>
      </c>
      <c r="ABC7" s="8">
        <v>1.0</v>
      </c>
      <c r="ABD7" s="8">
        <v>0.0</v>
      </c>
      <c r="ABE7" s="8">
        <v>0.0</v>
      </c>
      <c r="ABF7" s="8">
        <v>0.0</v>
      </c>
      <c r="ABG7" s="8">
        <v>0.0</v>
      </c>
      <c r="ABH7" s="9"/>
      <c r="ABI7" s="9"/>
      <c r="ABJ7" s="9"/>
      <c r="ABK7" s="9"/>
      <c r="ABL7" s="9"/>
      <c r="ABM7" s="9"/>
      <c r="ABN7" s="9"/>
      <c r="ABO7" s="9"/>
      <c r="ABP7" s="9"/>
      <c r="ABQ7" s="11" t="s">
        <v>953</v>
      </c>
      <c r="ABR7" s="9" t="s">
        <v>909</v>
      </c>
      <c r="ABS7" s="8">
        <v>2000.0</v>
      </c>
      <c r="ABT7" s="9"/>
      <c r="ABU7" s="8">
        <v>45.0</v>
      </c>
      <c r="ABV7" s="8">
        <v>45.0</v>
      </c>
      <c r="ABW7" s="9" t="s">
        <v>910</v>
      </c>
      <c r="ABX7" s="9"/>
      <c r="ABY7" s="8">
        <v>40.0</v>
      </c>
      <c r="ABZ7" s="8">
        <v>4000.0</v>
      </c>
      <c r="ACA7" s="8">
        <v>20.0</v>
      </c>
      <c r="ACB7" s="8">
        <v>5000.0</v>
      </c>
      <c r="ACC7" s="8">
        <v>500.0</v>
      </c>
      <c r="ACD7" s="8">
        <v>500.0</v>
      </c>
      <c r="ACE7" s="9" t="s">
        <v>857</v>
      </c>
      <c r="ACF7" s="9" t="s">
        <v>911</v>
      </c>
      <c r="ACG7" s="9" t="s">
        <v>1034</v>
      </c>
      <c r="ACH7" s="9" t="s">
        <v>911</v>
      </c>
      <c r="ACI7" s="9"/>
      <c r="ACJ7" s="9"/>
      <c r="ACK7" s="9" t="s">
        <v>976</v>
      </c>
      <c r="ACL7" s="8">
        <v>0.0</v>
      </c>
      <c r="ACM7" s="8">
        <v>0.0</v>
      </c>
      <c r="ACN7" s="8">
        <v>1.0</v>
      </c>
      <c r="ACO7" s="8">
        <v>1.0</v>
      </c>
      <c r="ACP7" s="8">
        <v>0.0</v>
      </c>
      <c r="ACQ7" s="8">
        <v>0.0</v>
      </c>
      <c r="ACR7" s="8">
        <v>0.0</v>
      </c>
      <c r="ACS7" s="9"/>
      <c r="ACT7" s="9" t="s">
        <v>912</v>
      </c>
      <c r="ACU7" s="9" t="s">
        <v>913</v>
      </c>
      <c r="ACV7" s="9" t="s">
        <v>957</v>
      </c>
      <c r="ACW7" s="9" t="s">
        <v>915</v>
      </c>
      <c r="ACX7" s="9" t="s">
        <v>916</v>
      </c>
      <c r="ACY7" s="9" t="s">
        <v>1035</v>
      </c>
      <c r="ACZ7" s="8">
        <v>1.0</v>
      </c>
      <c r="ADA7" s="8">
        <v>1.0</v>
      </c>
      <c r="ADB7" s="8">
        <v>0.0</v>
      </c>
      <c r="ADC7" s="8">
        <v>0.0</v>
      </c>
      <c r="ADD7" s="9" t="s">
        <v>918</v>
      </c>
      <c r="ADE7" s="9" t="s">
        <v>918</v>
      </c>
      <c r="ADF7" s="9" t="s">
        <v>918</v>
      </c>
      <c r="ADG7" s="9" t="s">
        <v>918</v>
      </c>
      <c r="ADH7" s="9" t="s">
        <v>881</v>
      </c>
      <c r="ADI7" s="9"/>
      <c r="ADJ7" s="9" t="s">
        <v>918</v>
      </c>
      <c r="ADK7" s="9"/>
      <c r="ADL7" s="9"/>
      <c r="ADM7" s="9"/>
      <c r="ADN7" s="9"/>
      <c r="ADO7" s="9"/>
      <c r="ADP7" s="9"/>
      <c r="ADQ7" s="9"/>
      <c r="ADR7" s="9"/>
      <c r="ADS7" s="9"/>
      <c r="ADT7" s="9"/>
      <c r="ADU7" s="9" t="s">
        <v>1018</v>
      </c>
      <c r="ADV7" s="8">
        <v>0.0</v>
      </c>
      <c r="ADW7" s="8">
        <v>0.0</v>
      </c>
      <c r="ADX7" s="8">
        <v>0.0</v>
      </c>
      <c r="ADY7" s="8">
        <v>0.0</v>
      </c>
      <c r="ADZ7" s="8">
        <v>1.0</v>
      </c>
      <c r="AEA7" s="8">
        <v>1.0</v>
      </c>
      <c r="AEB7" s="8">
        <v>0.0</v>
      </c>
      <c r="AEC7" s="8">
        <v>0.0</v>
      </c>
      <c r="AED7" s="12"/>
      <c r="AEE7" s="17" t="s">
        <v>872</v>
      </c>
      <c r="AEF7" s="9"/>
      <c r="AEG7" s="17" t="s">
        <v>920</v>
      </c>
      <c r="AEH7" s="9"/>
      <c r="AEI7" s="11" t="s">
        <v>999</v>
      </c>
      <c r="AEJ7" s="9" t="s">
        <v>961</v>
      </c>
      <c r="AEK7" s="17" t="s">
        <v>1036</v>
      </c>
      <c r="AEL7" s="18">
        <v>0.0</v>
      </c>
      <c r="AEM7" s="18">
        <v>1.0</v>
      </c>
      <c r="AEN7" s="18">
        <v>1.0</v>
      </c>
      <c r="AEO7" s="18">
        <v>1.0</v>
      </c>
      <c r="AEP7" s="18">
        <v>1.0</v>
      </c>
      <c r="AEQ7" s="18">
        <v>1.0</v>
      </c>
      <c r="AER7" s="18">
        <v>1.0</v>
      </c>
      <c r="AES7" s="18">
        <v>1.0</v>
      </c>
      <c r="AET7" s="18">
        <v>1.0</v>
      </c>
      <c r="AEU7" s="18">
        <v>0.0</v>
      </c>
      <c r="AEV7" s="18">
        <v>0.0</v>
      </c>
      <c r="AEW7" s="18">
        <v>0.0</v>
      </c>
      <c r="AEX7" s="9"/>
      <c r="AEY7" s="9" t="s">
        <v>923</v>
      </c>
      <c r="AEZ7" s="9"/>
      <c r="AFA7" s="9" t="s">
        <v>924</v>
      </c>
      <c r="AFB7" s="9"/>
      <c r="AFC7" s="9" t="s">
        <v>1037</v>
      </c>
      <c r="AFD7" s="16" t="s">
        <v>1038</v>
      </c>
      <c r="AFE7" s="9" t="s">
        <v>1039</v>
      </c>
      <c r="AFF7" s="16" t="s">
        <v>1040</v>
      </c>
      <c r="AFG7" s="9" t="s">
        <v>983</v>
      </c>
      <c r="AFH7" s="9"/>
      <c r="AFI7" s="9"/>
    </row>
    <row r="8">
      <c r="A8" s="6">
        <v>46057.0</v>
      </c>
      <c r="B8" s="6">
        <v>46057.0</v>
      </c>
      <c r="C8" s="7" t="s">
        <v>837</v>
      </c>
      <c r="D8" s="7" t="s">
        <v>1041</v>
      </c>
      <c r="E8" s="8">
        <v>6.282128590068E12</v>
      </c>
      <c r="F8" s="9"/>
      <c r="G8" s="8">
        <v>-7.42567126</v>
      </c>
      <c r="H8" s="8">
        <v>110.335</v>
      </c>
      <c r="I8" s="9"/>
      <c r="J8" s="8">
        <v>4.58</v>
      </c>
      <c r="K8" s="9"/>
      <c r="L8" s="9"/>
      <c r="M8" s="8">
        <v>-7.4255</v>
      </c>
      <c r="N8" s="8">
        <v>110.3350042</v>
      </c>
      <c r="O8" s="9"/>
      <c r="P8" s="8">
        <v>4.98</v>
      </c>
      <c r="Q8" s="9"/>
      <c r="R8" s="9" t="s">
        <v>839</v>
      </c>
      <c r="S8" s="9"/>
      <c r="T8" s="9"/>
      <c r="U8" s="9"/>
      <c r="V8" s="9"/>
      <c r="W8" s="9"/>
      <c r="X8" s="9"/>
      <c r="Y8" s="9"/>
      <c r="Z8" s="9"/>
      <c r="AA8" s="9"/>
      <c r="AB8" s="9"/>
      <c r="AC8" s="7" t="s">
        <v>840</v>
      </c>
      <c r="AD8" s="7" t="s">
        <v>1042</v>
      </c>
      <c r="AE8" s="7" t="s">
        <v>1043</v>
      </c>
      <c r="AF8" s="9" t="s">
        <v>1044</v>
      </c>
      <c r="AG8" s="9" t="s">
        <v>1045</v>
      </c>
      <c r="AH8" s="8">
        <v>6.0</v>
      </c>
      <c r="AI8" s="9" t="s">
        <v>845</v>
      </c>
      <c r="AJ8" s="9" t="s">
        <v>934</v>
      </c>
      <c r="AK8" s="8">
        <v>60.0</v>
      </c>
      <c r="AL8" s="9" t="s">
        <v>847</v>
      </c>
      <c r="AM8" s="9" t="s">
        <v>848</v>
      </c>
      <c r="AN8" s="9" t="s">
        <v>849</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9"/>
      <c r="BI8" s="9" t="s">
        <v>852</v>
      </c>
      <c r="BJ8" s="8">
        <v>1.0</v>
      </c>
      <c r="BK8" s="8">
        <v>3.0</v>
      </c>
      <c r="BL8" s="8">
        <v>0.0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2020.0</v>
      </c>
      <c r="CN8" s="9" t="s">
        <v>858</v>
      </c>
      <c r="CO8" s="9" t="s">
        <v>859</v>
      </c>
      <c r="CP8" s="9" t="s">
        <v>860</v>
      </c>
      <c r="CQ8" s="8">
        <v>0.0</v>
      </c>
      <c r="CR8" s="8">
        <v>0.0</v>
      </c>
      <c r="CS8" s="8">
        <v>0.0</v>
      </c>
      <c r="CT8" s="8">
        <v>0.0</v>
      </c>
      <c r="CU8" s="10">
        <v>1.0</v>
      </c>
      <c r="CV8" s="10">
        <v>0.0</v>
      </c>
      <c r="CW8" s="10">
        <v>0.0</v>
      </c>
      <c r="CX8" s="8">
        <v>0.0</v>
      </c>
      <c r="CY8" s="9" t="s">
        <v>860</v>
      </c>
      <c r="CZ8" s="8">
        <v>1.0</v>
      </c>
      <c r="DA8" s="8">
        <v>0.0</v>
      </c>
      <c r="DB8" s="8">
        <v>0.0</v>
      </c>
      <c r="DC8" s="9"/>
      <c r="DD8" s="9" t="s">
        <v>937</v>
      </c>
      <c r="DE8" s="8">
        <v>1.0</v>
      </c>
      <c r="DF8" s="8">
        <v>0.0</v>
      </c>
      <c r="DG8" s="8">
        <v>1.0</v>
      </c>
      <c r="DH8" s="8">
        <v>0.0</v>
      </c>
      <c r="DI8" s="9"/>
      <c r="DJ8" s="9" t="s">
        <v>937</v>
      </c>
      <c r="DK8" s="8">
        <v>1.0</v>
      </c>
      <c r="DL8" s="8">
        <v>0.0</v>
      </c>
      <c r="DM8" s="8">
        <v>1.0</v>
      </c>
      <c r="DN8" s="8">
        <v>0.0</v>
      </c>
      <c r="DO8" s="9"/>
      <c r="DP8" s="8">
        <v>1.0</v>
      </c>
      <c r="DQ8" s="8">
        <v>0.0</v>
      </c>
      <c r="DR8" s="8">
        <v>0.0</v>
      </c>
      <c r="DS8" s="9"/>
      <c r="DT8" s="9"/>
      <c r="DU8" s="9"/>
      <c r="DV8" s="9" t="s">
        <v>938</v>
      </c>
      <c r="DW8" s="9" t="s">
        <v>939</v>
      </c>
      <c r="DX8" s="9" t="s">
        <v>987</v>
      </c>
      <c r="DY8" s="9"/>
      <c r="DZ8" s="9"/>
      <c r="EA8" s="9"/>
      <c r="EB8" s="9"/>
      <c r="EC8" s="9"/>
      <c r="ED8" s="9"/>
      <c r="EE8" s="9"/>
      <c r="EF8" s="9"/>
      <c r="EG8" s="9"/>
      <c r="EH8" s="9"/>
      <c r="EI8" s="9" t="s">
        <v>941</v>
      </c>
      <c r="EJ8" s="8">
        <v>0.0</v>
      </c>
      <c r="EK8" s="8">
        <v>1.0</v>
      </c>
      <c r="EL8" s="8">
        <v>1.0</v>
      </c>
      <c r="EM8" s="8">
        <v>0.0</v>
      </c>
      <c r="EN8" s="8">
        <v>0.0</v>
      </c>
      <c r="EO8" s="11"/>
      <c r="EP8" s="9" t="s">
        <v>863</v>
      </c>
      <c r="EQ8" s="9" t="s">
        <v>864</v>
      </c>
      <c r="ER8" s="9" t="s">
        <v>1046</v>
      </c>
      <c r="ES8" s="8">
        <v>1.0</v>
      </c>
      <c r="ET8" s="8">
        <v>1.0</v>
      </c>
      <c r="EU8" s="8">
        <v>0.0</v>
      </c>
      <c r="EV8" s="8">
        <v>0.0</v>
      </c>
      <c r="EW8" s="9"/>
      <c r="EX8" s="9" t="s">
        <v>865</v>
      </c>
      <c r="EY8" s="8">
        <v>1.0</v>
      </c>
      <c r="EZ8" s="8">
        <v>0.0</v>
      </c>
      <c r="FA8" s="8">
        <v>0.0</v>
      </c>
      <c r="FB8" s="9"/>
      <c r="FC8" s="9" t="s">
        <v>866</v>
      </c>
      <c r="FD8" s="9"/>
      <c r="FE8" s="9" t="s">
        <v>867</v>
      </c>
      <c r="FF8" s="9" t="s">
        <v>943</v>
      </c>
      <c r="FG8" s="9" t="s">
        <v>867</v>
      </c>
      <c r="FH8" s="9" t="s">
        <v>869</v>
      </c>
      <c r="FI8" s="9" t="s">
        <v>867</v>
      </c>
      <c r="FJ8" s="9" t="s">
        <v>869</v>
      </c>
      <c r="FK8" s="9" t="s">
        <v>867</v>
      </c>
      <c r="FL8" s="9" t="s">
        <v>943</v>
      </c>
      <c r="FM8" s="9" t="s">
        <v>867</v>
      </c>
      <c r="FN8" s="9" t="s">
        <v>870</v>
      </c>
      <c r="FO8" s="9" t="s">
        <v>867</v>
      </c>
      <c r="FP8" s="9" t="s">
        <v>943</v>
      </c>
      <c r="FQ8" s="9" t="s">
        <v>867</v>
      </c>
      <c r="FR8" s="9" t="s">
        <v>857</v>
      </c>
      <c r="FS8" s="9" t="s">
        <v>867</v>
      </c>
      <c r="FT8" s="9" t="s">
        <v>871</v>
      </c>
      <c r="FU8" s="9" t="s">
        <v>989</v>
      </c>
      <c r="FV8" s="8">
        <v>1.0</v>
      </c>
      <c r="FW8" s="8">
        <v>1.0</v>
      </c>
      <c r="FX8" s="8">
        <v>0.0</v>
      </c>
      <c r="FY8" s="8">
        <v>0.0</v>
      </c>
      <c r="FZ8" s="9" t="s">
        <v>944</v>
      </c>
      <c r="GA8" s="9" t="s">
        <v>990</v>
      </c>
      <c r="GB8" s="8">
        <v>1.0</v>
      </c>
      <c r="GC8" s="8">
        <v>1.0</v>
      </c>
      <c r="GD8" s="8">
        <v>0.0</v>
      </c>
      <c r="GE8" s="8">
        <v>0.0</v>
      </c>
      <c r="GF8" s="9"/>
      <c r="GG8" s="9" t="s">
        <v>875</v>
      </c>
      <c r="GH8" s="9" t="s">
        <v>881</v>
      </c>
      <c r="GI8" s="9"/>
      <c r="GJ8" s="9"/>
      <c r="GK8" s="9"/>
      <c r="GL8" s="9"/>
      <c r="GM8" s="9"/>
      <c r="GN8" s="9"/>
      <c r="GO8" s="9"/>
      <c r="GP8" s="9" t="s">
        <v>877</v>
      </c>
      <c r="GQ8" s="9" t="s">
        <v>878</v>
      </c>
      <c r="GR8" s="8">
        <v>1.0</v>
      </c>
      <c r="GS8" s="8">
        <v>1.0</v>
      </c>
      <c r="GT8" s="8">
        <v>0.0</v>
      </c>
      <c r="GU8" s="8">
        <v>0.0</v>
      </c>
      <c r="GV8" s="8">
        <v>0.0</v>
      </c>
      <c r="GW8" s="8">
        <v>0.0</v>
      </c>
      <c r="GX8" s="8">
        <v>0.0</v>
      </c>
      <c r="GY8" s="9"/>
      <c r="GZ8" s="9" t="s">
        <v>857</v>
      </c>
      <c r="HA8" s="8">
        <v>150.0</v>
      </c>
      <c r="HB8" s="8">
        <v>175000.0</v>
      </c>
      <c r="HC8" s="8">
        <v>50.0</v>
      </c>
      <c r="HD8" s="8">
        <v>50000.0</v>
      </c>
      <c r="HE8" s="8">
        <v>12.0</v>
      </c>
      <c r="HF8" s="8">
        <v>100000.0</v>
      </c>
      <c r="HG8" s="8">
        <v>3.0</v>
      </c>
      <c r="HH8" s="8">
        <v>25000.0</v>
      </c>
      <c r="HI8" s="9"/>
      <c r="HJ8" s="9"/>
      <c r="HK8" s="9"/>
      <c r="HL8" s="9"/>
      <c r="HM8" s="9"/>
      <c r="HN8" s="9"/>
      <c r="HO8" s="9"/>
      <c r="HP8" s="9"/>
      <c r="HQ8" s="9"/>
      <c r="HR8" s="9"/>
      <c r="HS8" s="9"/>
      <c r="HT8" s="9"/>
      <c r="HU8" s="9"/>
      <c r="HV8" s="9"/>
      <c r="HW8" s="9"/>
      <c r="HX8" s="9"/>
      <c r="HY8" s="8">
        <v>100.0</v>
      </c>
      <c r="HZ8" s="8">
        <v>100000.0</v>
      </c>
      <c r="IA8" s="8">
        <v>9.0</v>
      </c>
      <c r="IB8" s="8">
        <v>75000.0</v>
      </c>
      <c r="IC8" s="9"/>
      <c r="ID8" s="9"/>
      <c r="IE8" s="9"/>
      <c r="IF8" s="9"/>
      <c r="IG8" s="9"/>
      <c r="IH8" s="9"/>
      <c r="II8" s="9"/>
      <c r="IJ8" s="9"/>
      <c r="IK8" s="9" t="s">
        <v>879</v>
      </c>
      <c r="IL8" s="9" t="s">
        <v>880</v>
      </c>
      <c r="IM8" s="9" t="s">
        <v>857</v>
      </c>
      <c r="IN8" s="9" t="s">
        <v>881</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886</v>
      </c>
      <c r="KU8" s="9" t="s">
        <v>886</v>
      </c>
      <c r="KV8" s="9" t="s">
        <v>989</v>
      </c>
      <c r="KW8" s="8">
        <v>1.0</v>
      </c>
      <c r="KX8" s="8">
        <v>1.0</v>
      </c>
      <c r="KY8" s="8">
        <v>0.0</v>
      </c>
      <c r="KZ8" s="8">
        <v>0.0</v>
      </c>
      <c r="LA8" s="9" t="s">
        <v>884</v>
      </c>
      <c r="LB8" s="9" t="s">
        <v>884</v>
      </c>
      <c r="LC8" s="8">
        <v>0.0</v>
      </c>
      <c r="LD8" s="8">
        <v>0.0</v>
      </c>
      <c r="LE8" s="8">
        <v>0.0</v>
      </c>
      <c r="LF8" s="8">
        <v>0.0</v>
      </c>
      <c r="LG8" s="9" t="s">
        <v>857</v>
      </c>
      <c r="LH8" s="8">
        <v>150000.0</v>
      </c>
      <c r="LI8" s="9"/>
      <c r="LJ8" s="9" t="s">
        <v>887</v>
      </c>
      <c r="LK8" s="8">
        <v>0.0</v>
      </c>
      <c r="LL8" s="8">
        <v>0.0</v>
      </c>
      <c r="LM8" s="8">
        <v>0.0</v>
      </c>
      <c r="LN8" s="8">
        <v>0.0</v>
      </c>
      <c r="LO8" s="8">
        <v>1.0</v>
      </c>
      <c r="LP8" s="8">
        <v>0.0</v>
      </c>
      <c r="LQ8" s="8">
        <v>0.0</v>
      </c>
      <c r="LR8" s="9"/>
      <c r="LS8" s="8">
        <v>15.0</v>
      </c>
      <c r="LT8" s="8">
        <v>15.0</v>
      </c>
      <c r="LU8" s="8">
        <v>0.0</v>
      </c>
      <c r="LV8" s="8">
        <v>5.0</v>
      </c>
      <c r="LW8" s="8">
        <v>5.0</v>
      </c>
      <c r="LX8" s="8">
        <v>0.0</v>
      </c>
      <c r="LY8" s="8">
        <v>5.0</v>
      </c>
      <c r="LZ8" s="8">
        <v>5.0</v>
      </c>
      <c r="MA8" s="8">
        <v>0.0</v>
      </c>
      <c r="MB8" s="9" t="s">
        <v>857</v>
      </c>
      <c r="MC8" s="8">
        <v>30.0</v>
      </c>
      <c r="MD8" s="8">
        <v>15.0</v>
      </c>
      <c r="ME8" s="8">
        <v>30.0</v>
      </c>
      <c r="MF8" s="8">
        <v>15.0</v>
      </c>
      <c r="MG8" s="8">
        <v>0.0</v>
      </c>
      <c r="MH8" s="8">
        <v>0.0</v>
      </c>
      <c r="MI8" s="9" t="s">
        <v>1047</v>
      </c>
      <c r="MJ8" s="8">
        <v>0.0</v>
      </c>
      <c r="MK8" s="8">
        <v>0.0</v>
      </c>
      <c r="ML8" s="8">
        <v>1.0</v>
      </c>
      <c r="MM8" s="8">
        <v>1.0</v>
      </c>
      <c r="MN8" s="8">
        <v>0.0</v>
      </c>
      <c r="MO8" s="8">
        <v>0.0</v>
      </c>
      <c r="MP8" s="9"/>
      <c r="MQ8" s="9"/>
      <c r="MR8" s="9" t="s">
        <v>1048</v>
      </c>
      <c r="MS8" s="9"/>
      <c r="MT8" s="9" t="s">
        <v>888</v>
      </c>
      <c r="MU8" s="9" t="s">
        <v>1030</v>
      </c>
      <c r="MV8" s="9" t="s">
        <v>949</v>
      </c>
      <c r="MW8" s="8">
        <v>1.0</v>
      </c>
      <c r="MX8" s="8">
        <v>0.0</v>
      </c>
      <c r="MY8" s="8">
        <v>0.0</v>
      </c>
      <c r="MZ8" s="8">
        <v>0.0</v>
      </c>
      <c r="NA8" s="9"/>
      <c r="NB8" s="9"/>
      <c r="NC8" s="9"/>
      <c r="ND8" s="9"/>
      <c r="NE8" s="9"/>
      <c r="NF8" s="9"/>
      <c r="NG8" s="9"/>
      <c r="NH8" s="9"/>
      <c r="NI8" s="9"/>
      <c r="NJ8" s="9"/>
      <c r="NK8" s="9"/>
      <c r="NL8" s="9" t="s">
        <v>881</v>
      </c>
      <c r="NM8" s="9" t="s">
        <v>893</v>
      </c>
      <c r="NN8" s="9" t="s">
        <v>993</v>
      </c>
      <c r="NO8" s="9" t="s">
        <v>973</v>
      </c>
      <c r="NP8" s="9"/>
      <c r="NQ8" s="9"/>
      <c r="NR8" s="9"/>
      <c r="NS8" s="9"/>
      <c r="NT8" s="9"/>
      <c r="NU8" s="9"/>
      <c r="NV8" s="9" t="s">
        <v>896</v>
      </c>
      <c r="NW8" s="9"/>
      <c r="NX8" s="9" t="s">
        <v>897</v>
      </c>
      <c r="NY8" s="8">
        <v>40.0</v>
      </c>
      <c r="NZ8" s="8">
        <v>20.0</v>
      </c>
      <c r="OA8" s="8">
        <v>0.0</v>
      </c>
      <c r="OB8" s="8">
        <v>10.0</v>
      </c>
      <c r="OC8" s="8">
        <v>10.0</v>
      </c>
      <c r="OD8" s="8">
        <v>0.0</v>
      </c>
      <c r="OE8" s="9" t="s">
        <v>898</v>
      </c>
      <c r="OF8" s="9" t="s">
        <v>899</v>
      </c>
      <c r="OG8" s="9" t="s">
        <v>857</v>
      </c>
      <c r="OH8" s="8">
        <v>0.0</v>
      </c>
      <c r="OI8" s="8">
        <v>0.0</v>
      </c>
      <c r="OJ8" s="8">
        <v>0.0</v>
      </c>
      <c r="OK8" s="8">
        <v>0.0</v>
      </c>
      <c r="OL8" s="8">
        <v>0.0</v>
      </c>
      <c r="OM8" s="8">
        <v>0.0</v>
      </c>
      <c r="ON8" s="8">
        <v>0.0</v>
      </c>
      <c r="OO8" s="8">
        <v>0.0</v>
      </c>
      <c r="OP8" s="9" t="str">
        <f>VLOOKUP(AG8,'BUS 2'!$G$1:$CU$424,2,0)</f>
        <v>Sapi pedaging</v>
      </c>
      <c r="OQ8" s="8">
        <f>VLOOKUP(AG8,'BUS 2'!$G$1:$CU$424,3,0)</f>
        <v>1</v>
      </c>
      <c r="OR8" s="8">
        <f>VLOOKUP(AG8,'BUS 2'!$G$1:$CU$424,4,0)</f>
        <v>0</v>
      </c>
      <c r="OS8" s="8">
        <f>VLOOKUP(AG8,'BUS 2'!$G$1:$CU$424,5,0)</f>
        <v>0</v>
      </c>
      <c r="OT8" s="8">
        <f>VLOOKUP(AG8,'BUS 2'!$G$1:$CU$424,6,0)</f>
        <v>0</v>
      </c>
      <c r="OU8" s="8">
        <f>VLOOKUP(AG8,'BUS 2'!$G$1:$CU$424,7,0)</f>
        <v>0</v>
      </c>
      <c r="OV8" s="8">
        <f>VLOOKUP(AG8,'BUS 2'!$G$1:$CU$424,8,0)</f>
        <v>0</v>
      </c>
      <c r="OW8" s="8">
        <f>VLOOKUP(AG8,'BUS 2'!$G$1:$CU$424,9,0)</f>
        <v>0</v>
      </c>
      <c r="OX8" s="8">
        <f>VLOOKUP(AG8,'BUS 2'!$G$1:$CU$424,10,0)</f>
        <v>0</v>
      </c>
      <c r="OY8" s="8">
        <f>VLOOKUP(AG8,'BUS 2'!$G$1:$CU$424,11,0)</f>
        <v>0</v>
      </c>
      <c r="OZ8" s="8" t="str">
        <f>VLOOKUP(AG8,'BUS 2'!$G$1:$CU$424,12,0)</f>
        <v>Sapi pedaging</v>
      </c>
      <c r="PA8" s="8">
        <f>VLOOKUP(AG8,'BUS 2'!$G$1:$CU$424,13,0)</f>
        <v>1</v>
      </c>
      <c r="PB8" s="8">
        <f>VLOOKUP(AG8,'BUS 2'!$G$1:$CU$424,14,0)</f>
        <v>0</v>
      </c>
      <c r="PC8" s="8">
        <f>VLOOKUP(AG8,'BUS 2'!$G$1:$CU$424,15,0)</f>
        <v>0</v>
      </c>
      <c r="PD8" s="8">
        <f>VLOOKUP(AG8,'BUS 2'!$G$1:$CU$424,16,0)</f>
        <v>0</v>
      </c>
      <c r="PE8" s="8">
        <f>VLOOKUP(AG8,'BUS 2'!$G$1:$CU$424,17,0)</f>
        <v>0</v>
      </c>
      <c r="PF8" s="8">
        <f>VLOOKUP(AG8,'BUS 2'!$G$1:$CU$424,18,0)</f>
        <v>0</v>
      </c>
      <c r="PG8" s="8">
        <f>VLOOKUP(AG8,'BUS 2'!$G$1:$CU$424,19,0)</f>
        <v>0</v>
      </c>
      <c r="PH8" s="8">
        <f>VLOOKUP(AG8,'BUS 2'!$G$1:$CU$424,20,0)</f>
        <v>0</v>
      </c>
      <c r="PI8" s="8">
        <f>VLOOKUP(AG8,'BUS 2'!$G$1:$CU$424,21,0)</f>
        <v>0</v>
      </c>
      <c r="PJ8" s="8" t="str">
        <f>VLOOKUP(AG8,'BUS 2'!$G$1:$CU$424,22,0)</f>
        <v>Tidak ada</v>
      </c>
      <c r="PK8" s="8">
        <f>VLOOKUP(AG8,'BUS 2'!$G$1:$CU$424,23,0)</f>
        <v>0</v>
      </c>
      <c r="PL8" s="8">
        <f>VLOOKUP(AG8,'BUS 2'!$G$1:$CU$424,24,0)</f>
        <v>0</v>
      </c>
      <c r="PM8" s="8">
        <f>VLOOKUP(AG8,'BUS 2'!$G$1:$CU$424,25,0)</f>
        <v>0</v>
      </c>
      <c r="PN8" s="8">
        <f>VLOOKUP(AG8,'BUS 2'!$G$1:$CU$424,26,0)</f>
        <v>0</v>
      </c>
      <c r="PO8" s="8">
        <f>VLOOKUP(AG8,'BUS 2'!$G$1:$CU$424,27,0)</f>
        <v>0</v>
      </c>
      <c r="PP8" s="8">
        <f>VLOOKUP(AG8,'BUS 2'!$G$1:$CU$424,28,0)</f>
        <v>0</v>
      </c>
      <c r="PQ8" s="8">
        <f>VLOOKUP(AG8,'BUS 2'!$G$1:$CU$424,29,0)</f>
        <v>0</v>
      </c>
      <c r="PR8" s="8">
        <f>VLOOKUP(AG8,'BUS 2'!$G$1:$CU$424,30,0)</f>
        <v>0</v>
      </c>
      <c r="PS8" s="8">
        <f>VLOOKUP(AG8,'BUS 2'!$G$1:$CU$424,31,0)</f>
        <v>1</v>
      </c>
      <c r="PT8" s="9" t="s">
        <v>900</v>
      </c>
      <c r="PU8" s="8">
        <v>1.0</v>
      </c>
      <c r="PV8" s="8">
        <v>0.0</v>
      </c>
      <c r="PW8" s="8">
        <v>0.0</v>
      </c>
      <c r="PX8" s="8">
        <v>0.0</v>
      </c>
      <c r="PY8" s="8">
        <v>0.0</v>
      </c>
      <c r="PZ8" s="8">
        <v>0.0</v>
      </c>
      <c r="QA8" s="8">
        <v>1.0</v>
      </c>
      <c r="QB8" s="8">
        <v>0.0</v>
      </c>
      <c r="QC8" s="8">
        <v>0.0</v>
      </c>
      <c r="QD8" s="8">
        <v>0.0</v>
      </c>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8">
        <f>VLOOKUP(AG8,'BUS 2'!$G$1:$CU$424,33,0)</f>
        <v>2</v>
      </c>
      <c r="SZ8" s="9" t="str">
        <f>VLOOKUP(AG8,'BUS 2'!$G$1:$CU$424,34,0)</f>
        <v/>
      </c>
      <c r="TA8" s="9" t="str">
        <f>VLOOKUP(AG8,'BUS 2'!$G$1:$CU$424,35,0)</f>
        <v/>
      </c>
      <c r="TB8" s="9" t="str">
        <f>VLOOKUP(AG8,'BUS 2'!$G$1:$CU$424,36,0)</f>
        <v/>
      </c>
      <c r="TC8" s="9" t="str">
        <f>VLOOKUP(AG8,'BUS 2'!$G$1:$CU$424,37,0)</f>
        <v/>
      </c>
      <c r="TD8" s="9" t="str">
        <f>VLOOKUP(AG8,'BUS 2'!$G$1:$CU$424,38,0)</f>
        <v/>
      </c>
      <c r="TE8" s="9" t="str">
        <f>VLOOKUP(AG8,'BUS 2'!$G$1:$CU$424,39,0)</f>
        <v/>
      </c>
      <c r="TF8" s="9" t="str">
        <f>VLOOKUP(AG8,'BUS 2'!$G$1:$CU$424,40,0)</f>
        <v/>
      </c>
      <c r="TG8" s="8">
        <f>VLOOKUP(AG8,'BUS 2'!$G$1:$CU$424,42,0)</f>
        <v>2</v>
      </c>
      <c r="TH8" s="8" t="str">
        <f>VLOOKUP(AG8,'BUS 2'!$G$1:$CU$424,43,0)</f>
        <v/>
      </c>
      <c r="TI8" s="8" t="str">
        <f>VLOOKUP(AG8,'BUS 2'!$G$1:$CU$424,44,0)</f>
        <v/>
      </c>
      <c r="TJ8" s="8" t="str">
        <f>VLOOKUP(AG8,'BUS 2'!$G$1:$CU$424,45,0)</f>
        <v/>
      </c>
      <c r="TK8" s="8" t="str">
        <f>VLOOKUP(AG8,'BUS 2'!$G$1:$CU$424,46,0)</f>
        <v/>
      </c>
      <c r="TL8" s="8" t="str">
        <f>VLOOKUP(AG8,'BUS 2'!$G$1:$CU$424,47,0)</f>
        <v/>
      </c>
      <c r="TM8" s="8" t="str">
        <f>VLOOKUP(AG8,'BUS 2'!$G$1:$CU$424,48,0)</f>
        <v/>
      </c>
      <c r="TN8" s="8" t="str">
        <f>VLOOKUP(AG8,'BUS 2'!$G$1:$CU$424,49,0)</f>
        <v/>
      </c>
      <c r="TO8" s="8" t="str">
        <f>VLOOKUP(AG8,'BUS 2'!$G$1:$CU$424,50,0)</f>
        <v/>
      </c>
      <c r="TP8" s="8" t="str">
        <f>VLOOKUP(AG8,'BUS 2'!$G$1:$CU$424,51,0)</f>
        <v/>
      </c>
      <c r="TQ8" s="8" t="str">
        <f>VLOOKUP(AG8,'BUS 2'!$G$1:$CU$424,52,0)</f>
        <v/>
      </c>
      <c r="TR8" s="8" t="str">
        <f>VLOOKUP(AG8,'BUS 2'!$G$1:$CU$424,53,0)</f>
        <v/>
      </c>
      <c r="TS8" s="9" t="str">
        <f>VLOOKUP(AG8,'BUS 2'!$G$1:$CU$424,54,0)</f>
        <v/>
      </c>
      <c r="TT8" s="9" t="str">
        <f>VLOOKUP(AG8,'BUS 2'!$G$1:$CU$424,55,0)</f>
        <v/>
      </c>
      <c r="TU8" s="9" t="str">
        <f>VLOOKUP(AG8,'BUS 2'!$G$1:$CU$424,56,0)</f>
        <v/>
      </c>
      <c r="TV8" s="9" t="str">
        <f>VLOOKUP(AG8,'BUS 2'!$G$1:$CU$424,57,0)</f>
        <v/>
      </c>
      <c r="TW8" s="9" t="str">
        <f>VLOOKUP(AG8,'BUS 2'!$G$1:$CU$424,58,0)</f>
        <v/>
      </c>
      <c r="TX8" s="9" t="str">
        <f>VLOOKUP(AG8,'BUS 2'!$G$1:$CU$424,59,0)</f>
        <v/>
      </c>
      <c r="TY8" s="9" t="str">
        <f>VLOOKUP(AG8,'BUS 2'!$G$1:$CU$424,60,0)</f>
        <v/>
      </c>
      <c r="TZ8" s="9" t="str">
        <f>VLOOKUP(AG8,'BUS 2'!$G$1:$CU$424,61,0)</f>
        <v/>
      </c>
      <c r="UA8" s="9" t="str">
        <f>VLOOKUP(AG8,'BUS 2'!$G$1:$CU$424,62,0)</f>
        <v/>
      </c>
      <c r="UB8" s="9" t="str">
        <f>VLOOKUP(AG8,'BUS 2'!$G$1:$CU$424,63,0)</f>
        <v/>
      </c>
      <c r="UC8" s="9" t="str">
        <f>VLOOKUP(AG8,'BUS 2'!$G$1:$CU$424,64,0)</f>
        <v/>
      </c>
      <c r="UD8" s="9" t="str">
        <f>VLOOKUP(AG8,'BUS 2'!$G$1:$CU$424,65,0)</f>
        <v/>
      </c>
      <c r="UE8" s="9" t="str">
        <f>VLOOKUP(AG8,'BUS 2'!$G$1:$CU$424,66,0)</f>
        <v/>
      </c>
      <c r="UF8" s="9" t="str">
        <f>VLOOKUP(AG8,'BUS 2'!$G$1:$CU$424,67,0)</f>
        <v/>
      </c>
      <c r="UG8" s="9" t="str">
        <f>VLOOKUP(AG8,'BUS 2'!$G$1:$CU$424,68,0)</f>
        <v/>
      </c>
      <c r="UH8" s="9" t="str">
        <f>VLOOKUP(AG8,'BUS 2'!$G$1:$CU$424,69,0)</f>
        <v/>
      </c>
      <c r="UI8" s="9" t="str">
        <f>VLOOKUP(AG8,'BUS 2'!$G$1:$CU$424,70,0)</f>
        <v/>
      </c>
      <c r="UJ8" s="9" t="str">
        <f>VLOOKUP(AG8,'BUS 2'!$G$1:$CU$424,71,0)</f>
        <v/>
      </c>
      <c r="UK8" s="9" t="str">
        <f>VLOOKUP(AG8,'BUS 2'!$G$1:$CU$424,72,0)</f>
        <v/>
      </c>
      <c r="UL8" s="9" t="str">
        <f>VLOOKUP(AG8,'BUS 2'!$G$1:$CU$424,73,0)</f>
        <v/>
      </c>
      <c r="UM8" s="9" t="str">
        <f>VLOOKUP(AG8,'BUS 2'!$G$1:$CU$424,74,0)</f>
        <v/>
      </c>
      <c r="UN8" s="9" t="str">
        <f>VLOOKUP(AG8,'BUS 2'!$G$1:$CU$424,75,0)</f>
        <v/>
      </c>
      <c r="UO8" s="9" t="str">
        <f>VLOOKUP(AG8,'BUS 2'!$G$1:$CU$424,76,0)</f>
        <v/>
      </c>
      <c r="UP8" s="9" t="str">
        <f>VLOOKUP(AG8,'BUS 2'!$G$1:$CU$424,77,0)</f>
        <v/>
      </c>
      <c r="UQ8" s="9" t="str">
        <f>VLOOKUP(AG8,'BUS 2'!$G$1:$CU$424,78,0)</f>
        <v/>
      </c>
      <c r="UR8" s="9" t="str">
        <f>VLOOKUP(AG8,'BUS 2'!$G$1:$CU$424,79,0)</f>
        <v/>
      </c>
      <c r="US8" s="9" t="str">
        <f>VLOOKUP(AG8,'BUS 2'!$G$1:$CU$424,80,0)</f>
        <v/>
      </c>
      <c r="UT8" s="9" t="str">
        <f>VLOOKUP(AG8,'BUS 2'!$G$1:$CU$424,81,0)</f>
        <v/>
      </c>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t="s">
        <v>881</v>
      </c>
      <c r="AAM8" s="9"/>
      <c r="AAN8" s="9"/>
      <c r="AAO8" s="9"/>
      <c r="AAP8" s="9"/>
      <c r="AAQ8" s="9"/>
      <c r="AAR8" s="9" t="s">
        <v>857</v>
      </c>
      <c r="AAS8" s="9" t="s">
        <v>867</v>
      </c>
      <c r="AAT8" s="9" t="s">
        <v>995</v>
      </c>
      <c r="AAU8" s="8">
        <v>1.0</v>
      </c>
      <c r="AAV8" s="8">
        <v>0.0</v>
      </c>
      <c r="AAW8" s="8">
        <v>0.0</v>
      </c>
      <c r="AAX8" s="8">
        <v>0.0</v>
      </c>
      <c r="AAY8" s="8">
        <v>1.0</v>
      </c>
      <c r="AAZ8" s="8">
        <v>0.0</v>
      </c>
      <c r="ABA8" s="8">
        <v>0.0</v>
      </c>
      <c r="ABB8" s="9" t="s">
        <v>1049</v>
      </c>
      <c r="ABC8" s="8">
        <v>1.0</v>
      </c>
      <c r="ABD8" s="8">
        <v>1.0</v>
      </c>
      <c r="ABE8" s="8">
        <v>0.0</v>
      </c>
      <c r="ABF8" s="8">
        <v>0.0</v>
      </c>
      <c r="ABG8" s="8">
        <v>0.0</v>
      </c>
      <c r="ABH8" s="9"/>
      <c r="ABI8" s="9"/>
      <c r="ABJ8" s="9"/>
      <c r="ABK8" s="9"/>
      <c r="ABL8" s="9"/>
      <c r="ABM8" s="9"/>
      <c r="ABN8" s="9"/>
      <c r="ABO8" s="9"/>
      <c r="ABP8" s="9"/>
      <c r="ABQ8" s="11" t="s">
        <v>953</v>
      </c>
      <c r="ABR8" s="9" t="s">
        <v>909</v>
      </c>
      <c r="ABS8" s="8">
        <v>2000.0</v>
      </c>
      <c r="ABT8" s="9"/>
      <c r="ABU8" s="8">
        <v>400.0</v>
      </c>
      <c r="ABV8" s="8">
        <v>400.0</v>
      </c>
      <c r="ABW8" s="9" t="s">
        <v>910</v>
      </c>
      <c r="ABX8" s="9"/>
      <c r="ABY8" s="8">
        <v>50.0</v>
      </c>
      <c r="ABZ8" s="8">
        <v>6000.0</v>
      </c>
      <c r="ACA8" s="8">
        <v>20.0</v>
      </c>
      <c r="ACB8" s="8">
        <v>6000.0</v>
      </c>
      <c r="ACC8" s="8">
        <v>500.0</v>
      </c>
      <c r="ACD8" s="8">
        <v>700.0</v>
      </c>
      <c r="ACE8" s="9" t="s">
        <v>881</v>
      </c>
      <c r="ACF8" s="9" t="s">
        <v>911</v>
      </c>
      <c r="ACG8" s="9" t="s">
        <v>1034</v>
      </c>
      <c r="ACH8" s="9" t="s">
        <v>911</v>
      </c>
      <c r="ACI8" s="9"/>
      <c r="ACJ8" s="9"/>
      <c r="ACK8" s="9" t="s">
        <v>976</v>
      </c>
      <c r="ACL8" s="8">
        <v>0.0</v>
      </c>
      <c r="ACM8" s="8">
        <v>0.0</v>
      </c>
      <c r="ACN8" s="8">
        <v>1.0</v>
      </c>
      <c r="ACO8" s="8">
        <v>1.0</v>
      </c>
      <c r="ACP8" s="8">
        <v>0.0</v>
      </c>
      <c r="ACQ8" s="8">
        <v>0.0</v>
      </c>
      <c r="ACR8" s="8">
        <v>0.0</v>
      </c>
      <c r="ACS8" s="9"/>
      <c r="ACT8" s="9" t="s">
        <v>912</v>
      </c>
      <c r="ACU8" s="9" t="s">
        <v>1050</v>
      </c>
      <c r="ACV8" s="9" t="s">
        <v>957</v>
      </c>
      <c r="ACW8" s="9" t="s">
        <v>915</v>
      </c>
      <c r="ACX8" s="9" t="s">
        <v>916</v>
      </c>
      <c r="ACY8" s="9" t="s">
        <v>1017</v>
      </c>
      <c r="ACZ8" s="8">
        <v>1.0</v>
      </c>
      <c r="ADA8" s="8">
        <v>1.0</v>
      </c>
      <c r="ADB8" s="8">
        <v>1.0</v>
      </c>
      <c r="ADC8" s="8">
        <v>0.0</v>
      </c>
      <c r="ADD8" s="9" t="s">
        <v>918</v>
      </c>
      <c r="ADE8" s="9" t="s">
        <v>918</v>
      </c>
      <c r="ADF8" s="9" t="s">
        <v>918</v>
      </c>
      <c r="ADG8" s="9" t="s">
        <v>918</v>
      </c>
      <c r="ADH8" s="9" t="s">
        <v>881</v>
      </c>
      <c r="ADI8" s="9"/>
      <c r="ADJ8" s="9" t="s">
        <v>918</v>
      </c>
      <c r="ADK8" s="9"/>
      <c r="ADL8" s="9"/>
      <c r="ADM8" s="9"/>
      <c r="ADN8" s="9"/>
      <c r="ADO8" s="9"/>
      <c r="ADP8" s="9"/>
      <c r="ADQ8" s="9"/>
      <c r="ADR8" s="9"/>
      <c r="ADS8" s="9"/>
      <c r="ADT8" s="9"/>
      <c r="ADU8" s="9" t="s">
        <v>1018</v>
      </c>
      <c r="ADV8" s="8">
        <v>0.0</v>
      </c>
      <c r="ADW8" s="8">
        <v>0.0</v>
      </c>
      <c r="ADX8" s="8">
        <v>0.0</v>
      </c>
      <c r="ADY8" s="8">
        <v>0.0</v>
      </c>
      <c r="ADZ8" s="8">
        <v>1.0</v>
      </c>
      <c r="AEA8" s="8">
        <v>1.0</v>
      </c>
      <c r="AEB8" s="8">
        <v>0.0</v>
      </c>
      <c r="AEC8" s="8">
        <v>0.0</v>
      </c>
      <c r="AED8" s="12"/>
      <c r="AEE8" s="17" t="s">
        <v>872</v>
      </c>
      <c r="AEF8" s="9"/>
      <c r="AEG8" s="17" t="s">
        <v>920</v>
      </c>
      <c r="AEH8" s="9"/>
      <c r="AEI8" s="11" t="s">
        <v>999</v>
      </c>
      <c r="AEJ8" s="9" t="s">
        <v>961</v>
      </c>
      <c r="AEK8" s="17" t="s">
        <v>1036</v>
      </c>
      <c r="AEL8" s="18">
        <v>0.0</v>
      </c>
      <c r="AEM8" s="18">
        <v>1.0</v>
      </c>
      <c r="AEN8" s="18">
        <v>1.0</v>
      </c>
      <c r="AEO8" s="18">
        <v>1.0</v>
      </c>
      <c r="AEP8" s="18">
        <v>1.0</v>
      </c>
      <c r="AEQ8" s="18">
        <v>1.0</v>
      </c>
      <c r="AER8" s="18">
        <v>1.0</v>
      </c>
      <c r="AES8" s="18">
        <v>1.0</v>
      </c>
      <c r="AET8" s="18">
        <v>1.0</v>
      </c>
      <c r="AEU8" s="18">
        <v>0.0</v>
      </c>
      <c r="AEV8" s="18">
        <v>0.0</v>
      </c>
      <c r="AEW8" s="18">
        <v>0.0</v>
      </c>
      <c r="AEX8" s="9"/>
      <c r="AEY8" s="9" t="s">
        <v>923</v>
      </c>
      <c r="AEZ8" s="9"/>
      <c r="AFA8" s="9" t="s">
        <v>924</v>
      </c>
      <c r="AFB8" s="9"/>
      <c r="AFC8" s="9" t="s">
        <v>1051</v>
      </c>
      <c r="AFD8" s="16" t="s">
        <v>1052</v>
      </c>
      <c r="AFE8" s="9" t="s">
        <v>1053</v>
      </c>
      <c r="AFF8" s="16" t="s">
        <v>1054</v>
      </c>
      <c r="AFG8" s="9" t="s">
        <v>1055</v>
      </c>
      <c r="AFH8" s="9"/>
      <c r="AFI8" s="9"/>
    </row>
    <row r="9">
      <c r="A9" s="6">
        <v>46057.0</v>
      </c>
      <c r="B9" s="6">
        <v>46057.0</v>
      </c>
      <c r="C9" s="7" t="s">
        <v>837</v>
      </c>
      <c r="D9" s="7" t="s">
        <v>1056</v>
      </c>
      <c r="E9" s="8">
        <v>6.282133265228E12</v>
      </c>
      <c r="F9" s="9"/>
      <c r="G9" s="8">
        <v>-7.41793</v>
      </c>
      <c r="H9" s="8">
        <v>110.3312292</v>
      </c>
      <c r="I9" s="9"/>
      <c r="J9" s="8">
        <v>4.4</v>
      </c>
      <c r="K9" s="9"/>
      <c r="L9" s="9"/>
      <c r="M9" s="8">
        <v>-7.41784</v>
      </c>
      <c r="N9" s="8">
        <v>110.3312</v>
      </c>
      <c r="O9" s="9"/>
      <c r="P9" s="8">
        <v>4.48</v>
      </c>
      <c r="Q9" s="9"/>
      <c r="R9" s="9" t="s">
        <v>839</v>
      </c>
      <c r="S9" s="9"/>
      <c r="T9" s="9"/>
      <c r="U9" s="9"/>
      <c r="V9" s="9"/>
      <c r="W9" s="9"/>
      <c r="X9" s="9"/>
      <c r="Y9" s="9"/>
      <c r="Z9" s="9"/>
      <c r="AA9" s="9"/>
      <c r="AB9" s="9"/>
      <c r="AC9" s="7" t="s">
        <v>840</v>
      </c>
      <c r="AD9" s="7" t="s">
        <v>1042</v>
      </c>
      <c r="AE9" s="7" t="s">
        <v>1057</v>
      </c>
      <c r="AF9" s="9" t="s">
        <v>1058</v>
      </c>
      <c r="AG9" s="9" t="s">
        <v>1059</v>
      </c>
      <c r="AH9" s="8">
        <v>14.0</v>
      </c>
      <c r="AI9" s="9" t="s">
        <v>933</v>
      </c>
      <c r="AJ9" s="9" t="s">
        <v>934</v>
      </c>
      <c r="AK9" s="8">
        <v>60.0</v>
      </c>
      <c r="AL9" s="9" t="s">
        <v>847</v>
      </c>
      <c r="AM9" s="9" t="s">
        <v>848</v>
      </c>
      <c r="AN9" s="9" t="s">
        <v>849</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9"/>
      <c r="BI9" s="9" t="s">
        <v>852</v>
      </c>
      <c r="BJ9" s="8">
        <v>1.0</v>
      </c>
      <c r="BK9" s="8">
        <v>1.0</v>
      </c>
      <c r="BL9" s="8">
        <v>0.0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2012.0</v>
      </c>
      <c r="CN9" s="9" t="s">
        <v>858</v>
      </c>
      <c r="CO9" s="9" t="s">
        <v>859</v>
      </c>
      <c r="CP9" s="9" t="s">
        <v>1060</v>
      </c>
      <c r="CQ9" s="8">
        <v>0.0</v>
      </c>
      <c r="CR9" s="8">
        <v>0.0</v>
      </c>
      <c r="CS9" s="8">
        <v>0.0</v>
      </c>
      <c r="CT9" s="8">
        <v>0.0</v>
      </c>
      <c r="CU9" s="10">
        <v>1.0</v>
      </c>
      <c r="CV9" s="10">
        <v>1.0</v>
      </c>
      <c r="CW9" s="10">
        <v>0.0</v>
      </c>
      <c r="CX9" s="8">
        <v>0.0</v>
      </c>
      <c r="CY9" s="9" t="s">
        <v>1060</v>
      </c>
      <c r="CZ9" s="8">
        <v>1.0</v>
      </c>
      <c r="DA9" s="8">
        <v>1.0</v>
      </c>
      <c r="DB9" s="8">
        <v>0.0</v>
      </c>
      <c r="DC9" s="9"/>
      <c r="DD9" s="9" t="s">
        <v>937</v>
      </c>
      <c r="DE9" s="8">
        <v>1.0</v>
      </c>
      <c r="DF9" s="8">
        <v>0.0</v>
      </c>
      <c r="DG9" s="8">
        <v>1.0</v>
      </c>
      <c r="DH9" s="8">
        <v>0.0</v>
      </c>
      <c r="DI9" s="9"/>
      <c r="DJ9" s="9" t="s">
        <v>937</v>
      </c>
      <c r="DK9" s="8">
        <v>1.0</v>
      </c>
      <c r="DL9" s="8">
        <v>0.0</v>
      </c>
      <c r="DM9" s="8">
        <v>1.0</v>
      </c>
      <c r="DN9" s="8">
        <v>0.0</v>
      </c>
      <c r="DO9" s="9"/>
      <c r="DP9" s="8">
        <v>1.0</v>
      </c>
      <c r="DQ9" s="8">
        <v>1.0</v>
      </c>
      <c r="DR9" s="8">
        <v>0.0</v>
      </c>
      <c r="DS9" s="9"/>
      <c r="DT9" s="9"/>
      <c r="DU9" s="9"/>
      <c r="DV9" s="9" t="s">
        <v>938</v>
      </c>
      <c r="DW9" s="9" t="s">
        <v>939</v>
      </c>
      <c r="DX9" s="9" t="s">
        <v>987</v>
      </c>
      <c r="DY9" s="9"/>
      <c r="DZ9" s="9"/>
      <c r="EA9" s="9"/>
      <c r="EB9" s="9"/>
      <c r="EC9" s="9"/>
      <c r="ED9" s="9"/>
      <c r="EE9" s="9"/>
      <c r="EF9" s="9"/>
      <c r="EG9" s="9"/>
      <c r="EH9" s="9"/>
      <c r="EI9" s="9" t="s">
        <v>988</v>
      </c>
      <c r="EJ9" s="8">
        <v>0.0</v>
      </c>
      <c r="EK9" s="8">
        <v>0.0</v>
      </c>
      <c r="EL9" s="8">
        <v>1.0</v>
      </c>
      <c r="EM9" s="8">
        <v>0.0</v>
      </c>
      <c r="EN9" s="8">
        <v>0.0</v>
      </c>
      <c r="EO9" s="11"/>
      <c r="EP9" s="9" t="s">
        <v>863</v>
      </c>
      <c r="EQ9" s="9" t="s">
        <v>864</v>
      </c>
      <c r="ER9" s="9" t="s">
        <v>861</v>
      </c>
      <c r="ES9" s="8">
        <v>1.0</v>
      </c>
      <c r="ET9" s="8">
        <v>0.0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869</v>
      </c>
      <c r="FK9" s="9" t="s">
        <v>867</v>
      </c>
      <c r="FL9" s="9" t="s">
        <v>870</v>
      </c>
      <c r="FM9" s="9" t="s">
        <v>867</v>
      </c>
      <c r="FN9" s="9" t="s">
        <v>870</v>
      </c>
      <c r="FO9" s="9" t="s">
        <v>867</v>
      </c>
      <c r="FP9" s="9" t="s">
        <v>943</v>
      </c>
      <c r="FQ9" s="9" t="s">
        <v>867</v>
      </c>
      <c r="FR9" s="9" t="s">
        <v>857</v>
      </c>
      <c r="FS9" s="9" t="s">
        <v>867</v>
      </c>
      <c r="FT9" s="9" t="s">
        <v>871</v>
      </c>
      <c r="FU9" s="9" t="s">
        <v>989</v>
      </c>
      <c r="FV9" s="8">
        <v>1.0</v>
      </c>
      <c r="FW9" s="8">
        <v>1.0</v>
      </c>
      <c r="FX9" s="8">
        <v>0.0</v>
      </c>
      <c r="FY9" s="8">
        <v>0.0</v>
      </c>
      <c r="FZ9" s="9" t="s">
        <v>944</v>
      </c>
      <c r="GA9" s="9" t="s">
        <v>990</v>
      </c>
      <c r="GB9" s="8">
        <v>1.0</v>
      </c>
      <c r="GC9" s="8">
        <v>1.0</v>
      </c>
      <c r="GD9" s="8">
        <v>0.0</v>
      </c>
      <c r="GE9" s="8">
        <v>0.0</v>
      </c>
      <c r="GF9" s="9"/>
      <c r="GG9" s="9" t="s">
        <v>875</v>
      </c>
      <c r="GH9" s="9" t="s">
        <v>881</v>
      </c>
      <c r="GI9" s="9"/>
      <c r="GJ9" s="9"/>
      <c r="GK9" s="9"/>
      <c r="GL9" s="9"/>
      <c r="GM9" s="9"/>
      <c r="GN9" s="9"/>
      <c r="GO9" s="9"/>
      <c r="GP9" s="9" t="s">
        <v>877</v>
      </c>
      <c r="GQ9" s="9" t="s">
        <v>878</v>
      </c>
      <c r="GR9" s="8">
        <v>1.0</v>
      </c>
      <c r="GS9" s="8">
        <v>1.0</v>
      </c>
      <c r="GT9" s="8">
        <v>0.0</v>
      </c>
      <c r="GU9" s="8">
        <v>0.0</v>
      </c>
      <c r="GV9" s="8">
        <v>0.0</v>
      </c>
      <c r="GW9" s="8">
        <v>0.0</v>
      </c>
      <c r="GX9" s="8">
        <v>0.0</v>
      </c>
      <c r="GY9" s="9"/>
      <c r="GZ9" s="9" t="s">
        <v>857</v>
      </c>
      <c r="HA9" s="8">
        <v>200.0</v>
      </c>
      <c r="HB9" s="8">
        <v>200000.0</v>
      </c>
      <c r="HC9" s="8">
        <v>50.0</v>
      </c>
      <c r="HD9" s="8">
        <v>50000.0</v>
      </c>
      <c r="HE9" s="8">
        <v>12.0</v>
      </c>
      <c r="HF9" s="8">
        <v>25000.0</v>
      </c>
      <c r="HG9" s="8">
        <v>3.0</v>
      </c>
      <c r="HH9" s="8">
        <v>25000.0</v>
      </c>
      <c r="HI9" s="9"/>
      <c r="HJ9" s="9"/>
      <c r="HK9" s="9"/>
      <c r="HL9" s="9"/>
      <c r="HM9" s="9"/>
      <c r="HN9" s="9"/>
      <c r="HO9" s="9"/>
      <c r="HP9" s="9"/>
      <c r="HQ9" s="9"/>
      <c r="HR9" s="9"/>
      <c r="HS9" s="9"/>
      <c r="HT9" s="9"/>
      <c r="HU9" s="9"/>
      <c r="HV9" s="9"/>
      <c r="HW9" s="9"/>
      <c r="HX9" s="9"/>
      <c r="HY9" s="8">
        <v>150.0</v>
      </c>
      <c r="HZ9" s="8">
        <v>150000.0</v>
      </c>
      <c r="IA9" s="8">
        <v>9.0</v>
      </c>
      <c r="IB9" s="8">
        <v>75000.0</v>
      </c>
      <c r="IC9" s="9"/>
      <c r="ID9" s="9"/>
      <c r="IE9" s="9"/>
      <c r="IF9" s="9"/>
      <c r="IG9" s="9"/>
      <c r="IH9" s="9"/>
      <c r="II9" s="9"/>
      <c r="IJ9" s="9"/>
      <c r="IK9" s="9" t="s">
        <v>879</v>
      </c>
      <c r="IL9" s="9" t="s">
        <v>880</v>
      </c>
      <c r="IM9" s="9" t="s">
        <v>857</v>
      </c>
      <c r="IN9" s="9" t="s">
        <v>881</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884</v>
      </c>
      <c r="KT9" s="9" t="s">
        <v>886</v>
      </c>
      <c r="KU9" s="9" t="s">
        <v>886</v>
      </c>
      <c r="KV9" s="9" t="s">
        <v>872</v>
      </c>
      <c r="KW9" s="8">
        <v>1.0</v>
      </c>
      <c r="KX9" s="8">
        <v>0.0</v>
      </c>
      <c r="KY9" s="8">
        <v>0.0</v>
      </c>
      <c r="KZ9" s="8">
        <v>0.0</v>
      </c>
      <c r="LA9" s="9" t="s">
        <v>884</v>
      </c>
      <c r="LB9" s="9" t="s">
        <v>884</v>
      </c>
      <c r="LC9" s="8">
        <v>3.0</v>
      </c>
      <c r="LD9" s="8">
        <v>3.0</v>
      </c>
      <c r="LE9" s="8">
        <v>0.0</v>
      </c>
      <c r="LF9" s="8">
        <v>0.0</v>
      </c>
      <c r="LG9" s="9" t="s">
        <v>857</v>
      </c>
      <c r="LH9" s="8">
        <v>150000.0</v>
      </c>
      <c r="LI9" s="9"/>
      <c r="LJ9" s="9" t="s">
        <v>887</v>
      </c>
      <c r="LK9" s="8">
        <v>0.0</v>
      </c>
      <c r="LL9" s="8">
        <v>0.0</v>
      </c>
      <c r="LM9" s="8">
        <v>0.0</v>
      </c>
      <c r="LN9" s="8">
        <v>0.0</v>
      </c>
      <c r="LO9" s="8">
        <v>1.0</v>
      </c>
      <c r="LP9" s="8">
        <v>0.0</v>
      </c>
      <c r="LQ9" s="8">
        <v>0.0</v>
      </c>
      <c r="LR9" s="9"/>
      <c r="LS9" s="8">
        <v>15.0</v>
      </c>
      <c r="LT9" s="8">
        <v>15.0</v>
      </c>
      <c r="LU9" s="8">
        <v>0.0</v>
      </c>
      <c r="LV9" s="8">
        <v>5.0</v>
      </c>
      <c r="LW9" s="8">
        <v>5.0</v>
      </c>
      <c r="LX9" s="8">
        <v>0.0</v>
      </c>
      <c r="LY9" s="8">
        <v>5.0</v>
      </c>
      <c r="LZ9" s="8">
        <v>5.0</v>
      </c>
      <c r="MA9" s="8">
        <v>0.0</v>
      </c>
      <c r="MB9" s="9" t="s">
        <v>857</v>
      </c>
      <c r="MC9" s="8">
        <v>30.0</v>
      </c>
      <c r="MD9" s="8">
        <v>20.0</v>
      </c>
      <c r="ME9" s="8">
        <v>30.0</v>
      </c>
      <c r="MF9" s="8">
        <v>20.0</v>
      </c>
      <c r="MG9" s="8">
        <v>0.0</v>
      </c>
      <c r="MH9" s="8">
        <v>0.0</v>
      </c>
      <c r="MI9" s="9" t="s">
        <v>946</v>
      </c>
      <c r="MJ9" s="8">
        <v>0.0</v>
      </c>
      <c r="MK9" s="8">
        <v>0.0</v>
      </c>
      <c r="ML9" s="8">
        <v>1.0</v>
      </c>
      <c r="MM9" s="8">
        <v>0.0</v>
      </c>
      <c r="MN9" s="8">
        <v>0.0</v>
      </c>
      <c r="MO9" s="8">
        <v>0.0</v>
      </c>
      <c r="MP9" s="9"/>
      <c r="MQ9" s="9"/>
      <c r="MR9" s="9" t="s">
        <v>1048</v>
      </c>
      <c r="MS9" s="9"/>
      <c r="MT9" s="9" t="s">
        <v>888</v>
      </c>
      <c r="MU9" s="9" t="s">
        <v>881</v>
      </c>
      <c r="MV9" s="9"/>
      <c r="MW9" s="9"/>
      <c r="MX9" s="9"/>
      <c r="MY9" s="9"/>
      <c r="MZ9" s="9"/>
      <c r="NA9" s="9"/>
      <c r="NB9" s="9"/>
      <c r="NC9" s="9"/>
      <c r="ND9" s="9"/>
      <c r="NE9" s="9"/>
      <c r="NF9" s="9"/>
      <c r="NG9" s="9"/>
      <c r="NH9" s="9"/>
      <c r="NI9" s="9"/>
      <c r="NJ9" s="9"/>
      <c r="NK9" s="9"/>
      <c r="NL9" s="9" t="s">
        <v>881</v>
      </c>
      <c r="NM9" s="9" t="s">
        <v>893</v>
      </c>
      <c r="NN9" s="9" t="s">
        <v>1032</v>
      </c>
      <c r="NO9" s="9" t="s">
        <v>994</v>
      </c>
      <c r="NP9" s="9"/>
      <c r="NQ9" s="9"/>
      <c r="NR9" s="9"/>
      <c r="NS9" s="9"/>
      <c r="NT9" s="9"/>
      <c r="NU9" s="9"/>
      <c r="NV9" s="9" t="s">
        <v>896</v>
      </c>
      <c r="NW9" s="9"/>
      <c r="NX9" s="9" t="s">
        <v>897</v>
      </c>
      <c r="NY9" s="8">
        <v>30.0</v>
      </c>
      <c r="NZ9" s="8">
        <v>30.0</v>
      </c>
      <c r="OA9" s="8">
        <v>0.0</v>
      </c>
      <c r="OB9" s="8">
        <v>5.0</v>
      </c>
      <c r="OC9" s="8">
        <v>5.0</v>
      </c>
      <c r="OD9" s="8">
        <v>0.0</v>
      </c>
      <c r="OE9" s="9" t="s">
        <v>898</v>
      </c>
      <c r="OF9" s="9" t="s">
        <v>899</v>
      </c>
      <c r="OG9" s="9" t="s">
        <v>857</v>
      </c>
      <c r="OH9" s="8">
        <v>0.0</v>
      </c>
      <c r="OI9" s="8">
        <v>0.0</v>
      </c>
      <c r="OJ9" s="8">
        <v>0.0</v>
      </c>
      <c r="OK9" s="8">
        <v>0.0</v>
      </c>
      <c r="OL9" s="8">
        <v>0.0</v>
      </c>
      <c r="OM9" s="8">
        <v>0.0</v>
      </c>
      <c r="ON9" s="8">
        <v>0.0</v>
      </c>
      <c r="OO9" s="8">
        <v>0.0</v>
      </c>
      <c r="OP9" s="9" t="str">
        <f>VLOOKUP(AG9,'BUS 2'!$G$1:$CU$424,2,0)</f>
        <v>Sapi perah</v>
      </c>
      <c r="OQ9" s="8">
        <f>VLOOKUP(AG9,'BUS 2'!$G$1:$CU$424,3,0)</f>
        <v>0</v>
      </c>
      <c r="OR9" s="8">
        <f>VLOOKUP(AG9,'BUS 2'!$G$1:$CU$424,4,0)</f>
        <v>1</v>
      </c>
      <c r="OS9" s="8">
        <f>VLOOKUP(AG9,'BUS 2'!$G$1:$CU$424,5,0)</f>
        <v>0</v>
      </c>
      <c r="OT9" s="8">
        <f>VLOOKUP(AG9,'BUS 2'!$G$1:$CU$424,6,0)</f>
        <v>0</v>
      </c>
      <c r="OU9" s="8">
        <f>VLOOKUP(AG9,'BUS 2'!$G$1:$CU$424,7,0)</f>
        <v>0</v>
      </c>
      <c r="OV9" s="8">
        <f>VLOOKUP(AG9,'BUS 2'!$G$1:$CU$424,8,0)</f>
        <v>0</v>
      </c>
      <c r="OW9" s="8">
        <f>VLOOKUP(AG9,'BUS 2'!$G$1:$CU$424,9,0)</f>
        <v>0</v>
      </c>
      <c r="OX9" s="8">
        <f>VLOOKUP(AG9,'BUS 2'!$G$1:$CU$424,10,0)</f>
        <v>0</v>
      </c>
      <c r="OY9" s="8">
        <f>VLOOKUP(AG9,'BUS 2'!$G$1:$CU$424,11,0)</f>
        <v>0</v>
      </c>
      <c r="OZ9" s="8" t="str">
        <f>VLOOKUP(AG9,'BUS 2'!$G$1:$CU$424,12,0)</f>
        <v>Sapi perah</v>
      </c>
      <c r="PA9" s="8">
        <f>VLOOKUP(AG9,'BUS 2'!$G$1:$CU$424,13,0)</f>
        <v>0</v>
      </c>
      <c r="PB9" s="8">
        <f>VLOOKUP(AG9,'BUS 2'!$G$1:$CU$424,14,0)</f>
        <v>1</v>
      </c>
      <c r="PC9" s="8">
        <f>VLOOKUP(AG9,'BUS 2'!$G$1:$CU$424,15,0)</f>
        <v>0</v>
      </c>
      <c r="PD9" s="8">
        <f>VLOOKUP(AG9,'BUS 2'!$G$1:$CU$424,16,0)</f>
        <v>0</v>
      </c>
      <c r="PE9" s="8">
        <f>VLOOKUP(AG9,'BUS 2'!$G$1:$CU$424,17,0)</f>
        <v>0</v>
      </c>
      <c r="PF9" s="8">
        <f>VLOOKUP(AG9,'BUS 2'!$G$1:$CU$424,18,0)</f>
        <v>0</v>
      </c>
      <c r="PG9" s="8">
        <f>VLOOKUP(AG9,'BUS 2'!$G$1:$CU$424,19,0)</f>
        <v>0</v>
      </c>
      <c r="PH9" s="8">
        <f>VLOOKUP(AG9,'BUS 2'!$G$1:$CU$424,20,0)</f>
        <v>0</v>
      </c>
      <c r="PI9" s="8">
        <f>VLOOKUP(AG9,'BUS 2'!$G$1:$CU$424,21,0)</f>
        <v>0</v>
      </c>
      <c r="PJ9" s="8" t="str">
        <f>VLOOKUP(AG9,'BUS 2'!$G$1:$CU$424,22,0)</f>
        <v>Tidak ada</v>
      </c>
      <c r="PK9" s="8">
        <f>VLOOKUP(AG9,'BUS 2'!$G$1:$CU$424,23,0)</f>
        <v>0</v>
      </c>
      <c r="PL9" s="8">
        <f>VLOOKUP(AG9,'BUS 2'!$G$1:$CU$424,24,0)</f>
        <v>0</v>
      </c>
      <c r="PM9" s="8">
        <f>VLOOKUP(AG9,'BUS 2'!$G$1:$CU$424,25,0)</f>
        <v>0</v>
      </c>
      <c r="PN9" s="8">
        <f>VLOOKUP(AG9,'BUS 2'!$G$1:$CU$424,26,0)</f>
        <v>0</v>
      </c>
      <c r="PO9" s="8">
        <f>VLOOKUP(AG9,'BUS 2'!$G$1:$CU$424,27,0)</f>
        <v>0</v>
      </c>
      <c r="PP9" s="8">
        <f>VLOOKUP(AG9,'BUS 2'!$G$1:$CU$424,28,0)</f>
        <v>0</v>
      </c>
      <c r="PQ9" s="8">
        <f>VLOOKUP(AG9,'BUS 2'!$G$1:$CU$424,29,0)</f>
        <v>0</v>
      </c>
      <c r="PR9" s="8">
        <f>VLOOKUP(AG9,'BUS 2'!$G$1:$CU$424,30,0)</f>
        <v>0</v>
      </c>
      <c r="PS9" s="8">
        <f>VLOOKUP(AG9,'BUS 2'!$G$1:$CU$424,31,0)</f>
        <v>1</v>
      </c>
      <c r="PT9" s="9" t="s">
        <v>900</v>
      </c>
      <c r="PU9" s="8">
        <v>1.0</v>
      </c>
      <c r="PV9" s="8">
        <v>0.0</v>
      </c>
      <c r="PW9" s="8">
        <v>0.0</v>
      </c>
      <c r="PX9" s="8">
        <v>0.0</v>
      </c>
      <c r="PY9" s="8">
        <v>0.0</v>
      </c>
      <c r="PZ9" s="8">
        <v>0.0</v>
      </c>
      <c r="QA9" s="8">
        <v>1.0</v>
      </c>
      <c r="QB9" s="8">
        <v>0.0</v>
      </c>
      <c r="QC9" s="8">
        <v>0.0</v>
      </c>
      <c r="QD9" s="8">
        <v>0.0</v>
      </c>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8" t="str">
        <f>VLOOKUP(AG9,'BUS 2'!$G$1:$CU$424,33,0)</f>
        <v/>
      </c>
      <c r="SZ9" s="9">
        <f>VLOOKUP(AG9,'BUS 2'!$G$1:$CU$424,34,0)</f>
        <v>3</v>
      </c>
      <c r="TA9" s="9" t="str">
        <f>VLOOKUP(AG9,'BUS 2'!$G$1:$CU$424,35,0)</f>
        <v/>
      </c>
      <c r="TB9" s="9" t="str">
        <f>VLOOKUP(AG9,'BUS 2'!$G$1:$CU$424,36,0)</f>
        <v/>
      </c>
      <c r="TC9" s="9" t="str">
        <f>VLOOKUP(AG9,'BUS 2'!$G$1:$CU$424,37,0)</f>
        <v/>
      </c>
      <c r="TD9" s="9" t="str">
        <f>VLOOKUP(AG9,'BUS 2'!$G$1:$CU$424,38,0)</f>
        <v/>
      </c>
      <c r="TE9" s="9" t="str">
        <f>VLOOKUP(AG9,'BUS 2'!$G$1:$CU$424,39,0)</f>
        <v/>
      </c>
      <c r="TF9" s="9" t="str">
        <f>VLOOKUP(AG9,'BUS 2'!$G$1:$CU$424,40,0)</f>
        <v/>
      </c>
      <c r="TG9" s="8" t="str">
        <f>VLOOKUP(AG9,'BUS 2'!$G$1:$CU$424,42,0)</f>
        <v/>
      </c>
      <c r="TH9" s="8">
        <f>VLOOKUP(AG9,'BUS 2'!$G$1:$CU$424,43,0)</f>
        <v>3</v>
      </c>
      <c r="TI9" s="8" t="str">
        <f>VLOOKUP(AG9,'BUS 2'!$G$1:$CU$424,44,0)</f>
        <v/>
      </c>
      <c r="TJ9" s="8" t="str">
        <f>VLOOKUP(AG9,'BUS 2'!$G$1:$CU$424,45,0)</f>
        <v/>
      </c>
      <c r="TK9" s="8" t="str">
        <f>VLOOKUP(AG9,'BUS 2'!$G$1:$CU$424,46,0)</f>
        <v/>
      </c>
      <c r="TL9" s="8" t="str">
        <f>VLOOKUP(AG9,'BUS 2'!$G$1:$CU$424,47,0)</f>
        <v/>
      </c>
      <c r="TM9" s="8" t="str">
        <f>VLOOKUP(AG9,'BUS 2'!$G$1:$CU$424,48,0)</f>
        <v/>
      </c>
      <c r="TN9" s="8" t="str">
        <f>VLOOKUP(AG9,'BUS 2'!$G$1:$CU$424,49,0)</f>
        <v/>
      </c>
      <c r="TO9" s="8" t="str">
        <f>VLOOKUP(AG9,'BUS 2'!$G$1:$CU$424,50,0)</f>
        <v/>
      </c>
      <c r="TP9" s="8" t="str">
        <f>VLOOKUP(AG9,'BUS 2'!$G$1:$CU$424,51,0)</f>
        <v/>
      </c>
      <c r="TQ9" s="8" t="str">
        <f>VLOOKUP(AG9,'BUS 2'!$G$1:$CU$424,52,0)</f>
        <v/>
      </c>
      <c r="TR9" s="8" t="str">
        <f>VLOOKUP(AG9,'BUS 2'!$G$1:$CU$424,53,0)</f>
        <v/>
      </c>
      <c r="TS9" s="9" t="str">
        <f>VLOOKUP(AG9,'BUS 2'!$G$1:$CU$424,54,0)</f>
        <v/>
      </c>
      <c r="TT9" s="9" t="str">
        <f>VLOOKUP(AG9,'BUS 2'!$G$1:$CU$424,55,0)</f>
        <v/>
      </c>
      <c r="TU9" s="9" t="str">
        <f>VLOOKUP(AG9,'BUS 2'!$G$1:$CU$424,56,0)</f>
        <v/>
      </c>
      <c r="TV9" s="9" t="str">
        <f>VLOOKUP(AG9,'BUS 2'!$G$1:$CU$424,57,0)</f>
        <v/>
      </c>
      <c r="TW9" s="9" t="str">
        <f>VLOOKUP(AG9,'BUS 2'!$G$1:$CU$424,58,0)</f>
        <v/>
      </c>
      <c r="TX9" s="9" t="str">
        <f>VLOOKUP(AG9,'BUS 2'!$G$1:$CU$424,59,0)</f>
        <v/>
      </c>
      <c r="TY9" s="9" t="str">
        <f>VLOOKUP(AG9,'BUS 2'!$G$1:$CU$424,60,0)</f>
        <v/>
      </c>
      <c r="TZ9" s="9" t="str">
        <f>VLOOKUP(AG9,'BUS 2'!$G$1:$CU$424,61,0)</f>
        <v/>
      </c>
      <c r="UA9" s="9" t="str">
        <f>VLOOKUP(AG9,'BUS 2'!$G$1:$CU$424,62,0)</f>
        <v/>
      </c>
      <c r="UB9" s="9" t="str">
        <f>VLOOKUP(AG9,'BUS 2'!$G$1:$CU$424,63,0)</f>
        <v/>
      </c>
      <c r="UC9" s="9" t="str">
        <f>VLOOKUP(AG9,'BUS 2'!$G$1:$CU$424,64,0)</f>
        <v/>
      </c>
      <c r="UD9" s="9" t="str">
        <f>VLOOKUP(AG9,'BUS 2'!$G$1:$CU$424,65,0)</f>
        <v/>
      </c>
      <c r="UE9" s="9" t="str">
        <f>VLOOKUP(AG9,'BUS 2'!$G$1:$CU$424,66,0)</f>
        <v/>
      </c>
      <c r="UF9" s="9" t="str">
        <f>VLOOKUP(AG9,'BUS 2'!$G$1:$CU$424,67,0)</f>
        <v/>
      </c>
      <c r="UG9" s="9" t="str">
        <f>VLOOKUP(AG9,'BUS 2'!$G$1:$CU$424,68,0)</f>
        <v/>
      </c>
      <c r="UH9" s="9" t="str">
        <f>VLOOKUP(AG9,'BUS 2'!$G$1:$CU$424,69,0)</f>
        <v/>
      </c>
      <c r="UI9" s="9" t="str">
        <f>VLOOKUP(AG9,'BUS 2'!$G$1:$CU$424,70,0)</f>
        <v/>
      </c>
      <c r="UJ9" s="9" t="str">
        <f>VLOOKUP(AG9,'BUS 2'!$G$1:$CU$424,71,0)</f>
        <v/>
      </c>
      <c r="UK9" s="9" t="str">
        <f>VLOOKUP(AG9,'BUS 2'!$G$1:$CU$424,72,0)</f>
        <v/>
      </c>
      <c r="UL9" s="9" t="str">
        <f>VLOOKUP(AG9,'BUS 2'!$G$1:$CU$424,73,0)</f>
        <v/>
      </c>
      <c r="UM9" s="9" t="str">
        <f>VLOOKUP(AG9,'BUS 2'!$G$1:$CU$424,74,0)</f>
        <v/>
      </c>
      <c r="UN9" s="9" t="str">
        <f>VLOOKUP(AG9,'BUS 2'!$G$1:$CU$424,75,0)</f>
        <v/>
      </c>
      <c r="UO9" s="9" t="str">
        <f>VLOOKUP(AG9,'BUS 2'!$G$1:$CU$424,76,0)</f>
        <v/>
      </c>
      <c r="UP9" s="9" t="str">
        <f>VLOOKUP(AG9,'BUS 2'!$G$1:$CU$424,77,0)</f>
        <v/>
      </c>
      <c r="UQ9" s="9" t="str">
        <f>VLOOKUP(AG9,'BUS 2'!$G$1:$CU$424,78,0)</f>
        <v/>
      </c>
      <c r="UR9" s="9" t="str">
        <f>VLOOKUP(AG9,'BUS 2'!$G$1:$CU$424,79,0)</f>
        <v/>
      </c>
      <c r="US9" s="9" t="str">
        <f>VLOOKUP(AG9,'BUS 2'!$G$1:$CU$424,80,0)</f>
        <v/>
      </c>
      <c r="UT9" s="9" t="str">
        <f>VLOOKUP(AG9,'BUS 2'!$G$1:$CU$424,81,0)</f>
        <v/>
      </c>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t="s">
        <v>881</v>
      </c>
      <c r="AAM9" s="9"/>
      <c r="AAN9" s="9"/>
      <c r="AAO9" s="9"/>
      <c r="AAP9" s="9"/>
      <c r="AAQ9" s="9"/>
      <c r="AAR9" s="9" t="s">
        <v>857</v>
      </c>
      <c r="AAS9" s="9" t="s">
        <v>867</v>
      </c>
      <c r="AAT9" s="9" t="s">
        <v>995</v>
      </c>
      <c r="AAU9" s="8">
        <v>1.0</v>
      </c>
      <c r="AAV9" s="8">
        <v>0.0</v>
      </c>
      <c r="AAW9" s="8">
        <v>0.0</v>
      </c>
      <c r="AAX9" s="8">
        <v>0.0</v>
      </c>
      <c r="AAY9" s="8">
        <v>1.0</v>
      </c>
      <c r="AAZ9" s="8">
        <v>0.0</v>
      </c>
      <c r="ABA9" s="8">
        <v>0.0</v>
      </c>
      <c r="ABB9" s="9" t="s">
        <v>907</v>
      </c>
      <c r="ABC9" s="8">
        <v>1.0</v>
      </c>
      <c r="ABD9" s="8">
        <v>0.0</v>
      </c>
      <c r="ABE9" s="8">
        <v>0.0</v>
      </c>
      <c r="ABF9" s="8">
        <v>0.0</v>
      </c>
      <c r="ABG9" s="8">
        <v>0.0</v>
      </c>
      <c r="ABH9" s="9"/>
      <c r="ABI9" s="9"/>
      <c r="ABJ9" s="9"/>
      <c r="ABK9" s="9"/>
      <c r="ABL9" s="9"/>
      <c r="ABM9" s="9"/>
      <c r="ABN9" s="9"/>
      <c r="ABO9" s="9"/>
      <c r="ABP9" s="9"/>
      <c r="ABQ9" s="11" t="s">
        <v>953</v>
      </c>
      <c r="ABR9" s="9" t="s">
        <v>954</v>
      </c>
      <c r="ABS9" s="8">
        <v>1500.0</v>
      </c>
      <c r="ABT9" s="9"/>
      <c r="ABU9" s="8">
        <v>400.0</v>
      </c>
      <c r="ABV9" s="8">
        <v>400.0</v>
      </c>
      <c r="ABW9" s="9" t="s">
        <v>910</v>
      </c>
      <c r="ABX9" s="9"/>
      <c r="ABY9" s="8">
        <v>50.0</v>
      </c>
      <c r="ABZ9" s="8">
        <v>6000.0</v>
      </c>
      <c r="ACA9" s="8">
        <v>20.0</v>
      </c>
      <c r="ACB9" s="8">
        <v>6000.0</v>
      </c>
      <c r="ACC9" s="8">
        <v>500.0</v>
      </c>
      <c r="ACD9" s="8">
        <v>700.0</v>
      </c>
      <c r="ACE9" s="9" t="s">
        <v>881</v>
      </c>
      <c r="ACF9" s="9" t="s">
        <v>911</v>
      </c>
      <c r="ACG9" s="9" t="s">
        <v>911</v>
      </c>
      <c r="ACH9" s="9" t="s">
        <v>911</v>
      </c>
      <c r="ACI9" s="9"/>
      <c r="ACJ9" s="9"/>
      <c r="ACK9" s="9" t="s">
        <v>976</v>
      </c>
      <c r="ACL9" s="8">
        <v>0.0</v>
      </c>
      <c r="ACM9" s="8">
        <v>0.0</v>
      </c>
      <c r="ACN9" s="8">
        <v>1.0</v>
      </c>
      <c r="ACO9" s="8">
        <v>1.0</v>
      </c>
      <c r="ACP9" s="8">
        <v>0.0</v>
      </c>
      <c r="ACQ9" s="8">
        <v>0.0</v>
      </c>
      <c r="ACR9" s="8">
        <v>0.0</v>
      </c>
      <c r="ACS9" s="9"/>
      <c r="ACT9" s="9" t="s">
        <v>1061</v>
      </c>
      <c r="ACU9" s="9" t="s">
        <v>1050</v>
      </c>
      <c r="ACV9" s="9" t="s">
        <v>996</v>
      </c>
      <c r="ACW9" s="9" t="s">
        <v>915</v>
      </c>
      <c r="ACX9" s="9" t="s">
        <v>958</v>
      </c>
      <c r="ACY9" s="9" t="s">
        <v>1035</v>
      </c>
      <c r="ACZ9" s="8">
        <v>1.0</v>
      </c>
      <c r="ADA9" s="8">
        <v>1.0</v>
      </c>
      <c r="ADB9" s="8">
        <v>0.0</v>
      </c>
      <c r="ADC9" s="8">
        <v>0.0</v>
      </c>
      <c r="ADD9" s="9" t="s">
        <v>918</v>
      </c>
      <c r="ADE9" s="9" t="s">
        <v>918</v>
      </c>
      <c r="ADF9" s="9" t="s">
        <v>918</v>
      </c>
      <c r="ADG9" s="9" t="s">
        <v>918</v>
      </c>
      <c r="ADH9" s="9" t="s">
        <v>881</v>
      </c>
      <c r="ADI9" s="9"/>
      <c r="ADJ9" s="9" t="s">
        <v>918</v>
      </c>
      <c r="ADK9" s="9"/>
      <c r="ADL9" s="9"/>
      <c r="ADM9" s="9"/>
      <c r="ADN9" s="9"/>
      <c r="ADO9" s="9"/>
      <c r="ADP9" s="9"/>
      <c r="ADQ9" s="9"/>
      <c r="ADR9" s="9"/>
      <c r="ADS9" s="9"/>
      <c r="ADT9" s="9"/>
      <c r="ADU9" s="9" t="s">
        <v>1018</v>
      </c>
      <c r="ADV9" s="8">
        <v>0.0</v>
      </c>
      <c r="ADW9" s="8">
        <v>0.0</v>
      </c>
      <c r="ADX9" s="8">
        <v>0.0</v>
      </c>
      <c r="ADY9" s="8">
        <v>0.0</v>
      </c>
      <c r="ADZ9" s="8">
        <v>1.0</v>
      </c>
      <c r="AEA9" s="8">
        <v>1.0</v>
      </c>
      <c r="AEB9" s="8">
        <v>0.0</v>
      </c>
      <c r="AEC9" s="8">
        <v>0.0</v>
      </c>
      <c r="AED9" s="12"/>
      <c r="AEE9" s="17" t="s">
        <v>872</v>
      </c>
      <c r="AEF9" s="9"/>
      <c r="AEG9" s="17" t="s">
        <v>920</v>
      </c>
      <c r="AEH9" s="9"/>
      <c r="AEI9" s="11" t="s">
        <v>999</v>
      </c>
      <c r="AEJ9" s="9" t="s">
        <v>961</v>
      </c>
      <c r="AEK9" s="17" t="s">
        <v>1036</v>
      </c>
      <c r="AEL9" s="18">
        <v>0.0</v>
      </c>
      <c r="AEM9" s="18">
        <v>1.0</v>
      </c>
      <c r="AEN9" s="18">
        <v>1.0</v>
      </c>
      <c r="AEO9" s="18">
        <v>1.0</v>
      </c>
      <c r="AEP9" s="18">
        <v>1.0</v>
      </c>
      <c r="AEQ9" s="18">
        <v>1.0</v>
      </c>
      <c r="AER9" s="18">
        <v>1.0</v>
      </c>
      <c r="AES9" s="18">
        <v>1.0</v>
      </c>
      <c r="AET9" s="18">
        <v>1.0</v>
      </c>
      <c r="AEU9" s="18">
        <v>0.0</v>
      </c>
      <c r="AEV9" s="18">
        <v>0.0</v>
      </c>
      <c r="AEW9" s="18">
        <v>0.0</v>
      </c>
      <c r="AEX9" s="9"/>
      <c r="AEY9" s="9" t="s">
        <v>923</v>
      </c>
      <c r="AEZ9" s="9"/>
      <c r="AFA9" s="9" t="s">
        <v>924</v>
      </c>
      <c r="AFB9" s="9"/>
      <c r="AFC9" s="9" t="s">
        <v>1062</v>
      </c>
      <c r="AFD9" s="16" t="s">
        <v>1063</v>
      </c>
      <c r="AFE9" s="9" t="s">
        <v>1064</v>
      </c>
      <c r="AFF9" s="16" t="s">
        <v>1065</v>
      </c>
      <c r="AFG9" s="9" t="s">
        <v>1066</v>
      </c>
      <c r="AFH9" s="9"/>
      <c r="AFI9" s="9"/>
    </row>
    <row r="10">
      <c r="A10" s="6">
        <v>46058.0</v>
      </c>
      <c r="B10" s="6">
        <v>46058.0</v>
      </c>
      <c r="C10" s="7" t="s">
        <v>837</v>
      </c>
      <c r="D10" s="7" t="s">
        <v>1067</v>
      </c>
      <c r="E10" s="8">
        <v>6.285701460813E12</v>
      </c>
      <c r="F10" s="9"/>
      <c r="G10" s="8">
        <v>-7.36738612</v>
      </c>
      <c r="H10" s="8">
        <v>110.2955068</v>
      </c>
      <c r="I10" s="9"/>
      <c r="J10" s="8">
        <v>2.57</v>
      </c>
      <c r="K10" s="9"/>
      <c r="L10" s="9"/>
      <c r="M10" s="8">
        <v>-7.36783</v>
      </c>
      <c r="N10" s="8">
        <v>110.2955314</v>
      </c>
      <c r="O10" s="9"/>
      <c r="P10" s="8">
        <v>3.92</v>
      </c>
      <c r="Q10" s="9"/>
      <c r="R10" s="9" t="s">
        <v>839</v>
      </c>
      <c r="S10" s="9"/>
      <c r="T10" s="9"/>
      <c r="U10" s="9"/>
      <c r="V10" s="9"/>
      <c r="W10" s="9"/>
      <c r="X10" s="9"/>
      <c r="Y10" s="9"/>
      <c r="Z10" s="9"/>
      <c r="AA10" s="9"/>
      <c r="AB10" s="9"/>
      <c r="AC10" s="7" t="s">
        <v>840</v>
      </c>
      <c r="AD10" s="7" t="s">
        <v>1068</v>
      </c>
      <c r="AE10" s="7" t="s">
        <v>1069</v>
      </c>
      <c r="AF10" s="9" t="s">
        <v>1070</v>
      </c>
      <c r="AG10" s="9" t="s">
        <v>1071</v>
      </c>
      <c r="AH10" s="8">
        <v>2.0</v>
      </c>
      <c r="AI10" s="9" t="s">
        <v>845</v>
      </c>
      <c r="AJ10" s="9" t="s">
        <v>846</v>
      </c>
      <c r="AK10" s="8">
        <v>47.0</v>
      </c>
      <c r="AL10" s="9" t="s">
        <v>847</v>
      </c>
      <c r="AM10" s="9" t="s">
        <v>848</v>
      </c>
      <c r="AN10" s="9" t="s">
        <v>1009</v>
      </c>
      <c r="AO10" s="9" t="s">
        <v>850</v>
      </c>
      <c r="AP10" s="8">
        <v>1.0</v>
      </c>
      <c r="AQ10" s="8">
        <v>0.0</v>
      </c>
      <c r="AR10" s="8">
        <v>0.0</v>
      </c>
      <c r="AS10" s="8">
        <v>0.0</v>
      </c>
      <c r="AT10" s="8">
        <v>0.0</v>
      </c>
      <c r="AU10" s="8">
        <v>0.0</v>
      </c>
      <c r="AV10" s="8">
        <v>0.0</v>
      </c>
      <c r="AW10" s="8">
        <v>0.0</v>
      </c>
      <c r="AX10" s="9"/>
      <c r="AY10" s="9" t="s">
        <v>935</v>
      </c>
      <c r="AZ10" s="8">
        <v>0.0</v>
      </c>
      <c r="BA10" s="8">
        <v>1.0</v>
      </c>
      <c r="BB10" s="8">
        <v>0.0</v>
      </c>
      <c r="BC10" s="8">
        <v>0.0</v>
      </c>
      <c r="BD10" s="8">
        <v>0.0</v>
      </c>
      <c r="BE10" s="8">
        <v>0.0</v>
      </c>
      <c r="BF10" s="8">
        <v>0.0</v>
      </c>
      <c r="BG10" s="8">
        <v>0.0</v>
      </c>
      <c r="BH10" s="9"/>
      <c r="BI10" s="9" t="s">
        <v>852</v>
      </c>
      <c r="BJ10" s="8">
        <v>1.0</v>
      </c>
      <c r="BK10" s="8">
        <v>1.0</v>
      </c>
      <c r="BL10" s="8">
        <v>2.0</v>
      </c>
      <c r="BM10" s="8">
        <v>0.0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856</v>
      </c>
      <c r="CD10" s="8">
        <v>0.0</v>
      </c>
      <c r="CE10" s="8">
        <v>0.0</v>
      </c>
      <c r="CF10" s="8">
        <v>0.0</v>
      </c>
      <c r="CG10" s="8">
        <v>0.0</v>
      </c>
      <c r="CH10" s="8">
        <v>0.0</v>
      </c>
      <c r="CI10" s="8">
        <v>1.0</v>
      </c>
      <c r="CJ10" s="8">
        <v>0.0</v>
      </c>
      <c r="CK10" s="9"/>
      <c r="CL10" s="9" t="s">
        <v>857</v>
      </c>
      <c r="CM10" s="8">
        <v>2023.0</v>
      </c>
      <c r="CN10" s="9" t="s">
        <v>858</v>
      </c>
      <c r="CO10" s="9" t="s">
        <v>859</v>
      </c>
      <c r="CP10" s="9" t="s">
        <v>1060</v>
      </c>
      <c r="CQ10" s="8">
        <v>0.0</v>
      </c>
      <c r="CR10" s="8">
        <v>0.0</v>
      </c>
      <c r="CS10" s="8">
        <v>0.0</v>
      </c>
      <c r="CT10" s="8">
        <v>0.0</v>
      </c>
      <c r="CU10" s="10">
        <v>1.0</v>
      </c>
      <c r="CV10" s="10">
        <v>1.0</v>
      </c>
      <c r="CW10" s="10">
        <v>0.0</v>
      </c>
      <c r="CX10" s="8">
        <v>0.0</v>
      </c>
      <c r="CY10" s="9" t="s">
        <v>1060</v>
      </c>
      <c r="CZ10" s="8">
        <v>1.0</v>
      </c>
      <c r="DA10" s="8">
        <v>1.0</v>
      </c>
      <c r="DB10" s="8">
        <v>0.0</v>
      </c>
      <c r="DC10" s="9"/>
      <c r="DD10" s="9" t="s">
        <v>937</v>
      </c>
      <c r="DE10" s="8">
        <v>1.0</v>
      </c>
      <c r="DF10" s="8">
        <v>0.0</v>
      </c>
      <c r="DG10" s="8">
        <v>1.0</v>
      </c>
      <c r="DH10" s="8">
        <v>0.0</v>
      </c>
      <c r="DI10" s="9"/>
      <c r="DJ10" s="9" t="s">
        <v>937</v>
      </c>
      <c r="DK10" s="8">
        <v>1.0</v>
      </c>
      <c r="DL10" s="8">
        <v>0.0</v>
      </c>
      <c r="DM10" s="8">
        <v>1.0</v>
      </c>
      <c r="DN10" s="8">
        <v>0.0</v>
      </c>
      <c r="DO10" s="9"/>
      <c r="DP10" s="8">
        <v>1.0</v>
      </c>
      <c r="DQ10" s="8">
        <v>1.0</v>
      </c>
      <c r="DR10" s="8">
        <v>0.0</v>
      </c>
      <c r="DS10" s="9"/>
      <c r="DT10" s="9"/>
      <c r="DU10" s="9"/>
      <c r="DV10" s="9" t="s">
        <v>857</v>
      </c>
      <c r="DW10" s="9"/>
      <c r="DX10" s="9"/>
      <c r="DY10" s="9"/>
      <c r="DZ10" s="9"/>
      <c r="EA10" s="9"/>
      <c r="EB10" s="9"/>
      <c r="EC10" s="9"/>
      <c r="ED10" s="9"/>
      <c r="EE10" s="9"/>
      <c r="EF10" s="9"/>
      <c r="EG10" s="9"/>
      <c r="EH10" s="9"/>
      <c r="EI10" s="9" t="s">
        <v>862</v>
      </c>
      <c r="EJ10" s="8">
        <v>0.0</v>
      </c>
      <c r="EK10" s="8">
        <v>0.0</v>
      </c>
      <c r="EL10" s="8">
        <v>0.0</v>
      </c>
      <c r="EM10" s="8">
        <v>1.0</v>
      </c>
      <c r="EN10" s="8">
        <v>0.0</v>
      </c>
      <c r="EO10" s="11"/>
      <c r="EP10" s="9" t="s">
        <v>863</v>
      </c>
      <c r="EQ10" s="9" t="s">
        <v>864</v>
      </c>
      <c r="ER10" s="9" t="s">
        <v>1046</v>
      </c>
      <c r="ES10" s="8">
        <v>1.0</v>
      </c>
      <c r="ET10" s="8">
        <v>1.0</v>
      </c>
      <c r="EU10" s="8">
        <v>0.0</v>
      </c>
      <c r="EV10" s="8">
        <v>0.0</v>
      </c>
      <c r="EW10" s="9"/>
      <c r="EX10" s="9" t="s">
        <v>1013</v>
      </c>
      <c r="EY10" s="8">
        <v>1.0</v>
      </c>
      <c r="EZ10" s="8">
        <v>1.0</v>
      </c>
      <c r="FA10" s="8">
        <v>0.0</v>
      </c>
      <c r="FB10" s="9"/>
      <c r="FC10" s="9" t="s">
        <v>1072</v>
      </c>
      <c r="FD10" s="9"/>
      <c r="FE10" s="9" t="s">
        <v>867</v>
      </c>
      <c r="FF10" s="9" t="s">
        <v>868</v>
      </c>
      <c r="FG10" s="9" t="s">
        <v>867</v>
      </c>
      <c r="FH10" s="9" t="s">
        <v>869</v>
      </c>
      <c r="FI10" s="9" t="s">
        <v>867</v>
      </c>
      <c r="FJ10" s="9" t="s">
        <v>869</v>
      </c>
      <c r="FK10" s="9" t="s">
        <v>867</v>
      </c>
      <c r="FL10" s="9" t="s">
        <v>943</v>
      </c>
      <c r="FM10" s="9" t="s">
        <v>867</v>
      </c>
      <c r="FN10" s="9" t="s">
        <v>869</v>
      </c>
      <c r="FO10" s="9" t="s">
        <v>867</v>
      </c>
      <c r="FP10" s="9" t="s">
        <v>943</v>
      </c>
      <c r="FQ10" s="9" t="s">
        <v>867</v>
      </c>
      <c r="FR10" s="9" t="s">
        <v>857</v>
      </c>
      <c r="FS10" s="9" t="s">
        <v>867</v>
      </c>
      <c r="FT10" s="9" t="s">
        <v>871</v>
      </c>
      <c r="FU10" s="9" t="s">
        <v>989</v>
      </c>
      <c r="FV10" s="8">
        <v>1.0</v>
      </c>
      <c r="FW10" s="8">
        <v>1.0</v>
      </c>
      <c r="FX10" s="8">
        <v>0.0</v>
      </c>
      <c r="FY10" s="8">
        <v>0.0</v>
      </c>
      <c r="FZ10" s="9" t="s">
        <v>944</v>
      </c>
      <c r="GA10" s="9" t="s">
        <v>990</v>
      </c>
      <c r="GB10" s="8">
        <v>1.0</v>
      </c>
      <c r="GC10" s="8">
        <v>1.0</v>
      </c>
      <c r="GD10" s="8">
        <v>0.0</v>
      </c>
      <c r="GE10" s="8">
        <v>0.0</v>
      </c>
      <c r="GF10" s="9"/>
      <c r="GG10" s="9" t="s">
        <v>875</v>
      </c>
      <c r="GH10" s="9" t="s">
        <v>857</v>
      </c>
      <c r="GI10" s="9" t="s">
        <v>876</v>
      </c>
      <c r="GJ10" s="8">
        <v>1.0</v>
      </c>
      <c r="GK10" s="8">
        <v>0.0</v>
      </c>
      <c r="GL10" s="8">
        <v>0.0</v>
      </c>
      <c r="GM10" s="8">
        <v>0.0</v>
      </c>
      <c r="GN10" s="9"/>
      <c r="GO10" s="8">
        <v>8.0</v>
      </c>
      <c r="GP10" s="9" t="s">
        <v>877</v>
      </c>
      <c r="GQ10" s="9" t="s">
        <v>878</v>
      </c>
      <c r="GR10" s="8">
        <v>1.0</v>
      </c>
      <c r="GS10" s="8">
        <v>1.0</v>
      </c>
      <c r="GT10" s="8">
        <v>0.0</v>
      </c>
      <c r="GU10" s="8">
        <v>0.0</v>
      </c>
      <c r="GV10" s="8">
        <v>0.0</v>
      </c>
      <c r="GW10" s="8">
        <v>0.0</v>
      </c>
      <c r="GX10" s="8">
        <v>0.0</v>
      </c>
      <c r="GY10" s="9"/>
      <c r="GZ10" s="9" t="s">
        <v>857</v>
      </c>
      <c r="HA10" s="8">
        <v>150.0</v>
      </c>
      <c r="HB10" s="8">
        <v>150000.0</v>
      </c>
      <c r="HC10" s="8">
        <v>50.0</v>
      </c>
      <c r="HD10" s="8">
        <v>50000.0</v>
      </c>
      <c r="HE10" s="8">
        <v>12.0</v>
      </c>
      <c r="HF10" s="8">
        <v>100000.0</v>
      </c>
      <c r="HG10" s="8">
        <v>3.0</v>
      </c>
      <c r="HH10" s="8">
        <v>25000.0</v>
      </c>
      <c r="HI10" s="9"/>
      <c r="HJ10" s="9"/>
      <c r="HK10" s="9"/>
      <c r="HL10" s="9"/>
      <c r="HM10" s="9"/>
      <c r="HN10" s="9"/>
      <c r="HO10" s="9"/>
      <c r="HP10" s="9"/>
      <c r="HQ10" s="9"/>
      <c r="HR10" s="9"/>
      <c r="HS10" s="9"/>
      <c r="HT10" s="9"/>
      <c r="HU10" s="9"/>
      <c r="HV10" s="9"/>
      <c r="HW10" s="9"/>
      <c r="HX10" s="9"/>
      <c r="HY10" s="8">
        <v>100.0</v>
      </c>
      <c r="HZ10" s="8">
        <v>100000.0</v>
      </c>
      <c r="IA10" s="8">
        <v>9.0</v>
      </c>
      <c r="IB10" s="8">
        <v>75000.0</v>
      </c>
      <c r="IC10" s="9"/>
      <c r="ID10" s="9"/>
      <c r="IE10" s="9"/>
      <c r="IF10" s="9"/>
      <c r="IG10" s="9"/>
      <c r="IH10" s="9"/>
      <c r="II10" s="9"/>
      <c r="IJ10" s="9"/>
      <c r="IK10" s="9" t="s">
        <v>879</v>
      </c>
      <c r="IL10" s="9" t="s">
        <v>880</v>
      </c>
      <c r="IM10" s="9" t="s">
        <v>857</v>
      </c>
      <c r="IN10" s="9" t="s">
        <v>881</v>
      </c>
      <c r="IO10" s="9" t="s">
        <v>882</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884</v>
      </c>
      <c r="KT10" s="9" t="s">
        <v>886</v>
      </c>
      <c r="KU10" s="9" t="s">
        <v>886</v>
      </c>
      <c r="KV10" s="9" t="s">
        <v>989</v>
      </c>
      <c r="KW10" s="8">
        <v>1.0</v>
      </c>
      <c r="KX10" s="8">
        <v>1.0</v>
      </c>
      <c r="KY10" s="8">
        <v>0.0</v>
      </c>
      <c r="KZ10" s="8">
        <v>0.0</v>
      </c>
      <c r="LA10" s="9" t="s">
        <v>884</v>
      </c>
      <c r="LB10" s="9" t="s">
        <v>884</v>
      </c>
      <c r="LC10" s="8">
        <v>3.0</v>
      </c>
      <c r="LD10" s="8">
        <v>3.0</v>
      </c>
      <c r="LE10" s="8">
        <v>0.0</v>
      </c>
      <c r="LF10" s="8">
        <v>0.0</v>
      </c>
      <c r="LG10" s="9" t="s">
        <v>857</v>
      </c>
      <c r="LH10" s="8">
        <v>150000.0</v>
      </c>
      <c r="LI10" s="9"/>
      <c r="LJ10" s="9" t="s">
        <v>887</v>
      </c>
      <c r="LK10" s="8">
        <v>0.0</v>
      </c>
      <c r="LL10" s="8">
        <v>0.0</v>
      </c>
      <c r="LM10" s="8">
        <v>0.0</v>
      </c>
      <c r="LN10" s="8">
        <v>0.0</v>
      </c>
      <c r="LO10" s="8">
        <v>1.0</v>
      </c>
      <c r="LP10" s="8">
        <v>0.0</v>
      </c>
      <c r="LQ10" s="8">
        <v>0.0</v>
      </c>
      <c r="LR10" s="9"/>
      <c r="LS10" s="8">
        <v>15.0</v>
      </c>
      <c r="LT10" s="8">
        <v>15.0</v>
      </c>
      <c r="LU10" s="8">
        <v>0.0</v>
      </c>
      <c r="LV10" s="8">
        <v>5.0</v>
      </c>
      <c r="LW10" s="8">
        <v>5.0</v>
      </c>
      <c r="LX10" s="8">
        <v>0.0</v>
      </c>
      <c r="LY10" s="8">
        <v>5.0</v>
      </c>
      <c r="LZ10" s="8">
        <v>5.0</v>
      </c>
      <c r="MA10" s="8">
        <v>0.0</v>
      </c>
      <c r="MB10" s="9" t="s">
        <v>857</v>
      </c>
      <c r="MC10" s="8">
        <v>30.0</v>
      </c>
      <c r="MD10" s="8">
        <v>15.0</v>
      </c>
      <c r="ME10" s="8">
        <v>30.0</v>
      </c>
      <c r="MF10" s="8">
        <v>15.0</v>
      </c>
      <c r="MG10" s="8">
        <v>0.0</v>
      </c>
      <c r="MH10" s="8">
        <v>0.0</v>
      </c>
      <c r="MI10" s="9" t="s">
        <v>946</v>
      </c>
      <c r="MJ10" s="8">
        <v>0.0</v>
      </c>
      <c r="MK10" s="8">
        <v>0.0</v>
      </c>
      <c r="ML10" s="8">
        <v>1.0</v>
      </c>
      <c r="MM10" s="8">
        <v>0.0</v>
      </c>
      <c r="MN10" s="8">
        <v>0.0</v>
      </c>
      <c r="MO10" s="8">
        <v>0.0</v>
      </c>
      <c r="MP10" s="9"/>
      <c r="MQ10" s="9"/>
      <c r="MR10" s="9" t="s">
        <v>947</v>
      </c>
      <c r="MS10" s="9"/>
      <c r="MT10" s="9" t="s">
        <v>888</v>
      </c>
      <c r="MU10" s="9" t="s">
        <v>1030</v>
      </c>
      <c r="MV10" s="9" t="s">
        <v>949</v>
      </c>
      <c r="MW10" s="8">
        <v>1.0</v>
      </c>
      <c r="MX10" s="8">
        <v>0.0</v>
      </c>
      <c r="MY10" s="8">
        <v>0.0</v>
      </c>
      <c r="MZ10" s="8">
        <v>0.0</v>
      </c>
      <c r="NA10" s="9"/>
      <c r="NB10" s="9"/>
      <c r="NC10" s="9"/>
      <c r="ND10" s="9"/>
      <c r="NE10" s="9"/>
      <c r="NF10" s="9"/>
      <c r="NG10" s="9"/>
      <c r="NH10" s="9"/>
      <c r="NI10" s="9"/>
      <c r="NJ10" s="9"/>
      <c r="NK10" s="9"/>
      <c r="NL10" s="9" t="s">
        <v>881</v>
      </c>
      <c r="NM10" s="9" t="s">
        <v>893</v>
      </c>
      <c r="NN10" s="9" t="s">
        <v>993</v>
      </c>
      <c r="NO10" s="9" t="s">
        <v>973</v>
      </c>
      <c r="NP10" s="9"/>
      <c r="NQ10" s="9"/>
      <c r="NR10" s="9"/>
      <c r="NS10" s="9"/>
      <c r="NT10" s="9"/>
      <c r="NU10" s="9"/>
      <c r="NV10" s="9" t="s">
        <v>896</v>
      </c>
      <c r="NW10" s="9"/>
      <c r="NX10" s="9" t="s">
        <v>897</v>
      </c>
      <c r="NY10" s="8">
        <v>30.0</v>
      </c>
      <c r="NZ10" s="8">
        <v>0.0</v>
      </c>
      <c r="OA10" s="8">
        <v>0.0</v>
      </c>
      <c r="OB10" s="8">
        <v>5.0</v>
      </c>
      <c r="OC10" s="8">
        <v>5.0</v>
      </c>
      <c r="OD10" s="8">
        <v>0.0</v>
      </c>
      <c r="OE10" s="9" t="s">
        <v>898</v>
      </c>
      <c r="OF10" s="9" t="s">
        <v>899</v>
      </c>
      <c r="OG10" s="9" t="s">
        <v>857</v>
      </c>
      <c r="OH10" s="8">
        <v>5.0</v>
      </c>
      <c r="OI10" s="8">
        <v>0.0</v>
      </c>
      <c r="OJ10" s="8">
        <v>0.0</v>
      </c>
      <c r="OK10" s="8">
        <v>0.0</v>
      </c>
      <c r="OL10" s="8">
        <v>0.0</v>
      </c>
      <c r="OM10" s="8">
        <v>0.0</v>
      </c>
      <c r="ON10" s="8">
        <v>0.0</v>
      </c>
      <c r="OO10" s="8">
        <v>0.0</v>
      </c>
      <c r="OP10" s="9" t="str">
        <f>VLOOKUP(AG10,'BUS 2'!$G$1:$CU$424,2,0)</f>
        <v>#N/A</v>
      </c>
      <c r="OQ10" s="8" t="str">
        <f>VLOOKUP(AG10,'BUS 2'!$G$1:$CU$424,3,0)</f>
        <v>#N/A</v>
      </c>
      <c r="OR10" s="8" t="str">
        <f>VLOOKUP(AG10,'BUS 2'!$G$1:$CU$424,4,0)</f>
        <v>#N/A</v>
      </c>
      <c r="OS10" s="8" t="str">
        <f>VLOOKUP(AG10,'BUS 2'!$G$1:$CU$424,5,0)</f>
        <v>#N/A</v>
      </c>
      <c r="OT10" s="8" t="str">
        <f>VLOOKUP(AG10,'BUS 2'!$G$1:$CU$424,6,0)</f>
        <v>#N/A</v>
      </c>
      <c r="OU10" s="8" t="str">
        <f>VLOOKUP(AG10,'BUS 2'!$G$1:$CU$424,7,0)</f>
        <v>#N/A</v>
      </c>
      <c r="OV10" s="8" t="str">
        <f>VLOOKUP(AG10,'BUS 2'!$G$1:$CU$424,8,0)</f>
        <v>#N/A</v>
      </c>
      <c r="OW10" s="8" t="str">
        <f>VLOOKUP(AG10,'BUS 2'!$G$1:$CU$424,9,0)</f>
        <v>#N/A</v>
      </c>
      <c r="OX10" s="8" t="str">
        <f>VLOOKUP(AG10,'BUS 2'!$G$1:$CU$424,10,0)</f>
        <v>#N/A</v>
      </c>
      <c r="OY10" s="8" t="str">
        <f>VLOOKUP(AG10,'BUS 2'!$G$1:$CU$424,11,0)</f>
        <v>#N/A</v>
      </c>
      <c r="OZ10" s="8" t="str">
        <f>VLOOKUP(AG10,'BUS 2'!$G$1:$CU$424,12,0)</f>
        <v>#N/A</v>
      </c>
      <c r="PA10" s="8" t="str">
        <f>VLOOKUP(AG10,'BUS 2'!$G$1:$CU$424,13,0)</f>
        <v>#N/A</v>
      </c>
      <c r="PB10" s="8" t="str">
        <f>VLOOKUP(AG10,'BUS 2'!$G$1:$CU$424,14,0)</f>
        <v>#N/A</v>
      </c>
      <c r="PC10" s="8" t="str">
        <f>VLOOKUP(AG10,'BUS 2'!$G$1:$CU$424,15,0)</f>
        <v>#N/A</v>
      </c>
      <c r="PD10" s="8" t="str">
        <f>VLOOKUP(AG10,'BUS 2'!$G$1:$CU$424,16,0)</f>
        <v>#N/A</v>
      </c>
      <c r="PE10" s="8" t="str">
        <f>VLOOKUP(AG10,'BUS 2'!$G$1:$CU$424,17,0)</f>
        <v>#N/A</v>
      </c>
      <c r="PF10" s="8" t="str">
        <f>VLOOKUP(AG10,'BUS 2'!$G$1:$CU$424,18,0)</f>
        <v>#N/A</v>
      </c>
      <c r="PG10" s="8" t="str">
        <f>VLOOKUP(AG10,'BUS 2'!$G$1:$CU$424,19,0)</f>
        <v>#N/A</v>
      </c>
      <c r="PH10" s="8" t="str">
        <f>VLOOKUP(AG10,'BUS 2'!$G$1:$CU$424,20,0)</f>
        <v>#N/A</v>
      </c>
      <c r="PI10" s="8" t="str">
        <f>VLOOKUP(AG10,'BUS 2'!$G$1:$CU$424,21,0)</f>
        <v>#N/A</v>
      </c>
      <c r="PJ10" s="8" t="str">
        <f>VLOOKUP(AG10,'BUS 2'!$G$1:$CU$424,22,0)</f>
        <v>#N/A</v>
      </c>
      <c r="PK10" s="8" t="str">
        <f>VLOOKUP(AG10,'BUS 2'!$G$1:$CU$424,23,0)</f>
        <v>#N/A</v>
      </c>
      <c r="PL10" s="8" t="str">
        <f>VLOOKUP(AG10,'BUS 2'!$G$1:$CU$424,24,0)</f>
        <v>#N/A</v>
      </c>
      <c r="PM10" s="8" t="str">
        <f>VLOOKUP(AG10,'BUS 2'!$G$1:$CU$424,25,0)</f>
        <v>#N/A</v>
      </c>
      <c r="PN10" s="8" t="str">
        <f>VLOOKUP(AG10,'BUS 2'!$G$1:$CU$424,26,0)</f>
        <v>#N/A</v>
      </c>
      <c r="PO10" s="8" t="str">
        <f>VLOOKUP(AG10,'BUS 2'!$G$1:$CU$424,27,0)</f>
        <v>#N/A</v>
      </c>
      <c r="PP10" s="8" t="str">
        <f>VLOOKUP(AG10,'BUS 2'!$G$1:$CU$424,28,0)</f>
        <v>#N/A</v>
      </c>
      <c r="PQ10" s="8" t="str">
        <f>VLOOKUP(AG10,'BUS 2'!$G$1:$CU$424,29,0)</f>
        <v>#N/A</v>
      </c>
      <c r="PR10" s="8" t="str">
        <f>VLOOKUP(AG10,'BUS 2'!$G$1:$CU$424,30,0)</f>
        <v>#N/A</v>
      </c>
      <c r="PS10" s="8" t="str">
        <f>VLOOKUP(AG10,'BUS 2'!$G$1:$CU$424,31,0)</f>
        <v>#N/A</v>
      </c>
      <c r="PT10" s="9" t="s">
        <v>900</v>
      </c>
      <c r="PU10" s="8">
        <v>1.0</v>
      </c>
      <c r="PV10" s="8">
        <v>0.0</v>
      </c>
      <c r="PW10" s="8">
        <v>0.0</v>
      </c>
      <c r="PX10" s="8">
        <v>0.0</v>
      </c>
      <c r="PY10" s="8">
        <v>0.0</v>
      </c>
      <c r="PZ10" s="8">
        <v>0.0</v>
      </c>
      <c r="QA10" s="8">
        <v>1.0</v>
      </c>
      <c r="QB10" s="8">
        <v>0.0</v>
      </c>
      <c r="QC10" s="8">
        <v>0.0</v>
      </c>
      <c r="QD10" s="8">
        <v>0.0</v>
      </c>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8" t="str">
        <f>VLOOKUP(AG10,'BUS 2'!$G$1:$CU$424,33,0)</f>
        <v>#N/A</v>
      </c>
      <c r="SZ10" s="9" t="str">
        <f>VLOOKUP(AG10,'BUS 2'!$G$1:$CU$424,34,0)</f>
        <v>#N/A</v>
      </c>
      <c r="TA10" s="9" t="str">
        <f>VLOOKUP(AG10,'BUS 2'!$G$1:$CU$424,35,0)</f>
        <v>#N/A</v>
      </c>
      <c r="TB10" s="9" t="str">
        <f>VLOOKUP(AG10,'BUS 2'!$G$1:$CU$424,36,0)</f>
        <v>#N/A</v>
      </c>
      <c r="TC10" s="9" t="str">
        <f>VLOOKUP(AG10,'BUS 2'!$G$1:$CU$424,37,0)</f>
        <v>#N/A</v>
      </c>
      <c r="TD10" s="9" t="str">
        <f>VLOOKUP(AG10,'BUS 2'!$G$1:$CU$424,38,0)</f>
        <v>#N/A</v>
      </c>
      <c r="TE10" s="9" t="str">
        <f>VLOOKUP(AG10,'BUS 2'!$G$1:$CU$424,39,0)</f>
        <v>#N/A</v>
      </c>
      <c r="TF10" s="9" t="str">
        <f>VLOOKUP(AG10,'BUS 2'!$G$1:$CU$424,40,0)</f>
        <v>#N/A</v>
      </c>
      <c r="TG10" s="8" t="str">
        <f>VLOOKUP(AG10,'BUS 2'!$G$1:$CU$424,42,0)</f>
        <v>#N/A</v>
      </c>
      <c r="TH10" s="8" t="str">
        <f>VLOOKUP(AG10,'BUS 2'!$G$1:$CU$424,43,0)</f>
        <v>#N/A</v>
      </c>
      <c r="TI10" s="8" t="str">
        <f>VLOOKUP(AG10,'BUS 2'!$G$1:$CU$424,44,0)</f>
        <v>#N/A</v>
      </c>
      <c r="TJ10" s="8" t="str">
        <f>VLOOKUP(AG10,'BUS 2'!$G$1:$CU$424,45,0)</f>
        <v>#N/A</v>
      </c>
      <c r="TK10" s="8" t="str">
        <f>VLOOKUP(AG10,'BUS 2'!$G$1:$CU$424,46,0)</f>
        <v>#N/A</v>
      </c>
      <c r="TL10" s="8" t="str">
        <f>VLOOKUP(AG10,'BUS 2'!$G$1:$CU$424,47,0)</f>
        <v>#N/A</v>
      </c>
      <c r="TM10" s="8" t="str">
        <f>VLOOKUP(AG10,'BUS 2'!$G$1:$CU$424,48,0)</f>
        <v>#N/A</v>
      </c>
      <c r="TN10" s="8" t="str">
        <f>VLOOKUP(AG10,'BUS 2'!$G$1:$CU$424,49,0)</f>
        <v>#N/A</v>
      </c>
      <c r="TO10" s="8" t="str">
        <f>VLOOKUP(AG10,'BUS 2'!$G$1:$CU$424,50,0)</f>
        <v>#N/A</v>
      </c>
      <c r="TP10" s="8" t="str">
        <f>VLOOKUP(AG10,'BUS 2'!$G$1:$CU$424,51,0)</f>
        <v>#N/A</v>
      </c>
      <c r="TQ10" s="8" t="str">
        <f>VLOOKUP(AG10,'BUS 2'!$G$1:$CU$424,52,0)</f>
        <v>#N/A</v>
      </c>
      <c r="TR10" s="8" t="str">
        <f>VLOOKUP(AG10,'BUS 2'!$G$1:$CU$424,53,0)</f>
        <v>#N/A</v>
      </c>
      <c r="TS10" s="9" t="str">
        <f>VLOOKUP(AG10,'BUS 2'!$G$1:$CU$424,54,0)</f>
        <v>#N/A</v>
      </c>
      <c r="TT10" s="9" t="str">
        <f>VLOOKUP(AG10,'BUS 2'!$G$1:$CU$424,55,0)</f>
        <v>#N/A</v>
      </c>
      <c r="TU10" s="9" t="str">
        <f>VLOOKUP(AG10,'BUS 2'!$G$1:$CU$424,56,0)</f>
        <v>#N/A</v>
      </c>
      <c r="TV10" s="9" t="str">
        <f>VLOOKUP(AG10,'BUS 2'!$G$1:$CU$424,57,0)</f>
        <v>#N/A</v>
      </c>
      <c r="TW10" s="9" t="str">
        <f>VLOOKUP(AG10,'BUS 2'!$G$1:$CU$424,58,0)</f>
        <v>#N/A</v>
      </c>
      <c r="TX10" s="9" t="str">
        <f>VLOOKUP(AG10,'BUS 2'!$G$1:$CU$424,59,0)</f>
        <v>#N/A</v>
      </c>
      <c r="TY10" s="9" t="str">
        <f>VLOOKUP(AG10,'BUS 2'!$G$1:$CU$424,60,0)</f>
        <v>#N/A</v>
      </c>
      <c r="TZ10" s="9" t="str">
        <f>VLOOKUP(AG10,'BUS 2'!$G$1:$CU$424,61,0)</f>
        <v>#N/A</v>
      </c>
      <c r="UA10" s="9" t="str">
        <f>VLOOKUP(AG10,'BUS 2'!$G$1:$CU$424,62,0)</f>
        <v>#N/A</v>
      </c>
      <c r="UB10" s="9" t="str">
        <f>VLOOKUP(AG10,'BUS 2'!$G$1:$CU$424,63,0)</f>
        <v>#N/A</v>
      </c>
      <c r="UC10" s="9" t="str">
        <f>VLOOKUP(AG10,'BUS 2'!$G$1:$CU$424,64,0)</f>
        <v>#N/A</v>
      </c>
      <c r="UD10" s="9" t="str">
        <f>VLOOKUP(AG10,'BUS 2'!$G$1:$CU$424,65,0)</f>
        <v>#N/A</v>
      </c>
      <c r="UE10" s="9" t="str">
        <f>VLOOKUP(AG10,'BUS 2'!$G$1:$CU$424,66,0)</f>
        <v>#N/A</v>
      </c>
      <c r="UF10" s="9" t="str">
        <f>VLOOKUP(AG10,'BUS 2'!$G$1:$CU$424,67,0)</f>
        <v>#N/A</v>
      </c>
      <c r="UG10" s="9" t="str">
        <f>VLOOKUP(AG10,'BUS 2'!$G$1:$CU$424,68,0)</f>
        <v>#N/A</v>
      </c>
      <c r="UH10" s="9" t="str">
        <f>VLOOKUP(AG10,'BUS 2'!$G$1:$CU$424,69,0)</f>
        <v>#N/A</v>
      </c>
      <c r="UI10" s="9" t="str">
        <f>VLOOKUP(AG10,'BUS 2'!$G$1:$CU$424,70,0)</f>
        <v>#N/A</v>
      </c>
      <c r="UJ10" s="9" t="str">
        <f>VLOOKUP(AG10,'BUS 2'!$G$1:$CU$424,71,0)</f>
        <v>#N/A</v>
      </c>
      <c r="UK10" s="9" t="str">
        <f>VLOOKUP(AG10,'BUS 2'!$G$1:$CU$424,72,0)</f>
        <v>#N/A</v>
      </c>
      <c r="UL10" s="9" t="str">
        <f>VLOOKUP(AG10,'BUS 2'!$G$1:$CU$424,73,0)</f>
        <v>#N/A</v>
      </c>
      <c r="UM10" s="9" t="str">
        <f>VLOOKUP(AG10,'BUS 2'!$G$1:$CU$424,74,0)</f>
        <v>#N/A</v>
      </c>
      <c r="UN10" s="9" t="str">
        <f>VLOOKUP(AG10,'BUS 2'!$G$1:$CU$424,75,0)</f>
        <v>#N/A</v>
      </c>
      <c r="UO10" s="9" t="str">
        <f>VLOOKUP(AG10,'BUS 2'!$G$1:$CU$424,76,0)</f>
        <v>#N/A</v>
      </c>
      <c r="UP10" s="9" t="str">
        <f>VLOOKUP(AG10,'BUS 2'!$G$1:$CU$424,77,0)</f>
        <v>#N/A</v>
      </c>
      <c r="UQ10" s="9" t="str">
        <f>VLOOKUP(AG10,'BUS 2'!$G$1:$CU$424,78,0)</f>
        <v>#N/A</v>
      </c>
      <c r="UR10" s="9" t="str">
        <f>VLOOKUP(AG10,'BUS 2'!$G$1:$CU$424,79,0)</f>
        <v>#N/A</v>
      </c>
      <c r="US10" s="9" t="str">
        <f>VLOOKUP(AG10,'BUS 2'!$G$1:$CU$424,80,0)</f>
        <v>#N/A</v>
      </c>
      <c r="UT10" s="9" t="str">
        <f>VLOOKUP(AG10,'BUS 2'!$G$1:$CU$424,81,0)</f>
        <v>#N/A</v>
      </c>
      <c r="UU10" s="9" t="s">
        <v>901</v>
      </c>
      <c r="UV10" s="9"/>
      <c r="UW10" s="9"/>
      <c r="UX10" s="9"/>
      <c r="UY10" s="9"/>
      <c r="UZ10" s="9"/>
      <c r="VA10" s="9"/>
      <c r="VB10" s="9"/>
      <c r="VC10" s="9" t="s">
        <v>950</v>
      </c>
      <c r="VD10" s="9"/>
      <c r="VE10" s="9"/>
      <c r="VF10" s="9"/>
      <c r="VG10" s="9"/>
      <c r="VH10" s="9"/>
      <c r="VI10" s="9"/>
      <c r="VJ10" s="9"/>
      <c r="VK10" s="9" t="s">
        <v>903</v>
      </c>
      <c r="VL10" s="9"/>
      <c r="VM10" s="9"/>
      <c r="VN10" s="9"/>
      <c r="VO10" s="9"/>
      <c r="VP10" s="9"/>
      <c r="VQ10" s="9"/>
      <c r="VR10" s="9"/>
      <c r="VS10" s="9" t="s">
        <v>1073</v>
      </c>
      <c r="VT10" s="8">
        <v>0.0</v>
      </c>
      <c r="VU10" s="8">
        <v>0.0</v>
      </c>
      <c r="VV10" s="8">
        <v>0.0</v>
      </c>
      <c r="VW10" s="8">
        <v>0.0</v>
      </c>
      <c r="VX10" s="8">
        <v>0.0</v>
      </c>
      <c r="VY10" s="8">
        <v>0.0</v>
      </c>
      <c r="VZ10" s="8">
        <v>1.0</v>
      </c>
      <c r="WA10" s="8">
        <v>1.0</v>
      </c>
      <c r="WB10" s="8">
        <v>0.0</v>
      </c>
      <c r="WC10" s="8">
        <v>0.0</v>
      </c>
      <c r="WD10" s="8">
        <v>0.0</v>
      </c>
      <c r="WE10" s="8">
        <v>0.0</v>
      </c>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8">
        <v>2.0</v>
      </c>
      <c r="ZW10" s="9"/>
      <c r="ZX10" s="9"/>
      <c r="ZY10" s="9"/>
      <c r="ZZ10" s="9"/>
      <c r="AAA10" s="9"/>
      <c r="AAB10" s="9"/>
      <c r="AAC10" s="9"/>
      <c r="AAD10" s="9" t="s">
        <v>905</v>
      </c>
      <c r="AAE10" s="9"/>
      <c r="AAF10" s="9"/>
      <c r="AAG10" s="9"/>
      <c r="AAH10" s="9"/>
      <c r="AAI10" s="9"/>
      <c r="AAJ10" s="9"/>
      <c r="AAK10" s="9"/>
      <c r="AAL10" s="9" t="s">
        <v>857</v>
      </c>
      <c r="AAM10" s="9" t="s">
        <v>1033</v>
      </c>
      <c r="AAN10" s="8">
        <v>1.0</v>
      </c>
      <c r="AAO10" s="8">
        <v>1.0</v>
      </c>
      <c r="AAP10" s="8">
        <v>200.0</v>
      </c>
      <c r="AAQ10" s="8">
        <v>200.0</v>
      </c>
      <c r="AAR10" s="9" t="s">
        <v>857</v>
      </c>
      <c r="AAS10" s="9" t="s">
        <v>867</v>
      </c>
      <c r="AAT10" s="9" t="s">
        <v>1074</v>
      </c>
      <c r="AAU10" s="8">
        <v>1.0</v>
      </c>
      <c r="AAV10" s="8">
        <v>0.0</v>
      </c>
      <c r="AAW10" s="8">
        <v>0.0</v>
      </c>
      <c r="AAX10" s="8">
        <v>1.0</v>
      </c>
      <c r="AAY10" s="8">
        <v>1.0</v>
      </c>
      <c r="AAZ10" s="8">
        <v>0.0</v>
      </c>
      <c r="ABA10" s="8">
        <v>0.0</v>
      </c>
      <c r="ABB10" s="9" t="s">
        <v>907</v>
      </c>
      <c r="ABC10" s="8">
        <v>1.0</v>
      </c>
      <c r="ABD10" s="8">
        <v>0.0</v>
      </c>
      <c r="ABE10" s="8">
        <v>0.0</v>
      </c>
      <c r="ABF10" s="8">
        <v>0.0</v>
      </c>
      <c r="ABG10" s="8">
        <v>0.0</v>
      </c>
      <c r="ABH10" s="9"/>
      <c r="ABI10" s="9"/>
      <c r="ABJ10" s="9"/>
      <c r="ABK10" s="9"/>
      <c r="ABL10" s="9"/>
      <c r="ABM10" s="9"/>
      <c r="ABN10" s="9"/>
      <c r="ABO10" s="9"/>
      <c r="ABP10" s="9"/>
      <c r="ABQ10" s="11" t="s">
        <v>953</v>
      </c>
      <c r="ABR10" s="9" t="s">
        <v>1075</v>
      </c>
      <c r="ABS10" s="8">
        <v>2000.0</v>
      </c>
      <c r="ABT10" s="8">
        <v>1500.0</v>
      </c>
      <c r="ABU10" s="8">
        <v>250.0</v>
      </c>
      <c r="ABV10" s="8">
        <v>250.0</v>
      </c>
      <c r="ABW10" s="9" t="s">
        <v>910</v>
      </c>
      <c r="ABX10" s="9"/>
      <c r="ABY10" s="8">
        <v>15.0</v>
      </c>
      <c r="ABZ10" s="8">
        <v>5000.0</v>
      </c>
      <c r="ACA10" s="8">
        <v>10.0</v>
      </c>
      <c r="ACB10" s="8">
        <v>5000.0</v>
      </c>
      <c r="ACC10" s="8">
        <v>400.0</v>
      </c>
      <c r="ACD10" s="8">
        <v>600.0</v>
      </c>
      <c r="ACE10" s="9" t="s">
        <v>857</v>
      </c>
      <c r="ACF10" s="9" t="s">
        <v>911</v>
      </c>
      <c r="ACG10" s="9" t="s">
        <v>911</v>
      </c>
      <c r="ACH10" s="9" t="s">
        <v>911</v>
      </c>
      <c r="ACI10" s="9"/>
      <c r="ACJ10" s="9"/>
      <c r="ACK10" s="9" t="s">
        <v>976</v>
      </c>
      <c r="ACL10" s="8">
        <v>0.0</v>
      </c>
      <c r="ACM10" s="8">
        <v>0.0</v>
      </c>
      <c r="ACN10" s="8">
        <v>1.0</v>
      </c>
      <c r="ACO10" s="8">
        <v>1.0</v>
      </c>
      <c r="ACP10" s="8">
        <v>0.0</v>
      </c>
      <c r="ACQ10" s="8">
        <v>0.0</v>
      </c>
      <c r="ACR10" s="8">
        <v>0.0</v>
      </c>
      <c r="ACS10" s="9"/>
      <c r="ACT10" s="9" t="s">
        <v>912</v>
      </c>
      <c r="ACU10" s="9" t="s">
        <v>913</v>
      </c>
      <c r="ACV10" s="9" t="s">
        <v>957</v>
      </c>
      <c r="ACW10" s="9" t="s">
        <v>915</v>
      </c>
      <c r="ACX10" s="9" t="s">
        <v>916</v>
      </c>
      <c r="ACY10" s="9" t="s">
        <v>1017</v>
      </c>
      <c r="ACZ10" s="8">
        <v>1.0</v>
      </c>
      <c r="ADA10" s="8">
        <v>1.0</v>
      </c>
      <c r="ADB10" s="8">
        <v>1.0</v>
      </c>
      <c r="ADC10" s="8">
        <v>0.0</v>
      </c>
      <c r="ADD10" s="9" t="s">
        <v>918</v>
      </c>
      <c r="ADE10" s="9" t="s">
        <v>918</v>
      </c>
      <c r="ADF10" s="9" t="s">
        <v>918</v>
      </c>
      <c r="ADG10" s="9" t="s">
        <v>918</v>
      </c>
      <c r="ADH10" s="9" t="s">
        <v>881</v>
      </c>
      <c r="ADI10" s="9"/>
      <c r="ADJ10" s="9" t="s">
        <v>917</v>
      </c>
      <c r="ADK10" s="9"/>
      <c r="ADL10" s="9"/>
      <c r="ADM10" s="9"/>
      <c r="ADN10" s="9"/>
      <c r="ADO10" s="9"/>
      <c r="ADP10" s="9"/>
      <c r="ADQ10" s="9"/>
      <c r="ADR10" s="9"/>
      <c r="ADS10" s="9"/>
      <c r="ADT10" s="9"/>
      <c r="ADU10" s="9" t="s">
        <v>1018</v>
      </c>
      <c r="ADV10" s="8">
        <v>0.0</v>
      </c>
      <c r="ADW10" s="8">
        <v>0.0</v>
      </c>
      <c r="ADX10" s="8">
        <v>0.0</v>
      </c>
      <c r="ADY10" s="8">
        <v>0.0</v>
      </c>
      <c r="ADZ10" s="8">
        <v>1.0</v>
      </c>
      <c r="AEA10" s="8">
        <v>1.0</v>
      </c>
      <c r="AEB10" s="8">
        <v>0.0</v>
      </c>
      <c r="AEC10" s="8">
        <v>0.0</v>
      </c>
      <c r="AED10" s="12"/>
      <c r="AEE10" s="17" t="s">
        <v>872</v>
      </c>
      <c r="AEF10" s="9"/>
      <c r="AEG10" s="17" t="s">
        <v>920</v>
      </c>
      <c r="AEH10" s="9"/>
      <c r="AEI10" s="11" t="s">
        <v>999</v>
      </c>
      <c r="AEJ10" s="9" t="s">
        <v>961</v>
      </c>
      <c r="AEK10" s="17" t="s">
        <v>1076</v>
      </c>
      <c r="AEL10" s="18">
        <v>1.0</v>
      </c>
      <c r="AEM10" s="18">
        <v>1.0</v>
      </c>
      <c r="AEN10" s="18">
        <v>1.0</v>
      </c>
      <c r="AEO10" s="18">
        <v>1.0</v>
      </c>
      <c r="AEP10" s="18">
        <v>1.0</v>
      </c>
      <c r="AEQ10" s="18">
        <v>1.0</v>
      </c>
      <c r="AER10" s="18">
        <v>1.0</v>
      </c>
      <c r="AES10" s="18">
        <v>1.0</v>
      </c>
      <c r="AET10" s="18">
        <v>0.0</v>
      </c>
      <c r="AEU10" s="18">
        <v>0.0</v>
      </c>
      <c r="AEV10" s="18">
        <v>0.0</v>
      </c>
      <c r="AEW10" s="18">
        <v>0.0</v>
      </c>
      <c r="AEX10" s="9"/>
      <c r="AEY10" s="9" t="s">
        <v>923</v>
      </c>
      <c r="AEZ10" s="9"/>
      <c r="AFA10" s="9" t="s">
        <v>1077</v>
      </c>
      <c r="AFB10" s="9"/>
      <c r="AFC10" s="9" t="s">
        <v>1078</v>
      </c>
      <c r="AFD10" s="16" t="s">
        <v>1079</v>
      </c>
      <c r="AFE10" s="9" t="s">
        <v>1080</v>
      </c>
      <c r="AFF10" s="16" t="s">
        <v>1081</v>
      </c>
      <c r="AFG10" s="9" t="s">
        <v>983</v>
      </c>
      <c r="AFH10" s="9"/>
      <c r="AFI10" s="9"/>
    </row>
    <row r="11">
      <c r="A11" s="6">
        <v>46058.0</v>
      </c>
      <c r="B11" s="6">
        <v>46058.0</v>
      </c>
      <c r="C11" s="7" t="s">
        <v>837</v>
      </c>
      <c r="D11" s="7" t="s">
        <v>1082</v>
      </c>
      <c r="E11" s="8">
        <v>6.282335193685E12</v>
      </c>
      <c r="F11" s="9"/>
      <c r="G11" s="8">
        <v>-7.34482992</v>
      </c>
      <c r="H11" s="8">
        <v>110.2943778</v>
      </c>
      <c r="I11" s="9"/>
      <c r="J11" s="8">
        <v>4.87</v>
      </c>
      <c r="K11" s="9"/>
      <c r="L11" s="9"/>
      <c r="M11" s="8">
        <v>-7.34478297</v>
      </c>
      <c r="N11" s="8">
        <v>110.2943777</v>
      </c>
      <c r="O11" s="9"/>
      <c r="P11" s="8">
        <v>4.88</v>
      </c>
      <c r="Q11" s="9"/>
      <c r="R11" s="9" t="s">
        <v>839</v>
      </c>
      <c r="S11" s="9"/>
      <c r="T11" s="9"/>
      <c r="U11" s="9"/>
      <c r="V11" s="9"/>
      <c r="W11" s="9"/>
      <c r="X11" s="9"/>
      <c r="Y11" s="9"/>
      <c r="Z11" s="9"/>
      <c r="AA11" s="9"/>
      <c r="AB11" s="9"/>
      <c r="AC11" s="7" t="s">
        <v>1025</v>
      </c>
      <c r="AD11" s="7" t="s">
        <v>1083</v>
      </c>
      <c r="AE11" s="7" t="s">
        <v>1084</v>
      </c>
      <c r="AF11" s="9" t="s">
        <v>1070</v>
      </c>
      <c r="AG11" s="9" t="s">
        <v>1085</v>
      </c>
      <c r="AH11" s="8">
        <v>2.0</v>
      </c>
      <c r="AI11" s="9" t="s">
        <v>845</v>
      </c>
      <c r="AJ11" s="9" t="s">
        <v>846</v>
      </c>
      <c r="AK11" s="8">
        <v>59.0</v>
      </c>
      <c r="AL11" s="9" t="s">
        <v>847</v>
      </c>
      <c r="AM11" s="9" t="s">
        <v>848</v>
      </c>
      <c r="AN11" s="9" t="s">
        <v>849</v>
      </c>
      <c r="AO11" s="9" t="s">
        <v>850</v>
      </c>
      <c r="AP11" s="8">
        <v>1.0</v>
      </c>
      <c r="AQ11" s="8">
        <v>0.0</v>
      </c>
      <c r="AR11" s="8">
        <v>0.0</v>
      </c>
      <c r="AS11" s="8">
        <v>0.0</v>
      </c>
      <c r="AT11" s="8">
        <v>0.0</v>
      </c>
      <c r="AU11" s="8">
        <v>0.0</v>
      </c>
      <c r="AV11" s="8">
        <v>0.0</v>
      </c>
      <c r="AW11" s="8">
        <v>0.0</v>
      </c>
      <c r="AX11" s="9"/>
      <c r="AY11" s="9" t="s">
        <v>935</v>
      </c>
      <c r="AZ11" s="8">
        <v>0.0</v>
      </c>
      <c r="BA11" s="8">
        <v>1.0</v>
      </c>
      <c r="BB11" s="8">
        <v>0.0</v>
      </c>
      <c r="BC11" s="8">
        <v>0.0</v>
      </c>
      <c r="BD11" s="8">
        <v>0.0</v>
      </c>
      <c r="BE11" s="8">
        <v>0.0</v>
      </c>
      <c r="BF11" s="8">
        <v>0.0</v>
      </c>
      <c r="BG11" s="8">
        <v>0.0</v>
      </c>
      <c r="BH11" s="9"/>
      <c r="BI11" s="9" t="s">
        <v>852</v>
      </c>
      <c r="BJ11" s="8">
        <v>2.0</v>
      </c>
      <c r="BK11" s="8">
        <v>2.0</v>
      </c>
      <c r="BL11" s="8">
        <v>1.0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856</v>
      </c>
      <c r="CD11" s="8">
        <v>0.0</v>
      </c>
      <c r="CE11" s="8">
        <v>0.0</v>
      </c>
      <c r="CF11" s="8">
        <v>0.0</v>
      </c>
      <c r="CG11" s="8">
        <v>0.0</v>
      </c>
      <c r="CH11" s="8">
        <v>0.0</v>
      </c>
      <c r="CI11" s="8">
        <v>1.0</v>
      </c>
      <c r="CJ11" s="8">
        <v>0.0</v>
      </c>
      <c r="CK11" s="9"/>
      <c r="CL11" s="9" t="s">
        <v>857</v>
      </c>
      <c r="CM11" s="8">
        <v>2023.0</v>
      </c>
      <c r="CN11" s="9" t="s">
        <v>858</v>
      </c>
      <c r="CO11" s="9" t="s">
        <v>859</v>
      </c>
      <c r="CP11" s="9" t="s">
        <v>860</v>
      </c>
      <c r="CQ11" s="8">
        <v>0.0</v>
      </c>
      <c r="CR11" s="8">
        <v>0.0</v>
      </c>
      <c r="CS11" s="8">
        <v>0.0</v>
      </c>
      <c r="CT11" s="8">
        <v>0.0</v>
      </c>
      <c r="CU11" s="10">
        <v>1.0</v>
      </c>
      <c r="CV11" s="10">
        <v>0.0</v>
      </c>
      <c r="CW11" s="10">
        <v>0.0</v>
      </c>
      <c r="CX11" s="8">
        <v>0.0</v>
      </c>
      <c r="CY11" s="9" t="s">
        <v>860</v>
      </c>
      <c r="CZ11" s="8">
        <v>1.0</v>
      </c>
      <c r="DA11" s="8">
        <v>0.0</v>
      </c>
      <c r="DB11" s="8">
        <v>0.0</v>
      </c>
      <c r="DC11" s="9"/>
      <c r="DD11" s="9" t="s">
        <v>937</v>
      </c>
      <c r="DE11" s="8">
        <v>1.0</v>
      </c>
      <c r="DF11" s="8">
        <v>0.0</v>
      </c>
      <c r="DG11" s="8">
        <v>1.0</v>
      </c>
      <c r="DH11" s="8">
        <v>0.0</v>
      </c>
      <c r="DI11" s="9"/>
      <c r="DJ11" s="9" t="s">
        <v>937</v>
      </c>
      <c r="DK11" s="8">
        <v>1.0</v>
      </c>
      <c r="DL11" s="8">
        <v>0.0</v>
      </c>
      <c r="DM11" s="8">
        <v>1.0</v>
      </c>
      <c r="DN11" s="8">
        <v>0.0</v>
      </c>
      <c r="DO11" s="9"/>
      <c r="DP11" s="8">
        <v>1.0</v>
      </c>
      <c r="DQ11" s="8">
        <v>0.0</v>
      </c>
      <c r="DR11" s="8">
        <v>0.0</v>
      </c>
      <c r="DS11" s="9"/>
      <c r="DT11" s="9"/>
      <c r="DU11" s="9"/>
      <c r="DV11" s="9" t="s">
        <v>857</v>
      </c>
      <c r="DW11" s="9"/>
      <c r="DX11" s="9"/>
      <c r="DY11" s="9"/>
      <c r="DZ11" s="9"/>
      <c r="EA11" s="9"/>
      <c r="EB11" s="9"/>
      <c r="EC11" s="9"/>
      <c r="ED11" s="9"/>
      <c r="EE11" s="9"/>
      <c r="EF11" s="9"/>
      <c r="EG11" s="9"/>
      <c r="EH11" s="9"/>
      <c r="EI11" s="9" t="s">
        <v>862</v>
      </c>
      <c r="EJ11" s="8">
        <v>0.0</v>
      </c>
      <c r="EK11" s="8">
        <v>0.0</v>
      </c>
      <c r="EL11" s="8">
        <v>0.0</v>
      </c>
      <c r="EM11" s="8">
        <v>1.0</v>
      </c>
      <c r="EN11" s="8">
        <v>0.0</v>
      </c>
      <c r="EO11" s="11"/>
      <c r="EP11" s="9" t="s">
        <v>863</v>
      </c>
      <c r="EQ11" s="9" t="s">
        <v>864</v>
      </c>
      <c r="ER11" s="9" t="s">
        <v>861</v>
      </c>
      <c r="ES11" s="8">
        <v>1.0</v>
      </c>
      <c r="ET11" s="8">
        <v>0.0</v>
      </c>
      <c r="EU11" s="8">
        <v>0.0</v>
      </c>
      <c r="EV11" s="8">
        <v>0.0</v>
      </c>
      <c r="EW11" s="9"/>
      <c r="EX11" s="9" t="s">
        <v>865</v>
      </c>
      <c r="EY11" s="8">
        <v>1.0</v>
      </c>
      <c r="EZ11" s="8">
        <v>0.0</v>
      </c>
      <c r="FA11" s="8">
        <v>0.0</v>
      </c>
      <c r="FB11" s="9"/>
      <c r="FC11" s="9" t="s">
        <v>866</v>
      </c>
      <c r="FD11" s="9"/>
      <c r="FE11" s="9" t="s">
        <v>867</v>
      </c>
      <c r="FF11" s="9" t="s">
        <v>868</v>
      </c>
      <c r="FG11" s="9" t="s">
        <v>867</v>
      </c>
      <c r="FH11" s="9" t="s">
        <v>869</v>
      </c>
      <c r="FI11" s="9" t="s">
        <v>867</v>
      </c>
      <c r="FJ11" s="9" t="s">
        <v>869</v>
      </c>
      <c r="FK11" s="9" t="s">
        <v>867</v>
      </c>
      <c r="FL11" s="9" t="s">
        <v>868</v>
      </c>
      <c r="FM11" s="9" t="s">
        <v>867</v>
      </c>
      <c r="FN11" s="9" t="s">
        <v>943</v>
      </c>
      <c r="FO11" s="9" t="s">
        <v>867</v>
      </c>
      <c r="FP11" s="9" t="s">
        <v>943</v>
      </c>
      <c r="FQ11" s="9" t="s">
        <v>867</v>
      </c>
      <c r="FR11" s="9" t="s">
        <v>857</v>
      </c>
      <c r="FS11" s="9" t="s">
        <v>867</v>
      </c>
      <c r="FT11" s="9" t="s">
        <v>871</v>
      </c>
      <c r="FU11" s="9" t="s">
        <v>989</v>
      </c>
      <c r="FV11" s="8">
        <v>1.0</v>
      </c>
      <c r="FW11" s="8">
        <v>1.0</v>
      </c>
      <c r="FX11" s="8">
        <v>0.0</v>
      </c>
      <c r="FY11" s="8">
        <v>0.0</v>
      </c>
      <c r="FZ11" s="9" t="s">
        <v>944</v>
      </c>
      <c r="GA11" s="9" t="s">
        <v>990</v>
      </c>
      <c r="GB11" s="8">
        <v>1.0</v>
      </c>
      <c r="GC11" s="8">
        <v>1.0</v>
      </c>
      <c r="GD11" s="8">
        <v>0.0</v>
      </c>
      <c r="GE11" s="8">
        <v>0.0</v>
      </c>
      <c r="GF11" s="9"/>
      <c r="GG11" s="9" t="s">
        <v>875</v>
      </c>
      <c r="GH11" s="9" t="s">
        <v>857</v>
      </c>
      <c r="GI11" s="9" t="s">
        <v>1086</v>
      </c>
      <c r="GJ11" s="8">
        <v>1.0</v>
      </c>
      <c r="GK11" s="8">
        <v>1.0</v>
      </c>
      <c r="GL11" s="8">
        <v>0.0</v>
      </c>
      <c r="GM11" s="8">
        <v>0.0</v>
      </c>
      <c r="GN11" s="9"/>
      <c r="GO11" s="8">
        <v>8.0</v>
      </c>
      <c r="GP11" s="9" t="s">
        <v>877</v>
      </c>
      <c r="GQ11" s="9" t="s">
        <v>878</v>
      </c>
      <c r="GR11" s="8">
        <v>1.0</v>
      </c>
      <c r="GS11" s="8">
        <v>1.0</v>
      </c>
      <c r="GT11" s="8">
        <v>0.0</v>
      </c>
      <c r="GU11" s="8">
        <v>0.0</v>
      </c>
      <c r="GV11" s="8">
        <v>0.0</v>
      </c>
      <c r="GW11" s="8">
        <v>0.0</v>
      </c>
      <c r="GX11" s="8">
        <v>0.0</v>
      </c>
      <c r="GY11" s="9"/>
      <c r="GZ11" s="9" t="s">
        <v>857</v>
      </c>
      <c r="HA11" s="8">
        <v>150.0</v>
      </c>
      <c r="HB11" s="8">
        <v>150000.0</v>
      </c>
      <c r="HC11" s="8">
        <v>25.0</v>
      </c>
      <c r="HD11" s="8">
        <v>25000.0</v>
      </c>
      <c r="HE11" s="8">
        <v>9.0</v>
      </c>
      <c r="HF11" s="8">
        <v>75000.0</v>
      </c>
      <c r="HG11" s="8">
        <v>3.0</v>
      </c>
      <c r="HH11" s="8">
        <v>25000.0</v>
      </c>
      <c r="HI11" s="9"/>
      <c r="HJ11" s="9"/>
      <c r="HK11" s="9"/>
      <c r="HL11" s="9"/>
      <c r="HM11" s="9"/>
      <c r="HN11" s="9"/>
      <c r="HO11" s="9"/>
      <c r="HP11" s="9"/>
      <c r="HQ11" s="9"/>
      <c r="HR11" s="9"/>
      <c r="HS11" s="9"/>
      <c r="HT11" s="9"/>
      <c r="HU11" s="9"/>
      <c r="HV11" s="9"/>
      <c r="HW11" s="9"/>
      <c r="HX11" s="9"/>
      <c r="HY11" s="8">
        <v>100.0</v>
      </c>
      <c r="HZ11" s="8">
        <v>100000.0</v>
      </c>
      <c r="IA11" s="8">
        <v>6.0</v>
      </c>
      <c r="IB11" s="8">
        <v>50000.0</v>
      </c>
      <c r="IC11" s="9"/>
      <c r="ID11" s="9"/>
      <c r="IE11" s="9"/>
      <c r="IF11" s="9"/>
      <c r="IG11" s="9"/>
      <c r="IH11" s="9"/>
      <c r="II11" s="9"/>
      <c r="IJ11" s="9"/>
      <c r="IK11" s="9" t="s">
        <v>879</v>
      </c>
      <c r="IL11" s="9" t="s">
        <v>880</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989</v>
      </c>
      <c r="KW11" s="8">
        <v>1.0</v>
      </c>
      <c r="KX11" s="8">
        <v>1.0</v>
      </c>
      <c r="KY11" s="8">
        <v>0.0</v>
      </c>
      <c r="KZ11" s="8">
        <v>0.0</v>
      </c>
      <c r="LA11" s="9" t="s">
        <v>884</v>
      </c>
      <c r="LB11" s="9" t="s">
        <v>884</v>
      </c>
      <c r="LC11" s="8">
        <v>0.0</v>
      </c>
      <c r="LD11" s="8">
        <v>3.0</v>
      </c>
      <c r="LE11" s="8">
        <v>0.0</v>
      </c>
      <c r="LF11" s="8">
        <v>0.0</v>
      </c>
      <c r="LG11" s="9" t="s">
        <v>857</v>
      </c>
      <c r="LH11" s="8">
        <v>100000.0</v>
      </c>
      <c r="LI11" s="9"/>
      <c r="LJ11" s="9" t="s">
        <v>887</v>
      </c>
      <c r="LK11" s="8">
        <v>0.0</v>
      </c>
      <c r="LL11" s="8">
        <v>0.0</v>
      </c>
      <c r="LM11" s="8">
        <v>0.0</v>
      </c>
      <c r="LN11" s="8">
        <v>0.0</v>
      </c>
      <c r="LO11" s="8">
        <v>1.0</v>
      </c>
      <c r="LP11" s="8">
        <v>0.0</v>
      </c>
      <c r="LQ11" s="8">
        <v>0.0</v>
      </c>
      <c r="LR11" s="9"/>
      <c r="LS11" s="8">
        <v>10.0</v>
      </c>
      <c r="LT11" s="8">
        <v>15.0</v>
      </c>
      <c r="LU11" s="8">
        <v>0.0</v>
      </c>
      <c r="LV11" s="8">
        <v>5.0</v>
      </c>
      <c r="LW11" s="8">
        <v>5.0</v>
      </c>
      <c r="LX11" s="8">
        <v>0.0</v>
      </c>
      <c r="LY11" s="8">
        <v>5.0</v>
      </c>
      <c r="LZ11" s="8">
        <v>5.0</v>
      </c>
      <c r="MA11" s="8">
        <v>0.0</v>
      </c>
      <c r="MB11" s="9" t="s">
        <v>857</v>
      </c>
      <c r="MC11" s="8">
        <v>30.0</v>
      </c>
      <c r="MD11" s="8">
        <v>15.0</v>
      </c>
      <c r="ME11" s="8">
        <v>30.0</v>
      </c>
      <c r="MF11" s="8">
        <v>15.0</v>
      </c>
      <c r="MG11" s="8">
        <v>0.0</v>
      </c>
      <c r="MH11" s="8">
        <v>0.0</v>
      </c>
      <c r="MI11" s="9" t="s">
        <v>946</v>
      </c>
      <c r="MJ11" s="8">
        <v>0.0</v>
      </c>
      <c r="MK11" s="8">
        <v>0.0</v>
      </c>
      <c r="ML11" s="8">
        <v>1.0</v>
      </c>
      <c r="MM11" s="8">
        <v>0.0</v>
      </c>
      <c r="MN11" s="8">
        <v>0.0</v>
      </c>
      <c r="MO11" s="8">
        <v>0.0</v>
      </c>
      <c r="MP11" s="9"/>
      <c r="MQ11" s="9"/>
      <c r="MR11" s="9" t="s">
        <v>1087</v>
      </c>
      <c r="MS11" s="9"/>
      <c r="MT11" s="9" t="s">
        <v>1088</v>
      </c>
      <c r="MU11" s="9" t="s">
        <v>890</v>
      </c>
      <c r="MV11" s="9" t="s">
        <v>1031</v>
      </c>
      <c r="MW11" s="8">
        <v>0.0</v>
      </c>
      <c r="MX11" s="8">
        <v>1.0</v>
      </c>
      <c r="MY11" s="8">
        <v>0.0</v>
      </c>
      <c r="MZ11" s="8">
        <v>0.0</v>
      </c>
      <c r="NA11" s="9"/>
      <c r="NB11" s="8">
        <v>3.0</v>
      </c>
      <c r="NC11" s="9"/>
      <c r="ND11" s="9"/>
      <c r="NE11" s="9"/>
      <c r="NF11" s="9"/>
      <c r="NG11" s="9"/>
      <c r="NH11" s="9"/>
      <c r="NI11" s="9"/>
      <c r="NJ11" s="9"/>
      <c r="NK11" s="9"/>
      <c r="NL11" s="9" t="s">
        <v>881</v>
      </c>
      <c r="NM11" s="9" t="s">
        <v>893</v>
      </c>
      <c r="NN11" s="9" t="s">
        <v>993</v>
      </c>
      <c r="NO11" s="9" t="s">
        <v>973</v>
      </c>
      <c r="NP11" s="9"/>
      <c r="NQ11" s="9"/>
      <c r="NR11" s="9"/>
      <c r="NS11" s="9"/>
      <c r="NT11" s="9"/>
      <c r="NU11" s="9"/>
      <c r="NV11" s="9" t="s">
        <v>896</v>
      </c>
      <c r="NW11" s="9"/>
      <c r="NX11" s="9" t="s">
        <v>897</v>
      </c>
      <c r="NY11" s="8">
        <v>30.0</v>
      </c>
      <c r="NZ11" s="8">
        <v>30.0</v>
      </c>
      <c r="OA11" s="8">
        <v>0.0</v>
      </c>
      <c r="OB11" s="8">
        <v>5.0</v>
      </c>
      <c r="OC11" s="8">
        <v>5.0</v>
      </c>
      <c r="OD11" s="8">
        <v>0.0</v>
      </c>
      <c r="OE11" s="9" t="s">
        <v>898</v>
      </c>
      <c r="OF11" s="9" t="s">
        <v>899</v>
      </c>
      <c r="OG11" s="9" t="s">
        <v>857</v>
      </c>
      <c r="OH11" s="8">
        <v>0.0</v>
      </c>
      <c r="OI11" s="8">
        <v>5.0</v>
      </c>
      <c r="OJ11" s="8">
        <v>0.0</v>
      </c>
      <c r="OK11" s="8">
        <v>0.0</v>
      </c>
      <c r="OL11" s="8">
        <v>0.0</v>
      </c>
      <c r="OM11" s="8">
        <v>0.0</v>
      </c>
      <c r="ON11" s="8">
        <v>0.0</v>
      </c>
      <c r="OO11" s="8">
        <v>0.0</v>
      </c>
      <c r="OP11" s="9" t="str">
        <f>VLOOKUP(AG11,'BUS 2'!$G$1:$CU$424,2,0)</f>
        <v>Sapi perah</v>
      </c>
      <c r="OQ11" s="8">
        <f>VLOOKUP(AG11,'BUS 2'!$G$1:$CU$424,3,0)</f>
        <v>0</v>
      </c>
      <c r="OR11" s="8">
        <f>VLOOKUP(AG11,'BUS 2'!$G$1:$CU$424,4,0)</f>
        <v>1</v>
      </c>
      <c r="OS11" s="8">
        <f>VLOOKUP(AG11,'BUS 2'!$G$1:$CU$424,5,0)</f>
        <v>0</v>
      </c>
      <c r="OT11" s="8">
        <f>VLOOKUP(AG11,'BUS 2'!$G$1:$CU$424,6,0)</f>
        <v>0</v>
      </c>
      <c r="OU11" s="8">
        <f>VLOOKUP(AG11,'BUS 2'!$G$1:$CU$424,7,0)</f>
        <v>0</v>
      </c>
      <c r="OV11" s="8">
        <f>VLOOKUP(AG11,'BUS 2'!$G$1:$CU$424,8,0)</f>
        <v>0</v>
      </c>
      <c r="OW11" s="8">
        <f>VLOOKUP(AG11,'BUS 2'!$G$1:$CU$424,9,0)</f>
        <v>0</v>
      </c>
      <c r="OX11" s="8">
        <f>VLOOKUP(AG11,'BUS 2'!$G$1:$CU$424,10,0)</f>
        <v>0</v>
      </c>
      <c r="OY11" s="8">
        <f>VLOOKUP(AG11,'BUS 2'!$G$1:$CU$424,11,0)</f>
        <v>0</v>
      </c>
      <c r="OZ11" s="8" t="str">
        <f>VLOOKUP(AG11,'BUS 2'!$G$1:$CU$424,12,0)</f>
        <v>Sapi perah</v>
      </c>
      <c r="PA11" s="8">
        <f>VLOOKUP(AG11,'BUS 2'!$G$1:$CU$424,13,0)</f>
        <v>0</v>
      </c>
      <c r="PB11" s="8">
        <f>VLOOKUP(AG11,'BUS 2'!$G$1:$CU$424,14,0)</f>
        <v>1</v>
      </c>
      <c r="PC11" s="8">
        <f>VLOOKUP(AG11,'BUS 2'!$G$1:$CU$424,15,0)</f>
        <v>0</v>
      </c>
      <c r="PD11" s="8">
        <f>VLOOKUP(AG11,'BUS 2'!$G$1:$CU$424,16,0)</f>
        <v>0</v>
      </c>
      <c r="PE11" s="8">
        <f>VLOOKUP(AG11,'BUS 2'!$G$1:$CU$424,17,0)</f>
        <v>0</v>
      </c>
      <c r="PF11" s="8">
        <f>VLOOKUP(AG11,'BUS 2'!$G$1:$CU$424,18,0)</f>
        <v>0</v>
      </c>
      <c r="PG11" s="8">
        <f>VLOOKUP(AG11,'BUS 2'!$G$1:$CU$424,19,0)</f>
        <v>0</v>
      </c>
      <c r="PH11" s="8">
        <f>VLOOKUP(AG11,'BUS 2'!$G$1:$CU$424,20,0)</f>
        <v>0</v>
      </c>
      <c r="PI11" s="8">
        <f>VLOOKUP(AG11,'BUS 2'!$G$1:$CU$424,21,0)</f>
        <v>0</v>
      </c>
      <c r="PJ11" s="8" t="str">
        <f>VLOOKUP(AG11,'BUS 2'!$G$1:$CU$424,22,0)</f>
        <v>Tidak ada</v>
      </c>
      <c r="PK11" s="8">
        <f>VLOOKUP(AG11,'BUS 2'!$G$1:$CU$424,23,0)</f>
        <v>0</v>
      </c>
      <c r="PL11" s="8">
        <f>VLOOKUP(AG11,'BUS 2'!$G$1:$CU$424,24,0)</f>
        <v>0</v>
      </c>
      <c r="PM11" s="8">
        <f>VLOOKUP(AG11,'BUS 2'!$G$1:$CU$424,25,0)</f>
        <v>0</v>
      </c>
      <c r="PN11" s="8">
        <f>VLOOKUP(AG11,'BUS 2'!$G$1:$CU$424,26,0)</f>
        <v>0</v>
      </c>
      <c r="PO11" s="8">
        <f>VLOOKUP(AG11,'BUS 2'!$G$1:$CU$424,27,0)</f>
        <v>0</v>
      </c>
      <c r="PP11" s="8">
        <f>VLOOKUP(AG11,'BUS 2'!$G$1:$CU$424,28,0)</f>
        <v>0</v>
      </c>
      <c r="PQ11" s="8">
        <f>VLOOKUP(AG11,'BUS 2'!$G$1:$CU$424,29,0)</f>
        <v>0</v>
      </c>
      <c r="PR11" s="8">
        <f>VLOOKUP(AG11,'BUS 2'!$G$1:$CU$424,30,0)</f>
        <v>0</v>
      </c>
      <c r="PS11" s="8">
        <f>VLOOKUP(AG11,'BUS 2'!$G$1:$CU$424,31,0)</f>
        <v>1</v>
      </c>
      <c r="PT11" s="9"/>
      <c r="PU11" s="9"/>
      <c r="PV11" s="9"/>
      <c r="PW11" s="9"/>
      <c r="PX11" s="9"/>
      <c r="PY11" s="9"/>
      <c r="PZ11" s="9"/>
      <c r="QA11" s="9"/>
      <c r="QB11" s="9"/>
      <c r="QC11" s="9"/>
      <c r="QD11" s="9"/>
      <c r="QE11" s="9" t="s">
        <v>900</v>
      </c>
      <c r="QF11" s="8">
        <v>0.0</v>
      </c>
      <c r="QG11" s="8">
        <v>0.0</v>
      </c>
      <c r="QH11" s="8">
        <v>0.0</v>
      </c>
      <c r="QI11" s="8">
        <v>0.0</v>
      </c>
      <c r="QJ11" s="8">
        <v>0.0</v>
      </c>
      <c r="QK11" s="8">
        <v>1.0</v>
      </c>
      <c r="QL11" s="8">
        <v>0.0</v>
      </c>
      <c r="QM11" s="8">
        <v>0.0</v>
      </c>
      <c r="QN11" s="8">
        <v>0.0</v>
      </c>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8" t="str">
        <f>VLOOKUP(AG11,'BUS 2'!$G$1:$CU$424,33,0)</f>
        <v/>
      </c>
      <c r="SZ11" s="9">
        <f>VLOOKUP(AG11,'BUS 2'!$G$1:$CU$424,34,0)</f>
        <v>5</v>
      </c>
      <c r="TA11" s="9" t="str">
        <f>VLOOKUP(AG11,'BUS 2'!$G$1:$CU$424,35,0)</f>
        <v/>
      </c>
      <c r="TB11" s="9" t="str">
        <f>VLOOKUP(AG11,'BUS 2'!$G$1:$CU$424,36,0)</f>
        <v/>
      </c>
      <c r="TC11" s="9" t="str">
        <f>VLOOKUP(AG11,'BUS 2'!$G$1:$CU$424,37,0)</f>
        <v/>
      </c>
      <c r="TD11" s="9" t="str">
        <f>VLOOKUP(AG11,'BUS 2'!$G$1:$CU$424,38,0)</f>
        <v/>
      </c>
      <c r="TE11" s="9" t="str">
        <f>VLOOKUP(AG11,'BUS 2'!$G$1:$CU$424,39,0)</f>
        <v/>
      </c>
      <c r="TF11" s="9" t="str">
        <f>VLOOKUP(AG11,'BUS 2'!$G$1:$CU$424,40,0)</f>
        <v/>
      </c>
      <c r="TG11" s="8" t="str">
        <f>VLOOKUP(AG11,'BUS 2'!$G$1:$CU$424,42,0)</f>
        <v/>
      </c>
      <c r="TH11" s="8">
        <f>VLOOKUP(AG11,'BUS 2'!$G$1:$CU$424,43,0)</f>
        <v>5</v>
      </c>
      <c r="TI11" s="8" t="str">
        <f>VLOOKUP(AG11,'BUS 2'!$G$1:$CU$424,44,0)</f>
        <v/>
      </c>
      <c r="TJ11" s="8" t="str">
        <f>VLOOKUP(AG11,'BUS 2'!$G$1:$CU$424,45,0)</f>
        <v/>
      </c>
      <c r="TK11" s="8" t="str">
        <f>VLOOKUP(AG11,'BUS 2'!$G$1:$CU$424,46,0)</f>
        <v/>
      </c>
      <c r="TL11" s="8" t="str">
        <f>VLOOKUP(AG11,'BUS 2'!$G$1:$CU$424,47,0)</f>
        <v/>
      </c>
      <c r="TM11" s="8" t="str">
        <f>VLOOKUP(AG11,'BUS 2'!$G$1:$CU$424,48,0)</f>
        <v/>
      </c>
      <c r="TN11" s="8" t="str">
        <f>VLOOKUP(AG11,'BUS 2'!$G$1:$CU$424,49,0)</f>
        <v/>
      </c>
      <c r="TO11" s="8" t="str">
        <f>VLOOKUP(AG11,'BUS 2'!$G$1:$CU$424,50,0)</f>
        <v/>
      </c>
      <c r="TP11" s="8" t="str">
        <f>VLOOKUP(AG11,'BUS 2'!$G$1:$CU$424,51,0)</f>
        <v/>
      </c>
      <c r="TQ11" s="8" t="str">
        <f>VLOOKUP(AG11,'BUS 2'!$G$1:$CU$424,52,0)</f>
        <v/>
      </c>
      <c r="TR11" s="8" t="str">
        <f>VLOOKUP(AG11,'BUS 2'!$G$1:$CU$424,53,0)</f>
        <v/>
      </c>
      <c r="TS11" s="9" t="str">
        <f>VLOOKUP(AG11,'BUS 2'!$G$1:$CU$424,54,0)</f>
        <v/>
      </c>
      <c r="TT11" s="9" t="str">
        <f>VLOOKUP(AG11,'BUS 2'!$G$1:$CU$424,55,0)</f>
        <v/>
      </c>
      <c r="TU11" s="9" t="str">
        <f>VLOOKUP(AG11,'BUS 2'!$G$1:$CU$424,56,0)</f>
        <v/>
      </c>
      <c r="TV11" s="9" t="str">
        <f>VLOOKUP(AG11,'BUS 2'!$G$1:$CU$424,57,0)</f>
        <v/>
      </c>
      <c r="TW11" s="9" t="str">
        <f>VLOOKUP(AG11,'BUS 2'!$G$1:$CU$424,58,0)</f>
        <v/>
      </c>
      <c r="TX11" s="9" t="str">
        <f>VLOOKUP(AG11,'BUS 2'!$G$1:$CU$424,59,0)</f>
        <v/>
      </c>
      <c r="TY11" s="9" t="str">
        <f>VLOOKUP(AG11,'BUS 2'!$G$1:$CU$424,60,0)</f>
        <v/>
      </c>
      <c r="TZ11" s="9" t="str">
        <f>VLOOKUP(AG11,'BUS 2'!$G$1:$CU$424,61,0)</f>
        <v/>
      </c>
      <c r="UA11" s="9" t="str">
        <f>VLOOKUP(AG11,'BUS 2'!$G$1:$CU$424,62,0)</f>
        <v/>
      </c>
      <c r="UB11" s="9" t="str">
        <f>VLOOKUP(AG11,'BUS 2'!$G$1:$CU$424,63,0)</f>
        <v/>
      </c>
      <c r="UC11" s="9" t="str">
        <f>VLOOKUP(AG11,'BUS 2'!$G$1:$CU$424,64,0)</f>
        <v/>
      </c>
      <c r="UD11" s="9" t="str">
        <f>VLOOKUP(AG11,'BUS 2'!$G$1:$CU$424,65,0)</f>
        <v/>
      </c>
      <c r="UE11" s="9" t="str">
        <f>VLOOKUP(AG11,'BUS 2'!$G$1:$CU$424,66,0)</f>
        <v/>
      </c>
      <c r="UF11" s="9" t="str">
        <f>VLOOKUP(AG11,'BUS 2'!$G$1:$CU$424,67,0)</f>
        <v/>
      </c>
      <c r="UG11" s="9" t="str">
        <f>VLOOKUP(AG11,'BUS 2'!$G$1:$CU$424,68,0)</f>
        <v/>
      </c>
      <c r="UH11" s="9" t="str">
        <f>VLOOKUP(AG11,'BUS 2'!$G$1:$CU$424,69,0)</f>
        <v/>
      </c>
      <c r="UI11" s="9" t="str">
        <f>VLOOKUP(AG11,'BUS 2'!$G$1:$CU$424,70,0)</f>
        <v/>
      </c>
      <c r="UJ11" s="9" t="str">
        <f>VLOOKUP(AG11,'BUS 2'!$G$1:$CU$424,71,0)</f>
        <v/>
      </c>
      <c r="UK11" s="9" t="str">
        <f>VLOOKUP(AG11,'BUS 2'!$G$1:$CU$424,72,0)</f>
        <v/>
      </c>
      <c r="UL11" s="9" t="str">
        <f>VLOOKUP(AG11,'BUS 2'!$G$1:$CU$424,73,0)</f>
        <v/>
      </c>
      <c r="UM11" s="9" t="str">
        <f>VLOOKUP(AG11,'BUS 2'!$G$1:$CU$424,74,0)</f>
        <v/>
      </c>
      <c r="UN11" s="9" t="str">
        <f>VLOOKUP(AG11,'BUS 2'!$G$1:$CU$424,75,0)</f>
        <v/>
      </c>
      <c r="UO11" s="9" t="str">
        <f>VLOOKUP(AG11,'BUS 2'!$G$1:$CU$424,76,0)</f>
        <v/>
      </c>
      <c r="UP11" s="9" t="str">
        <f>VLOOKUP(AG11,'BUS 2'!$G$1:$CU$424,77,0)</f>
        <v/>
      </c>
      <c r="UQ11" s="9" t="str">
        <f>VLOOKUP(AG11,'BUS 2'!$G$1:$CU$424,78,0)</f>
        <v/>
      </c>
      <c r="UR11" s="9" t="str">
        <f>VLOOKUP(AG11,'BUS 2'!$G$1:$CU$424,79,0)</f>
        <v/>
      </c>
      <c r="US11" s="9" t="str">
        <f>VLOOKUP(AG11,'BUS 2'!$G$1:$CU$424,80,0)</f>
        <v/>
      </c>
      <c r="UT11" s="9" t="str">
        <f>VLOOKUP(AG11,'BUS 2'!$G$1:$CU$424,81,0)</f>
        <v/>
      </c>
      <c r="UU11" s="9"/>
      <c r="UV11" s="9" t="s">
        <v>901</v>
      </c>
      <c r="UW11" s="9"/>
      <c r="UX11" s="9"/>
      <c r="UY11" s="9"/>
      <c r="UZ11" s="9"/>
      <c r="VA11" s="9"/>
      <c r="VB11" s="9"/>
      <c r="VC11" s="9"/>
      <c r="VD11" s="9" t="s">
        <v>950</v>
      </c>
      <c r="VE11" s="9"/>
      <c r="VF11" s="9"/>
      <c r="VG11" s="9"/>
      <c r="VH11" s="9"/>
      <c r="VI11" s="9"/>
      <c r="VJ11" s="9"/>
      <c r="VK11" s="9"/>
      <c r="VL11" s="9" t="s">
        <v>903</v>
      </c>
      <c r="VM11" s="9"/>
      <c r="VN11" s="9"/>
      <c r="VO11" s="9"/>
      <c r="VP11" s="9"/>
      <c r="VQ11" s="9"/>
      <c r="VR11" s="9"/>
      <c r="VS11" s="9"/>
      <c r="VT11" s="9"/>
      <c r="VU11" s="9"/>
      <c r="VV11" s="9"/>
      <c r="VW11" s="9"/>
      <c r="VX11" s="9"/>
      <c r="VY11" s="9"/>
      <c r="VZ11" s="9"/>
      <c r="WA11" s="9"/>
      <c r="WB11" s="9"/>
      <c r="WC11" s="9"/>
      <c r="WD11" s="9"/>
      <c r="WE11" s="9"/>
      <c r="WF11" s="9" t="s">
        <v>1089</v>
      </c>
      <c r="WG11" s="8">
        <v>0.0</v>
      </c>
      <c r="WH11" s="8">
        <v>0.0</v>
      </c>
      <c r="WI11" s="8">
        <v>1.0</v>
      </c>
      <c r="WJ11" s="8">
        <v>1.0</v>
      </c>
      <c r="WK11" s="8">
        <v>1.0</v>
      </c>
      <c r="WL11" s="8">
        <v>0.0</v>
      </c>
      <c r="WM11" s="8">
        <v>0.0</v>
      </c>
      <c r="WN11" s="8">
        <v>0.0</v>
      </c>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8">
        <v>2.0</v>
      </c>
      <c r="ZX11" s="9"/>
      <c r="ZY11" s="9"/>
      <c r="ZZ11" s="9"/>
      <c r="AAA11" s="9"/>
      <c r="AAB11" s="9"/>
      <c r="AAC11" s="9"/>
      <c r="AAD11" s="9"/>
      <c r="AAE11" s="9" t="s">
        <v>905</v>
      </c>
      <c r="AAF11" s="9"/>
      <c r="AAG11" s="9"/>
      <c r="AAH11" s="9"/>
      <c r="AAI11" s="9"/>
      <c r="AAJ11" s="9"/>
      <c r="AAK11" s="9"/>
      <c r="AAL11" s="9" t="s">
        <v>857</v>
      </c>
      <c r="AAM11" s="9" t="s">
        <v>1033</v>
      </c>
      <c r="AAN11" s="8">
        <v>1.0</v>
      </c>
      <c r="AAO11" s="8">
        <v>1.0</v>
      </c>
      <c r="AAP11" s="8">
        <v>250000.0</v>
      </c>
      <c r="AAQ11" s="8">
        <v>250.0</v>
      </c>
      <c r="AAR11" s="9" t="s">
        <v>857</v>
      </c>
      <c r="AAS11" s="9" t="s">
        <v>867</v>
      </c>
      <c r="AAT11" s="9" t="s">
        <v>1074</v>
      </c>
      <c r="AAU11" s="8">
        <v>1.0</v>
      </c>
      <c r="AAV11" s="8">
        <v>0.0</v>
      </c>
      <c r="AAW11" s="8">
        <v>0.0</v>
      </c>
      <c r="AAX11" s="8">
        <v>1.0</v>
      </c>
      <c r="AAY11" s="8">
        <v>1.0</v>
      </c>
      <c r="AAZ11" s="8">
        <v>0.0</v>
      </c>
      <c r="ABA11" s="8">
        <v>0.0</v>
      </c>
      <c r="ABB11" s="9" t="s">
        <v>907</v>
      </c>
      <c r="ABC11" s="8">
        <v>1.0</v>
      </c>
      <c r="ABD11" s="8">
        <v>0.0</v>
      </c>
      <c r="ABE11" s="8">
        <v>0.0</v>
      </c>
      <c r="ABF11" s="8">
        <v>0.0</v>
      </c>
      <c r="ABG11" s="8">
        <v>0.0</v>
      </c>
      <c r="ABH11" s="9"/>
      <c r="ABI11" s="9"/>
      <c r="ABJ11" s="9"/>
      <c r="ABK11" s="9"/>
      <c r="ABL11" s="9"/>
      <c r="ABM11" s="9"/>
      <c r="ABN11" s="9"/>
      <c r="ABO11" s="9"/>
      <c r="ABP11" s="9"/>
      <c r="ABQ11" s="11" t="s">
        <v>953</v>
      </c>
      <c r="ABR11" s="9" t="s">
        <v>1075</v>
      </c>
      <c r="ABS11" s="8">
        <v>2500.0</v>
      </c>
      <c r="ABT11" s="8">
        <v>2000.0</v>
      </c>
      <c r="ABU11" s="8">
        <v>400.0</v>
      </c>
      <c r="ABV11" s="8">
        <v>400.0</v>
      </c>
      <c r="ABW11" s="9" t="s">
        <v>910</v>
      </c>
      <c r="ABX11" s="9"/>
      <c r="ABY11" s="8">
        <v>20.0</v>
      </c>
      <c r="ABZ11" s="8">
        <v>10.0</v>
      </c>
      <c r="ACA11" s="8">
        <v>10.0</v>
      </c>
      <c r="ACB11" s="8">
        <v>5000.0</v>
      </c>
      <c r="ACC11" s="8">
        <v>400.0</v>
      </c>
      <c r="ACD11" s="8">
        <v>600.0</v>
      </c>
      <c r="ACE11" s="9" t="s">
        <v>857</v>
      </c>
      <c r="ACF11" s="9" t="s">
        <v>911</v>
      </c>
      <c r="ACG11" s="9" t="s">
        <v>911</v>
      </c>
      <c r="ACH11" s="9" t="s">
        <v>911</v>
      </c>
      <c r="ACI11" s="9"/>
      <c r="ACJ11" s="9"/>
      <c r="ACK11" s="9" t="s">
        <v>976</v>
      </c>
      <c r="ACL11" s="8">
        <v>0.0</v>
      </c>
      <c r="ACM11" s="8">
        <v>0.0</v>
      </c>
      <c r="ACN11" s="8">
        <v>1.0</v>
      </c>
      <c r="ACO11" s="8">
        <v>1.0</v>
      </c>
      <c r="ACP11" s="8">
        <v>0.0</v>
      </c>
      <c r="ACQ11" s="8">
        <v>0.0</v>
      </c>
      <c r="ACR11" s="8">
        <v>0.0</v>
      </c>
      <c r="ACS11" s="9"/>
      <c r="ACT11" s="9" t="s">
        <v>912</v>
      </c>
      <c r="ACU11" s="9" t="s">
        <v>913</v>
      </c>
      <c r="ACV11" s="9" t="s">
        <v>957</v>
      </c>
      <c r="ACW11" s="9" t="s">
        <v>915</v>
      </c>
      <c r="ACX11" s="9" t="s">
        <v>916</v>
      </c>
      <c r="ACY11" s="9" t="s">
        <v>1017</v>
      </c>
      <c r="ACZ11" s="8">
        <v>1.0</v>
      </c>
      <c r="ADA11" s="8">
        <v>1.0</v>
      </c>
      <c r="ADB11" s="8">
        <v>1.0</v>
      </c>
      <c r="ADC11" s="8">
        <v>0.0</v>
      </c>
      <c r="ADD11" s="9" t="s">
        <v>917</v>
      </c>
      <c r="ADE11" s="9" t="s">
        <v>917</v>
      </c>
      <c r="ADF11" s="9" t="s">
        <v>917</v>
      </c>
      <c r="ADG11" s="9" t="s">
        <v>917</v>
      </c>
      <c r="ADH11" s="9" t="s">
        <v>881</v>
      </c>
      <c r="ADI11" s="9"/>
      <c r="ADJ11" s="9" t="s">
        <v>917</v>
      </c>
      <c r="ADK11" s="9"/>
      <c r="ADL11" s="9"/>
      <c r="ADM11" s="9"/>
      <c r="ADN11" s="9"/>
      <c r="ADO11" s="9"/>
      <c r="ADP11" s="9"/>
      <c r="ADQ11" s="9"/>
      <c r="ADR11" s="9"/>
      <c r="ADS11" s="9"/>
      <c r="ADT11" s="9"/>
      <c r="ADU11" s="9" t="s">
        <v>1018</v>
      </c>
      <c r="ADV11" s="8">
        <v>0.0</v>
      </c>
      <c r="ADW11" s="8">
        <v>0.0</v>
      </c>
      <c r="ADX11" s="8">
        <v>0.0</v>
      </c>
      <c r="ADY11" s="8">
        <v>0.0</v>
      </c>
      <c r="ADZ11" s="8">
        <v>1.0</v>
      </c>
      <c r="AEA11" s="8">
        <v>1.0</v>
      </c>
      <c r="AEB11" s="8">
        <v>0.0</v>
      </c>
      <c r="AEC11" s="8">
        <v>0.0</v>
      </c>
      <c r="AED11" s="12"/>
      <c r="AEE11" s="17" t="s">
        <v>872</v>
      </c>
      <c r="AEF11" s="9"/>
      <c r="AEG11" s="17" t="s">
        <v>920</v>
      </c>
      <c r="AEH11" s="9"/>
      <c r="AEI11" s="11" t="s">
        <v>999</v>
      </c>
      <c r="AEJ11" s="9" t="s">
        <v>871</v>
      </c>
      <c r="AEK11" s="17" t="s">
        <v>1076</v>
      </c>
      <c r="AEL11" s="18">
        <v>1.0</v>
      </c>
      <c r="AEM11" s="18">
        <v>1.0</v>
      </c>
      <c r="AEN11" s="18">
        <v>1.0</v>
      </c>
      <c r="AEO11" s="18">
        <v>1.0</v>
      </c>
      <c r="AEP11" s="18">
        <v>1.0</v>
      </c>
      <c r="AEQ11" s="18">
        <v>1.0</v>
      </c>
      <c r="AER11" s="18">
        <v>1.0</v>
      </c>
      <c r="AES11" s="18">
        <v>1.0</v>
      </c>
      <c r="AET11" s="18">
        <v>0.0</v>
      </c>
      <c r="AEU11" s="18">
        <v>0.0</v>
      </c>
      <c r="AEV11" s="18">
        <v>0.0</v>
      </c>
      <c r="AEW11" s="18">
        <v>0.0</v>
      </c>
      <c r="AEX11" s="9"/>
      <c r="AEY11" s="9" t="s">
        <v>923</v>
      </c>
      <c r="AEZ11" s="9"/>
      <c r="AFA11" s="9" t="s">
        <v>924</v>
      </c>
      <c r="AFB11" s="9"/>
      <c r="AFC11" s="9" t="s">
        <v>1090</v>
      </c>
      <c r="AFD11" s="16" t="s">
        <v>1091</v>
      </c>
      <c r="AFE11" s="9" t="s">
        <v>1092</v>
      </c>
      <c r="AFF11" s="16" t="s">
        <v>1093</v>
      </c>
      <c r="AFG11" s="9" t="s">
        <v>983</v>
      </c>
      <c r="AFH11" s="9"/>
      <c r="AFI11" s="9"/>
    </row>
    <row r="12">
      <c r="A12" s="6">
        <v>46058.0</v>
      </c>
      <c r="B12" s="6">
        <v>46058.0</v>
      </c>
      <c r="C12" s="7" t="s">
        <v>837</v>
      </c>
      <c r="D12" s="7" t="s">
        <v>1094</v>
      </c>
      <c r="E12" s="8">
        <v>6.288141110797E12</v>
      </c>
      <c r="F12" s="9"/>
      <c r="G12" s="8">
        <v>-7.38530844</v>
      </c>
      <c r="H12" s="8">
        <v>110.3113402</v>
      </c>
      <c r="I12" s="9"/>
      <c r="J12" s="8">
        <v>4.91</v>
      </c>
      <c r="K12" s="9"/>
      <c r="L12" s="9"/>
      <c r="M12" s="8">
        <v>-7.38581244</v>
      </c>
      <c r="N12" s="8">
        <v>110.3112788</v>
      </c>
      <c r="O12" s="9"/>
      <c r="P12" s="8">
        <v>4.86</v>
      </c>
      <c r="Q12" s="9"/>
      <c r="R12" s="9" t="s">
        <v>839</v>
      </c>
      <c r="S12" s="9"/>
      <c r="T12" s="9"/>
      <c r="U12" s="9"/>
      <c r="V12" s="9"/>
      <c r="W12" s="9"/>
      <c r="X12" s="9"/>
      <c r="Y12" s="9"/>
      <c r="Z12" s="9"/>
      <c r="AA12" s="9"/>
      <c r="AB12" s="9"/>
      <c r="AC12" s="7" t="s">
        <v>840</v>
      </c>
      <c r="AD12" s="7" t="s">
        <v>1095</v>
      </c>
      <c r="AE12" s="7" t="s">
        <v>1096</v>
      </c>
      <c r="AF12" s="9" t="s">
        <v>1070</v>
      </c>
      <c r="AG12" s="9" t="s">
        <v>1097</v>
      </c>
      <c r="AH12" s="8">
        <v>2.0</v>
      </c>
      <c r="AI12" s="9" t="s">
        <v>845</v>
      </c>
      <c r="AJ12" s="9" t="s">
        <v>846</v>
      </c>
      <c r="AK12" s="8">
        <v>26.0</v>
      </c>
      <c r="AL12" s="9" t="s">
        <v>847</v>
      </c>
      <c r="AM12" s="9" t="s">
        <v>1098</v>
      </c>
      <c r="AN12" s="9" t="s">
        <v>1099</v>
      </c>
      <c r="AO12" s="9" t="s">
        <v>1100</v>
      </c>
      <c r="AP12" s="8">
        <v>0.0</v>
      </c>
      <c r="AQ12" s="8">
        <v>0.0</v>
      </c>
      <c r="AR12" s="8">
        <v>0.0</v>
      </c>
      <c r="AS12" s="8">
        <v>0.0</v>
      </c>
      <c r="AT12" s="8">
        <v>0.0</v>
      </c>
      <c r="AU12" s="8">
        <v>1.0</v>
      </c>
      <c r="AV12" s="8">
        <v>0.0</v>
      </c>
      <c r="AW12" s="8">
        <v>0.0</v>
      </c>
      <c r="AX12" s="9"/>
      <c r="AY12" s="9" t="s">
        <v>935</v>
      </c>
      <c r="AZ12" s="8">
        <v>0.0</v>
      </c>
      <c r="BA12" s="8">
        <v>1.0</v>
      </c>
      <c r="BB12" s="8">
        <v>0.0</v>
      </c>
      <c r="BC12" s="8">
        <v>0.0</v>
      </c>
      <c r="BD12" s="8">
        <v>0.0</v>
      </c>
      <c r="BE12" s="8">
        <v>0.0</v>
      </c>
      <c r="BF12" s="8">
        <v>0.0</v>
      </c>
      <c r="BG12" s="8">
        <v>0.0</v>
      </c>
      <c r="BH12" s="9"/>
      <c r="BI12" s="9" t="s">
        <v>1101</v>
      </c>
      <c r="BJ12" s="8">
        <v>1.0</v>
      </c>
      <c r="BK12" s="8">
        <v>2.0</v>
      </c>
      <c r="BL12" s="8">
        <v>0.0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2023.0</v>
      </c>
      <c r="CN12" s="9" t="s">
        <v>858</v>
      </c>
      <c r="CO12" s="9" t="s">
        <v>859</v>
      </c>
      <c r="CP12" s="9" t="s">
        <v>860</v>
      </c>
      <c r="CQ12" s="8">
        <v>0.0</v>
      </c>
      <c r="CR12" s="8">
        <v>0.0</v>
      </c>
      <c r="CS12" s="8">
        <v>0.0</v>
      </c>
      <c r="CT12" s="8">
        <v>0.0</v>
      </c>
      <c r="CU12" s="10">
        <v>1.0</v>
      </c>
      <c r="CV12" s="10">
        <v>0.0</v>
      </c>
      <c r="CW12" s="10">
        <v>0.0</v>
      </c>
      <c r="CX12" s="8">
        <v>0.0</v>
      </c>
      <c r="CY12" s="9" t="s">
        <v>860</v>
      </c>
      <c r="CZ12" s="8">
        <v>1.0</v>
      </c>
      <c r="DA12" s="8">
        <v>0.0</v>
      </c>
      <c r="DB12" s="8">
        <v>0.0</v>
      </c>
      <c r="DC12" s="9"/>
      <c r="DD12" s="9" t="s">
        <v>937</v>
      </c>
      <c r="DE12" s="8">
        <v>1.0</v>
      </c>
      <c r="DF12" s="8">
        <v>0.0</v>
      </c>
      <c r="DG12" s="8">
        <v>1.0</v>
      </c>
      <c r="DH12" s="8">
        <v>0.0</v>
      </c>
      <c r="DI12" s="9"/>
      <c r="DJ12" s="9" t="s">
        <v>937</v>
      </c>
      <c r="DK12" s="8">
        <v>1.0</v>
      </c>
      <c r="DL12" s="8">
        <v>0.0</v>
      </c>
      <c r="DM12" s="8">
        <v>1.0</v>
      </c>
      <c r="DN12" s="8">
        <v>0.0</v>
      </c>
      <c r="DO12" s="9"/>
      <c r="DP12" s="8">
        <v>1.0</v>
      </c>
      <c r="DQ12" s="8">
        <v>0.0</v>
      </c>
      <c r="DR12" s="8">
        <v>0.0</v>
      </c>
      <c r="DS12" s="9"/>
      <c r="DT12" s="9"/>
      <c r="DU12" s="9"/>
      <c r="DV12" s="9" t="s">
        <v>857</v>
      </c>
      <c r="DW12" s="9"/>
      <c r="DX12" s="9"/>
      <c r="DY12" s="9"/>
      <c r="DZ12" s="9"/>
      <c r="EA12" s="9"/>
      <c r="EB12" s="9"/>
      <c r="EC12" s="9"/>
      <c r="ED12" s="9"/>
      <c r="EE12" s="9"/>
      <c r="EF12" s="9"/>
      <c r="EG12" s="9"/>
      <c r="EH12" s="9"/>
      <c r="EI12" s="9" t="s">
        <v>862</v>
      </c>
      <c r="EJ12" s="8">
        <v>0.0</v>
      </c>
      <c r="EK12" s="8">
        <v>0.0</v>
      </c>
      <c r="EL12" s="8">
        <v>0.0</v>
      </c>
      <c r="EM12" s="8">
        <v>1.0</v>
      </c>
      <c r="EN12" s="8">
        <v>0.0</v>
      </c>
      <c r="EO12" s="11"/>
      <c r="EP12" s="9" t="s">
        <v>863</v>
      </c>
      <c r="EQ12" s="9" t="s">
        <v>864</v>
      </c>
      <c r="ER12" s="9" t="s">
        <v>1046</v>
      </c>
      <c r="ES12" s="8">
        <v>1.0</v>
      </c>
      <c r="ET12" s="8">
        <v>1.0</v>
      </c>
      <c r="EU12" s="8">
        <v>0.0</v>
      </c>
      <c r="EV12" s="8">
        <v>0.0</v>
      </c>
      <c r="EW12" s="9"/>
      <c r="EX12" s="9" t="s">
        <v>865</v>
      </c>
      <c r="EY12" s="8">
        <v>1.0</v>
      </c>
      <c r="EZ12" s="8">
        <v>0.0</v>
      </c>
      <c r="FA12" s="8">
        <v>0.0</v>
      </c>
      <c r="FB12" s="9"/>
      <c r="FC12" s="9" t="s">
        <v>1072</v>
      </c>
      <c r="FD12" s="9"/>
      <c r="FE12" s="9" t="s">
        <v>867</v>
      </c>
      <c r="FF12" s="9" t="s">
        <v>868</v>
      </c>
      <c r="FG12" s="9" t="s">
        <v>867</v>
      </c>
      <c r="FH12" s="9" t="s">
        <v>869</v>
      </c>
      <c r="FI12" s="9" t="s">
        <v>867</v>
      </c>
      <c r="FJ12" s="9" t="s">
        <v>868</v>
      </c>
      <c r="FK12" s="9" t="s">
        <v>867</v>
      </c>
      <c r="FL12" s="9" t="s">
        <v>869</v>
      </c>
      <c r="FM12" s="9" t="s">
        <v>867</v>
      </c>
      <c r="FN12" s="9" t="s">
        <v>868</v>
      </c>
      <c r="FO12" s="9" t="s">
        <v>867</v>
      </c>
      <c r="FP12" s="9" t="s">
        <v>943</v>
      </c>
      <c r="FQ12" s="9" t="s">
        <v>867</v>
      </c>
      <c r="FR12" s="9" t="s">
        <v>857</v>
      </c>
      <c r="FS12" s="9" t="s">
        <v>867</v>
      </c>
      <c r="FT12" s="9" t="s">
        <v>871</v>
      </c>
      <c r="FU12" s="9" t="s">
        <v>989</v>
      </c>
      <c r="FV12" s="8">
        <v>1.0</v>
      </c>
      <c r="FW12" s="8">
        <v>1.0</v>
      </c>
      <c r="FX12" s="8">
        <v>0.0</v>
      </c>
      <c r="FY12" s="8">
        <v>0.0</v>
      </c>
      <c r="FZ12" s="9" t="s">
        <v>944</v>
      </c>
      <c r="GA12" s="9" t="s">
        <v>990</v>
      </c>
      <c r="GB12" s="8">
        <v>1.0</v>
      </c>
      <c r="GC12" s="8">
        <v>1.0</v>
      </c>
      <c r="GD12" s="8">
        <v>0.0</v>
      </c>
      <c r="GE12" s="8">
        <v>0.0</v>
      </c>
      <c r="GF12" s="9"/>
      <c r="GG12" s="9" t="s">
        <v>875</v>
      </c>
      <c r="GH12" s="9" t="s">
        <v>857</v>
      </c>
      <c r="GI12" s="9" t="s">
        <v>1086</v>
      </c>
      <c r="GJ12" s="8">
        <v>1.0</v>
      </c>
      <c r="GK12" s="8">
        <v>1.0</v>
      </c>
      <c r="GL12" s="8">
        <v>0.0</v>
      </c>
      <c r="GM12" s="8">
        <v>0.0</v>
      </c>
      <c r="GN12" s="9"/>
      <c r="GO12" s="8">
        <v>8.0</v>
      </c>
      <c r="GP12" s="9" t="s">
        <v>877</v>
      </c>
      <c r="GQ12" s="9" t="s">
        <v>1102</v>
      </c>
      <c r="GR12" s="8">
        <v>1.0</v>
      </c>
      <c r="GS12" s="8">
        <v>0.0</v>
      </c>
      <c r="GT12" s="8">
        <v>0.0</v>
      </c>
      <c r="GU12" s="8">
        <v>0.0</v>
      </c>
      <c r="GV12" s="8">
        <v>0.0</v>
      </c>
      <c r="GW12" s="8">
        <v>0.0</v>
      </c>
      <c r="GX12" s="8">
        <v>0.0</v>
      </c>
      <c r="GY12" s="9"/>
      <c r="GZ12" s="9" t="s">
        <v>857</v>
      </c>
      <c r="HA12" s="9"/>
      <c r="HB12" s="9"/>
      <c r="HC12" s="9"/>
      <c r="HD12" s="9"/>
      <c r="HE12" s="8">
        <v>9.0</v>
      </c>
      <c r="HF12" s="8">
        <v>75000.0</v>
      </c>
      <c r="HG12" s="8">
        <v>3.0</v>
      </c>
      <c r="HH12" s="8">
        <v>25000.0</v>
      </c>
      <c r="HI12" s="9"/>
      <c r="HJ12" s="9"/>
      <c r="HK12" s="9"/>
      <c r="HL12" s="9"/>
      <c r="HM12" s="9"/>
      <c r="HN12" s="9"/>
      <c r="HO12" s="9"/>
      <c r="HP12" s="9"/>
      <c r="HQ12" s="9"/>
      <c r="HR12" s="9"/>
      <c r="HS12" s="9"/>
      <c r="HT12" s="9"/>
      <c r="HU12" s="9"/>
      <c r="HV12" s="9"/>
      <c r="HW12" s="9"/>
      <c r="HX12" s="9"/>
      <c r="HY12" s="9"/>
      <c r="HZ12" s="9"/>
      <c r="IA12" s="8">
        <v>6.0</v>
      </c>
      <c r="IB12" s="8">
        <v>50000.0</v>
      </c>
      <c r="IC12" s="9"/>
      <c r="ID12" s="9"/>
      <c r="IE12" s="9"/>
      <c r="IF12" s="9"/>
      <c r="IG12" s="9"/>
      <c r="IH12" s="9"/>
      <c r="II12" s="9"/>
      <c r="IJ12" s="9"/>
      <c r="IK12" s="9" t="s">
        <v>879</v>
      </c>
      <c r="IL12" s="9" t="s">
        <v>880</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884</v>
      </c>
      <c r="KT12" s="9" t="s">
        <v>886</v>
      </c>
      <c r="KU12" s="9" t="s">
        <v>886</v>
      </c>
      <c r="KV12" s="9" t="s">
        <v>989</v>
      </c>
      <c r="KW12" s="8">
        <v>1.0</v>
      </c>
      <c r="KX12" s="8">
        <v>1.0</v>
      </c>
      <c r="KY12" s="8">
        <v>0.0</v>
      </c>
      <c r="KZ12" s="8">
        <v>0.0</v>
      </c>
      <c r="LA12" s="9" t="s">
        <v>884</v>
      </c>
      <c r="LB12" s="9" t="s">
        <v>884</v>
      </c>
      <c r="LC12" s="8">
        <v>0.0</v>
      </c>
      <c r="LD12" s="8">
        <v>3.0</v>
      </c>
      <c r="LE12" s="8">
        <v>0.0</v>
      </c>
      <c r="LF12" s="8">
        <v>0.0</v>
      </c>
      <c r="LG12" s="9" t="s">
        <v>857</v>
      </c>
      <c r="LH12" s="8">
        <v>100000.0</v>
      </c>
      <c r="LI12" s="9"/>
      <c r="LJ12" s="9" t="s">
        <v>887</v>
      </c>
      <c r="LK12" s="8">
        <v>0.0</v>
      </c>
      <c r="LL12" s="8">
        <v>0.0</v>
      </c>
      <c r="LM12" s="8">
        <v>0.0</v>
      </c>
      <c r="LN12" s="8">
        <v>0.0</v>
      </c>
      <c r="LO12" s="8">
        <v>1.0</v>
      </c>
      <c r="LP12" s="8">
        <v>0.0</v>
      </c>
      <c r="LQ12" s="8">
        <v>0.0</v>
      </c>
      <c r="LR12" s="9"/>
      <c r="LS12" s="8">
        <v>15.0</v>
      </c>
      <c r="LT12" s="8">
        <v>15.0</v>
      </c>
      <c r="LU12" s="8">
        <v>0.0</v>
      </c>
      <c r="LV12" s="8">
        <v>5.0</v>
      </c>
      <c r="LW12" s="8">
        <v>5.0</v>
      </c>
      <c r="LX12" s="8">
        <v>0.0</v>
      </c>
      <c r="LY12" s="8">
        <v>5.0</v>
      </c>
      <c r="LZ12" s="8">
        <v>5.0</v>
      </c>
      <c r="MA12" s="8">
        <v>0.0</v>
      </c>
      <c r="MB12" s="9" t="s">
        <v>857</v>
      </c>
      <c r="MC12" s="8">
        <v>30.0</v>
      </c>
      <c r="MD12" s="8">
        <v>15.0</v>
      </c>
      <c r="ME12" s="8">
        <v>30.0</v>
      </c>
      <c r="MF12" s="8">
        <v>15.0</v>
      </c>
      <c r="MG12" s="8">
        <v>0.0</v>
      </c>
      <c r="MH12" s="8">
        <v>0.0</v>
      </c>
      <c r="MI12" s="9" t="s">
        <v>946</v>
      </c>
      <c r="MJ12" s="8">
        <v>0.0</v>
      </c>
      <c r="MK12" s="8">
        <v>0.0</v>
      </c>
      <c r="ML12" s="8">
        <v>1.0</v>
      </c>
      <c r="MM12" s="8">
        <v>0.0</v>
      </c>
      <c r="MN12" s="8">
        <v>0.0</v>
      </c>
      <c r="MO12" s="8">
        <v>0.0</v>
      </c>
      <c r="MP12" s="9"/>
      <c r="MQ12" s="9"/>
      <c r="MR12" s="9" t="s">
        <v>991</v>
      </c>
      <c r="MS12" s="9"/>
      <c r="MT12" s="9" t="s">
        <v>1103</v>
      </c>
      <c r="MU12" s="9" t="s">
        <v>1030</v>
      </c>
      <c r="MV12" s="9" t="s">
        <v>1104</v>
      </c>
      <c r="MW12" s="8">
        <v>1.0</v>
      </c>
      <c r="MX12" s="8">
        <v>1.0</v>
      </c>
      <c r="MY12" s="8">
        <v>0.0</v>
      </c>
      <c r="MZ12" s="8">
        <v>0.0</v>
      </c>
      <c r="NA12" s="9"/>
      <c r="NB12" s="9"/>
      <c r="NC12" s="9"/>
      <c r="ND12" s="9"/>
      <c r="NE12" s="9"/>
      <c r="NF12" s="9"/>
      <c r="NG12" s="9"/>
      <c r="NH12" s="9"/>
      <c r="NI12" s="9"/>
      <c r="NJ12" s="9"/>
      <c r="NK12" s="9"/>
      <c r="NL12" s="9" t="s">
        <v>881</v>
      </c>
      <c r="NM12" s="9" t="s">
        <v>893</v>
      </c>
      <c r="NN12" s="9" t="s">
        <v>993</v>
      </c>
      <c r="NO12" s="9" t="s">
        <v>973</v>
      </c>
      <c r="NP12" s="9"/>
      <c r="NQ12" s="9"/>
      <c r="NR12" s="9"/>
      <c r="NS12" s="9"/>
      <c r="NT12" s="9"/>
      <c r="NU12" s="9"/>
      <c r="NV12" s="9" t="s">
        <v>896</v>
      </c>
      <c r="NW12" s="9"/>
      <c r="NX12" s="9" t="s">
        <v>897</v>
      </c>
      <c r="NY12" s="8">
        <v>45.0</v>
      </c>
      <c r="NZ12" s="8">
        <v>20.0</v>
      </c>
      <c r="OA12" s="8">
        <v>0.0</v>
      </c>
      <c r="OB12" s="8">
        <v>5.0</v>
      </c>
      <c r="OC12" s="8">
        <v>5.0</v>
      </c>
      <c r="OD12" s="8">
        <v>0.0</v>
      </c>
      <c r="OE12" s="9" t="s">
        <v>898</v>
      </c>
      <c r="OF12" s="9" t="s">
        <v>899</v>
      </c>
      <c r="OG12" s="9" t="s">
        <v>857</v>
      </c>
      <c r="OH12" s="8">
        <v>0.0</v>
      </c>
      <c r="OI12" s="8">
        <v>2.0</v>
      </c>
      <c r="OJ12" s="8">
        <v>0.0</v>
      </c>
      <c r="OK12" s="8">
        <v>0.0</v>
      </c>
      <c r="OL12" s="8">
        <v>0.0</v>
      </c>
      <c r="OM12" s="8">
        <v>0.0</v>
      </c>
      <c r="ON12" s="8">
        <v>0.0</v>
      </c>
      <c r="OO12" s="8">
        <v>0.0</v>
      </c>
      <c r="OP12" s="9" t="str">
        <f>VLOOKUP(AG12,'BUS 2'!$G$1:$CU$424,2,0)</f>
        <v>Sapi perah</v>
      </c>
      <c r="OQ12" s="8">
        <f>VLOOKUP(AG12,'BUS 2'!$G$1:$CU$424,3,0)</f>
        <v>0</v>
      </c>
      <c r="OR12" s="8">
        <f>VLOOKUP(AG12,'BUS 2'!$G$1:$CU$424,4,0)</f>
        <v>1</v>
      </c>
      <c r="OS12" s="8">
        <f>VLOOKUP(AG12,'BUS 2'!$G$1:$CU$424,5,0)</f>
        <v>0</v>
      </c>
      <c r="OT12" s="8">
        <f>VLOOKUP(AG12,'BUS 2'!$G$1:$CU$424,6,0)</f>
        <v>0</v>
      </c>
      <c r="OU12" s="8">
        <f>VLOOKUP(AG12,'BUS 2'!$G$1:$CU$424,7,0)</f>
        <v>0</v>
      </c>
      <c r="OV12" s="8">
        <f>VLOOKUP(AG12,'BUS 2'!$G$1:$CU$424,8,0)</f>
        <v>0</v>
      </c>
      <c r="OW12" s="8">
        <f>VLOOKUP(AG12,'BUS 2'!$G$1:$CU$424,9,0)</f>
        <v>0</v>
      </c>
      <c r="OX12" s="8">
        <f>VLOOKUP(AG12,'BUS 2'!$G$1:$CU$424,10,0)</f>
        <v>0</v>
      </c>
      <c r="OY12" s="8">
        <f>VLOOKUP(AG12,'BUS 2'!$G$1:$CU$424,11,0)</f>
        <v>0</v>
      </c>
      <c r="OZ12" s="8" t="str">
        <f>VLOOKUP(AG12,'BUS 2'!$G$1:$CU$424,12,0)</f>
        <v>Sapi perah</v>
      </c>
      <c r="PA12" s="8">
        <f>VLOOKUP(AG12,'BUS 2'!$G$1:$CU$424,13,0)</f>
        <v>0</v>
      </c>
      <c r="PB12" s="8">
        <f>VLOOKUP(AG12,'BUS 2'!$G$1:$CU$424,14,0)</f>
        <v>1</v>
      </c>
      <c r="PC12" s="8">
        <f>VLOOKUP(AG12,'BUS 2'!$G$1:$CU$424,15,0)</f>
        <v>0</v>
      </c>
      <c r="PD12" s="8">
        <f>VLOOKUP(AG12,'BUS 2'!$G$1:$CU$424,16,0)</f>
        <v>0</v>
      </c>
      <c r="PE12" s="8">
        <f>VLOOKUP(AG12,'BUS 2'!$G$1:$CU$424,17,0)</f>
        <v>0</v>
      </c>
      <c r="PF12" s="8">
        <f>VLOOKUP(AG12,'BUS 2'!$G$1:$CU$424,18,0)</f>
        <v>0</v>
      </c>
      <c r="PG12" s="8">
        <f>VLOOKUP(AG12,'BUS 2'!$G$1:$CU$424,19,0)</f>
        <v>0</v>
      </c>
      <c r="PH12" s="8">
        <f>VLOOKUP(AG12,'BUS 2'!$G$1:$CU$424,20,0)</f>
        <v>0</v>
      </c>
      <c r="PI12" s="8">
        <f>VLOOKUP(AG12,'BUS 2'!$G$1:$CU$424,21,0)</f>
        <v>0</v>
      </c>
      <c r="PJ12" s="8" t="str">
        <f>VLOOKUP(AG12,'BUS 2'!$G$1:$CU$424,22,0)</f>
        <v>Tidak ada</v>
      </c>
      <c r="PK12" s="8">
        <f>VLOOKUP(AG12,'BUS 2'!$G$1:$CU$424,23,0)</f>
        <v>0</v>
      </c>
      <c r="PL12" s="8">
        <f>VLOOKUP(AG12,'BUS 2'!$G$1:$CU$424,24,0)</f>
        <v>0</v>
      </c>
      <c r="PM12" s="8">
        <f>VLOOKUP(AG12,'BUS 2'!$G$1:$CU$424,25,0)</f>
        <v>0</v>
      </c>
      <c r="PN12" s="8">
        <f>VLOOKUP(AG12,'BUS 2'!$G$1:$CU$424,26,0)</f>
        <v>0</v>
      </c>
      <c r="PO12" s="8">
        <f>VLOOKUP(AG12,'BUS 2'!$G$1:$CU$424,27,0)</f>
        <v>0</v>
      </c>
      <c r="PP12" s="8">
        <f>VLOOKUP(AG12,'BUS 2'!$G$1:$CU$424,28,0)</f>
        <v>0</v>
      </c>
      <c r="PQ12" s="8">
        <f>VLOOKUP(AG12,'BUS 2'!$G$1:$CU$424,29,0)</f>
        <v>0</v>
      </c>
      <c r="PR12" s="8">
        <f>VLOOKUP(AG12,'BUS 2'!$G$1:$CU$424,30,0)</f>
        <v>0</v>
      </c>
      <c r="PS12" s="8">
        <f>VLOOKUP(AG12,'BUS 2'!$G$1:$CU$424,31,0)</f>
        <v>1</v>
      </c>
      <c r="PT12" s="9"/>
      <c r="PU12" s="9"/>
      <c r="PV12" s="9"/>
      <c r="PW12" s="9"/>
      <c r="PX12" s="9"/>
      <c r="PY12" s="9"/>
      <c r="PZ12" s="9"/>
      <c r="QA12" s="9"/>
      <c r="QB12" s="9"/>
      <c r="QC12" s="9"/>
      <c r="QD12" s="9"/>
      <c r="QE12" s="9" t="s">
        <v>900</v>
      </c>
      <c r="QF12" s="8">
        <v>0.0</v>
      </c>
      <c r="QG12" s="8">
        <v>0.0</v>
      </c>
      <c r="QH12" s="8">
        <v>0.0</v>
      </c>
      <c r="QI12" s="8">
        <v>0.0</v>
      </c>
      <c r="QJ12" s="8">
        <v>0.0</v>
      </c>
      <c r="QK12" s="8">
        <v>1.0</v>
      </c>
      <c r="QL12" s="8">
        <v>0.0</v>
      </c>
      <c r="QM12" s="8">
        <v>0.0</v>
      </c>
      <c r="QN12" s="8">
        <v>0.0</v>
      </c>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8" t="str">
        <f>VLOOKUP(AG12,'BUS 2'!$G$1:$CU$424,33,0)</f>
        <v/>
      </c>
      <c r="SZ12" s="9">
        <f>VLOOKUP(AG12,'BUS 2'!$G$1:$CU$424,34,0)</f>
        <v>2</v>
      </c>
      <c r="TA12" s="9" t="str">
        <f>VLOOKUP(AG12,'BUS 2'!$G$1:$CU$424,35,0)</f>
        <v/>
      </c>
      <c r="TB12" s="9" t="str">
        <f>VLOOKUP(AG12,'BUS 2'!$G$1:$CU$424,36,0)</f>
        <v/>
      </c>
      <c r="TC12" s="9" t="str">
        <f>VLOOKUP(AG12,'BUS 2'!$G$1:$CU$424,37,0)</f>
        <v/>
      </c>
      <c r="TD12" s="9" t="str">
        <f>VLOOKUP(AG12,'BUS 2'!$G$1:$CU$424,38,0)</f>
        <v/>
      </c>
      <c r="TE12" s="9" t="str">
        <f>VLOOKUP(AG12,'BUS 2'!$G$1:$CU$424,39,0)</f>
        <v/>
      </c>
      <c r="TF12" s="9" t="str">
        <f>VLOOKUP(AG12,'BUS 2'!$G$1:$CU$424,40,0)</f>
        <v/>
      </c>
      <c r="TG12" s="8" t="str">
        <f>VLOOKUP(AG12,'BUS 2'!$G$1:$CU$424,42,0)</f>
        <v/>
      </c>
      <c r="TH12" s="8">
        <f>VLOOKUP(AG12,'BUS 2'!$G$1:$CU$424,43,0)</f>
        <v>2</v>
      </c>
      <c r="TI12" s="8" t="str">
        <f>VLOOKUP(AG12,'BUS 2'!$G$1:$CU$424,44,0)</f>
        <v/>
      </c>
      <c r="TJ12" s="8" t="str">
        <f>VLOOKUP(AG12,'BUS 2'!$G$1:$CU$424,45,0)</f>
        <v/>
      </c>
      <c r="TK12" s="8" t="str">
        <f>VLOOKUP(AG12,'BUS 2'!$G$1:$CU$424,46,0)</f>
        <v/>
      </c>
      <c r="TL12" s="8" t="str">
        <f>VLOOKUP(AG12,'BUS 2'!$G$1:$CU$424,47,0)</f>
        <v/>
      </c>
      <c r="TM12" s="8" t="str">
        <f>VLOOKUP(AG12,'BUS 2'!$G$1:$CU$424,48,0)</f>
        <v/>
      </c>
      <c r="TN12" s="8" t="str">
        <f>VLOOKUP(AG12,'BUS 2'!$G$1:$CU$424,49,0)</f>
        <v/>
      </c>
      <c r="TO12" s="8" t="str">
        <f>VLOOKUP(AG12,'BUS 2'!$G$1:$CU$424,50,0)</f>
        <v/>
      </c>
      <c r="TP12" s="8" t="str">
        <f>VLOOKUP(AG12,'BUS 2'!$G$1:$CU$424,51,0)</f>
        <v/>
      </c>
      <c r="TQ12" s="8" t="str">
        <f>VLOOKUP(AG12,'BUS 2'!$G$1:$CU$424,52,0)</f>
        <v/>
      </c>
      <c r="TR12" s="8" t="str">
        <f>VLOOKUP(AG12,'BUS 2'!$G$1:$CU$424,53,0)</f>
        <v/>
      </c>
      <c r="TS12" s="9" t="str">
        <f>VLOOKUP(AG12,'BUS 2'!$G$1:$CU$424,54,0)</f>
        <v/>
      </c>
      <c r="TT12" s="9" t="str">
        <f>VLOOKUP(AG12,'BUS 2'!$G$1:$CU$424,55,0)</f>
        <v/>
      </c>
      <c r="TU12" s="9" t="str">
        <f>VLOOKUP(AG12,'BUS 2'!$G$1:$CU$424,56,0)</f>
        <v/>
      </c>
      <c r="TV12" s="9" t="str">
        <f>VLOOKUP(AG12,'BUS 2'!$G$1:$CU$424,57,0)</f>
        <v/>
      </c>
      <c r="TW12" s="9" t="str">
        <f>VLOOKUP(AG12,'BUS 2'!$G$1:$CU$424,58,0)</f>
        <v/>
      </c>
      <c r="TX12" s="9" t="str">
        <f>VLOOKUP(AG12,'BUS 2'!$G$1:$CU$424,59,0)</f>
        <v/>
      </c>
      <c r="TY12" s="9" t="str">
        <f>VLOOKUP(AG12,'BUS 2'!$G$1:$CU$424,60,0)</f>
        <v/>
      </c>
      <c r="TZ12" s="9" t="str">
        <f>VLOOKUP(AG12,'BUS 2'!$G$1:$CU$424,61,0)</f>
        <v/>
      </c>
      <c r="UA12" s="9" t="str">
        <f>VLOOKUP(AG12,'BUS 2'!$G$1:$CU$424,62,0)</f>
        <v/>
      </c>
      <c r="UB12" s="9" t="str">
        <f>VLOOKUP(AG12,'BUS 2'!$G$1:$CU$424,63,0)</f>
        <v/>
      </c>
      <c r="UC12" s="9" t="str">
        <f>VLOOKUP(AG12,'BUS 2'!$G$1:$CU$424,64,0)</f>
        <v/>
      </c>
      <c r="UD12" s="9" t="str">
        <f>VLOOKUP(AG12,'BUS 2'!$G$1:$CU$424,65,0)</f>
        <v/>
      </c>
      <c r="UE12" s="9" t="str">
        <f>VLOOKUP(AG12,'BUS 2'!$G$1:$CU$424,66,0)</f>
        <v/>
      </c>
      <c r="UF12" s="9" t="str">
        <f>VLOOKUP(AG12,'BUS 2'!$G$1:$CU$424,67,0)</f>
        <v/>
      </c>
      <c r="UG12" s="9" t="str">
        <f>VLOOKUP(AG12,'BUS 2'!$G$1:$CU$424,68,0)</f>
        <v/>
      </c>
      <c r="UH12" s="9" t="str">
        <f>VLOOKUP(AG12,'BUS 2'!$G$1:$CU$424,69,0)</f>
        <v/>
      </c>
      <c r="UI12" s="9" t="str">
        <f>VLOOKUP(AG12,'BUS 2'!$G$1:$CU$424,70,0)</f>
        <v/>
      </c>
      <c r="UJ12" s="9" t="str">
        <f>VLOOKUP(AG12,'BUS 2'!$G$1:$CU$424,71,0)</f>
        <v/>
      </c>
      <c r="UK12" s="9" t="str">
        <f>VLOOKUP(AG12,'BUS 2'!$G$1:$CU$424,72,0)</f>
        <v/>
      </c>
      <c r="UL12" s="9" t="str">
        <f>VLOOKUP(AG12,'BUS 2'!$G$1:$CU$424,73,0)</f>
        <v/>
      </c>
      <c r="UM12" s="9" t="str">
        <f>VLOOKUP(AG12,'BUS 2'!$G$1:$CU$424,74,0)</f>
        <v/>
      </c>
      <c r="UN12" s="9" t="str">
        <f>VLOOKUP(AG12,'BUS 2'!$G$1:$CU$424,75,0)</f>
        <v/>
      </c>
      <c r="UO12" s="9" t="str">
        <f>VLOOKUP(AG12,'BUS 2'!$G$1:$CU$424,76,0)</f>
        <v/>
      </c>
      <c r="UP12" s="9" t="str">
        <f>VLOOKUP(AG12,'BUS 2'!$G$1:$CU$424,77,0)</f>
        <v/>
      </c>
      <c r="UQ12" s="9" t="str">
        <f>VLOOKUP(AG12,'BUS 2'!$G$1:$CU$424,78,0)</f>
        <v/>
      </c>
      <c r="UR12" s="9" t="str">
        <f>VLOOKUP(AG12,'BUS 2'!$G$1:$CU$424,79,0)</f>
        <v/>
      </c>
      <c r="US12" s="9" t="str">
        <f>VLOOKUP(AG12,'BUS 2'!$G$1:$CU$424,80,0)</f>
        <v/>
      </c>
      <c r="UT12" s="9" t="str">
        <f>VLOOKUP(AG12,'BUS 2'!$G$1:$CU$424,81,0)</f>
        <v/>
      </c>
      <c r="UU12" s="9"/>
      <c r="UV12" s="9" t="s">
        <v>901</v>
      </c>
      <c r="UW12" s="9"/>
      <c r="UX12" s="9"/>
      <c r="UY12" s="9"/>
      <c r="UZ12" s="9"/>
      <c r="VA12" s="9"/>
      <c r="VB12" s="9"/>
      <c r="VC12" s="9"/>
      <c r="VD12" s="9" t="s">
        <v>950</v>
      </c>
      <c r="VE12" s="9"/>
      <c r="VF12" s="9"/>
      <c r="VG12" s="9"/>
      <c r="VH12" s="9"/>
      <c r="VI12" s="9"/>
      <c r="VJ12" s="9"/>
      <c r="VK12" s="9"/>
      <c r="VL12" s="9" t="s">
        <v>903</v>
      </c>
      <c r="VM12" s="9"/>
      <c r="VN12" s="9"/>
      <c r="VO12" s="9"/>
      <c r="VP12" s="9"/>
      <c r="VQ12" s="9"/>
      <c r="VR12" s="9"/>
      <c r="VS12" s="9"/>
      <c r="VT12" s="9"/>
      <c r="VU12" s="9"/>
      <c r="VV12" s="9"/>
      <c r="VW12" s="9"/>
      <c r="VX12" s="9"/>
      <c r="VY12" s="9"/>
      <c r="VZ12" s="9"/>
      <c r="WA12" s="9"/>
      <c r="WB12" s="9"/>
      <c r="WC12" s="9"/>
      <c r="WD12" s="9"/>
      <c r="WE12" s="9"/>
      <c r="WF12" s="9" t="s">
        <v>1089</v>
      </c>
      <c r="WG12" s="8">
        <v>0.0</v>
      </c>
      <c r="WH12" s="8">
        <v>0.0</v>
      </c>
      <c r="WI12" s="8">
        <v>1.0</v>
      </c>
      <c r="WJ12" s="8">
        <v>1.0</v>
      </c>
      <c r="WK12" s="8">
        <v>1.0</v>
      </c>
      <c r="WL12" s="8">
        <v>0.0</v>
      </c>
      <c r="WM12" s="8">
        <v>0.0</v>
      </c>
      <c r="WN12" s="8">
        <v>0.0</v>
      </c>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8">
        <v>2.0</v>
      </c>
      <c r="ZX12" s="9"/>
      <c r="ZY12" s="9"/>
      <c r="ZZ12" s="9"/>
      <c r="AAA12" s="9"/>
      <c r="AAB12" s="9"/>
      <c r="AAC12" s="9"/>
      <c r="AAD12" s="9"/>
      <c r="AAE12" s="9" t="s">
        <v>905</v>
      </c>
      <c r="AAF12" s="9"/>
      <c r="AAG12" s="9"/>
      <c r="AAH12" s="9"/>
      <c r="AAI12" s="9"/>
      <c r="AAJ12" s="9"/>
      <c r="AAK12" s="9"/>
      <c r="AAL12" s="9" t="s">
        <v>857</v>
      </c>
      <c r="AAM12" s="9" t="s">
        <v>1033</v>
      </c>
      <c r="AAN12" s="8">
        <v>1.0</v>
      </c>
      <c r="AAO12" s="8">
        <v>1.0</v>
      </c>
      <c r="AAP12" s="8">
        <v>60.0</v>
      </c>
      <c r="AAQ12" s="8">
        <v>60.0</v>
      </c>
      <c r="AAR12" s="9" t="s">
        <v>857</v>
      </c>
      <c r="AAS12" s="9" t="s">
        <v>867</v>
      </c>
      <c r="AAT12" s="9" t="s">
        <v>1105</v>
      </c>
      <c r="AAU12" s="8">
        <v>1.0</v>
      </c>
      <c r="AAV12" s="8">
        <v>1.0</v>
      </c>
      <c r="AAW12" s="8">
        <v>0.0</v>
      </c>
      <c r="AAX12" s="8">
        <v>0.0</v>
      </c>
      <c r="AAY12" s="8">
        <v>1.0</v>
      </c>
      <c r="AAZ12" s="8">
        <v>0.0</v>
      </c>
      <c r="ABA12" s="8">
        <v>0.0</v>
      </c>
      <c r="ABB12" s="9" t="s">
        <v>1106</v>
      </c>
      <c r="ABC12" s="8">
        <v>1.0</v>
      </c>
      <c r="ABD12" s="8">
        <v>1.0</v>
      </c>
      <c r="ABE12" s="8">
        <v>0.0</v>
      </c>
      <c r="ABF12" s="8">
        <v>1.0</v>
      </c>
      <c r="ABG12" s="8">
        <v>0.0</v>
      </c>
      <c r="ABH12" s="9"/>
      <c r="ABI12" s="9" t="s">
        <v>969</v>
      </c>
      <c r="ABJ12" s="8">
        <v>0.0</v>
      </c>
      <c r="ABK12" s="8">
        <v>0.0</v>
      </c>
      <c r="ABL12" s="8">
        <v>0.0</v>
      </c>
      <c r="ABM12" s="8">
        <v>0.0</v>
      </c>
      <c r="ABN12" s="8">
        <v>1.0</v>
      </c>
      <c r="ABO12" s="9" t="s">
        <v>975</v>
      </c>
      <c r="ABP12" s="9"/>
      <c r="ABQ12" s="11" t="s">
        <v>953</v>
      </c>
      <c r="ABR12" s="9" t="s">
        <v>1075</v>
      </c>
      <c r="ABS12" s="8">
        <v>1000.0</v>
      </c>
      <c r="ABT12" s="9"/>
      <c r="ABU12" s="8">
        <v>100.0</v>
      </c>
      <c r="ABV12" s="8">
        <v>100.0</v>
      </c>
      <c r="ABW12" s="9" t="s">
        <v>910</v>
      </c>
      <c r="ABX12" s="9"/>
      <c r="ABY12" s="8">
        <v>25.0</v>
      </c>
      <c r="ABZ12" s="8">
        <v>5000.0</v>
      </c>
      <c r="ACA12" s="8">
        <v>10.0</v>
      </c>
      <c r="ACB12" s="8">
        <v>5000.0</v>
      </c>
      <c r="ACC12" s="8">
        <v>400.0</v>
      </c>
      <c r="ACD12" s="8">
        <v>500.0</v>
      </c>
      <c r="ACE12" s="9" t="s">
        <v>857</v>
      </c>
      <c r="ACF12" s="9" t="s">
        <v>911</v>
      </c>
      <c r="ACG12" s="9" t="s">
        <v>1034</v>
      </c>
      <c r="ACH12" s="9" t="s">
        <v>911</v>
      </c>
      <c r="ACI12" s="9" t="s">
        <v>911</v>
      </c>
      <c r="ACJ12" s="9" t="s">
        <v>911</v>
      </c>
      <c r="ACK12" s="9" t="s">
        <v>1107</v>
      </c>
      <c r="ACL12" s="8">
        <v>0.0</v>
      </c>
      <c r="ACM12" s="8">
        <v>1.0</v>
      </c>
      <c r="ACN12" s="8">
        <v>1.0</v>
      </c>
      <c r="ACO12" s="8">
        <v>1.0</v>
      </c>
      <c r="ACP12" s="8">
        <v>0.0</v>
      </c>
      <c r="ACQ12" s="8">
        <v>0.0</v>
      </c>
      <c r="ACR12" s="8">
        <v>0.0</v>
      </c>
      <c r="ACS12" s="9"/>
      <c r="ACT12" s="9" t="s">
        <v>912</v>
      </c>
      <c r="ACU12" s="9" t="s">
        <v>913</v>
      </c>
      <c r="ACV12" s="9" t="s">
        <v>957</v>
      </c>
      <c r="ACW12" s="9" t="s">
        <v>915</v>
      </c>
      <c r="ACX12" s="9" t="s">
        <v>916</v>
      </c>
      <c r="ACY12" s="9" t="s">
        <v>1017</v>
      </c>
      <c r="ACZ12" s="8">
        <v>1.0</v>
      </c>
      <c r="ADA12" s="8">
        <v>1.0</v>
      </c>
      <c r="ADB12" s="8">
        <v>1.0</v>
      </c>
      <c r="ADC12" s="8">
        <v>0.0</v>
      </c>
      <c r="ADD12" s="9" t="s">
        <v>918</v>
      </c>
      <c r="ADE12" s="9" t="s">
        <v>918</v>
      </c>
      <c r="ADF12" s="9" t="s">
        <v>918</v>
      </c>
      <c r="ADG12" s="9" t="s">
        <v>918</v>
      </c>
      <c r="ADH12" s="9" t="s">
        <v>881</v>
      </c>
      <c r="ADI12" s="9"/>
      <c r="ADJ12" s="9" t="s">
        <v>918</v>
      </c>
      <c r="ADK12" s="9"/>
      <c r="ADL12" s="9"/>
      <c r="ADM12" s="9"/>
      <c r="ADN12" s="9"/>
      <c r="ADO12" s="9"/>
      <c r="ADP12" s="9"/>
      <c r="ADQ12" s="9"/>
      <c r="ADR12" s="9"/>
      <c r="ADS12" s="9"/>
      <c r="ADT12" s="9"/>
      <c r="ADU12" s="9" t="s">
        <v>1018</v>
      </c>
      <c r="ADV12" s="8">
        <v>0.0</v>
      </c>
      <c r="ADW12" s="8">
        <v>0.0</v>
      </c>
      <c r="ADX12" s="8">
        <v>0.0</v>
      </c>
      <c r="ADY12" s="8">
        <v>0.0</v>
      </c>
      <c r="ADZ12" s="8">
        <v>1.0</v>
      </c>
      <c r="AEA12" s="8">
        <v>1.0</v>
      </c>
      <c r="AEB12" s="8">
        <v>0.0</v>
      </c>
      <c r="AEC12" s="8">
        <v>0.0</v>
      </c>
      <c r="AED12" s="12"/>
      <c r="AEE12" s="17" t="s">
        <v>872</v>
      </c>
      <c r="AEF12" s="9"/>
      <c r="AEG12" s="17" t="s">
        <v>920</v>
      </c>
      <c r="AEH12" s="9"/>
      <c r="AEI12" s="11" t="s">
        <v>999</v>
      </c>
      <c r="AEJ12" s="9" t="s">
        <v>871</v>
      </c>
      <c r="AEK12" s="17" t="s">
        <v>1108</v>
      </c>
      <c r="AEL12" s="18">
        <v>1.0</v>
      </c>
      <c r="AEM12" s="18">
        <v>1.0</v>
      </c>
      <c r="AEN12" s="18">
        <v>1.0</v>
      </c>
      <c r="AEO12" s="18">
        <v>1.0</v>
      </c>
      <c r="AEP12" s="18">
        <v>1.0</v>
      </c>
      <c r="AEQ12" s="18">
        <v>1.0</v>
      </c>
      <c r="AER12" s="18">
        <v>1.0</v>
      </c>
      <c r="AES12" s="18">
        <v>1.0</v>
      </c>
      <c r="AET12" s="18">
        <v>1.0</v>
      </c>
      <c r="AEU12" s="18">
        <v>0.0</v>
      </c>
      <c r="AEV12" s="18">
        <v>0.0</v>
      </c>
      <c r="AEW12" s="18">
        <v>0.0</v>
      </c>
      <c r="AEX12" s="9"/>
      <c r="AEY12" s="9" t="s">
        <v>923</v>
      </c>
      <c r="AEZ12" s="9"/>
      <c r="AFA12" s="9" t="s">
        <v>924</v>
      </c>
      <c r="AFB12" s="9"/>
      <c r="AFC12" s="9" t="s">
        <v>1109</v>
      </c>
      <c r="AFD12" s="16" t="s">
        <v>1110</v>
      </c>
      <c r="AFE12" s="9" t="s">
        <v>1111</v>
      </c>
      <c r="AFF12" s="16" t="s">
        <v>1112</v>
      </c>
      <c r="AFG12" s="9" t="s">
        <v>1113</v>
      </c>
      <c r="AFH12" s="9"/>
      <c r="AFI12" s="9"/>
    </row>
    <row r="13">
      <c r="A13" s="6">
        <v>46058.0</v>
      </c>
      <c r="B13" s="6">
        <v>46058.0</v>
      </c>
      <c r="C13" s="7" t="s">
        <v>837</v>
      </c>
      <c r="D13" s="7" t="s">
        <v>1114</v>
      </c>
      <c r="E13" s="8">
        <v>6.285642220085E12</v>
      </c>
      <c r="F13" s="9"/>
      <c r="G13" s="8">
        <v>-7.40393582</v>
      </c>
      <c r="H13" s="8">
        <v>110.3366388</v>
      </c>
      <c r="I13" s="9"/>
      <c r="J13" s="8">
        <v>4.55</v>
      </c>
      <c r="K13" s="9"/>
      <c r="L13" s="9"/>
      <c r="M13" s="8">
        <v>-7.40395054</v>
      </c>
      <c r="N13" s="8">
        <v>110.3388297</v>
      </c>
      <c r="O13" s="9"/>
      <c r="P13" s="8">
        <v>4.27</v>
      </c>
      <c r="Q13" s="9"/>
      <c r="R13" s="9" t="s">
        <v>839</v>
      </c>
      <c r="S13" s="9"/>
      <c r="T13" s="9"/>
      <c r="U13" s="9"/>
      <c r="V13" s="9"/>
      <c r="W13" s="9"/>
      <c r="X13" s="9"/>
      <c r="Y13" s="9"/>
      <c r="Z13" s="9"/>
      <c r="AA13" s="9"/>
      <c r="AB13" s="9"/>
      <c r="AC13" s="7" t="s">
        <v>840</v>
      </c>
      <c r="AD13" s="7" t="s">
        <v>1115</v>
      </c>
      <c r="AE13" s="7" t="s">
        <v>1115</v>
      </c>
      <c r="AF13" s="9" t="s">
        <v>1070</v>
      </c>
      <c r="AG13" s="9" t="s">
        <v>1116</v>
      </c>
      <c r="AH13" s="8">
        <v>2.0</v>
      </c>
      <c r="AI13" s="9" t="s">
        <v>845</v>
      </c>
      <c r="AJ13" s="9" t="s">
        <v>846</v>
      </c>
      <c r="AK13" s="8">
        <v>42.0</v>
      </c>
      <c r="AL13" s="9" t="s">
        <v>847</v>
      </c>
      <c r="AM13" s="9" t="s">
        <v>848</v>
      </c>
      <c r="AN13" s="9" t="s">
        <v>1099</v>
      </c>
      <c r="AO13" s="9" t="s">
        <v>1100</v>
      </c>
      <c r="AP13" s="8">
        <v>0.0</v>
      </c>
      <c r="AQ13" s="8">
        <v>0.0</v>
      </c>
      <c r="AR13" s="8">
        <v>0.0</v>
      </c>
      <c r="AS13" s="8">
        <v>0.0</v>
      </c>
      <c r="AT13" s="8">
        <v>0.0</v>
      </c>
      <c r="AU13" s="8">
        <v>1.0</v>
      </c>
      <c r="AV13" s="8">
        <v>0.0</v>
      </c>
      <c r="AW13" s="8">
        <v>0.0</v>
      </c>
      <c r="AX13" s="9"/>
      <c r="AY13" s="9" t="s">
        <v>935</v>
      </c>
      <c r="AZ13" s="8">
        <v>0.0</v>
      </c>
      <c r="BA13" s="8">
        <v>1.0</v>
      </c>
      <c r="BB13" s="8">
        <v>0.0</v>
      </c>
      <c r="BC13" s="8">
        <v>0.0</v>
      </c>
      <c r="BD13" s="8">
        <v>0.0</v>
      </c>
      <c r="BE13" s="8">
        <v>0.0</v>
      </c>
      <c r="BF13" s="8">
        <v>0.0</v>
      </c>
      <c r="BG13" s="8">
        <v>0.0</v>
      </c>
      <c r="BH13" s="9"/>
      <c r="BI13" s="9" t="s">
        <v>1101</v>
      </c>
      <c r="BJ13" s="8">
        <v>1.0</v>
      </c>
      <c r="BK13" s="8">
        <v>1.0</v>
      </c>
      <c r="BL13" s="8">
        <v>1.0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2023.0</v>
      </c>
      <c r="CN13" s="9" t="s">
        <v>858</v>
      </c>
      <c r="CO13" s="9" t="s">
        <v>859</v>
      </c>
      <c r="CP13" s="9" t="s">
        <v>1077</v>
      </c>
      <c r="CQ13" s="8">
        <v>0.0</v>
      </c>
      <c r="CR13" s="8">
        <v>0.0</v>
      </c>
      <c r="CS13" s="8">
        <v>0.0</v>
      </c>
      <c r="CT13" s="8">
        <v>0.0</v>
      </c>
      <c r="CU13" s="10">
        <v>0.0</v>
      </c>
      <c r="CV13" s="10">
        <v>0.0</v>
      </c>
      <c r="CW13" s="10">
        <v>1.0</v>
      </c>
      <c r="CX13" s="8">
        <v>0.0</v>
      </c>
      <c r="CY13" s="9" t="s">
        <v>860</v>
      </c>
      <c r="CZ13" s="8">
        <v>1.0</v>
      </c>
      <c r="DA13" s="8">
        <v>0.0</v>
      </c>
      <c r="DB13" s="8">
        <v>0.0</v>
      </c>
      <c r="DC13" s="9"/>
      <c r="DD13" s="9" t="s">
        <v>937</v>
      </c>
      <c r="DE13" s="8">
        <v>1.0</v>
      </c>
      <c r="DF13" s="8">
        <v>0.0</v>
      </c>
      <c r="DG13" s="8">
        <v>1.0</v>
      </c>
      <c r="DH13" s="8">
        <v>0.0</v>
      </c>
      <c r="DI13" s="9"/>
      <c r="DJ13" s="9" t="s">
        <v>937</v>
      </c>
      <c r="DK13" s="8">
        <v>1.0</v>
      </c>
      <c r="DL13" s="8">
        <v>0.0</v>
      </c>
      <c r="DM13" s="8">
        <v>1.0</v>
      </c>
      <c r="DN13" s="8">
        <v>0.0</v>
      </c>
      <c r="DO13" s="9"/>
      <c r="DP13" s="8">
        <v>1.0</v>
      </c>
      <c r="DQ13" s="8">
        <v>0.0</v>
      </c>
      <c r="DR13" s="8">
        <v>0.0</v>
      </c>
      <c r="DS13" s="9"/>
      <c r="DT13" s="9"/>
      <c r="DU13" s="9"/>
      <c r="DV13" s="9" t="s">
        <v>857</v>
      </c>
      <c r="DW13" s="9"/>
      <c r="DX13" s="9"/>
      <c r="DY13" s="9"/>
      <c r="DZ13" s="9"/>
      <c r="EA13" s="9"/>
      <c r="EB13" s="9"/>
      <c r="EC13" s="9"/>
      <c r="ED13" s="9"/>
      <c r="EE13" s="9"/>
      <c r="EF13" s="9"/>
      <c r="EG13" s="9"/>
      <c r="EH13" s="9"/>
      <c r="EI13" s="9" t="s">
        <v>862</v>
      </c>
      <c r="EJ13" s="8">
        <v>0.0</v>
      </c>
      <c r="EK13" s="8">
        <v>0.0</v>
      </c>
      <c r="EL13" s="8">
        <v>0.0</v>
      </c>
      <c r="EM13" s="8">
        <v>1.0</v>
      </c>
      <c r="EN13" s="8">
        <v>0.0</v>
      </c>
      <c r="EO13" s="11"/>
      <c r="EP13" s="9" t="s">
        <v>863</v>
      </c>
      <c r="EQ13" s="9" t="s">
        <v>864</v>
      </c>
      <c r="ER13" s="9" t="s">
        <v>1046</v>
      </c>
      <c r="ES13" s="8">
        <v>1.0</v>
      </c>
      <c r="ET13" s="8">
        <v>1.0</v>
      </c>
      <c r="EU13" s="8">
        <v>0.0</v>
      </c>
      <c r="EV13" s="8">
        <v>0.0</v>
      </c>
      <c r="EW13" s="9"/>
      <c r="EX13" s="9" t="s">
        <v>1013</v>
      </c>
      <c r="EY13" s="8">
        <v>1.0</v>
      </c>
      <c r="EZ13" s="8">
        <v>1.0</v>
      </c>
      <c r="FA13" s="8">
        <v>0.0</v>
      </c>
      <c r="FB13" s="9"/>
      <c r="FC13" s="9" t="s">
        <v>1072</v>
      </c>
      <c r="FD13" s="9"/>
      <c r="FE13" s="9" t="s">
        <v>867</v>
      </c>
      <c r="FF13" s="9" t="s">
        <v>868</v>
      </c>
      <c r="FG13" s="9" t="s">
        <v>867</v>
      </c>
      <c r="FH13" s="9" t="s">
        <v>869</v>
      </c>
      <c r="FI13" s="9" t="s">
        <v>867</v>
      </c>
      <c r="FJ13" s="9" t="s">
        <v>869</v>
      </c>
      <c r="FK13" s="9" t="s">
        <v>867</v>
      </c>
      <c r="FL13" s="9" t="s">
        <v>869</v>
      </c>
      <c r="FM13" s="9" t="s">
        <v>867</v>
      </c>
      <c r="FN13" s="9" t="s">
        <v>870</v>
      </c>
      <c r="FO13" s="9" t="s">
        <v>867</v>
      </c>
      <c r="FP13" s="9" t="s">
        <v>870</v>
      </c>
      <c r="FQ13" s="9" t="s">
        <v>867</v>
      </c>
      <c r="FR13" s="9" t="s">
        <v>857</v>
      </c>
      <c r="FS13" s="9" t="s">
        <v>867</v>
      </c>
      <c r="FT13" s="9" t="s">
        <v>871</v>
      </c>
      <c r="FU13" s="9" t="s">
        <v>989</v>
      </c>
      <c r="FV13" s="8">
        <v>1.0</v>
      </c>
      <c r="FW13" s="8">
        <v>1.0</v>
      </c>
      <c r="FX13" s="8">
        <v>0.0</v>
      </c>
      <c r="FY13" s="8">
        <v>0.0</v>
      </c>
      <c r="FZ13" s="9" t="s">
        <v>944</v>
      </c>
      <c r="GA13" s="9" t="s">
        <v>990</v>
      </c>
      <c r="GB13" s="8">
        <v>1.0</v>
      </c>
      <c r="GC13" s="8">
        <v>1.0</v>
      </c>
      <c r="GD13" s="8">
        <v>0.0</v>
      </c>
      <c r="GE13" s="8">
        <v>0.0</v>
      </c>
      <c r="GF13" s="9"/>
      <c r="GG13" s="9" t="s">
        <v>875</v>
      </c>
      <c r="GH13" s="9" t="s">
        <v>881</v>
      </c>
      <c r="GI13" s="9"/>
      <c r="GJ13" s="9"/>
      <c r="GK13" s="9"/>
      <c r="GL13" s="9"/>
      <c r="GM13" s="9"/>
      <c r="GN13" s="9"/>
      <c r="GO13" s="9"/>
      <c r="GP13" s="9" t="s">
        <v>877</v>
      </c>
      <c r="GQ13" s="9" t="s">
        <v>1102</v>
      </c>
      <c r="GR13" s="8">
        <v>1.0</v>
      </c>
      <c r="GS13" s="8">
        <v>0.0</v>
      </c>
      <c r="GT13" s="8">
        <v>0.0</v>
      </c>
      <c r="GU13" s="8">
        <v>0.0</v>
      </c>
      <c r="GV13" s="8">
        <v>0.0</v>
      </c>
      <c r="GW13" s="8">
        <v>0.0</v>
      </c>
      <c r="GX13" s="8">
        <v>0.0</v>
      </c>
      <c r="GY13" s="9"/>
      <c r="GZ13" s="9" t="s">
        <v>857</v>
      </c>
      <c r="HA13" s="9"/>
      <c r="HB13" s="9"/>
      <c r="HC13" s="9"/>
      <c r="HD13" s="9"/>
      <c r="HE13" s="8">
        <v>12.0</v>
      </c>
      <c r="HF13" s="8">
        <v>100000.0</v>
      </c>
      <c r="HG13" s="8">
        <v>3.0</v>
      </c>
      <c r="HH13" s="8">
        <v>25000.0</v>
      </c>
      <c r="HI13" s="9"/>
      <c r="HJ13" s="9"/>
      <c r="HK13" s="9"/>
      <c r="HL13" s="9"/>
      <c r="HM13" s="9"/>
      <c r="HN13" s="9"/>
      <c r="HO13" s="9"/>
      <c r="HP13" s="9"/>
      <c r="HQ13" s="9"/>
      <c r="HR13" s="9"/>
      <c r="HS13" s="9"/>
      <c r="HT13" s="9"/>
      <c r="HU13" s="9"/>
      <c r="HV13" s="9"/>
      <c r="HW13" s="9"/>
      <c r="HX13" s="9"/>
      <c r="HY13" s="9"/>
      <c r="HZ13" s="9"/>
      <c r="IA13" s="8">
        <v>9.0</v>
      </c>
      <c r="IB13" s="8">
        <v>75000.0</v>
      </c>
      <c r="IC13" s="9"/>
      <c r="ID13" s="9"/>
      <c r="IE13" s="9"/>
      <c r="IF13" s="9"/>
      <c r="IG13" s="9"/>
      <c r="IH13" s="9"/>
      <c r="II13" s="9"/>
      <c r="IJ13" s="9"/>
      <c r="IK13" s="9" t="s">
        <v>879</v>
      </c>
      <c r="IL13" s="9" t="s">
        <v>880</v>
      </c>
      <c r="IM13" s="9" t="s">
        <v>857</v>
      </c>
      <c r="IN13" s="9" t="s">
        <v>881</v>
      </c>
      <c r="IO13" s="9" t="s">
        <v>882</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872</v>
      </c>
      <c r="KW13" s="8">
        <v>1.0</v>
      </c>
      <c r="KX13" s="8">
        <v>0.0</v>
      </c>
      <c r="KY13" s="8">
        <v>0.0</v>
      </c>
      <c r="KZ13" s="8">
        <v>0.0</v>
      </c>
      <c r="LA13" s="9" t="s">
        <v>884</v>
      </c>
      <c r="LB13" s="9" t="s">
        <v>884</v>
      </c>
      <c r="LC13" s="8">
        <v>0.0</v>
      </c>
      <c r="LD13" s="8">
        <v>3.0</v>
      </c>
      <c r="LE13" s="8">
        <v>0.0</v>
      </c>
      <c r="LF13" s="8">
        <v>3.0</v>
      </c>
      <c r="LG13" s="9" t="s">
        <v>857</v>
      </c>
      <c r="LH13" s="8">
        <v>75000.0</v>
      </c>
      <c r="LI13" s="9"/>
      <c r="LJ13" s="9" t="s">
        <v>887</v>
      </c>
      <c r="LK13" s="8">
        <v>0.0</v>
      </c>
      <c r="LL13" s="8">
        <v>0.0</v>
      </c>
      <c r="LM13" s="8">
        <v>0.0</v>
      </c>
      <c r="LN13" s="8">
        <v>0.0</v>
      </c>
      <c r="LO13" s="8">
        <v>1.0</v>
      </c>
      <c r="LP13" s="8">
        <v>0.0</v>
      </c>
      <c r="LQ13" s="8">
        <v>0.0</v>
      </c>
      <c r="LR13" s="9"/>
      <c r="LS13" s="8">
        <v>15.0</v>
      </c>
      <c r="LT13" s="8">
        <v>15.0</v>
      </c>
      <c r="LU13" s="8">
        <v>0.0</v>
      </c>
      <c r="LV13" s="8">
        <v>5.0</v>
      </c>
      <c r="LW13" s="8">
        <v>5.0</v>
      </c>
      <c r="LX13" s="8">
        <v>0.0</v>
      </c>
      <c r="LY13" s="8">
        <v>5.0</v>
      </c>
      <c r="LZ13" s="8">
        <v>5.0</v>
      </c>
      <c r="MA13" s="8">
        <v>0.0</v>
      </c>
      <c r="MB13" s="9" t="s">
        <v>881</v>
      </c>
      <c r="MC13" s="8">
        <v>0.0</v>
      </c>
      <c r="MD13" s="8">
        <v>0.0</v>
      </c>
      <c r="ME13" s="8">
        <v>0.0</v>
      </c>
      <c r="MF13" s="8">
        <v>0.0</v>
      </c>
      <c r="MG13" s="8">
        <v>0.0</v>
      </c>
      <c r="MH13" s="8">
        <v>0.0</v>
      </c>
      <c r="MI13" s="9"/>
      <c r="MJ13" s="9"/>
      <c r="MK13" s="9"/>
      <c r="ML13" s="9"/>
      <c r="MM13" s="9"/>
      <c r="MN13" s="9"/>
      <c r="MO13" s="9"/>
      <c r="MP13" s="9"/>
      <c r="MQ13" s="9"/>
      <c r="MR13" s="9" t="s">
        <v>1117</v>
      </c>
      <c r="MS13" s="9"/>
      <c r="MT13" s="9" t="s">
        <v>1117</v>
      </c>
      <c r="MU13" s="9" t="s">
        <v>881</v>
      </c>
      <c r="MV13" s="9"/>
      <c r="MW13" s="9"/>
      <c r="MX13" s="9"/>
      <c r="MY13" s="9"/>
      <c r="MZ13" s="9"/>
      <c r="NA13" s="9"/>
      <c r="NB13" s="9"/>
      <c r="NC13" s="9"/>
      <c r="ND13" s="9"/>
      <c r="NE13" s="9"/>
      <c r="NF13" s="9"/>
      <c r="NG13" s="9"/>
      <c r="NH13" s="9"/>
      <c r="NI13" s="9"/>
      <c r="NJ13" s="9"/>
      <c r="NK13" s="9"/>
      <c r="NL13" s="9" t="s">
        <v>881</v>
      </c>
      <c r="NM13" s="9" t="s">
        <v>893</v>
      </c>
      <c r="NN13" s="9" t="s">
        <v>993</v>
      </c>
      <c r="NO13" s="9" t="s">
        <v>1118</v>
      </c>
      <c r="NP13" s="9"/>
      <c r="NQ13" s="9"/>
      <c r="NR13" s="9"/>
      <c r="NS13" s="9"/>
      <c r="NT13" s="9"/>
      <c r="NU13" s="9"/>
      <c r="NV13" s="9" t="s">
        <v>896</v>
      </c>
      <c r="NW13" s="9"/>
      <c r="NX13" s="9" t="s">
        <v>897</v>
      </c>
      <c r="NY13" s="8">
        <v>30.0</v>
      </c>
      <c r="NZ13" s="8">
        <v>30.0</v>
      </c>
      <c r="OA13" s="8">
        <v>0.0</v>
      </c>
      <c r="OB13" s="8">
        <v>10.0</v>
      </c>
      <c r="OC13" s="8">
        <v>10.0</v>
      </c>
      <c r="OD13" s="8">
        <v>0.0</v>
      </c>
      <c r="OE13" s="9" t="s">
        <v>898</v>
      </c>
      <c r="OF13" s="9" t="s">
        <v>899</v>
      </c>
      <c r="OG13" s="9" t="s">
        <v>881</v>
      </c>
      <c r="OH13" s="8">
        <v>3.0</v>
      </c>
      <c r="OI13" s="8">
        <v>3.0</v>
      </c>
      <c r="OJ13" s="8">
        <v>0.0</v>
      </c>
      <c r="OK13" s="8">
        <v>0.0</v>
      </c>
      <c r="OL13" s="8">
        <v>0.0</v>
      </c>
      <c r="OM13" s="8">
        <v>0.0</v>
      </c>
      <c r="ON13" s="8">
        <v>0.0</v>
      </c>
      <c r="OO13" s="8">
        <v>0.0</v>
      </c>
      <c r="OP13" s="9" t="str">
        <f>VLOOKUP(AG13,'BUS 2'!$G$1:$CU$424,2,0)</f>
        <v>Sapi pedaging Sapi perah</v>
      </c>
      <c r="OQ13" s="8">
        <f>VLOOKUP(AG13,'BUS 2'!$G$1:$CU$424,3,0)</f>
        <v>1</v>
      </c>
      <c r="OR13" s="8">
        <f>VLOOKUP(AG13,'BUS 2'!$G$1:$CU$424,4,0)</f>
        <v>1</v>
      </c>
      <c r="OS13" s="8">
        <f>VLOOKUP(AG13,'BUS 2'!$G$1:$CU$424,5,0)</f>
        <v>0</v>
      </c>
      <c r="OT13" s="8">
        <f>VLOOKUP(AG13,'BUS 2'!$G$1:$CU$424,6,0)</f>
        <v>0</v>
      </c>
      <c r="OU13" s="8">
        <f>VLOOKUP(AG13,'BUS 2'!$G$1:$CU$424,7,0)</f>
        <v>0</v>
      </c>
      <c r="OV13" s="8">
        <f>VLOOKUP(AG13,'BUS 2'!$G$1:$CU$424,8,0)</f>
        <v>0</v>
      </c>
      <c r="OW13" s="8">
        <f>VLOOKUP(AG13,'BUS 2'!$G$1:$CU$424,9,0)</f>
        <v>0</v>
      </c>
      <c r="OX13" s="8">
        <f>VLOOKUP(AG13,'BUS 2'!$G$1:$CU$424,10,0)</f>
        <v>0</v>
      </c>
      <c r="OY13" s="8">
        <f>VLOOKUP(AG13,'BUS 2'!$G$1:$CU$424,11,0)</f>
        <v>0</v>
      </c>
      <c r="OZ13" s="8" t="str">
        <f>VLOOKUP(AG13,'BUS 2'!$G$1:$CU$424,12,0)</f>
        <v>Sapi pedaging Sapi perah</v>
      </c>
      <c r="PA13" s="8">
        <f>VLOOKUP(AG13,'BUS 2'!$G$1:$CU$424,13,0)</f>
        <v>1</v>
      </c>
      <c r="PB13" s="8">
        <f>VLOOKUP(AG13,'BUS 2'!$G$1:$CU$424,14,0)</f>
        <v>1</v>
      </c>
      <c r="PC13" s="8">
        <f>VLOOKUP(AG13,'BUS 2'!$G$1:$CU$424,15,0)</f>
        <v>0</v>
      </c>
      <c r="PD13" s="8">
        <f>VLOOKUP(AG13,'BUS 2'!$G$1:$CU$424,16,0)</f>
        <v>0</v>
      </c>
      <c r="PE13" s="8">
        <f>VLOOKUP(AG13,'BUS 2'!$G$1:$CU$424,17,0)</f>
        <v>0</v>
      </c>
      <c r="PF13" s="8">
        <f>VLOOKUP(AG13,'BUS 2'!$G$1:$CU$424,18,0)</f>
        <v>0</v>
      </c>
      <c r="PG13" s="8">
        <f>VLOOKUP(AG13,'BUS 2'!$G$1:$CU$424,19,0)</f>
        <v>0</v>
      </c>
      <c r="PH13" s="8">
        <f>VLOOKUP(AG13,'BUS 2'!$G$1:$CU$424,20,0)</f>
        <v>0</v>
      </c>
      <c r="PI13" s="8">
        <f>VLOOKUP(AG13,'BUS 2'!$G$1:$CU$424,21,0)</f>
        <v>0</v>
      </c>
      <c r="PJ13" s="8" t="str">
        <f>VLOOKUP(AG13,'BUS 2'!$G$1:$CU$424,22,0)</f>
        <v>Tidak ada</v>
      </c>
      <c r="PK13" s="8">
        <f>VLOOKUP(AG13,'BUS 2'!$G$1:$CU$424,23,0)</f>
        <v>0</v>
      </c>
      <c r="PL13" s="8">
        <f>VLOOKUP(AG13,'BUS 2'!$G$1:$CU$424,24,0)</f>
        <v>0</v>
      </c>
      <c r="PM13" s="8">
        <f>VLOOKUP(AG13,'BUS 2'!$G$1:$CU$424,25,0)</f>
        <v>0</v>
      </c>
      <c r="PN13" s="8">
        <f>VLOOKUP(AG13,'BUS 2'!$G$1:$CU$424,26,0)</f>
        <v>0</v>
      </c>
      <c r="PO13" s="8">
        <f>VLOOKUP(AG13,'BUS 2'!$G$1:$CU$424,27,0)</f>
        <v>0</v>
      </c>
      <c r="PP13" s="8">
        <f>VLOOKUP(AG13,'BUS 2'!$G$1:$CU$424,28,0)</f>
        <v>0</v>
      </c>
      <c r="PQ13" s="8">
        <f>VLOOKUP(AG13,'BUS 2'!$G$1:$CU$424,29,0)</f>
        <v>0</v>
      </c>
      <c r="PR13" s="8">
        <f>VLOOKUP(AG13,'BUS 2'!$G$1:$CU$424,30,0)</f>
        <v>0</v>
      </c>
      <c r="PS13" s="8">
        <f>VLOOKUP(AG13,'BUS 2'!$G$1:$CU$424,31,0)</f>
        <v>1</v>
      </c>
      <c r="PT13" s="9" t="s">
        <v>900</v>
      </c>
      <c r="PU13" s="8">
        <v>1.0</v>
      </c>
      <c r="PV13" s="8">
        <v>0.0</v>
      </c>
      <c r="PW13" s="8">
        <v>0.0</v>
      </c>
      <c r="PX13" s="8">
        <v>0.0</v>
      </c>
      <c r="PY13" s="8">
        <v>0.0</v>
      </c>
      <c r="PZ13" s="8">
        <v>0.0</v>
      </c>
      <c r="QA13" s="8">
        <v>1.0</v>
      </c>
      <c r="QB13" s="8">
        <v>0.0</v>
      </c>
      <c r="QC13" s="8">
        <v>0.0</v>
      </c>
      <c r="QD13" s="8">
        <v>0.0</v>
      </c>
      <c r="QE13" s="9" t="s">
        <v>900</v>
      </c>
      <c r="QF13" s="8">
        <v>0.0</v>
      </c>
      <c r="QG13" s="8">
        <v>0.0</v>
      </c>
      <c r="QH13" s="8">
        <v>0.0</v>
      </c>
      <c r="QI13" s="8">
        <v>0.0</v>
      </c>
      <c r="QJ13" s="8">
        <v>0.0</v>
      </c>
      <c r="QK13" s="8">
        <v>1.0</v>
      </c>
      <c r="QL13" s="8">
        <v>0.0</v>
      </c>
      <c r="QM13" s="8">
        <v>0.0</v>
      </c>
      <c r="QN13" s="8">
        <v>0.0</v>
      </c>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8">
        <f>VLOOKUP(AG13,'BUS 2'!$G$1:$CU$424,33,0)</f>
        <v>96</v>
      </c>
      <c r="SZ13" s="9">
        <f>VLOOKUP(AG13,'BUS 2'!$G$1:$CU$424,34,0)</f>
        <v>11</v>
      </c>
      <c r="TA13" s="9" t="str">
        <f>VLOOKUP(AG13,'BUS 2'!$G$1:$CU$424,35,0)</f>
        <v/>
      </c>
      <c r="TB13" s="9" t="str">
        <f>VLOOKUP(AG13,'BUS 2'!$G$1:$CU$424,36,0)</f>
        <v/>
      </c>
      <c r="TC13" s="9" t="str">
        <f>VLOOKUP(AG13,'BUS 2'!$G$1:$CU$424,37,0)</f>
        <v/>
      </c>
      <c r="TD13" s="9" t="str">
        <f>VLOOKUP(AG13,'BUS 2'!$G$1:$CU$424,38,0)</f>
        <v/>
      </c>
      <c r="TE13" s="9" t="str">
        <f>VLOOKUP(AG13,'BUS 2'!$G$1:$CU$424,39,0)</f>
        <v/>
      </c>
      <c r="TF13" s="9" t="str">
        <f>VLOOKUP(AG13,'BUS 2'!$G$1:$CU$424,40,0)</f>
        <v/>
      </c>
      <c r="TG13" s="8">
        <f>VLOOKUP(AG13,'BUS 2'!$G$1:$CU$424,42,0)</f>
        <v>96</v>
      </c>
      <c r="TH13" s="8">
        <f>VLOOKUP(AG13,'BUS 2'!$G$1:$CU$424,43,0)</f>
        <v>11</v>
      </c>
      <c r="TI13" s="8" t="str">
        <f>VLOOKUP(AG13,'BUS 2'!$G$1:$CU$424,44,0)</f>
        <v/>
      </c>
      <c r="TJ13" s="8" t="str">
        <f>VLOOKUP(AG13,'BUS 2'!$G$1:$CU$424,45,0)</f>
        <v/>
      </c>
      <c r="TK13" s="8" t="str">
        <f>VLOOKUP(AG13,'BUS 2'!$G$1:$CU$424,46,0)</f>
        <v/>
      </c>
      <c r="TL13" s="8" t="str">
        <f>VLOOKUP(AG13,'BUS 2'!$G$1:$CU$424,47,0)</f>
        <v/>
      </c>
      <c r="TM13" s="8" t="str">
        <f>VLOOKUP(AG13,'BUS 2'!$G$1:$CU$424,48,0)</f>
        <v/>
      </c>
      <c r="TN13" s="8" t="str">
        <f>VLOOKUP(AG13,'BUS 2'!$G$1:$CU$424,49,0)</f>
        <v/>
      </c>
      <c r="TO13" s="8" t="str">
        <f>VLOOKUP(AG13,'BUS 2'!$G$1:$CU$424,50,0)</f>
        <v/>
      </c>
      <c r="TP13" s="8" t="str">
        <f>VLOOKUP(AG13,'BUS 2'!$G$1:$CU$424,51,0)</f>
        <v/>
      </c>
      <c r="TQ13" s="8" t="str">
        <f>VLOOKUP(AG13,'BUS 2'!$G$1:$CU$424,52,0)</f>
        <v/>
      </c>
      <c r="TR13" s="8" t="str">
        <f>VLOOKUP(AG13,'BUS 2'!$G$1:$CU$424,53,0)</f>
        <v/>
      </c>
      <c r="TS13" s="9" t="str">
        <f>VLOOKUP(AG13,'BUS 2'!$G$1:$CU$424,54,0)</f>
        <v/>
      </c>
      <c r="TT13" s="9" t="str">
        <f>VLOOKUP(AG13,'BUS 2'!$G$1:$CU$424,55,0)</f>
        <v/>
      </c>
      <c r="TU13" s="9" t="str">
        <f>VLOOKUP(AG13,'BUS 2'!$G$1:$CU$424,56,0)</f>
        <v/>
      </c>
      <c r="TV13" s="9" t="str">
        <f>VLOOKUP(AG13,'BUS 2'!$G$1:$CU$424,57,0)</f>
        <v/>
      </c>
      <c r="TW13" s="9" t="str">
        <f>VLOOKUP(AG13,'BUS 2'!$G$1:$CU$424,58,0)</f>
        <v/>
      </c>
      <c r="TX13" s="9" t="str">
        <f>VLOOKUP(AG13,'BUS 2'!$G$1:$CU$424,59,0)</f>
        <v/>
      </c>
      <c r="TY13" s="9" t="str">
        <f>VLOOKUP(AG13,'BUS 2'!$G$1:$CU$424,60,0)</f>
        <v/>
      </c>
      <c r="TZ13" s="9" t="str">
        <f>VLOOKUP(AG13,'BUS 2'!$G$1:$CU$424,61,0)</f>
        <v/>
      </c>
      <c r="UA13" s="9" t="str">
        <f>VLOOKUP(AG13,'BUS 2'!$G$1:$CU$424,62,0)</f>
        <v/>
      </c>
      <c r="UB13" s="9" t="str">
        <f>VLOOKUP(AG13,'BUS 2'!$G$1:$CU$424,63,0)</f>
        <v/>
      </c>
      <c r="UC13" s="9" t="str">
        <f>VLOOKUP(AG13,'BUS 2'!$G$1:$CU$424,64,0)</f>
        <v/>
      </c>
      <c r="UD13" s="9" t="str">
        <f>VLOOKUP(AG13,'BUS 2'!$G$1:$CU$424,65,0)</f>
        <v/>
      </c>
      <c r="UE13" s="9" t="str">
        <f>VLOOKUP(AG13,'BUS 2'!$G$1:$CU$424,66,0)</f>
        <v/>
      </c>
      <c r="UF13" s="9" t="str">
        <f>VLOOKUP(AG13,'BUS 2'!$G$1:$CU$424,67,0)</f>
        <v/>
      </c>
      <c r="UG13" s="9" t="str">
        <f>VLOOKUP(AG13,'BUS 2'!$G$1:$CU$424,68,0)</f>
        <v/>
      </c>
      <c r="UH13" s="9" t="str">
        <f>VLOOKUP(AG13,'BUS 2'!$G$1:$CU$424,69,0)</f>
        <v/>
      </c>
      <c r="UI13" s="9" t="str">
        <f>VLOOKUP(AG13,'BUS 2'!$G$1:$CU$424,70,0)</f>
        <v/>
      </c>
      <c r="UJ13" s="9" t="str">
        <f>VLOOKUP(AG13,'BUS 2'!$G$1:$CU$424,71,0)</f>
        <v/>
      </c>
      <c r="UK13" s="9" t="str">
        <f>VLOOKUP(AG13,'BUS 2'!$G$1:$CU$424,72,0)</f>
        <v/>
      </c>
      <c r="UL13" s="9" t="str">
        <f>VLOOKUP(AG13,'BUS 2'!$G$1:$CU$424,73,0)</f>
        <v/>
      </c>
      <c r="UM13" s="9" t="str">
        <f>VLOOKUP(AG13,'BUS 2'!$G$1:$CU$424,74,0)</f>
        <v/>
      </c>
      <c r="UN13" s="9" t="str">
        <f>VLOOKUP(AG13,'BUS 2'!$G$1:$CU$424,75,0)</f>
        <v/>
      </c>
      <c r="UO13" s="9" t="str">
        <f>VLOOKUP(AG13,'BUS 2'!$G$1:$CU$424,76,0)</f>
        <v/>
      </c>
      <c r="UP13" s="9" t="str">
        <f>VLOOKUP(AG13,'BUS 2'!$G$1:$CU$424,77,0)</f>
        <v/>
      </c>
      <c r="UQ13" s="9" t="str">
        <f>VLOOKUP(AG13,'BUS 2'!$G$1:$CU$424,78,0)</f>
        <v/>
      </c>
      <c r="UR13" s="9" t="str">
        <f>VLOOKUP(AG13,'BUS 2'!$G$1:$CU$424,79,0)</f>
        <v/>
      </c>
      <c r="US13" s="9" t="str">
        <f>VLOOKUP(AG13,'BUS 2'!$G$1:$CU$424,80,0)</f>
        <v/>
      </c>
      <c r="UT13" s="9" t="str">
        <f>VLOOKUP(AG13,'BUS 2'!$G$1:$CU$424,81,0)</f>
        <v/>
      </c>
      <c r="UU13" s="9" t="s">
        <v>901</v>
      </c>
      <c r="UV13" s="9" t="s">
        <v>901</v>
      </c>
      <c r="UW13" s="9"/>
      <c r="UX13" s="9"/>
      <c r="UY13" s="9"/>
      <c r="UZ13" s="9"/>
      <c r="VA13" s="9"/>
      <c r="VB13" s="9"/>
      <c r="VC13" s="9" t="s">
        <v>950</v>
      </c>
      <c r="VD13" s="9" t="s">
        <v>950</v>
      </c>
      <c r="VE13" s="9"/>
      <c r="VF13" s="9"/>
      <c r="VG13" s="9"/>
      <c r="VH13" s="9"/>
      <c r="VI13" s="9"/>
      <c r="VJ13" s="9"/>
      <c r="VK13" s="9" t="s">
        <v>903</v>
      </c>
      <c r="VL13" s="9" t="s">
        <v>903</v>
      </c>
      <c r="VM13" s="9"/>
      <c r="VN13" s="9"/>
      <c r="VO13" s="9"/>
      <c r="VP13" s="9"/>
      <c r="VQ13" s="9"/>
      <c r="VR13" s="9"/>
      <c r="VS13" s="9" t="s">
        <v>1089</v>
      </c>
      <c r="VT13" s="8">
        <v>0.0</v>
      </c>
      <c r="VU13" s="8">
        <v>0.0</v>
      </c>
      <c r="VV13" s="8">
        <v>0.0</v>
      </c>
      <c r="VW13" s="8">
        <v>0.0</v>
      </c>
      <c r="VX13" s="8">
        <v>0.0</v>
      </c>
      <c r="VY13" s="8">
        <v>0.0</v>
      </c>
      <c r="VZ13" s="8">
        <v>1.0</v>
      </c>
      <c r="WA13" s="8">
        <v>1.0</v>
      </c>
      <c r="WB13" s="8">
        <v>1.0</v>
      </c>
      <c r="WC13" s="8">
        <v>0.0</v>
      </c>
      <c r="WD13" s="8">
        <v>0.0</v>
      </c>
      <c r="WE13" s="8">
        <v>0.0</v>
      </c>
      <c r="WF13" s="9" t="s">
        <v>1119</v>
      </c>
      <c r="WG13" s="8">
        <v>0.0</v>
      </c>
      <c r="WH13" s="8">
        <v>1.0</v>
      </c>
      <c r="WI13" s="8">
        <v>1.0</v>
      </c>
      <c r="WJ13" s="8">
        <v>1.0</v>
      </c>
      <c r="WK13" s="8">
        <v>1.0</v>
      </c>
      <c r="WL13" s="8">
        <v>0.0</v>
      </c>
      <c r="WM13" s="8">
        <v>0.0</v>
      </c>
      <c r="WN13" s="8">
        <v>0.0</v>
      </c>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8">
        <v>2.0</v>
      </c>
      <c r="ZW13" s="8">
        <v>2.0</v>
      </c>
      <c r="ZX13" s="9"/>
      <c r="ZY13" s="9"/>
      <c r="ZZ13" s="9"/>
      <c r="AAA13" s="9"/>
      <c r="AAB13" s="9"/>
      <c r="AAC13" s="9"/>
      <c r="AAD13" s="9" t="s">
        <v>905</v>
      </c>
      <c r="AAE13" s="9" t="s">
        <v>905</v>
      </c>
      <c r="AAF13" s="9"/>
      <c r="AAG13" s="9"/>
      <c r="AAH13" s="9"/>
      <c r="AAI13" s="9"/>
      <c r="AAJ13" s="9"/>
      <c r="AAK13" s="9"/>
      <c r="AAL13" s="9" t="s">
        <v>857</v>
      </c>
      <c r="AAM13" s="9" t="s">
        <v>1033</v>
      </c>
      <c r="AAN13" s="8">
        <v>1.0</v>
      </c>
      <c r="AAO13" s="8">
        <v>1.0</v>
      </c>
      <c r="AAP13" s="8">
        <v>300.0</v>
      </c>
      <c r="AAQ13" s="8">
        <v>300.0</v>
      </c>
      <c r="AAR13" s="9" t="s">
        <v>857</v>
      </c>
      <c r="AAS13" s="9" t="s">
        <v>867</v>
      </c>
      <c r="AAT13" s="9" t="s">
        <v>1120</v>
      </c>
      <c r="AAU13" s="8">
        <v>1.0</v>
      </c>
      <c r="AAV13" s="8">
        <v>1.0</v>
      </c>
      <c r="AAW13" s="8">
        <v>0.0</v>
      </c>
      <c r="AAX13" s="8">
        <v>1.0</v>
      </c>
      <c r="AAY13" s="8">
        <v>1.0</v>
      </c>
      <c r="AAZ13" s="8">
        <v>0.0</v>
      </c>
      <c r="ABA13" s="8">
        <v>0.0</v>
      </c>
      <c r="ABB13" s="9" t="s">
        <v>1106</v>
      </c>
      <c r="ABC13" s="8">
        <v>1.0</v>
      </c>
      <c r="ABD13" s="8">
        <v>1.0</v>
      </c>
      <c r="ABE13" s="8">
        <v>0.0</v>
      </c>
      <c r="ABF13" s="8">
        <v>1.0</v>
      </c>
      <c r="ABG13" s="8">
        <v>0.0</v>
      </c>
      <c r="ABH13" s="9"/>
      <c r="ABI13" s="9" t="s">
        <v>969</v>
      </c>
      <c r="ABJ13" s="8">
        <v>0.0</v>
      </c>
      <c r="ABK13" s="8">
        <v>0.0</v>
      </c>
      <c r="ABL13" s="8">
        <v>0.0</v>
      </c>
      <c r="ABM13" s="8">
        <v>0.0</v>
      </c>
      <c r="ABN13" s="8">
        <v>1.0</v>
      </c>
      <c r="ABO13" s="9" t="s">
        <v>975</v>
      </c>
      <c r="ABP13" s="9"/>
      <c r="ABQ13" s="11" t="s">
        <v>953</v>
      </c>
      <c r="ABR13" s="9" t="s">
        <v>1075</v>
      </c>
      <c r="ABS13" s="8">
        <v>2000.0</v>
      </c>
      <c r="ABT13" s="8">
        <v>2000.0</v>
      </c>
      <c r="ABU13" s="8">
        <v>300.0</v>
      </c>
      <c r="ABV13" s="8">
        <v>300.0</v>
      </c>
      <c r="ABW13" s="9" t="s">
        <v>910</v>
      </c>
      <c r="ABX13" s="9"/>
      <c r="ABY13" s="8">
        <v>15.0</v>
      </c>
      <c r="ABZ13" s="8">
        <v>10.0</v>
      </c>
      <c r="ACA13" s="8">
        <v>10.0</v>
      </c>
      <c r="ACB13" s="8">
        <v>5000.0</v>
      </c>
      <c r="ACC13" s="8">
        <v>500.0</v>
      </c>
      <c r="ACD13" s="8">
        <v>600.0</v>
      </c>
      <c r="ACE13" s="9" t="s">
        <v>857</v>
      </c>
      <c r="ACF13" s="9" t="s">
        <v>911</v>
      </c>
      <c r="ACG13" s="9" t="s">
        <v>911</v>
      </c>
      <c r="ACH13" s="9" t="s">
        <v>911</v>
      </c>
      <c r="ACI13" s="9" t="s">
        <v>911</v>
      </c>
      <c r="ACJ13" s="9" t="s">
        <v>911</v>
      </c>
      <c r="ACK13" s="9" t="s">
        <v>976</v>
      </c>
      <c r="ACL13" s="8">
        <v>0.0</v>
      </c>
      <c r="ACM13" s="8">
        <v>0.0</v>
      </c>
      <c r="ACN13" s="8">
        <v>1.0</v>
      </c>
      <c r="ACO13" s="8">
        <v>1.0</v>
      </c>
      <c r="ACP13" s="8">
        <v>0.0</v>
      </c>
      <c r="ACQ13" s="8">
        <v>0.0</v>
      </c>
      <c r="ACR13" s="8">
        <v>0.0</v>
      </c>
      <c r="ACS13" s="9"/>
      <c r="ACT13" s="9" t="s">
        <v>912</v>
      </c>
      <c r="ACU13" s="9" t="s">
        <v>913</v>
      </c>
      <c r="ACV13" s="9" t="s">
        <v>957</v>
      </c>
      <c r="ACW13" s="9" t="s">
        <v>915</v>
      </c>
      <c r="ACX13" s="9" t="s">
        <v>958</v>
      </c>
      <c r="ACY13" s="9" t="s">
        <v>1017</v>
      </c>
      <c r="ACZ13" s="8">
        <v>1.0</v>
      </c>
      <c r="ADA13" s="8">
        <v>1.0</v>
      </c>
      <c r="ADB13" s="8">
        <v>1.0</v>
      </c>
      <c r="ADC13" s="8">
        <v>0.0</v>
      </c>
      <c r="ADD13" s="9" t="s">
        <v>918</v>
      </c>
      <c r="ADE13" s="9" t="s">
        <v>918</v>
      </c>
      <c r="ADF13" s="9" t="s">
        <v>918</v>
      </c>
      <c r="ADG13" s="9" t="s">
        <v>918</v>
      </c>
      <c r="ADH13" s="9" t="s">
        <v>857</v>
      </c>
      <c r="ADI13" s="9" t="s">
        <v>912</v>
      </c>
      <c r="ADJ13" s="9" t="s">
        <v>918</v>
      </c>
      <c r="ADK13" s="9"/>
      <c r="ADL13" s="9"/>
      <c r="ADM13" s="9"/>
      <c r="ADN13" s="9"/>
      <c r="ADO13" s="9"/>
      <c r="ADP13" s="9"/>
      <c r="ADQ13" s="9"/>
      <c r="ADR13" s="9"/>
      <c r="ADS13" s="9"/>
      <c r="ADT13" s="9"/>
      <c r="ADU13" s="9" t="s">
        <v>1018</v>
      </c>
      <c r="ADV13" s="8">
        <v>0.0</v>
      </c>
      <c r="ADW13" s="8">
        <v>0.0</v>
      </c>
      <c r="ADX13" s="8">
        <v>0.0</v>
      </c>
      <c r="ADY13" s="8">
        <v>0.0</v>
      </c>
      <c r="ADZ13" s="8">
        <v>1.0</v>
      </c>
      <c r="AEA13" s="8">
        <v>1.0</v>
      </c>
      <c r="AEB13" s="8">
        <v>0.0</v>
      </c>
      <c r="AEC13" s="8">
        <v>0.0</v>
      </c>
      <c r="AED13" s="12"/>
      <c r="AEE13" s="13" t="s">
        <v>872</v>
      </c>
      <c r="AEF13" s="14"/>
      <c r="AEG13" s="13" t="s">
        <v>920</v>
      </c>
      <c r="AEH13" s="9"/>
      <c r="AEI13" s="11" t="s">
        <v>999</v>
      </c>
      <c r="AEJ13" s="9" t="s">
        <v>961</v>
      </c>
      <c r="AEK13" s="13" t="s">
        <v>1108</v>
      </c>
      <c r="AEL13" s="15">
        <v>1.0</v>
      </c>
      <c r="AEM13" s="15">
        <v>1.0</v>
      </c>
      <c r="AEN13" s="15">
        <v>1.0</v>
      </c>
      <c r="AEO13" s="15">
        <v>1.0</v>
      </c>
      <c r="AEP13" s="15">
        <v>1.0</v>
      </c>
      <c r="AEQ13" s="15">
        <v>1.0</v>
      </c>
      <c r="AER13" s="15">
        <v>1.0</v>
      </c>
      <c r="AES13" s="15">
        <v>1.0</v>
      </c>
      <c r="AET13" s="15">
        <v>1.0</v>
      </c>
      <c r="AEU13" s="15">
        <v>0.0</v>
      </c>
      <c r="AEV13" s="15">
        <v>0.0</v>
      </c>
      <c r="AEW13" s="15">
        <v>0.0</v>
      </c>
      <c r="AEX13" s="9"/>
      <c r="AEY13" s="9" t="s">
        <v>923</v>
      </c>
      <c r="AEZ13" s="9"/>
      <c r="AFA13" s="9" t="s">
        <v>1077</v>
      </c>
      <c r="AFB13" s="9"/>
      <c r="AFC13" s="9" t="s">
        <v>1121</v>
      </c>
      <c r="AFD13" s="16" t="s">
        <v>1122</v>
      </c>
      <c r="AFE13" s="9" t="s">
        <v>1123</v>
      </c>
      <c r="AFF13" s="16" t="s">
        <v>1124</v>
      </c>
      <c r="AFG13" s="9" t="s">
        <v>1125</v>
      </c>
      <c r="AFH13" s="9"/>
      <c r="AFI13" s="9"/>
    </row>
    <row r="14">
      <c r="A14" s="6">
        <v>46058.0</v>
      </c>
      <c r="B14" s="6">
        <v>46058.0</v>
      </c>
      <c r="C14" s="7" t="s">
        <v>837</v>
      </c>
      <c r="D14" s="7" t="s">
        <v>1126</v>
      </c>
      <c r="E14" s="8">
        <v>6.281227671088E12</v>
      </c>
      <c r="F14" s="9"/>
      <c r="G14" s="8">
        <v>-7.33216299</v>
      </c>
      <c r="H14" s="8">
        <v>110.3412414</v>
      </c>
      <c r="I14" s="9"/>
      <c r="J14" s="8">
        <v>3.95</v>
      </c>
      <c r="K14" s="9"/>
      <c r="L14" s="9"/>
      <c r="M14" s="8">
        <v>-7.33216299</v>
      </c>
      <c r="N14" s="8">
        <v>110.3411844</v>
      </c>
      <c r="O14" s="9"/>
      <c r="P14" s="8">
        <v>3.83</v>
      </c>
      <c r="Q14" s="9"/>
      <c r="R14" s="9" t="s">
        <v>839</v>
      </c>
      <c r="S14" s="9"/>
      <c r="T14" s="9"/>
      <c r="U14" s="9"/>
      <c r="V14" s="9"/>
      <c r="W14" s="9"/>
      <c r="X14" s="9"/>
      <c r="Y14" s="9"/>
      <c r="Z14" s="9"/>
      <c r="AA14" s="9"/>
      <c r="AB14" s="9"/>
      <c r="AC14" s="7" t="s">
        <v>1025</v>
      </c>
      <c r="AD14" s="7" t="s">
        <v>1026</v>
      </c>
      <c r="AE14" s="7" t="s">
        <v>1127</v>
      </c>
      <c r="AF14" s="9" t="s">
        <v>1128</v>
      </c>
      <c r="AG14" s="9" t="s">
        <v>1129</v>
      </c>
      <c r="AH14" s="8">
        <v>15.0</v>
      </c>
      <c r="AI14" s="9" t="s">
        <v>933</v>
      </c>
      <c r="AJ14" s="9" t="s">
        <v>934</v>
      </c>
      <c r="AK14" s="8">
        <v>59.0</v>
      </c>
      <c r="AL14" s="9" t="s">
        <v>847</v>
      </c>
      <c r="AM14" s="9" t="s">
        <v>848</v>
      </c>
      <c r="AN14" s="9" t="s">
        <v>986</v>
      </c>
      <c r="AO14" s="9" t="s">
        <v>935</v>
      </c>
      <c r="AP14" s="8">
        <v>0.0</v>
      </c>
      <c r="AQ14" s="8">
        <v>1.0</v>
      </c>
      <c r="AR14" s="8">
        <v>0.0</v>
      </c>
      <c r="AS14" s="8">
        <v>0.0</v>
      </c>
      <c r="AT14" s="8">
        <v>0.0</v>
      </c>
      <c r="AU14" s="8">
        <v>0.0</v>
      </c>
      <c r="AV14" s="8">
        <v>0.0</v>
      </c>
      <c r="AW14" s="8">
        <v>0.0</v>
      </c>
      <c r="AX14" s="9"/>
      <c r="AY14" s="9" t="s">
        <v>935</v>
      </c>
      <c r="AZ14" s="8">
        <v>0.0</v>
      </c>
      <c r="BA14" s="8">
        <v>1.0</v>
      </c>
      <c r="BB14" s="8">
        <v>0.0</v>
      </c>
      <c r="BC14" s="8">
        <v>0.0</v>
      </c>
      <c r="BD14" s="8">
        <v>0.0</v>
      </c>
      <c r="BE14" s="8">
        <v>0.0</v>
      </c>
      <c r="BF14" s="8">
        <v>0.0</v>
      </c>
      <c r="BG14" s="8">
        <v>0.0</v>
      </c>
      <c r="BH14" s="9"/>
      <c r="BI14" s="9" t="s">
        <v>852</v>
      </c>
      <c r="BJ14" s="8">
        <v>2.0</v>
      </c>
      <c r="BK14" s="8">
        <v>4.0</v>
      </c>
      <c r="BL14" s="8">
        <v>0.0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2011.0</v>
      </c>
      <c r="CN14" s="9" t="s">
        <v>858</v>
      </c>
      <c r="CO14" s="9" t="s">
        <v>859</v>
      </c>
      <c r="CP14" s="9" t="s">
        <v>860</v>
      </c>
      <c r="CQ14" s="8">
        <v>0.0</v>
      </c>
      <c r="CR14" s="8">
        <v>0.0</v>
      </c>
      <c r="CS14" s="8">
        <v>0.0</v>
      </c>
      <c r="CT14" s="8">
        <v>0.0</v>
      </c>
      <c r="CU14" s="10">
        <v>1.0</v>
      </c>
      <c r="CV14" s="10">
        <v>0.0</v>
      </c>
      <c r="CW14" s="10">
        <v>0.0</v>
      </c>
      <c r="CX14" s="8">
        <v>0.0</v>
      </c>
      <c r="CY14" s="9" t="s">
        <v>860</v>
      </c>
      <c r="CZ14" s="8">
        <v>1.0</v>
      </c>
      <c r="DA14" s="8">
        <v>0.0</v>
      </c>
      <c r="DB14" s="8">
        <v>0.0</v>
      </c>
      <c r="DC14" s="9"/>
      <c r="DD14" s="9" t="s">
        <v>937</v>
      </c>
      <c r="DE14" s="8">
        <v>1.0</v>
      </c>
      <c r="DF14" s="8">
        <v>0.0</v>
      </c>
      <c r="DG14" s="8">
        <v>1.0</v>
      </c>
      <c r="DH14" s="8">
        <v>0.0</v>
      </c>
      <c r="DI14" s="9"/>
      <c r="DJ14" s="9" t="s">
        <v>937</v>
      </c>
      <c r="DK14" s="8">
        <v>1.0</v>
      </c>
      <c r="DL14" s="8">
        <v>0.0</v>
      </c>
      <c r="DM14" s="8">
        <v>1.0</v>
      </c>
      <c r="DN14" s="8">
        <v>0.0</v>
      </c>
      <c r="DO14" s="9"/>
      <c r="DP14" s="8">
        <v>1.0</v>
      </c>
      <c r="DQ14" s="8">
        <v>0.0</v>
      </c>
      <c r="DR14" s="8">
        <v>0.0</v>
      </c>
      <c r="DS14" s="9"/>
      <c r="DT14" s="9"/>
      <c r="DU14" s="9"/>
      <c r="DV14" s="9" t="s">
        <v>938</v>
      </c>
      <c r="DW14" s="9" t="s">
        <v>939</v>
      </c>
      <c r="DX14" s="9" t="s">
        <v>987</v>
      </c>
      <c r="DY14" s="9"/>
      <c r="DZ14" s="9"/>
      <c r="EA14" s="9"/>
      <c r="EB14" s="9"/>
      <c r="EC14" s="9"/>
      <c r="ED14" s="9"/>
      <c r="EE14" s="9"/>
      <c r="EF14" s="9"/>
      <c r="EG14" s="9"/>
      <c r="EH14" s="9"/>
      <c r="EI14" s="9" t="s">
        <v>941</v>
      </c>
      <c r="EJ14" s="8">
        <v>0.0</v>
      </c>
      <c r="EK14" s="8">
        <v>1.0</v>
      </c>
      <c r="EL14" s="8">
        <v>1.0</v>
      </c>
      <c r="EM14" s="8">
        <v>0.0</v>
      </c>
      <c r="EN14" s="8">
        <v>0.0</v>
      </c>
      <c r="EO14" s="11"/>
      <c r="EP14" s="9" t="s">
        <v>863</v>
      </c>
      <c r="EQ14" s="9" t="s">
        <v>864</v>
      </c>
      <c r="ER14" s="9" t="s">
        <v>861</v>
      </c>
      <c r="ES14" s="8">
        <v>1.0</v>
      </c>
      <c r="ET14" s="8">
        <v>0.0</v>
      </c>
      <c r="EU14" s="8">
        <v>0.0</v>
      </c>
      <c r="EV14" s="8">
        <v>0.0</v>
      </c>
      <c r="EW14" s="9"/>
      <c r="EX14" s="9" t="s">
        <v>865</v>
      </c>
      <c r="EY14" s="8">
        <v>1.0</v>
      </c>
      <c r="EZ14" s="8">
        <v>0.0</v>
      </c>
      <c r="FA14" s="8">
        <v>0.0</v>
      </c>
      <c r="FB14" s="9"/>
      <c r="FC14" s="9" t="s">
        <v>1072</v>
      </c>
      <c r="FD14" s="9"/>
      <c r="FE14" s="9" t="s">
        <v>867</v>
      </c>
      <c r="FF14" s="9" t="s">
        <v>868</v>
      </c>
      <c r="FG14" s="9" t="s">
        <v>867</v>
      </c>
      <c r="FH14" s="9" t="s">
        <v>869</v>
      </c>
      <c r="FI14" s="9" t="s">
        <v>867</v>
      </c>
      <c r="FJ14" s="9" t="s">
        <v>869</v>
      </c>
      <c r="FK14" s="9" t="s">
        <v>867</v>
      </c>
      <c r="FL14" s="9" t="s">
        <v>868</v>
      </c>
      <c r="FM14" s="9" t="s">
        <v>867</v>
      </c>
      <c r="FN14" s="9" t="s">
        <v>869</v>
      </c>
      <c r="FO14" s="9" t="s">
        <v>867</v>
      </c>
      <c r="FP14" s="9" t="s">
        <v>868</v>
      </c>
      <c r="FQ14" s="9" t="s">
        <v>867</v>
      </c>
      <c r="FR14" s="9" t="s">
        <v>857</v>
      </c>
      <c r="FS14" s="9" t="s">
        <v>867</v>
      </c>
      <c r="FT14" s="9" t="s">
        <v>1130</v>
      </c>
      <c r="FU14" s="9" t="s">
        <v>989</v>
      </c>
      <c r="FV14" s="8">
        <v>1.0</v>
      </c>
      <c r="FW14" s="8">
        <v>1.0</v>
      </c>
      <c r="FX14" s="8">
        <v>0.0</v>
      </c>
      <c r="FY14" s="8">
        <v>0.0</v>
      </c>
      <c r="FZ14" s="9" t="s">
        <v>944</v>
      </c>
      <c r="GA14" s="9" t="s">
        <v>990</v>
      </c>
      <c r="GB14" s="8">
        <v>1.0</v>
      </c>
      <c r="GC14" s="8">
        <v>1.0</v>
      </c>
      <c r="GD14" s="8">
        <v>0.0</v>
      </c>
      <c r="GE14" s="8">
        <v>0.0</v>
      </c>
      <c r="GF14" s="9"/>
      <c r="GG14" s="9" t="s">
        <v>875</v>
      </c>
      <c r="GH14" s="9" t="s">
        <v>857</v>
      </c>
      <c r="GI14" s="9" t="s">
        <v>876</v>
      </c>
      <c r="GJ14" s="8">
        <v>1.0</v>
      </c>
      <c r="GK14" s="8">
        <v>0.0</v>
      </c>
      <c r="GL14" s="8">
        <v>0.0</v>
      </c>
      <c r="GM14" s="8">
        <v>0.0</v>
      </c>
      <c r="GN14" s="9"/>
      <c r="GO14" s="8">
        <v>8.0</v>
      </c>
      <c r="GP14" s="9" t="s">
        <v>877</v>
      </c>
      <c r="GQ14" s="9" t="s">
        <v>878</v>
      </c>
      <c r="GR14" s="8">
        <v>1.0</v>
      </c>
      <c r="GS14" s="8">
        <v>1.0</v>
      </c>
      <c r="GT14" s="8">
        <v>0.0</v>
      </c>
      <c r="GU14" s="8">
        <v>0.0</v>
      </c>
      <c r="GV14" s="8">
        <v>0.0</v>
      </c>
      <c r="GW14" s="8">
        <v>0.0</v>
      </c>
      <c r="GX14" s="8">
        <v>0.0</v>
      </c>
      <c r="GY14" s="9"/>
      <c r="GZ14" s="9" t="s">
        <v>857</v>
      </c>
      <c r="HA14" s="8">
        <v>90.0</v>
      </c>
      <c r="HB14" s="8">
        <v>90000.0</v>
      </c>
      <c r="HC14" s="8">
        <v>30.0</v>
      </c>
      <c r="HD14" s="8">
        <v>30000.0</v>
      </c>
      <c r="HE14" s="8">
        <v>12.0</v>
      </c>
      <c r="HF14" s="8">
        <v>100000.0</v>
      </c>
      <c r="HG14" s="8">
        <v>0.0</v>
      </c>
      <c r="HH14" s="8">
        <v>0.0</v>
      </c>
      <c r="HI14" s="9"/>
      <c r="HJ14" s="9"/>
      <c r="HK14" s="9"/>
      <c r="HL14" s="9"/>
      <c r="HM14" s="9"/>
      <c r="HN14" s="9"/>
      <c r="HO14" s="9"/>
      <c r="HP14" s="9"/>
      <c r="HQ14" s="9"/>
      <c r="HR14" s="9"/>
      <c r="HS14" s="9"/>
      <c r="HT14" s="9"/>
      <c r="HU14" s="9"/>
      <c r="HV14" s="9"/>
      <c r="HW14" s="9"/>
      <c r="HX14" s="9"/>
      <c r="HY14" s="8">
        <v>60.0</v>
      </c>
      <c r="HZ14" s="8">
        <v>60000.0</v>
      </c>
      <c r="IA14" s="8">
        <v>12.0</v>
      </c>
      <c r="IB14" s="8">
        <v>100000.0</v>
      </c>
      <c r="IC14" s="9"/>
      <c r="ID14" s="9"/>
      <c r="IE14" s="9"/>
      <c r="IF14" s="9"/>
      <c r="IG14" s="9"/>
      <c r="IH14" s="9"/>
      <c r="II14" s="9"/>
      <c r="IJ14" s="9"/>
      <c r="IK14" s="9" t="s">
        <v>879</v>
      </c>
      <c r="IL14" s="9" t="s">
        <v>880</v>
      </c>
      <c r="IM14" s="9" t="s">
        <v>857</v>
      </c>
      <c r="IN14" s="9" t="s">
        <v>857</v>
      </c>
      <c r="IO14" s="9" t="s">
        <v>882</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886</v>
      </c>
      <c r="KV14" s="9" t="s">
        <v>872</v>
      </c>
      <c r="KW14" s="8">
        <v>1.0</v>
      </c>
      <c r="KX14" s="8">
        <v>0.0</v>
      </c>
      <c r="KY14" s="8">
        <v>0.0</v>
      </c>
      <c r="KZ14" s="8">
        <v>0.0</v>
      </c>
      <c r="LA14" s="9" t="s">
        <v>884</v>
      </c>
      <c r="LB14" s="9" t="s">
        <v>884</v>
      </c>
      <c r="LC14" s="8">
        <v>3.0</v>
      </c>
      <c r="LD14" s="8">
        <v>3.0</v>
      </c>
      <c r="LE14" s="8">
        <v>0.0</v>
      </c>
      <c r="LF14" s="8">
        <v>0.0</v>
      </c>
      <c r="LG14" s="9" t="s">
        <v>857</v>
      </c>
      <c r="LH14" s="8">
        <v>100000.0</v>
      </c>
      <c r="LI14" s="9"/>
      <c r="LJ14" s="9" t="s">
        <v>887</v>
      </c>
      <c r="LK14" s="8">
        <v>0.0</v>
      </c>
      <c r="LL14" s="8">
        <v>0.0</v>
      </c>
      <c r="LM14" s="8">
        <v>0.0</v>
      </c>
      <c r="LN14" s="8">
        <v>0.0</v>
      </c>
      <c r="LO14" s="8">
        <v>1.0</v>
      </c>
      <c r="LP14" s="8">
        <v>0.0</v>
      </c>
      <c r="LQ14" s="8">
        <v>0.0</v>
      </c>
      <c r="LR14" s="9"/>
      <c r="LS14" s="8">
        <v>15.0</v>
      </c>
      <c r="LT14" s="8">
        <v>15.0</v>
      </c>
      <c r="LU14" s="8">
        <v>0.0</v>
      </c>
      <c r="LV14" s="8">
        <v>5.0</v>
      </c>
      <c r="LW14" s="8">
        <v>5.0</v>
      </c>
      <c r="LX14" s="8">
        <v>0.0</v>
      </c>
      <c r="LY14" s="8">
        <v>5.0</v>
      </c>
      <c r="LZ14" s="8">
        <v>5.0</v>
      </c>
      <c r="MA14" s="8">
        <v>0.0</v>
      </c>
      <c r="MB14" s="9" t="s">
        <v>857</v>
      </c>
      <c r="MC14" s="8">
        <v>30.0</v>
      </c>
      <c r="MD14" s="8">
        <v>20.0</v>
      </c>
      <c r="ME14" s="8">
        <v>30.0</v>
      </c>
      <c r="MF14" s="8">
        <v>20.0</v>
      </c>
      <c r="MG14" s="8">
        <v>0.0</v>
      </c>
      <c r="MH14" s="8">
        <v>0.0</v>
      </c>
      <c r="MI14" s="9" t="s">
        <v>946</v>
      </c>
      <c r="MJ14" s="8">
        <v>0.0</v>
      </c>
      <c r="MK14" s="8">
        <v>0.0</v>
      </c>
      <c r="ML14" s="8">
        <v>1.0</v>
      </c>
      <c r="MM14" s="8">
        <v>0.0</v>
      </c>
      <c r="MN14" s="8">
        <v>0.0</v>
      </c>
      <c r="MO14" s="8">
        <v>0.0</v>
      </c>
      <c r="MP14" s="9"/>
      <c r="MQ14" s="9"/>
      <c r="MR14" s="9" t="s">
        <v>1048</v>
      </c>
      <c r="MS14" s="9"/>
      <c r="MT14" s="9" t="s">
        <v>1131</v>
      </c>
      <c r="MU14" s="9" t="s">
        <v>881</v>
      </c>
      <c r="MV14" s="9"/>
      <c r="MW14" s="9"/>
      <c r="MX14" s="9"/>
      <c r="MY14" s="9"/>
      <c r="MZ14" s="9"/>
      <c r="NA14" s="9"/>
      <c r="NB14" s="9"/>
      <c r="NC14" s="9"/>
      <c r="ND14" s="9"/>
      <c r="NE14" s="9"/>
      <c r="NF14" s="9"/>
      <c r="NG14" s="9"/>
      <c r="NH14" s="9"/>
      <c r="NI14" s="9"/>
      <c r="NJ14" s="9"/>
      <c r="NK14" s="9"/>
      <c r="NL14" s="9" t="s">
        <v>881</v>
      </c>
      <c r="NM14" s="9" t="s">
        <v>893</v>
      </c>
      <c r="NN14" s="9" t="s">
        <v>1032</v>
      </c>
      <c r="NO14" s="9" t="s">
        <v>1077</v>
      </c>
      <c r="NP14" s="9"/>
      <c r="NQ14" s="9"/>
      <c r="NR14" s="9"/>
      <c r="NS14" s="9"/>
      <c r="NT14" s="9"/>
      <c r="NU14" s="9"/>
      <c r="NV14" s="9" t="s">
        <v>896</v>
      </c>
      <c r="NW14" s="9"/>
      <c r="NX14" s="9" t="s">
        <v>897</v>
      </c>
      <c r="NY14" s="8">
        <v>30.0</v>
      </c>
      <c r="NZ14" s="8">
        <v>30.0</v>
      </c>
      <c r="OA14" s="8">
        <v>0.0</v>
      </c>
      <c r="OB14" s="8">
        <v>5.0</v>
      </c>
      <c r="OC14" s="8">
        <v>5.0</v>
      </c>
      <c r="OD14" s="8">
        <v>0.0</v>
      </c>
      <c r="OE14" s="9" t="s">
        <v>898</v>
      </c>
      <c r="OF14" s="9" t="s">
        <v>899</v>
      </c>
      <c r="OG14" s="9" t="s">
        <v>857</v>
      </c>
      <c r="OH14" s="8">
        <v>0.0</v>
      </c>
      <c r="OI14" s="8">
        <v>0.0</v>
      </c>
      <c r="OJ14" s="8">
        <v>0.0</v>
      </c>
      <c r="OK14" s="8">
        <v>0.0</v>
      </c>
      <c r="OL14" s="8">
        <v>0.0</v>
      </c>
      <c r="OM14" s="8">
        <v>0.0</v>
      </c>
      <c r="ON14" s="8">
        <v>0.0</v>
      </c>
      <c r="OO14" s="8">
        <v>0.0</v>
      </c>
      <c r="OP14" s="9" t="str">
        <f>VLOOKUP(AG14,'BUS 2'!$G$1:$CU$424,2,0)</f>
        <v>Sapi pedaging</v>
      </c>
      <c r="OQ14" s="8">
        <f>VLOOKUP(AG14,'BUS 2'!$G$1:$CU$424,3,0)</f>
        <v>1</v>
      </c>
      <c r="OR14" s="8">
        <f>VLOOKUP(AG14,'BUS 2'!$G$1:$CU$424,4,0)</f>
        <v>0</v>
      </c>
      <c r="OS14" s="8">
        <f>VLOOKUP(AG14,'BUS 2'!$G$1:$CU$424,5,0)</f>
        <v>0</v>
      </c>
      <c r="OT14" s="8">
        <f>VLOOKUP(AG14,'BUS 2'!$G$1:$CU$424,6,0)</f>
        <v>0</v>
      </c>
      <c r="OU14" s="8">
        <f>VLOOKUP(AG14,'BUS 2'!$G$1:$CU$424,7,0)</f>
        <v>0</v>
      </c>
      <c r="OV14" s="8">
        <f>VLOOKUP(AG14,'BUS 2'!$G$1:$CU$424,8,0)</f>
        <v>0</v>
      </c>
      <c r="OW14" s="8">
        <f>VLOOKUP(AG14,'BUS 2'!$G$1:$CU$424,9,0)</f>
        <v>0</v>
      </c>
      <c r="OX14" s="8">
        <f>VLOOKUP(AG14,'BUS 2'!$G$1:$CU$424,10,0)</f>
        <v>0</v>
      </c>
      <c r="OY14" s="8">
        <f>VLOOKUP(AG14,'BUS 2'!$G$1:$CU$424,11,0)</f>
        <v>0</v>
      </c>
      <c r="OZ14" s="8" t="str">
        <f>VLOOKUP(AG14,'BUS 2'!$G$1:$CU$424,12,0)</f>
        <v>Sapi pedaging</v>
      </c>
      <c r="PA14" s="8">
        <f>VLOOKUP(AG14,'BUS 2'!$G$1:$CU$424,13,0)</f>
        <v>1</v>
      </c>
      <c r="PB14" s="8">
        <f>VLOOKUP(AG14,'BUS 2'!$G$1:$CU$424,14,0)</f>
        <v>0</v>
      </c>
      <c r="PC14" s="8">
        <f>VLOOKUP(AG14,'BUS 2'!$G$1:$CU$424,15,0)</f>
        <v>0</v>
      </c>
      <c r="PD14" s="8">
        <f>VLOOKUP(AG14,'BUS 2'!$G$1:$CU$424,16,0)</f>
        <v>0</v>
      </c>
      <c r="PE14" s="8">
        <f>VLOOKUP(AG14,'BUS 2'!$G$1:$CU$424,17,0)</f>
        <v>0</v>
      </c>
      <c r="PF14" s="8">
        <f>VLOOKUP(AG14,'BUS 2'!$G$1:$CU$424,18,0)</f>
        <v>0</v>
      </c>
      <c r="PG14" s="8">
        <f>VLOOKUP(AG14,'BUS 2'!$G$1:$CU$424,19,0)</f>
        <v>0</v>
      </c>
      <c r="PH14" s="8">
        <f>VLOOKUP(AG14,'BUS 2'!$G$1:$CU$424,20,0)</f>
        <v>0</v>
      </c>
      <c r="PI14" s="8">
        <f>VLOOKUP(AG14,'BUS 2'!$G$1:$CU$424,21,0)</f>
        <v>0</v>
      </c>
      <c r="PJ14" s="8" t="str">
        <f>VLOOKUP(AG14,'BUS 2'!$G$1:$CU$424,22,0)</f>
        <v>Tidak ada</v>
      </c>
      <c r="PK14" s="8">
        <f>VLOOKUP(AG14,'BUS 2'!$G$1:$CU$424,23,0)</f>
        <v>0</v>
      </c>
      <c r="PL14" s="8">
        <f>VLOOKUP(AG14,'BUS 2'!$G$1:$CU$424,24,0)</f>
        <v>0</v>
      </c>
      <c r="PM14" s="8">
        <f>VLOOKUP(AG14,'BUS 2'!$G$1:$CU$424,25,0)</f>
        <v>0</v>
      </c>
      <c r="PN14" s="8">
        <f>VLOOKUP(AG14,'BUS 2'!$G$1:$CU$424,26,0)</f>
        <v>0</v>
      </c>
      <c r="PO14" s="8">
        <f>VLOOKUP(AG14,'BUS 2'!$G$1:$CU$424,27,0)</f>
        <v>0</v>
      </c>
      <c r="PP14" s="8">
        <f>VLOOKUP(AG14,'BUS 2'!$G$1:$CU$424,28,0)</f>
        <v>0</v>
      </c>
      <c r="PQ14" s="8">
        <f>VLOOKUP(AG14,'BUS 2'!$G$1:$CU$424,29,0)</f>
        <v>0</v>
      </c>
      <c r="PR14" s="8">
        <f>VLOOKUP(AG14,'BUS 2'!$G$1:$CU$424,30,0)</f>
        <v>0</v>
      </c>
      <c r="PS14" s="8">
        <f>VLOOKUP(AG14,'BUS 2'!$G$1:$CU$424,31,0)</f>
        <v>1</v>
      </c>
      <c r="PT14" s="9" t="s">
        <v>900</v>
      </c>
      <c r="PU14" s="8">
        <v>1.0</v>
      </c>
      <c r="PV14" s="8">
        <v>0.0</v>
      </c>
      <c r="PW14" s="8">
        <v>0.0</v>
      </c>
      <c r="PX14" s="8">
        <v>0.0</v>
      </c>
      <c r="PY14" s="8">
        <v>0.0</v>
      </c>
      <c r="PZ14" s="8">
        <v>0.0</v>
      </c>
      <c r="QA14" s="8">
        <v>1.0</v>
      </c>
      <c r="QB14" s="8">
        <v>0.0</v>
      </c>
      <c r="QC14" s="8">
        <v>0.0</v>
      </c>
      <c r="QD14" s="8">
        <v>0.0</v>
      </c>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8">
        <f>VLOOKUP(AG14,'BUS 2'!$G$1:$CU$424,33,0)</f>
        <v>2</v>
      </c>
      <c r="SZ14" s="9" t="str">
        <f>VLOOKUP(AG14,'BUS 2'!$G$1:$CU$424,34,0)</f>
        <v/>
      </c>
      <c r="TA14" s="9" t="str">
        <f>VLOOKUP(AG14,'BUS 2'!$G$1:$CU$424,35,0)</f>
        <v/>
      </c>
      <c r="TB14" s="9" t="str">
        <f>VLOOKUP(AG14,'BUS 2'!$G$1:$CU$424,36,0)</f>
        <v/>
      </c>
      <c r="TC14" s="9" t="str">
        <f>VLOOKUP(AG14,'BUS 2'!$G$1:$CU$424,37,0)</f>
        <v/>
      </c>
      <c r="TD14" s="9" t="str">
        <f>VLOOKUP(AG14,'BUS 2'!$G$1:$CU$424,38,0)</f>
        <v/>
      </c>
      <c r="TE14" s="9" t="str">
        <f>VLOOKUP(AG14,'BUS 2'!$G$1:$CU$424,39,0)</f>
        <v/>
      </c>
      <c r="TF14" s="9" t="str">
        <f>VLOOKUP(AG14,'BUS 2'!$G$1:$CU$424,40,0)</f>
        <v/>
      </c>
      <c r="TG14" s="8">
        <f>VLOOKUP(AG14,'BUS 2'!$G$1:$CU$424,42,0)</f>
        <v>2</v>
      </c>
      <c r="TH14" s="8" t="str">
        <f>VLOOKUP(AG14,'BUS 2'!$G$1:$CU$424,43,0)</f>
        <v/>
      </c>
      <c r="TI14" s="8" t="str">
        <f>VLOOKUP(AG14,'BUS 2'!$G$1:$CU$424,44,0)</f>
        <v/>
      </c>
      <c r="TJ14" s="8" t="str">
        <f>VLOOKUP(AG14,'BUS 2'!$G$1:$CU$424,45,0)</f>
        <v/>
      </c>
      <c r="TK14" s="8" t="str">
        <f>VLOOKUP(AG14,'BUS 2'!$G$1:$CU$424,46,0)</f>
        <v/>
      </c>
      <c r="TL14" s="8" t="str">
        <f>VLOOKUP(AG14,'BUS 2'!$G$1:$CU$424,47,0)</f>
        <v/>
      </c>
      <c r="TM14" s="8" t="str">
        <f>VLOOKUP(AG14,'BUS 2'!$G$1:$CU$424,48,0)</f>
        <v/>
      </c>
      <c r="TN14" s="8" t="str">
        <f>VLOOKUP(AG14,'BUS 2'!$G$1:$CU$424,49,0)</f>
        <v/>
      </c>
      <c r="TO14" s="8" t="str">
        <f>VLOOKUP(AG14,'BUS 2'!$G$1:$CU$424,50,0)</f>
        <v/>
      </c>
      <c r="TP14" s="8" t="str">
        <f>VLOOKUP(AG14,'BUS 2'!$G$1:$CU$424,51,0)</f>
        <v/>
      </c>
      <c r="TQ14" s="8" t="str">
        <f>VLOOKUP(AG14,'BUS 2'!$G$1:$CU$424,52,0)</f>
        <v/>
      </c>
      <c r="TR14" s="8" t="str">
        <f>VLOOKUP(AG14,'BUS 2'!$G$1:$CU$424,53,0)</f>
        <v/>
      </c>
      <c r="TS14" s="9" t="str">
        <f>VLOOKUP(AG14,'BUS 2'!$G$1:$CU$424,54,0)</f>
        <v/>
      </c>
      <c r="TT14" s="9" t="str">
        <f>VLOOKUP(AG14,'BUS 2'!$G$1:$CU$424,55,0)</f>
        <v/>
      </c>
      <c r="TU14" s="9" t="str">
        <f>VLOOKUP(AG14,'BUS 2'!$G$1:$CU$424,56,0)</f>
        <v/>
      </c>
      <c r="TV14" s="9" t="str">
        <f>VLOOKUP(AG14,'BUS 2'!$G$1:$CU$424,57,0)</f>
        <v/>
      </c>
      <c r="TW14" s="9" t="str">
        <f>VLOOKUP(AG14,'BUS 2'!$G$1:$CU$424,58,0)</f>
        <v/>
      </c>
      <c r="TX14" s="9" t="str">
        <f>VLOOKUP(AG14,'BUS 2'!$G$1:$CU$424,59,0)</f>
        <v/>
      </c>
      <c r="TY14" s="9" t="str">
        <f>VLOOKUP(AG14,'BUS 2'!$G$1:$CU$424,60,0)</f>
        <v/>
      </c>
      <c r="TZ14" s="9" t="str">
        <f>VLOOKUP(AG14,'BUS 2'!$G$1:$CU$424,61,0)</f>
        <v/>
      </c>
      <c r="UA14" s="9" t="str">
        <f>VLOOKUP(AG14,'BUS 2'!$G$1:$CU$424,62,0)</f>
        <v/>
      </c>
      <c r="UB14" s="9" t="str">
        <f>VLOOKUP(AG14,'BUS 2'!$G$1:$CU$424,63,0)</f>
        <v/>
      </c>
      <c r="UC14" s="9" t="str">
        <f>VLOOKUP(AG14,'BUS 2'!$G$1:$CU$424,64,0)</f>
        <v/>
      </c>
      <c r="UD14" s="9" t="str">
        <f>VLOOKUP(AG14,'BUS 2'!$G$1:$CU$424,65,0)</f>
        <v/>
      </c>
      <c r="UE14" s="9" t="str">
        <f>VLOOKUP(AG14,'BUS 2'!$G$1:$CU$424,66,0)</f>
        <v/>
      </c>
      <c r="UF14" s="9" t="str">
        <f>VLOOKUP(AG14,'BUS 2'!$G$1:$CU$424,67,0)</f>
        <v/>
      </c>
      <c r="UG14" s="9" t="str">
        <f>VLOOKUP(AG14,'BUS 2'!$G$1:$CU$424,68,0)</f>
        <v/>
      </c>
      <c r="UH14" s="9" t="str">
        <f>VLOOKUP(AG14,'BUS 2'!$G$1:$CU$424,69,0)</f>
        <v/>
      </c>
      <c r="UI14" s="9" t="str">
        <f>VLOOKUP(AG14,'BUS 2'!$G$1:$CU$424,70,0)</f>
        <v/>
      </c>
      <c r="UJ14" s="9" t="str">
        <f>VLOOKUP(AG14,'BUS 2'!$G$1:$CU$424,71,0)</f>
        <v/>
      </c>
      <c r="UK14" s="9" t="str">
        <f>VLOOKUP(AG14,'BUS 2'!$G$1:$CU$424,72,0)</f>
        <v/>
      </c>
      <c r="UL14" s="9" t="str">
        <f>VLOOKUP(AG14,'BUS 2'!$G$1:$CU$424,73,0)</f>
        <v/>
      </c>
      <c r="UM14" s="9" t="str">
        <f>VLOOKUP(AG14,'BUS 2'!$G$1:$CU$424,74,0)</f>
        <v/>
      </c>
      <c r="UN14" s="9" t="str">
        <f>VLOOKUP(AG14,'BUS 2'!$G$1:$CU$424,75,0)</f>
        <v/>
      </c>
      <c r="UO14" s="9" t="str">
        <f>VLOOKUP(AG14,'BUS 2'!$G$1:$CU$424,76,0)</f>
        <v/>
      </c>
      <c r="UP14" s="9" t="str">
        <f>VLOOKUP(AG14,'BUS 2'!$G$1:$CU$424,77,0)</f>
        <v/>
      </c>
      <c r="UQ14" s="9" t="str">
        <f>VLOOKUP(AG14,'BUS 2'!$G$1:$CU$424,78,0)</f>
        <v/>
      </c>
      <c r="UR14" s="9" t="str">
        <f>VLOOKUP(AG14,'BUS 2'!$G$1:$CU$424,79,0)</f>
        <v/>
      </c>
      <c r="US14" s="9" t="str">
        <f>VLOOKUP(AG14,'BUS 2'!$G$1:$CU$424,80,0)</f>
        <v/>
      </c>
      <c r="UT14" s="9" t="str">
        <f>VLOOKUP(AG14,'BUS 2'!$G$1:$CU$424,81,0)</f>
        <v/>
      </c>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t="s">
        <v>881</v>
      </c>
      <c r="AAM14" s="9"/>
      <c r="AAN14" s="9"/>
      <c r="AAO14" s="9"/>
      <c r="AAP14" s="9"/>
      <c r="AAQ14" s="9"/>
      <c r="AAR14" s="9" t="s">
        <v>857</v>
      </c>
      <c r="AAS14" s="9" t="s">
        <v>867</v>
      </c>
      <c r="AAT14" s="9" t="s">
        <v>906</v>
      </c>
      <c r="AAU14" s="8">
        <v>1.0</v>
      </c>
      <c r="AAV14" s="8">
        <v>0.0</v>
      </c>
      <c r="AAW14" s="8">
        <v>0.0</v>
      </c>
      <c r="AAX14" s="8">
        <v>0.0</v>
      </c>
      <c r="AAY14" s="8">
        <v>0.0</v>
      </c>
      <c r="AAZ14" s="8">
        <v>0.0</v>
      </c>
      <c r="ABA14" s="8">
        <v>0.0</v>
      </c>
      <c r="ABB14" s="9" t="s">
        <v>907</v>
      </c>
      <c r="ABC14" s="8">
        <v>1.0</v>
      </c>
      <c r="ABD14" s="8">
        <v>0.0</v>
      </c>
      <c r="ABE14" s="8">
        <v>0.0</v>
      </c>
      <c r="ABF14" s="8">
        <v>0.0</v>
      </c>
      <c r="ABG14" s="8">
        <v>0.0</v>
      </c>
      <c r="ABH14" s="9"/>
      <c r="ABI14" s="9"/>
      <c r="ABJ14" s="9"/>
      <c r="ABK14" s="9"/>
      <c r="ABL14" s="9"/>
      <c r="ABM14" s="9"/>
      <c r="ABN14" s="9"/>
      <c r="ABO14" s="9"/>
      <c r="ABP14" s="9"/>
      <c r="ABQ14" s="11" t="s">
        <v>953</v>
      </c>
      <c r="ABR14" s="9" t="s">
        <v>1075</v>
      </c>
      <c r="ABS14" s="8">
        <v>1500.0</v>
      </c>
      <c r="ABT14" s="9"/>
      <c r="ABU14" s="8">
        <v>300.0</v>
      </c>
      <c r="ABV14" s="8">
        <v>300.0</v>
      </c>
      <c r="ABW14" s="9" t="s">
        <v>910</v>
      </c>
      <c r="ABX14" s="9"/>
      <c r="ABY14" s="8">
        <v>25.0</v>
      </c>
      <c r="ABZ14" s="8">
        <v>20.0</v>
      </c>
      <c r="ACA14" s="8">
        <v>10.0</v>
      </c>
      <c r="ACB14" s="8">
        <v>6000.0</v>
      </c>
      <c r="ACC14" s="8">
        <v>400.0</v>
      </c>
      <c r="ACD14" s="8">
        <v>500.0</v>
      </c>
      <c r="ACE14" s="9" t="s">
        <v>857</v>
      </c>
      <c r="ACF14" s="9" t="s">
        <v>911</v>
      </c>
      <c r="ACG14" s="9" t="s">
        <v>911</v>
      </c>
      <c r="ACH14" s="9" t="s">
        <v>911</v>
      </c>
      <c r="ACI14" s="9"/>
      <c r="ACJ14" s="9"/>
      <c r="ACK14" s="9"/>
      <c r="ACL14" s="9"/>
      <c r="ACM14" s="9"/>
      <c r="ACN14" s="9"/>
      <c r="ACO14" s="9"/>
      <c r="ACP14" s="9"/>
      <c r="ACQ14" s="9"/>
      <c r="ACR14" s="9"/>
      <c r="ACS14" s="9"/>
      <c r="ACT14" s="9" t="s">
        <v>1132</v>
      </c>
      <c r="ACU14" s="9" t="s">
        <v>913</v>
      </c>
      <c r="ACV14" s="9" t="s">
        <v>957</v>
      </c>
      <c r="ACW14" s="9" t="s">
        <v>915</v>
      </c>
      <c r="ACX14" s="9" t="s">
        <v>916</v>
      </c>
      <c r="ACY14" s="9" t="s">
        <v>1017</v>
      </c>
      <c r="ACZ14" s="8">
        <v>1.0</v>
      </c>
      <c r="ADA14" s="8">
        <v>1.0</v>
      </c>
      <c r="ADB14" s="8">
        <v>1.0</v>
      </c>
      <c r="ADC14" s="8">
        <v>0.0</v>
      </c>
      <c r="ADD14" s="9" t="s">
        <v>918</v>
      </c>
      <c r="ADE14" s="9" t="s">
        <v>918</v>
      </c>
      <c r="ADF14" s="9" t="s">
        <v>918</v>
      </c>
      <c r="ADG14" s="9" t="s">
        <v>918</v>
      </c>
      <c r="ADH14" s="9" t="s">
        <v>881</v>
      </c>
      <c r="ADI14" s="9"/>
      <c r="ADJ14" s="9" t="s">
        <v>918</v>
      </c>
      <c r="ADK14" s="9"/>
      <c r="ADL14" s="9"/>
      <c r="ADM14" s="9"/>
      <c r="ADN14" s="9"/>
      <c r="ADO14" s="9"/>
      <c r="ADP14" s="9"/>
      <c r="ADQ14" s="9"/>
      <c r="ADR14" s="9"/>
      <c r="ADS14" s="9"/>
      <c r="ADT14" s="9"/>
      <c r="ADU14" s="9" t="s">
        <v>1018</v>
      </c>
      <c r="ADV14" s="8">
        <v>0.0</v>
      </c>
      <c r="ADW14" s="8">
        <v>0.0</v>
      </c>
      <c r="ADX14" s="8">
        <v>0.0</v>
      </c>
      <c r="ADY14" s="8">
        <v>0.0</v>
      </c>
      <c r="ADZ14" s="8">
        <v>1.0</v>
      </c>
      <c r="AEA14" s="8">
        <v>1.0</v>
      </c>
      <c r="AEB14" s="8">
        <v>0.0</v>
      </c>
      <c r="AEC14" s="8">
        <v>0.0</v>
      </c>
      <c r="AED14" s="12"/>
      <c r="AEE14" s="17" t="s">
        <v>872</v>
      </c>
      <c r="AEF14" s="9"/>
      <c r="AEG14" s="17" t="s">
        <v>920</v>
      </c>
      <c r="AEH14" s="9"/>
      <c r="AEI14" s="11" t="s">
        <v>999</v>
      </c>
      <c r="AEJ14" s="9" t="s">
        <v>961</v>
      </c>
      <c r="AEK14" s="17" t="s">
        <v>1076</v>
      </c>
      <c r="AEL14" s="18">
        <v>1.0</v>
      </c>
      <c r="AEM14" s="18">
        <v>1.0</v>
      </c>
      <c r="AEN14" s="18">
        <v>1.0</v>
      </c>
      <c r="AEO14" s="18">
        <v>1.0</v>
      </c>
      <c r="AEP14" s="18">
        <v>1.0</v>
      </c>
      <c r="AEQ14" s="18">
        <v>1.0</v>
      </c>
      <c r="AER14" s="18">
        <v>1.0</v>
      </c>
      <c r="AES14" s="18">
        <v>1.0</v>
      </c>
      <c r="AET14" s="18">
        <v>0.0</v>
      </c>
      <c r="AEU14" s="18">
        <v>0.0</v>
      </c>
      <c r="AEV14" s="18">
        <v>0.0</v>
      </c>
      <c r="AEW14" s="18">
        <v>0.0</v>
      </c>
      <c r="AEX14" s="9"/>
      <c r="AEY14" s="9" t="s">
        <v>923</v>
      </c>
      <c r="AEZ14" s="9"/>
      <c r="AFA14" s="9" t="s">
        <v>1077</v>
      </c>
      <c r="AFB14" s="9"/>
      <c r="AFC14" s="9" t="s">
        <v>1133</v>
      </c>
      <c r="AFD14" s="16" t="s">
        <v>1134</v>
      </c>
      <c r="AFE14" s="9" t="s">
        <v>1135</v>
      </c>
      <c r="AFF14" s="16" t="s">
        <v>1136</v>
      </c>
      <c r="AFG14" s="9" t="s">
        <v>1137</v>
      </c>
      <c r="AFH14" s="9"/>
      <c r="AFI14" s="9"/>
    </row>
    <row r="15">
      <c r="A15" s="6">
        <v>46058.0</v>
      </c>
      <c r="B15" s="6">
        <v>46058.0</v>
      </c>
      <c r="C15" s="7" t="s">
        <v>837</v>
      </c>
      <c r="D15" s="7" t="s">
        <v>1138</v>
      </c>
      <c r="E15" s="8">
        <v>6.28572702349E12</v>
      </c>
      <c r="F15" s="9"/>
      <c r="G15" s="8">
        <v>-7.33332939</v>
      </c>
      <c r="H15" s="8">
        <v>110.3411286</v>
      </c>
      <c r="I15" s="9"/>
      <c r="J15" s="8">
        <v>2.05</v>
      </c>
      <c r="K15" s="9"/>
      <c r="L15" s="9"/>
      <c r="M15" s="8">
        <v>-7.33347641</v>
      </c>
      <c r="N15" s="8">
        <v>110.3411244</v>
      </c>
      <c r="O15" s="9"/>
      <c r="P15" s="8">
        <v>4.7</v>
      </c>
      <c r="Q15" s="9"/>
      <c r="R15" s="9" t="s">
        <v>839</v>
      </c>
      <c r="S15" s="9"/>
      <c r="T15" s="9"/>
      <c r="U15" s="9"/>
      <c r="V15" s="9"/>
      <c r="W15" s="9"/>
      <c r="X15" s="9"/>
      <c r="Y15" s="9"/>
      <c r="Z15" s="9"/>
      <c r="AA15" s="9"/>
      <c r="AB15" s="9"/>
      <c r="AC15" s="7" t="s">
        <v>1025</v>
      </c>
      <c r="AD15" s="7" t="s">
        <v>1026</v>
      </c>
      <c r="AE15" s="7" t="s">
        <v>1127</v>
      </c>
      <c r="AF15" s="9" t="s">
        <v>1128</v>
      </c>
      <c r="AG15" s="9" t="s">
        <v>1139</v>
      </c>
      <c r="AH15" s="8">
        <v>13.0</v>
      </c>
      <c r="AI15" s="9" t="s">
        <v>933</v>
      </c>
      <c r="AJ15" s="9" t="s">
        <v>934</v>
      </c>
      <c r="AK15" s="8">
        <v>60.0</v>
      </c>
      <c r="AL15" s="9" t="s">
        <v>847</v>
      </c>
      <c r="AM15" s="9" t="s">
        <v>848</v>
      </c>
      <c r="AN15" s="9" t="s">
        <v>849</v>
      </c>
      <c r="AO15" s="9" t="s">
        <v>935</v>
      </c>
      <c r="AP15" s="8">
        <v>0.0</v>
      </c>
      <c r="AQ15" s="8">
        <v>1.0</v>
      </c>
      <c r="AR15" s="8">
        <v>0.0</v>
      </c>
      <c r="AS15" s="8">
        <v>0.0</v>
      </c>
      <c r="AT15" s="8">
        <v>0.0</v>
      </c>
      <c r="AU15" s="8">
        <v>0.0</v>
      </c>
      <c r="AV15" s="8">
        <v>0.0</v>
      </c>
      <c r="AW15" s="8">
        <v>0.0</v>
      </c>
      <c r="AX15" s="9"/>
      <c r="AY15" s="9" t="s">
        <v>935</v>
      </c>
      <c r="AZ15" s="8">
        <v>0.0</v>
      </c>
      <c r="BA15" s="8">
        <v>1.0</v>
      </c>
      <c r="BB15" s="8">
        <v>0.0</v>
      </c>
      <c r="BC15" s="8">
        <v>0.0</v>
      </c>
      <c r="BD15" s="8">
        <v>0.0</v>
      </c>
      <c r="BE15" s="8">
        <v>0.0</v>
      </c>
      <c r="BF15" s="8">
        <v>0.0</v>
      </c>
      <c r="BG15" s="8">
        <v>0.0</v>
      </c>
      <c r="BH15" s="9"/>
      <c r="BI15" s="9" t="s">
        <v>852</v>
      </c>
      <c r="BJ15" s="8">
        <v>1.0</v>
      </c>
      <c r="BK15" s="8">
        <v>1.0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2012.0</v>
      </c>
      <c r="CN15" s="9" t="s">
        <v>858</v>
      </c>
      <c r="CO15" s="9" t="s">
        <v>859</v>
      </c>
      <c r="CP15" s="9" t="s">
        <v>860</v>
      </c>
      <c r="CQ15" s="8">
        <v>0.0</v>
      </c>
      <c r="CR15" s="8">
        <v>0.0</v>
      </c>
      <c r="CS15" s="8">
        <v>0.0</v>
      </c>
      <c r="CT15" s="8">
        <v>0.0</v>
      </c>
      <c r="CU15" s="10">
        <v>1.0</v>
      </c>
      <c r="CV15" s="10">
        <v>0.0</v>
      </c>
      <c r="CW15" s="10">
        <v>0.0</v>
      </c>
      <c r="CX15" s="8">
        <v>0.0</v>
      </c>
      <c r="CY15" s="9" t="s">
        <v>860</v>
      </c>
      <c r="CZ15" s="8">
        <v>1.0</v>
      </c>
      <c r="DA15" s="8">
        <v>0.0</v>
      </c>
      <c r="DB15" s="8">
        <v>0.0</v>
      </c>
      <c r="DC15" s="9"/>
      <c r="DD15" s="9" t="s">
        <v>860</v>
      </c>
      <c r="DE15" s="8">
        <v>1.0</v>
      </c>
      <c r="DF15" s="8">
        <v>0.0</v>
      </c>
      <c r="DG15" s="8">
        <v>0.0</v>
      </c>
      <c r="DH15" s="8">
        <v>0.0</v>
      </c>
      <c r="DI15" s="9"/>
      <c r="DJ15" s="9" t="s">
        <v>937</v>
      </c>
      <c r="DK15" s="8">
        <v>1.0</v>
      </c>
      <c r="DL15" s="8">
        <v>0.0</v>
      </c>
      <c r="DM15" s="8">
        <v>1.0</v>
      </c>
      <c r="DN15" s="8">
        <v>0.0</v>
      </c>
      <c r="DO15" s="9"/>
      <c r="DP15" s="8">
        <v>1.0</v>
      </c>
      <c r="DQ15" s="8">
        <v>0.0</v>
      </c>
      <c r="DR15" s="8">
        <v>0.0</v>
      </c>
      <c r="DS15" s="9"/>
      <c r="DT15" s="9"/>
      <c r="DU15" s="9"/>
      <c r="DV15" s="9" t="s">
        <v>938</v>
      </c>
      <c r="DW15" s="9" t="s">
        <v>939</v>
      </c>
      <c r="DX15" s="9" t="s">
        <v>987</v>
      </c>
      <c r="DY15" s="9"/>
      <c r="DZ15" s="9"/>
      <c r="EA15" s="9"/>
      <c r="EB15" s="9"/>
      <c r="EC15" s="9"/>
      <c r="ED15" s="9"/>
      <c r="EE15" s="9"/>
      <c r="EF15" s="9"/>
      <c r="EG15" s="9"/>
      <c r="EH15" s="9"/>
      <c r="EI15" s="9" t="s">
        <v>1140</v>
      </c>
      <c r="EJ15" s="8">
        <v>0.0</v>
      </c>
      <c r="EK15" s="8">
        <v>1.0</v>
      </c>
      <c r="EL15" s="8">
        <v>1.0</v>
      </c>
      <c r="EM15" s="8">
        <v>1.0</v>
      </c>
      <c r="EN15" s="8">
        <v>0.0</v>
      </c>
      <c r="EO15" s="11"/>
      <c r="EP15" s="9" t="s">
        <v>863</v>
      </c>
      <c r="EQ15" s="9" t="s">
        <v>864</v>
      </c>
      <c r="ER15" s="9" t="s">
        <v>1012</v>
      </c>
      <c r="ES15" s="8">
        <v>1.0</v>
      </c>
      <c r="ET15" s="8">
        <v>0.0</v>
      </c>
      <c r="EU15" s="8">
        <v>1.0</v>
      </c>
      <c r="EV15" s="8">
        <v>0.0</v>
      </c>
      <c r="EW15" s="9"/>
      <c r="EX15" s="9" t="s">
        <v>865</v>
      </c>
      <c r="EY15" s="8">
        <v>1.0</v>
      </c>
      <c r="EZ15" s="8">
        <v>0.0</v>
      </c>
      <c r="FA15" s="8">
        <v>0.0</v>
      </c>
      <c r="FB15" s="9"/>
      <c r="FC15" s="9" t="s">
        <v>866</v>
      </c>
      <c r="FD15" s="9"/>
      <c r="FE15" s="9" t="s">
        <v>867</v>
      </c>
      <c r="FF15" s="9" t="s">
        <v>868</v>
      </c>
      <c r="FG15" s="9" t="s">
        <v>867</v>
      </c>
      <c r="FH15" s="9" t="s">
        <v>869</v>
      </c>
      <c r="FI15" s="9" t="s">
        <v>867</v>
      </c>
      <c r="FJ15" s="9" t="s">
        <v>869</v>
      </c>
      <c r="FK15" s="9" t="s">
        <v>867</v>
      </c>
      <c r="FL15" s="9" t="s">
        <v>869</v>
      </c>
      <c r="FM15" s="9" t="s">
        <v>867</v>
      </c>
      <c r="FN15" s="9" t="s">
        <v>870</v>
      </c>
      <c r="FO15" s="9" t="s">
        <v>867</v>
      </c>
      <c r="FP15" s="9" t="s">
        <v>869</v>
      </c>
      <c r="FQ15" s="9" t="s">
        <v>867</v>
      </c>
      <c r="FR15" s="9" t="s">
        <v>857</v>
      </c>
      <c r="FS15" s="9" t="s">
        <v>867</v>
      </c>
      <c r="FT15" s="9" t="s">
        <v>1130</v>
      </c>
      <c r="FU15" s="9" t="s">
        <v>989</v>
      </c>
      <c r="FV15" s="8">
        <v>1.0</v>
      </c>
      <c r="FW15" s="8">
        <v>1.0</v>
      </c>
      <c r="FX15" s="8">
        <v>0.0</v>
      </c>
      <c r="FY15" s="8">
        <v>0.0</v>
      </c>
      <c r="FZ15" s="9" t="s">
        <v>944</v>
      </c>
      <c r="GA15" s="9" t="s">
        <v>874</v>
      </c>
      <c r="GB15" s="8">
        <v>1.0</v>
      </c>
      <c r="GC15" s="8">
        <v>0.0</v>
      </c>
      <c r="GD15" s="8">
        <v>0.0</v>
      </c>
      <c r="GE15" s="8">
        <v>0.0</v>
      </c>
      <c r="GF15" s="9"/>
      <c r="GG15" s="9" t="s">
        <v>875</v>
      </c>
      <c r="GH15" s="9" t="s">
        <v>857</v>
      </c>
      <c r="GI15" s="9" t="s">
        <v>876</v>
      </c>
      <c r="GJ15" s="8">
        <v>1.0</v>
      </c>
      <c r="GK15" s="8">
        <v>0.0</v>
      </c>
      <c r="GL15" s="8">
        <v>0.0</v>
      </c>
      <c r="GM15" s="8">
        <v>0.0</v>
      </c>
      <c r="GN15" s="9"/>
      <c r="GO15" s="8">
        <v>8.0</v>
      </c>
      <c r="GP15" s="9" t="s">
        <v>877</v>
      </c>
      <c r="GQ15" s="9" t="s">
        <v>878</v>
      </c>
      <c r="GR15" s="8">
        <v>1.0</v>
      </c>
      <c r="GS15" s="8">
        <v>1.0</v>
      </c>
      <c r="GT15" s="8">
        <v>0.0</v>
      </c>
      <c r="GU15" s="8">
        <v>0.0</v>
      </c>
      <c r="GV15" s="8">
        <v>0.0</v>
      </c>
      <c r="GW15" s="8">
        <v>0.0</v>
      </c>
      <c r="GX15" s="8">
        <v>0.0</v>
      </c>
      <c r="GY15" s="9"/>
      <c r="GZ15" s="9" t="s">
        <v>881</v>
      </c>
      <c r="HA15" s="8">
        <v>150.0</v>
      </c>
      <c r="HB15" s="8">
        <v>150000.0</v>
      </c>
      <c r="HC15" s="8">
        <v>0.0</v>
      </c>
      <c r="HD15" s="8">
        <v>0.0</v>
      </c>
      <c r="HE15" s="8">
        <v>9.0</v>
      </c>
      <c r="HF15" s="8">
        <v>75000.0</v>
      </c>
      <c r="HG15" s="8">
        <v>0.0</v>
      </c>
      <c r="HH15" s="8">
        <v>0.0</v>
      </c>
      <c r="HI15" s="9"/>
      <c r="HJ15" s="9"/>
      <c r="HK15" s="9"/>
      <c r="HL15" s="9"/>
      <c r="HM15" s="9"/>
      <c r="HN15" s="9"/>
      <c r="HO15" s="9"/>
      <c r="HP15" s="9"/>
      <c r="HQ15" s="9"/>
      <c r="HR15" s="9"/>
      <c r="HS15" s="9"/>
      <c r="HT15" s="9"/>
      <c r="HU15" s="9"/>
      <c r="HV15" s="9"/>
      <c r="HW15" s="9"/>
      <c r="HX15" s="9"/>
      <c r="HY15" s="8">
        <v>100.0</v>
      </c>
      <c r="HZ15" s="8">
        <v>100000.0</v>
      </c>
      <c r="IA15" s="8">
        <v>0.0</v>
      </c>
      <c r="IB15" s="8">
        <v>0.0</v>
      </c>
      <c r="IC15" s="9"/>
      <c r="ID15" s="9"/>
      <c r="IE15" s="9"/>
      <c r="IF15" s="9"/>
      <c r="IG15" s="9"/>
      <c r="IH15" s="9"/>
      <c r="II15" s="9"/>
      <c r="IJ15" s="9"/>
      <c r="IK15" s="9" t="s">
        <v>879</v>
      </c>
      <c r="IL15" s="9" t="s">
        <v>880</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884</v>
      </c>
      <c r="KT15" s="9" t="s">
        <v>886</v>
      </c>
      <c r="KU15" s="9" t="s">
        <v>886</v>
      </c>
      <c r="KV15" s="9" t="s">
        <v>872</v>
      </c>
      <c r="KW15" s="8">
        <v>1.0</v>
      </c>
      <c r="KX15" s="8">
        <v>0.0</v>
      </c>
      <c r="KY15" s="8">
        <v>0.0</v>
      </c>
      <c r="KZ15" s="8">
        <v>0.0</v>
      </c>
      <c r="LA15" s="9" t="s">
        <v>884</v>
      </c>
      <c r="LB15" s="9" t="s">
        <v>884</v>
      </c>
      <c r="LC15" s="8">
        <v>3.0</v>
      </c>
      <c r="LD15" s="8">
        <v>3.0</v>
      </c>
      <c r="LE15" s="8">
        <v>0.0</v>
      </c>
      <c r="LF15" s="8">
        <v>0.0</v>
      </c>
      <c r="LG15" s="9" t="s">
        <v>857</v>
      </c>
      <c r="LH15" s="8">
        <v>100000.0</v>
      </c>
      <c r="LI15" s="9"/>
      <c r="LJ15" s="9" t="s">
        <v>887</v>
      </c>
      <c r="LK15" s="8">
        <v>0.0</v>
      </c>
      <c r="LL15" s="8">
        <v>0.0</v>
      </c>
      <c r="LM15" s="8">
        <v>0.0</v>
      </c>
      <c r="LN15" s="8">
        <v>0.0</v>
      </c>
      <c r="LO15" s="8">
        <v>1.0</v>
      </c>
      <c r="LP15" s="8">
        <v>0.0</v>
      </c>
      <c r="LQ15" s="8">
        <v>0.0</v>
      </c>
      <c r="LR15" s="9"/>
      <c r="LS15" s="8">
        <v>15.0</v>
      </c>
      <c r="LT15" s="8">
        <v>15.0</v>
      </c>
      <c r="LU15" s="8">
        <v>0.0</v>
      </c>
      <c r="LV15" s="8">
        <v>5.0</v>
      </c>
      <c r="LW15" s="8">
        <v>5.0</v>
      </c>
      <c r="LX15" s="8">
        <v>0.0</v>
      </c>
      <c r="LY15" s="8">
        <v>5.0</v>
      </c>
      <c r="LZ15" s="8">
        <v>5.0</v>
      </c>
      <c r="MA15" s="8">
        <v>0.0</v>
      </c>
      <c r="MB15" s="9" t="s">
        <v>857</v>
      </c>
      <c r="MC15" s="8">
        <v>30.0</v>
      </c>
      <c r="MD15" s="8">
        <v>15.0</v>
      </c>
      <c r="ME15" s="8">
        <v>30.0</v>
      </c>
      <c r="MF15" s="8">
        <v>15.0</v>
      </c>
      <c r="MG15" s="8">
        <v>0.0</v>
      </c>
      <c r="MH15" s="8">
        <v>0.0</v>
      </c>
      <c r="MI15" s="9" t="s">
        <v>946</v>
      </c>
      <c r="MJ15" s="8">
        <v>0.0</v>
      </c>
      <c r="MK15" s="8">
        <v>0.0</v>
      </c>
      <c r="ML15" s="8">
        <v>1.0</v>
      </c>
      <c r="MM15" s="8">
        <v>0.0</v>
      </c>
      <c r="MN15" s="8">
        <v>0.0</v>
      </c>
      <c r="MO15" s="8">
        <v>0.0</v>
      </c>
      <c r="MP15" s="9"/>
      <c r="MQ15" s="9"/>
      <c r="MR15" s="9" t="s">
        <v>947</v>
      </c>
      <c r="MS15" s="9"/>
      <c r="MT15" s="9" t="s">
        <v>888</v>
      </c>
      <c r="MU15" s="9" t="s">
        <v>881</v>
      </c>
      <c r="MV15" s="9"/>
      <c r="MW15" s="9"/>
      <c r="MX15" s="9"/>
      <c r="MY15" s="9"/>
      <c r="MZ15" s="9"/>
      <c r="NA15" s="9"/>
      <c r="NB15" s="9"/>
      <c r="NC15" s="9"/>
      <c r="ND15" s="9"/>
      <c r="NE15" s="9"/>
      <c r="NF15" s="9"/>
      <c r="NG15" s="9"/>
      <c r="NH15" s="9"/>
      <c r="NI15" s="9"/>
      <c r="NJ15" s="9"/>
      <c r="NK15" s="9"/>
      <c r="NL15" s="9" t="s">
        <v>881</v>
      </c>
      <c r="NM15" s="9" t="s">
        <v>893</v>
      </c>
      <c r="NN15" s="9" t="s">
        <v>1141</v>
      </c>
      <c r="NO15" s="9" t="s">
        <v>1077</v>
      </c>
      <c r="NP15" s="9"/>
      <c r="NQ15" s="9"/>
      <c r="NR15" s="9"/>
      <c r="NS15" s="9"/>
      <c r="NT15" s="9"/>
      <c r="NU15" s="9"/>
      <c r="NV15" s="9" t="s">
        <v>896</v>
      </c>
      <c r="NW15" s="9"/>
      <c r="NX15" s="9" t="s">
        <v>897</v>
      </c>
      <c r="NY15" s="8">
        <v>45.0</v>
      </c>
      <c r="NZ15" s="8">
        <v>10.0</v>
      </c>
      <c r="OA15" s="8">
        <v>0.0</v>
      </c>
      <c r="OB15" s="8">
        <v>7.0</v>
      </c>
      <c r="OC15" s="8">
        <v>7.0</v>
      </c>
      <c r="OD15" s="8">
        <v>0.0</v>
      </c>
      <c r="OE15" s="9" t="s">
        <v>898</v>
      </c>
      <c r="OF15" s="9" t="s">
        <v>899</v>
      </c>
      <c r="OG15" s="9" t="s">
        <v>857</v>
      </c>
      <c r="OH15" s="8">
        <v>0.0</v>
      </c>
      <c r="OI15" s="8">
        <v>0.0</v>
      </c>
      <c r="OJ15" s="8">
        <v>0.0</v>
      </c>
      <c r="OK15" s="8">
        <v>0.0</v>
      </c>
      <c r="OL15" s="8">
        <v>0.0</v>
      </c>
      <c r="OM15" s="8">
        <v>0.0</v>
      </c>
      <c r="ON15" s="8">
        <v>0.0</v>
      </c>
      <c r="OO15" s="8">
        <v>0.0</v>
      </c>
      <c r="OP15" s="9" t="str">
        <f>VLOOKUP(AG15,'BUS 2'!$G$1:$CU$424,2,0)</f>
        <v>Sapi pedaging</v>
      </c>
      <c r="OQ15" s="8">
        <f>VLOOKUP(AG15,'BUS 2'!$G$1:$CU$424,3,0)</f>
        <v>1</v>
      </c>
      <c r="OR15" s="8">
        <f>VLOOKUP(AG15,'BUS 2'!$G$1:$CU$424,4,0)</f>
        <v>0</v>
      </c>
      <c r="OS15" s="8">
        <f>VLOOKUP(AG15,'BUS 2'!$G$1:$CU$424,5,0)</f>
        <v>0</v>
      </c>
      <c r="OT15" s="8">
        <f>VLOOKUP(AG15,'BUS 2'!$G$1:$CU$424,6,0)</f>
        <v>0</v>
      </c>
      <c r="OU15" s="8">
        <f>VLOOKUP(AG15,'BUS 2'!$G$1:$CU$424,7,0)</f>
        <v>0</v>
      </c>
      <c r="OV15" s="8">
        <f>VLOOKUP(AG15,'BUS 2'!$G$1:$CU$424,8,0)</f>
        <v>0</v>
      </c>
      <c r="OW15" s="8">
        <f>VLOOKUP(AG15,'BUS 2'!$G$1:$CU$424,9,0)</f>
        <v>0</v>
      </c>
      <c r="OX15" s="8">
        <f>VLOOKUP(AG15,'BUS 2'!$G$1:$CU$424,10,0)</f>
        <v>0</v>
      </c>
      <c r="OY15" s="8">
        <f>VLOOKUP(AG15,'BUS 2'!$G$1:$CU$424,11,0)</f>
        <v>0</v>
      </c>
      <c r="OZ15" s="8" t="str">
        <f>VLOOKUP(AG15,'BUS 2'!$G$1:$CU$424,12,0)</f>
        <v>Sapi pedaging</v>
      </c>
      <c r="PA15" s="8">
        <f>VLOOKUP(AG15,'BUS 2'!$G$1:$CU$424,13,0)</f>
        <v>1</v>
      </c>
      <c r="PB15" s="8">
        <f>VLOOKUP(AG15,'BUS 2'!$G$1:$CU$424,14,0)</f>
        <v>0</v>
      </c>
      <c r="PC15" s="8">
        <f>VLOOKUP(AG15,'BUS 2'!$G$1:$CU$424,15,0)</f>
        <v>0</v>
      </c>
      <c r="PD15" s="8">
        <f>VLOOKUP(AG15,'BUS 2'!$G$1:$CU$424,16,0)</f>
        <v>0</v>
      </c>
      <c r="PE15" s="8">
        <f>VLOOKUP(AG15,'BUS 2'!$G$1:$CU$424,17,0)</f>
        <v>0</v>
      </c>
      <c r="PF15" s="8">
        <f>VLOOKUP(AG15,'BUS 2'!$G$1:$CU$424,18,0)</f>
        <v>0</v>
      </c>
      <c r="PG15" s="8">
        <f>VLOOKUP(AG15,'BUS 2'!$G$1:$CU$424,19,0)</f>
        <v>0</v>
      </c>
      <c r="PH15" s="8">
        <f>VLOOKUP(AG15,'BUS 2'!$G$1:$CU$424,20,0)</f>
        <v>0</v>
      </c>
      <c r="PI15" s="8">
        <f>VLOOKUP(AG15,'BUS 2'!$G$1:$CU$424,21,0)</f>
        <v>0</v>
      </c>
      <c r="PJ15" s="8" t="str">
        <f>VLOOKUP(AG15,'BUS 2'!$G$1:$CU$424,22,0)</f>
        <v>Tidak ada</v>
      </c>
      <c r="PK15" s="8">
        <f>VLOOKUP(AG15,'BUS 2'!$G$1:$CU$424,23,0)</f>
        <v>0</v>
      </c>
      <c r="PL15" s="8">
        <f>VLOOKUP(AG15,'BUS 2'!$G$1:$CU$424,24,0)</f>
        <v>0</v>
      </c>
      <c r="PM15" s="8">
        <f>VLOOKUP(AG15,'BUS 2'!$G$1:$CU$424,25,0)</f>
        <v>0</v>
      </c>
      <c r="PN15" s="8">
        <f>VLOOKUP(AG15,'BUS 2'!$G$1:$CU$424,26,0)</f>
        <v>0</v>
      </c>
      <c r="PO15" s="8">
        <f>VLOOKUP(AG15,'BUS 2'!$G$1:$CU$424,27,0)</f>
        <v>0</v>
      </c>
      <c r="PP15" s="8">
        <f>VLOOKUP(AG15,'BUS 2'!$G$1:$CU$424,28,0)</f>
        <v>0</v>
      </c>
      <c r="PQ15" s="8">
        <f>VLOOKUP(AG15,'BUS 2'!$G$1:$CU$424,29,0)</f>
        <v>0</v>
      </c>
      <c r="PR15" s="8">
        <f>VLOOKUP(AG15,'BUS 2'!$G$1:$CU$424,30,0)</f>
        <v>0</v>
      </c>
      <c r="PS15" s="8">
        <f>VLOOKUP(AG15,'BUS 2'!$G$1:$CU$424,31,0)</f>
        <v>1</v>
      </c>
      <c r="PT15" s="9" t="s">
        <v>900</v>
      </c>
      <c r="PU15" s="8">
        <v>1.0</v>
      </c>
      <c r="PV15" s="8">
        <v>0.0</v>
      </c>
      <c r="PW15" s="8">
        <v>0.0</v>
      </c>
      <c r="PX15" s="8">
        <v>0.0</v>
      </c>
      <c r="PY15" s="8">
        <v>0.0</v>
      </c>
      <c r="PZ15" s="8">
        <v>0.0</v>
      </c>
      <c r="QA15" s="8">
        <v>1.0</v>
      </c>
      <c r="QB15" s="8">
        <v>0.0</v>
      </c>
      <c r="QC15" s="8">
        <v>0.0</v>
      </c>
      <c r="QD15" s="8">
        <v>0.0</v>
      </c>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8">
        <f>VLOOKUP(AG15,'BUS 2'!$G$1:$CU$424,33,0)</f>
        <v>3</v>
      </c>
      <c r="SZ15" s="9" t="str">
        <f>VLOOKUP(AG15,'BUS 2'!$G$1:$CU$424,34,0)</f>
        <v/>
      </c>
      <c r="TA15" s="9" t="str">
        <f>VLOOKUP(AG15,'BUS 2'!$G$1:$CU$424,35,0)</f>
        <v/>
      </c>
      <c r="TB15" s="9" t="str">
        <f>VLOOKUP(AG15,'BUS 2'!$G$1:$CU$424,36,0)</f>
        <v/>
      </c>
      <c r="TC15" s="9" t="str">
        <f>VLOOKUP(AG15,'BUS 2'!$G$1:$CU$424,37,0)</f>
        <v/>
      </c>
      <c r="TD15" s="9" t="str">
        <f>VLOOKUP(AG15,'BUS 2'!$G$1:$CU$424,38,0)</f>
        <v/>
      </c>
      <c r="TE15" s="9" t="str">
        <f>VLOOKUP(AG15,'BUS 2'!$G$1:$CU$424,39,0)</f>
        <v/>
      </c>
      <c r="TF15" s="9" t="str">
        <f>VLOOKUP(AG15,'BUS 2'!$G$1:$CU$424,40,0)</f>
        <v/>
      </c>
      <c r="TG15" s="8">
        <f>VLOOKUP(AG15,'BUS 2'!$G$1:$CU$424,42,0)</f>
        <v>3</v>
      </c>
      <c r="TH15" s="8" t="str">
        <f>VLOOKUP(AG15,'BUS 2'!$G$1:$CU$424,43,0)</f>
        <v/>
      </c>
      <c r="TI15" s="8" t="str">
        <f>VLOOKUP(AG15,'BUS 2'!$G$1:$CU$424,44,0)</f>
        <v/>
      </c>
      <c r="TJ15" s="8" t="str">
        <f>VLOOKUP(AG15,'BUS 2'!$G$1:$CU$424,45,0)</f>
        <v/>
      </c>
      <c r="TK15" s="8" t="str">
        <f>VLOOKUP(AG15,'BUS 2'!$G$1:$CU$424,46,0)</f>
        <v/>
      </c>
      <c r="TL15" s="8" t="str">
        <f>VLOOKUP(AG15,'BUS 2'!$G$1:$CU$424,47,0)</f>
        <v/>
      </c>
      <c r="TM15" s="8" t="str">
        <f>VLOOKUP(AG15,'BUS 2'!$G$1:$CU$424,48,0)</f>
        <v/>
      </c>
      <c r="TN15" s="8" t="str">
        <f>VLOOKUP(AG15,'BUS 2'!$G$1:$CU$424,49,0)</f>
        <v/>
      </c>
      <c r="TO15" s="8" t="str">
        <f>VLOOKUP(AG15,'BUS 2'!$G$1:$CU$424,50,0)</f>
        <v/>
      </c>
      <c r="TP15" s="8" t="str">
        <f>VLOOKUP(AG15,'BUS 2'!$G$1:$CU$424,51,0)</f>
        <v/>
      </c>
      <c r="TQ15" s="8" t="str">
        <f>VLOOKUP(AG15,'BUS 2'!$G$1:$CU$424,52,0)</f>
        <v/>
      </c>
      <c r="TR15" s="8" t="str">
        <f>VLOOKUP(AG15,'BUS 2'!$G$1:$CU$424,53,0)</f>
        <v/>
      </c>
      <c r="TS15" s="9" t="str">
        <f>VLOOKUP(AG15,'BUS 2'!$G$1:$CU$424,54,0)</f>
        <v/>
      </c>
      <c r="TT15" s="9" t="str">
        <f>VLOOKUP(AG15,'BUS 2'!$G$1:$CU$424,55,0)</f>
        <v/>
      </c>
      <c r="TU15" s="9" t="str">
        <f>VLOOKUP(AG15,'BUS 2'!$G$1:$CU$424,56,0)</f>
        <v/>
      </c>
      <c r="TV15" s="9" t="str">
        <f>VLOOKUP(AG15,'BUS 2'!$G$1:$CU$424,57,0)</f>
        <v/>
      </c>
      <c r="TW15" s="9" t="str">
        <f>VLOOKUP(AG15,'BUS 2'!$G$1:$CU$424,58,0)</f>
        <v/>
      </c>
      <c r="TX15" s="9" t="str">
        <f>VLOOKUP(AG15,'BUS 2'!$G$1:$CU$424,59,0)</f>
        <v/>
      </c>
      <c r="TY15" s="9" t="str">
        <f>VLOOKUP(AG15,'BUS 2'!$G$1:$CU$424,60,0)</f>
        <v/>
      </c>
      <c r="TZ15" s="9" t="str">
        <f>VLOOKUP(AG15,'BUS 2'!$G$1:$CU$424,61,0)</f>
        <v/>
      </c>
      <c r="UA15" s="9" t="str">
        <f>VLOOKUP(AG15,'BUS 2'!$G$1:$CU$424,62,0)</f>
        <v/>
      </c>
      <c r="UB15" s="9" t="str">
        <f>VLOOKUP(AG15,'BUS 2'!$G$1:$CU$424,63,0)</f>
        <v/>
      </c>
      <c r="UC15" s="9" t="str">
        <f>VLOOKUP(AG15,'BUS 2'!$G$1:$CU$424,64,0)</f>
        <v/>
      </c>
      <c r="UD15" s="9" t="str">
        <f>VLOOKUP(AG15,'BUS 2'!$G$1:$CU$424,65,0)</f>
        <v/>
      </c>
      <c r="UE15" s="9" t="str">
        <f>VLOOKUP(AG15,'BUS 2'!$G$1:$CU$424,66,0)</f>
        <v/>
      </c>
      <c r="UF15" s="9" t="str">
        <f>VLOOKUP(AG15,'BUS 2'!$G$1:$CU$424,67,0)</f>
        <v/>
      </c>
      <c r="UG15" s="9" t="str">
        <f>VLOOKUP(AG15,'BUS 2'!$G$1:$CU$424,68,0)</f>
        <v/>
      </c>
      <c r="UH15" s="9" t="str">
        <f>VLOOKUP(AG15,'BUS 2'!$G$1:$CU$424,69,0)</f>
        <v/>
      </c>
      <c r="UI15" s="9" t="str">
        <f>VLOOKUP(AG15,'BUS 2'!$G$1:$CU$424,70,0)</f>
        <v/>
      </c>
      <c r="UJ15" s="9" t="str">
        <f>VLOOKUP(AG15,'BUS 2'!$G$1:$CU$424,71,0)</f>
        <v/>
      </c>
      <c r="UK15" s="9" t="str">
        <f>VLOOKUP(AG15,'BUS 2'!$G$1:$CU$424,72,0)</f>
        <v/>
      </c>
      <c r="UL15" s="9" t="str">
        <f>VLOOKUP(AG15,'BUS 2'!$G$1:$CU$424,73,0)</f>
        <v/>
      </c>
      <c r="UM15" s="9" t="str">
        <f>VLOOKUP(AG15,'BUS 2'!$G$1:$CU$424,74,0)</f>
        <v/>
      </c>
      <c r="UN15" s="9" t="str">
        <f>VLOOKUP(AG15,'BUS 2'!$G$1:$CU$424,75,0)</f>
        <v/>
      </c>
      <c r="UO15" s="9" t="str">
        <f>VLOOKUP(AG15,'BUS 2'!$G$1:$CU$424,76,0)</f>
        <v/>
      </c>
      <c r="UP15" s="9" t="str">
        <f>VLOOKUP(AG15,'BUS 2'!$G$1:$CU$424,77,0)</f>
        <v/>
      </c>
      <c r="UQ15" s="9" t="str">
        <f>VLOOKUP(AG15,'BUS 2'!$G$1:$CU$424,78,0)</f>
        <v/>
      </c>
      <c r="UR15" s="9" t="str">
        <f>VLOOKUP(AG15,'BUS 2'!$G$1:$CU$424,79,0)</f>
        <v/>
      </c>
      <c r="US15" s="9" t="str">
        <f>VLOOKUP(AG15,'BUS 2'!$G$1:$CU$424,80,0)</f>
        <v/>
      </c>
      <c r="UT15" s="9" t="str">
        <f>VLOOKUP(AG15,'BUS 2'!$G$1:$CU$424,81,0)</f>
        <v/>
      </c>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t="s">
        <v>857</v>
      </c>
      <c r="AAM15" s="9" t="s">
        <v>1033</v>
      </c>
      <c r="AAN15" s="8">
        <v>1.0</v>
      </c>
      <c r="AAO15" s="8">
        <v>1.0</v>
      </c>
      <c r="AAP15" s="8">
        <v>100.0</v>
      </c>
      <c r="AAQ15" s="8">
        <v>100.0</v>
      </c>
      <c r="AAR15" s="9" t="s">
        <v>857</v>
      </c>
      <c r="AAS15" s="9" t="s">
        <v>867</v>
      </c>
      <c r="AAT15" s="9" t="s">
        <v>906</v>
      </c>
      <c r="AAU15" s="8">
        <v>1.0</v>
      </c>
      <c r="AAV15" s="8">
        <v>0.0</v>
      </c>
      <c r="AAW15" s="8">
        <v>0.0</v>
      </c>
      <c r="AAX15" s="8">
        <v>0.0</v>
      </c>
      <c r="AAY15" s="8">
        <v>0.0</v>
      </c>
      <c r="AAZ15" s="8">
        <v>0.0</v>
      </c>
      <c r="ABA15" s="8">
        <v>0.0</v>
      </c>
      <c r="ABB15" s="9" t="s">
        <v>907</v>
      </c>
      <c r="ABC15" s="8">
        <v>1.0</v>
      </c>
      <c r="ABD15" s="8">
        <v>0.0</v>
      </c>
      <c r="ABE15" s="8">
        <v>0.0</v>
      </c>
      <c r="ABF15" s="8">
        <v>0.0</v>
      </c>
      <c r="ABG15" s="8">
        <v>0.0</v>
      </c>
      <c r="ABH15" s="9"/>
      <c r="ABI15" s="9"/>
      <c r="ABJ15" s="9"/>
      <c r="ABK15" s="9"/>
      <c r="ABL15" s="9"/>
      <c r="ABM15" s="9"/>
      <c r="ABN15" s="9"/>
      <c r="ABO15" s="9"/>
      <c r="ABP15" s="9"/>
      <c r="ABQ15" s="11" t="s">
        <v>953</v>
      </c>
      <c r="ABR15" s="9" t="s">
        <v>1075</v>
      </c>
      <c r="ABS15" s="8">
        <v>3000.0</v>
      </c>
      <c r="ABT15" s="9"/>
      <c r="ABU15" s="8">
        <v>500.0</v>
      </c>
      <c r="ABV15" s="8">
        <v>500.0</v>
      </c>
      <c r="ABW15" s="9" t="s">
        <v>910</v>
      </c>
      <c r="ABX15" s="9"/>
      <c r="ABY15" s="8">
        <v>30.0</v>
      </c>
      <c r="ABZ15" s="8">
        <v>6000.0</v>
      </c>
      <c r="ACA15" s="8">
        <v>15.0</v>
      </c>
      <c r="ACB15" s="8">
        <v>6000.0</v>
      </c>
      <c r="ACC15" s="8">
        <v>500.0</v>
      </c>
      <c r="ACD15" s="8">
        <v>700.0</v>
      </c>
      <c r="ACE15" s="9" t="s">
        <v>857</v>
      </c>
      <c r="ACF15" s="9" t="s">
        <v>911</v>
      </c>
      <c r="ACG15" s="9" t="s">
        <v>911</v>
      </c>
      <c r="ACH15" s="9" t="s">
        <v>911</v>
      </c>
      <c r="ACI15" s="9"/>
      <c r="ACJ15" s="9"/>
      <c r="ACK15" s="9"/>
      <c r="ACL15" s="9"/>
      <c r="ACM15" s="9"/>
      <c r="ACN15" s="9"/>
      <c r="ACO15" s="9"/>
      <c r="ACP15" s="9"/>
      <c r="ACQ15" s="9"/>
      <c r="ACR15" s="9"/>
      <c r="ACS15" s="9"/>
      <c r="ACT15" s="9" t="s">
        <v>912</v>
      </c>
      <c r="ACU15" s="9" t="s">
        <v>913</v>
      </c>
      <c r="ACV15" s="9" t="s">
        <v>957</v>
      </c>
      <c r="ACW15" s="9" t="s">
        <v>915</v>
      </c>
      <c r="ACX15" s="9" t="s">
        <v>916</v>
      </c>
      <c r="ACY15" s="9" t="s">
        <v>1017</v>
      </c>
      <c r="ACZ15" s="8">
        <v>1.0</v>
      </c>
      <c r="ADA15" s="8">
        <v>1.0</v>
      </c>
      <c r="ADB15" s="8">
        <v>1.0</v>
      </c>
      <c r="ADC15" s="8">
        <v>0.0</v>
      </c>
      <c r="ADD15" s="9" t="s">
        <v>918</v>
      </c>
      <c r="ADE15" s="9" t="s">
        <v>918</v>
      </c>
      <c r="ADF15" s="9" t="s">
        <v>918</v>
      </c>
      <c r="ADG15" s="9" t="s">
        <v>918</v>
      </c>
      <c r="ADH15" s="9" t="s">
        <v>881</v>
      </c>
      <c r="ADI15" s="9"/>
      <c r="ADJ15" s="9" t="s">
        <v>918</v>
      </c>
      <c r="ADK15" s="9"/>
      <c r="ADL15" s="9"/>
      <c r="ADM15" s="9"/>
      <c r="ADN15" s="9"/>
      <c r="ADO15" s="9"/>
      <c r="ADP15" s="9"/>
      <c r="ADQ15" s="9"/>
      <c r="ADR15" s="9"/>
      <c r="ADS15" s="9"/>
      <c r="ADT15" s="9"/>
      <c r="ADU15" s="9" t="s">
        <v>1018</v>
      </c>
      <c r="ADV15" s="8">
        <v>0.0</v>
      </c>
      <c r="ADW15" s="8">
        <v>0.0</v>
      </c>
      <c r="ADX15" s="8">
        <v>0.0</v>
      </c>
      <c r="ADY15" s="8">
        <v>0.0</v>
      </c>
      <c r="ADZ15" s="8">
        <v>1.0</v>
      </c>
      <c r="AEA15" s="8">
        <v>1.0</v>
      </c>
      <c r="AEB15" s="8">
        <v>0.0</v>
      </c>
      <c r="AEC15" s="8">
        <v>0.0</v>
      </c>
      <c r="AED15" s="12"/>
      <c r="AEE15" s="17" t="s">
        <v>872</v>
      </c>
      <c r="AEF15" s="9"/>
      <c r="AEG15" s="17" t="s">
        <v>920</v>
      </c>
      <c r="AEH15" s="9"/>
      <c r="AEI15" s="11" t="s">
        <v>999</v>
      </c>
      <c r="AEJ15" s="9" t="s">
        <v>961</v>
      </c>
      <c r="AEK15" s="17" t="s">
        <v>1108</v>
      </c>
      <c r="AEL15" s="18">
        <v>1.0</v>
      </c>
      <c r="AEM15" s="18">
        <v>1.0</v>
      </c>
      <c r="AEN15" s="18">
        <v>1.0</v>
      </c>
      <c r="AEO15" s="18">
        <v>1.0</v>
      </c>
      <c r="AEP15" s="18">
        <v>1.0</v>
      </c>
      <c r="AEQ15" s="18">
        <v>1.0</v>
      </c>
      <c r="AER15" s="18">
        <v>1.0</v>
      </c>
      <c r="AES15" s="18">
        <v>1.0</v>
      </c>
      <c r="AET15" s="18">
        <v>1.0</v>
      </c>
      <c r="AEU15" s="18">
        <v>0.0</v>
      </c>
      <c r="AEV15" s="18">
        <v>0.0</v>
      </c>
      <c r="AEW15" s="18">
        <v>0.0</v>
      </c>
      <c r="AEX15" s="9"/>
      <c r="AEY15" s="9" t="s">
        <v>923</v>
      </c>
      <c r="AEZ15" s="9"/>
      <c r="AFA15" s="9" t="s">
        <v>1077</v>
      </c>
      <c r="AFB15" s="9"/>
      <c r="AFC15" s="9" t="s">
        <v>1142</v>
      </c>
      <c r="AFD15" s="16" t="s">
        <v>1143</v>
      </c>
      <c r="AFE15" s="9" t="s">
        <v>1144</v>
      </c>
      <c r="AFF15" s="16" t="s">
        <v>1145</v>
      </c>
      <c r="AFG15" s="9" t="s">
        <v>1137</v>
      </c>
      <c r="AFH15" s="9"/>
      <c r="AFI15" s="9"/>
    </row>
    <row r="16">
      <c r="A16" s="6">
        <v>46058.0</v>
      </c>
      <c r="B16" s="6">
        <v>46058.0</v>
      </c>
      <c r="C16" s="7" t="s">
        <v>837</v>
      </c>
      <c r="D16" s="7" t="s">
        <v>1146</v>
      </c>
      <c r="E16" s="8">
        <v>6.285779615733E12</v>
      </c>
      <c r="F16" s="9"/>
      <c r="G16" s="8">
        <v>-7.31335388</v>
      </c>
      <c r="H16" s="8">
        <v>110.3219548</v>
      </c>
      <c r="I16" s="9"/>
      <c r="J16" s="8">
        <v>2.23</v>
      </c>
      <c r="K16" s="9"/>
      <c r="L16" s="9"/>
      <c r="M16" s="8">
        <v>-7.31326388</v>
      </c>
      <c r="N16" s="8">
        <v>110.3219578</v>
      </c>
      <c r="O16" s="9"/>
      <c r="P16" s="8">
        <v>3.08</v>
      </c>
      <c r="Q16" s="9"/>
      <c r="R16" s="9" t="s">
        <v>839</v>
      </c>
      <c r="S16" s="9"/>
      <c r="T16" s="9"/>
      <c r="U16" s="9"/>
      <c r="V16" s="9"/>
      <c r="W16" s="9"/>
      <c r="X16" s="9"/>
      <c r="Y16" s="9"/>
      <c r="Z16" s="9"/>
      <c r="AA16" s="9"/>
      <c r="AB16" s="9"/>
      <c r="AC16" s="7" t="s">
        <v>1025</v>
      </c>
      <c r="AD16" s="7" t="s">
        <v>1147</v>
      </c>
      <c r="AE16" s="7" t="s">
        <v>1148</v>
      </c>
      <c r="AF16" s="9" t="s">
        <v>843</v>
      </c>
      <c r="AG16" s="9" t="s">
        <v>1149</v>
      </c>
      <c r="AH16" s="8">
        <v>10.0</v>
      </c>
      <c r="AI16" s="9" t="s">
        <v>933</v>
      </c>
      <c r="AJ16" s="9" t="s">
        <v>846</v>
      </c>
      <c r="AK16" s="8">
        <v>58.0</v>
      </c>
      <c r="AL16" s="9" t="s">
        <v>847</v>
      </c>
      <c r="AM16" s="9" t="s">
        <v>848</v>
      </c>
      <c r="AN16" s="9" t="s">
        <v>849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852</v>
      </c>
      <c r="BJ16" s="8">
        <v>1.0</v>
      </c>
      <c r="BK16" s="8">
        <v>1.0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2015.0</v>
      </c>
      <c r="CN16" s="9" t="s">
        <v>858</v>
      </c>
      <c r="CO16" s="9" t="s">
        <v>859</v>
      </c>
      <c r="CP16" s="9" t="s">
        <v>860</v>
      </c>
      <c r="CQ16" s="8">
        <v>0.0</v>
      </c>
      <c r="CR16" s="8">
        <v>0.0</v>
      </c>
      <c r="CS16" s="8">
        <v>0.0</v>
      </c>
      <c r="CT16" s="8">
        <v>0.0</v>
      </c>
      <c r="CU16" s="10">
        <v>1.0</v>
      </c>
      <c r="CV16" s="10">
        <v>0.0</v>
      </c>
      <c r="CW16" s="10">
        <v>0.0</v>
      </c>
      <c r="CX16" s="8">
        <v>0.0</v>
      </c>
      <c r="CY16" s="9" t="s">
        <v>860</v>
      </c>
      <c r="CZ16" s="8">
        <v>1.0</v>
      </c>
      <c r="DA16" s="8">
        <v>0.0</v>
      </c>
      <c r="DB16" s="8">
        <v>0.0</v>
      </c>
      <c r="DC16" s="9"/>
      <c r="DD16" s="9" t="s">
        <v>937</v>
      </c>
      <c r="DE16" s="8">
        <v>1.0</v>
      </c>
      <c r="DF16" s="8">
        <v>0.0</v>
      </c>
      <c r="DG16" s="8">
        <v>1.0</v>
      </c>
      <c r="DH16" s="8">
        <v>0.0</v>
      </c>
      <c r="DI16" s="9"/>
      <c r="DJ16" s="9" t="s">
        <v>937</v>
      </c>
      <c r="DK16" s="8">
        <v>1.0</v>
      </c>
      <c r="DL16" s="8">
        <v>0.0</v>
      </c>
      <c r="DM16" s="8">
        <v>1.0</v>
      </c>
      <c r="DN16" s="8">
        <v>0.0</v>
      </c>
      <c r="DO16" s="9"/>
      <c r="DP16" s="8">
        <v>1.0</v>
      </c>
      <c r="DQ16" s="8">
        <v>0.0</v>
      </c>
      <c r="DR16" s="8">
        <v>0.0</v>
      </c>
      <c r="DS16" s="9"/>
      <c r="DT16" s="9"/>
      <c r="DU16" s="9"/>
      <c r="DV16" s="9" t="s">
        <v>857</v>
      </c>
      <c r="DW16" s="9"/>
      <c r="DX16" s="9"/>
      <c r="DY16" s="9"/>
      <c r="DZ16" s="9"/>
      <c r="EA16" s="9"/>
      <c r="EB16" s="9"/>
      <c r="EC16" s="9"/>
      <c r="ED16" s="9"/>
      <c r="EE16" s="9"/>
      <c r="EF16" s="9"/>
      <c r="EG16" s="9"/>
      <c r="EH16" s="9"/>
      <c r="EI16" s="9" t="s">
        <v>862</v>
      </c>
      <c r="EJ16" s="8">
        <v>0.0</v>
      </c>
      <c r="EK16" s="8">
        <v>0.0</v>
      </c>
      <c r="EL16" s="8">
        <v>0.0</v>
      </c>
      <c r="EM16" s="8">
        <v>1.0</v>
      </c>
      <c r="EN16" s="8">
        <v>0.0</v>
      </c>
      <c r="EO16" s="11"/>
      <c r="EP16" s="9" t="s">
        <v>863</v>
      </c>
      <c r="EQ16" s="9" t="s">
        <v>864</v>
      </c>
      <c r="ER16" s="9" t="s">
        <v>861</v>
      </c>
      <c r="ES16" s="8">
        <v>1.0</v>
      </c>
      <c r="ET16" s="8">
        <v>0.0</v>
      </c>
      <c r="EU16" s="8">
        <v>0.0</v>
      </c>
      <c r="EV16" s="8">
        <v>0.0</v>
      </c>
      <c r="EW16" s="9"/>
      <c r="EX16" s="9" t="s">
        <v>865</v>
      </c>
      <c r="EY16" s="8">
        <v>1.0</v>
      </c>
      <c r="EZ16" s="8">
        <v>0.0</v>
      </c>
      <c r="FA16" s="8">
        <v>0.0</v>
      </c>
      <c r="FB16" s="9"/>
      <c r="FC16" s="9" t="s">
        <v>1072</v>
      </c>
      <c r="FD16" s="9"/>
      <c r="FE16" s="9" t="s">
        <v>867</v>
      </c>
      <c r="FF16" s="9" t="s">
        <v>868</v>
      </c>
      <c r="FG16" s="9" t="s">
        <v>867</v>
      </c>
      <c r="FH16" s="9" t="s">
        <v>869</v>
      </c>
      <c r="FI16" s="9" t="s">
        <v>867</v>
      </c>
      <c r="FJ16" s="9" t="s">
        <v>869</v>
      </c>
      <c r="FK16" s="9" t="s">
        <v>867</v>
      </c>
      <c r="FL16" s="9" t="s">
        <v>869</v>
      </c>
      <c r="FM16" s="9" t="s">
        <v>867</v>
      </c>
      <c r="FN16" s="9" t="s">
        <v>870</v>
      </c>
      <c r="FO16" s="9" t="s">
        <v>867</v>
      </c>
      <c r="FP16" s="9" t="s">
        <v>870</v>
      </c>
      <c r="FQ16" s="9" t="s">
        <v>867</v>
      </c>
      <c r="FR16" s="9" t="s">
        <v>857</v>
      </c>
      <c r="FS16" s="9" t="s">
        <v>867</v>
      </c>
      <c r="FT16" s="9" t="s">
        <v>871</v>
      </c>
      <c r="FU16" s="9" t="s">
        <v>989</v>
      </c>
      <c r="FV16" s="8">
        <v>1.0</v>
      </c>
      <c r="FW16" s="8">
        <v>1.0</v>
      </c>
      <c r="FX16" s="8">
        <v>0.0</v>
      </c>
      <c r="FY16" s="8">
        <v>0.0</v>
      </c>
      <c r="FZ16" s="9" t="s">
        <v>873</v>
      </c>
      <c r="GA16" s="9" t="s">
        <v>874</v>
      </c>
      <c r="GB16" s="8">
        <v>1.0</v>
      </c>
      <c r="GC16" s="8">
        <v>0.0</v>
      </c>
      <c r="GD16" s="8">
        <v>0.0</v>
      </c>
      <c r="GE16" s="8">
        <v>0.0</v>
      </c>
      <c r="GF16" s="9"/>
      <c r="GG16" s="9" t="s">
        <v>875</v>
      </c>
      <c r="GH16" s="9" t="s">
        <v>857</v>
      </c>
      <c r="GI16" s="9" t="s">
        <v>876</v>
      </c>
      <c r="GJ16" s="8">
        <v>1.0</v>
      </c>
      <c r="GK16" s="8">
        <v>0.0</v>
      </c>
      <c r="GL16" s="8">
        <v>0.0</v>
      </c>
      <c r="GM16" s="8">
        <v>0.0</v>
      </c>
      <c r="GN16" s="9"/>
      <c r="GO16" s="8">
        <v>9.0</v>
      </c>
      <c r="GP16" s="9" t="s">
        <v>877</v>
      </c>
      <c r="GQ16" s="9" t="s">
        <v>878</v>
      </c>
      <c r="GR16" s="8">
        <v>1.0</v>
      </c>
      <c r="GS16" s="8">
        <v>1.0</v>
      </c>
      <c r="GT16" s="8">
        <v>0.0</v>
      </c>
      <c r="GU16" s="8">
        <v>0.0</v>
      </c>
      <c r="GV16" s="8">
        <v>0.0</v>
      </c>
      <c r="GW16" s="8">
        <v>0.0</v>
      </c>
      <c r="GX16" s="8">
        <v>0.0</v>
      </c>
      <c r="GY16" s="9"/>
      <c r="GZ16" s="9" t="s">
        <v>857</v>
      </c>
      <c r="HA16" s="8">
        <v>150.0</v>
      </c>
      <c r="HB16" s="8">
        <v>150000.0</v>
      </c>
      <c r="HC16" s="8">
        <v>9.0</v>
      </c>
      <c r="HD16" s="8">
        <v>75000.0</v>
      </c>
      <c r="HE16" s="8">
        <v>9.0</v>
      </c>
      <c r="HF16" s="8">
        <v>75000.0</v>
      </c>
      <c r="HG16" s="8">
        <v>3.0</v>
      </c>
      <c r="HH16" s="8">
        <v>25000.0</v>
      </c>
      <c r="HI16" s="9"/>
      <c r="HJ16" s="9"/>
      <c r="HK16" s="9"/>
      <c r="HL16" s="9"/>
      <c r="HM16" s="9"/>
      <c r="HN16" s="9"/>
      <c r="HO16" s="9"/>
      <c r="HP16" s="9"/>
      <c r="HQ16" s="9"/>
      <c r="HR16" s="9"/>
      <c r="HS16" s="9"/>
      <c r="HT16" s="9"/>
      <c r="HU16" s="9"/>
      <c r="HV16" s="9"/>
      <c r="HW16" s="9"/>
      <c r="HX16" s="9"/>
      <c r="HY16" s="8">
        <v>100.0</v>
      </c>
      <c r="HZ16" s="8">
        <v>100000.0</v>
      </c>
      <c r="IA16" s="8">
        <v>6.0</v>
      </c>
      <c r="IB16" s="8">
        <v>50000.0</v>
      </c>
      <c r="IC16" s="9"/>
      <c r="ID16" s="9"/>
      <c r="IE16" s="9"/>
      <c r="IF16" s="9"/>
      <c r="IG16" s="9"/>
      <c r="IH16" s="9"/>
      <c r="II16" s="9"/>
      <c r="IJ16" s="9"/>
      <c r="IK16" s="9" t="s">
        <v>879</v>
      </c>
      <c r="IL16" s="9" t="s">
        <v>880</v>
      </c>
      <c r="IM16" s="9" t="s">
        <v>857</v>
      </c>
      <c r="IN16" s="9" t="s">
        <v>881</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999</v>
      </c>
      <c r="KW16" s="8">
        <v>0.0</v>
      </c>
      <c r="KX16" s="8">
        <v>0.0</v>
      </c>
      <c r="KY16" s="8">
        <v>0.0</v>
      </c>
      <c r="KZ16" s="8">
        <v>1.0</v>
      </c>
      <c r="LA16" s="9" t="s">
        <v>884</v>
      </c>
      <c r="LB16" s="9" t="s">
        <v>884</v>
      </c>
      <c r="LC16" s="8">
        <v>3.0</v>
      </c>
      <c r="LD16" s="8">
        <v>3.0</v>
      </c>
      <c r="LE16" s="8">
        <v>0.0</v>
      </c>
      <c r="LF16" s="8">
        <v>0.0</v>
      </c>
      <c r="LG16" s="9" t="s">
        <v>857</v>
      </c>
      <c r="LH16" s="8">
        <v>100000.0</v>
      </c>
      <c r="LI16" s="9"/>
      <c r="LJ16" s="9" t="s">
        <v>887</v>
      </c>
      <c r="LK16" s="8">
        <v>0.0</v>
      </c>
      <c r="LL16" s="8">
        <v>0.0</v>
      </c>
      <c r="LM16" s="8">
        <v>0.0</v>
      </c>
      <c r="LN16" s="8">
        <v>0.0</v>
      </c>
      <c r="LO16" s="8">
        <v>1.0</v>
      </c>
      <c r="LP16" s="8">
        <v>0.0</v>
      </c>
      <c r="LQ16" s="8">
        <v>0.0</v>
      </c>
      <c r="LR16" s="9"/>
      <c r="LS16" s="8">
        <v>15.0</v>
      </c>
      <c r="LT16" s="8">
        <v>15.0</v>
      </c>
      <c r="LU16" s="8">
        <v>0.0</v>
      </c>
      <c r="LV16" s="8">
        <v>5.0</v>
      </c>
      <c r="LW16" s="8">
        <v>5.0</v>
      </c>
      <c r="LX16" s="8">
        <v>0.0</v>
      </c>
      <c r="LY16" s="8">
        <v>5.0</v>
      </c>
      <c r="LZ16" s="8">
        <v>5.0</v>
      </c>
      <c r="MA16" s="8">
        <v>0.0</v>
      </c>
      <c r="MB16" s="9" t="s">
        <v>857</v>
      </c>
      <c r="MC16" s="8">
        <v>30.0</v>
      </c>
      <c r="MD16" s="8">
        <v>15.0</v>
      </c>
      <c r="ME16" s="8">
        <v>30.0</v>
      </c>
      <c r="MF16" s="8">
        <v>15.0</v>
      </c>
      <c r="MG16" s="8">
        <v>0.0</v>
      </c>
      <c r="MH16" s="8">
        <v>0.0</v>
      </c>
      <c r="MI16" s="9" t="s">
        <v>946</v>
      </c>
      <c r="MJ16" s="8">
        <v>0.0</v>
      </c>
      <c r="MK16" s="8">
        <v>0.0</v>
      </c>
      <c r="ML16" s="8">
        <v>1.0</v>
      </c>
      <c r="MM16" s="8">
        <v>0.0</v>
      </c>
      <c r="MN16" s="8">
        <v>0.0</v>
      </c>
      <c r="MO16" s="8">
        <v>0.0</v>
      </c>
      <c r="MP16" s="9"/>
      <c r="MQ16" s="9"/>
      <c r="MR16" s="9" t="s">
        <v>1048</v>
      </c>
      <c r="MS16" s="9"/>
      <c r="MT16" s="9" t="s">
        <v>888</v>
      </c>
      <c r="MU16" s="9" t="s">
        <v>881</v>
      </c>
      <c r="MV16" s="9"/>
      <c r="MW16" s="9"/>
      <c r="MX16" s="9"/>
      <c r="MY16" s="9"/>
      <c r="MZ16" s="9"/>
      <c r="NA16" s="9"/>
      <c r="NB16" s="9"/>
      <c r="NC16" s="9"/>
      <c r="ND16" s="9"/>
      <c r="NE16" s="9"/>
      <c r="NF16" s="9"/>
      <c r="NG16" s="9"/>
      <c r="NH16" s="9"/>
      <c r="NI16" s="9"/>
      <c r="NJ16" s="9"/>
      <c r="NK16" s="9"/>
      <c r="NL16" s="9" t="s">
        <v>881</v>
      </c>
      <c r="NM16" s="9" t="s">
        <v>893</v>
      </c>
      <c r="NN16" s="9" t="s">
        <v>1032</v>
      </c>
      <c r="NO16" s="9" t="s">
        <v>973</v>
      </c>
      <c r="NP16" s="9"/>
      <c r="NQ16" s="9"/>
      <c r="NR16" s="9"/>
      <c r="NS16" s="9"/>
      <c r="NT16" s="9"/>
      <c r="NU16" s="9"/>
      <c r="NV16" s="9" t="s">
        <v>896</v>
      </c>
      <c r="NW16" s="9"/>
      <c r="NX16" s="9" t="s">
        <v>897</v>
      </c>
      <c r="NY16" s="8">
        <v>30.0</v>
      </c>
      <c r="NZ16" s="8">
        <v>0.0</v>
      </c>
      <c r="OA16" s="8">
        <v>0.0</v>
      </c>
      <c r="OB16" s="8">
        <v>5.0</v>
      </c>
      <c r="OC16" s="8">
        <v>0.0</v>
      </c>
      <c r="OD16" s="8">
        <v>0.0</v>
      </c>
      <c r="OE16" s="9" t="s">
        <v>898</v>
      </c>
      <c r="OF16" s="9" t="s">
        <v>899</v>
      </c>
      <c r="OG16" s="9" t="s">
        <v>857</v>
      </c>
      <c r="OH16" s="8">
        <v>0.0</v>
      </c>
      <c r="OI16" s="8">
        <v>2.0</v>
      </c>
      <c r="OJ16" s="8">
        <v>0.0</v>
      </c>
      <c r="OK16" s="8">
        <v>0.0</v>
      </c>
      <c r="OL16" s="8">
        <v>0.0</v>
      </c>
      <c r="OM16" s="8">
        <v>10.0</v>
      </c>
      <c r="ON16" s="8">
        <v>0.0</v>
      </c>
      <c r="OO16" s="8">
        <v>0.0</v>
      </c>
      <c r="OP16" s="9" t="str">
        <f>VLOOKUP(AG16,'BUS 2'!$G$1:$CU$424,2,0)</f>
        <v>Sapi perah</v>
      </c>
      <c r="OQ16" s="8">
        <f>VLOOKUP(AG16,'BUS 2'!$G$1:$CU$424,3,0)</f>
        <v>0</v>
      </c>
      <c r="OR16" s="8">
        <f>VLOOKUP(AG16,'BUS 2'!$G$1:$CU$424,4,0)</f>
        <v>1</v>
      </c>
      <c r="OS16" s="8">
        <f>VLOOKUP(AG16,'BUS 2'!$G$1:$CU$424,5,0)</f>
        <v>0</v>
      </c>
      <c r="OT16" s="8">
        <f>VLOOKUP(AG16,'BUS 2'!$G$1:$CU$424,6,0)</f>
        <v>0</v>
      </c>
      <c r="OU16" s="8">
        <f>VLOOKUP(AG16,'BUS 2'!$G$1:$CU$424,7,0)</f>
        <v>0</v>
      </c>
      <c r="OV16" s="8">
        <f>VLOOKUP(AG16,'BUS 2'!$G$1:$CU$424,8,0)</f>
        <v>0</v>
      </c>
      <c r="OW16" s="8">
        <f>VLOOKUP(AG16,'BUS 2'!$G$1:$CU$424,9,0)</f>
        <v>0</v>
      </c>
      <c r="OX16" s="8">
        <f>VLOOKUP(AG16,'BUS 2'!$G$1:$CU$424,10,0)</f>
        <v>0</v>
      </c>
      <c r="OY16" s="8">
        <f>VLOOKUP(AG16,'BUS 2'!$G$1:$CU$424,11,0)</f>
        <v>0</v>
      </c>
      <c r="OZ16" s="8" t="str">
        <f>VLOOKUP(AG16,'BUS 2'!$G$1:$CU$424,12,0)</f>
        <v>Sapi perah</v>
      </c>
      <c r="PA16" s="8">
        <f>VLOOKUP(AG16,'BUS 2'!$G$1:$CU$424,13,0)</f>
        <v>0</v>
      </c>
      <c r="PB16" s="8">
        <f>VLOOKUP(AG16,'BUS 2'!$G$1:$CU$424,14,0)</f>
        <v>1</v>
      </c>
      <c r="PC16" s="8">
        <f>VLOOKUP(AG16,'BUS 2'!$G$1:$CU$424,15,0)</f>
        <v>0</v>
      </c>
      <c r="PD16" s="8">
        <f>VLOOKUP(AG16,'BUS 2'!$G$1:$CU$424,16,0)</f>
        <v>0</v>
      </c>
      <c r="PE16" s="8">
        <f>VLOOKUP(AG16,'BUS 2'!$G$1:$CU$424,17,0)</f>
        <v>0</v>
      </c>
      <c r="PF16" s="8">
        <f>VLOOKUP(AG16,'BUS 2'!$G$1:$CU$424,18,0)</f>
        <v>0</v>
      </c>
      <c r="PG16" s="8">
        <f>VLOOKUP(AG16,'BUS 2'!$G$1:$CU$424,19,0)</f>
        <v>0</v>
      </c>
      <c r="PH16" s="8">
        <f>VLOOKUP(AG16,'BUS 2'!$G$1:$CU$424,20,0)</f>
        <v>0</v>
      </c>
      <c r="PI16" s="8">
        <f>VLOOKUP(AG16,'BUS 2'!$G$1:$CU$424,21,0)</f>
        <v>0</v>
      </c>
      <c r="PJ16" s="8" t="str">
        <f>VLOOKUP(AG16,'BUS 2'!$G$1:$CU$424,22,0)</f>
        <v>Tidak ada</v>
      </c>
      <c r="PK16" s="8">
        <f>VLOOKUP(AG16,'BUS 2'!$G$1:$CU$424,23,0)</f>
        <v>0</v>
      </c>
      <c r="PL16" s="8">
        <f>VLOOKUP(AG16,'BUS 2'!$G$1:$CU$424,24,0)</f>
        <v>0</v>
      </c>
      <c r="PM16" s="8">
        <f>VLOOKUP(AG16,'BUS 2'!$G$1:$CU$424,25,0)</f>
        <v>0</v>
      </c>
      <c r="PN16" s="8">
        <f>VLOOKUP(AG16,'BUS 2'!$G$1:$CU$424,26,0)</f>
        <v>0</v>
      </c>
      <c r="PO16" s="8">
        <f>VLOOKUP(AG16,'BUS 2'!$G$1:$CU$424,27,0)</f>
        <v>0</v>
      </c>
      <c r="PP16" s="8">
        <f>VLOOKUP(AG16,'BUS 2'!$G$1:$CU$424,28,0)</f>
        <v>0</v>
      </c>
      <c r="PQ16" s="8">
        <f>VLOOKUP(AG16,'BUS 2'!$G$1:$CU$424,29,0)</f>
        <v>0</v>
      </c>
      <c r="PR16" s="8">
        <f>VLOOKUP(AG16,'BUS 2'!$G$1:$CU$424,30,0)</f>
        <v>0</v>
      </c>
      <c r="PS16" s="8">
        <f>VLOOKUP(AG16,'BUS 2'!$G$1:$CU$424,31,0)</f>
        <v>1</v>
      </c>
      <c r="PT16" s="9"/>
      <c r="PU16" s="9"/>
      <c r="PV16" s="9"/>
      <c r="PW16" s="9"/>
      <c r="PX16" s="9"/>
      <c r="PY16" s="9"/>
      <c r="PZ16" s="9"/>
      <c r="QA16" s="9"/>
      <c r="QB16" s="9"/>
      <c r="QC16" s="9"/>
      <c r="QD16" s="9"/>
      <c r="QE16" s="9" t="s">
        <v>900</v>
      </c>
      <c r="QF16" s="8">
        <v>0.0</v>
      </c>
      <c r="QG16" s="8">
        <v>0.0</v>
      </c>
      <c r="QH16" s="8">
        <v>0.0</v>
      </c>
      <c r="QI16" s="8">
        <v>0.0</v>
      </c>
      <c r="QJ16" s="8">
        <v>0.0</v>
      </c>
      <c r="QK16" s="8">
        <v>1.0</v>
      </c>
      <c r="QL16" s="8">
        <v>0.0</v>
      </c>
      <c r="QM16" s="8">
        <v>0.0</v>
      </c>
      <c r="QN16" s="8">
        <v>0.0</v>
      </c>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t="s">
        <v>900</v>
      </c>
      <c r="RS16" s="8">
        <v>1.0</v>
      </c>
      <c r="RT16" s="8">
        <v>0.0</v>
      </c>
      <c r="RU16" s="8">
        <v>0.0</v>
      </c>
      <c r="RV16" s="8">
        <v>0.0</v>
      </c>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8" t="str">
        <f>VLOOKUP(AG16,'BUS 2'!$G$1:$CU$424,33,0)</f>
        <v/>
      </c>
      <c r="SZ16" s="9">
        <f>VLOOKUP(AG16,'BUS 2'!$G$1:$CU$424,34,0)</f>
        <v>2</v>
      </c>
      <c r="TA16" s="9" t="str">
        <f>VLOOKUP(AG16,'BUS 2'!$G$1:$CU$424,35,0)</f>
        <v/>
      </c>
      <c r="TB16" s="9" t="str">
        <f>VLOOKUP(AG16,'BUS 2'!$G$1:$CU$424,36,0)</f>
        <v/>
      </c>
      <c r="TC16" s="9" t="str">
        <f>VLOOKUP(AG16,'BUS 2'!$G$1:$CU$424,37,0)</f>
        <v/>
      </c>
      <c r="TD16" s="9" t="str">
        <f>VLOOKUP(AG16,'BUS 2'!$G$1:$CU$424,38,0)</f>
        <v/>
      </c>
      <c r="TE16" s="9" t="str">
        <f>VLOOKUP(AG16,'BUS 2'!$G$1:$CU$424,39,0)</f>
        <v/>
      </c>
      <c r="TF16" s="9" t="str">
        <f>VLOOKUP(AG16,'BUS 2'!$G$1:$CU$424,40,0)</f>
        <v/>
      </c>
      <c r="TG16" s="8" t="str">
        <f>VLOOKUP(AG16,'BUS 2'!$G$1:$CU$424,42,0)</f>
        <v/>
      </c>
      <c r="TH16" s="8">
        <f>VLOOKUP(AG16,'BUS 2'!$G$1:$CU$424,43,0)</f>
        <v>2</v>
      </c>
      <c r="TI16" s="8" t="str">
        <f>VLOOKUP(AG16,'BUS 2'!$G$1:$CU$424,44,0)</f>
        <v/>
      </c>
      <c r="TJ16" s="8" t="str">
        <f>VLOOKUP(AG16,'BUS 2'!$G$1:$CU$424,45,0)</f>
        <v/>
      </c>
      <c r="TK16" s="8" t="str">
        <f>VLOOKUP(AG16,'BUS 2'!$G$1:$CU$424,46,0)</f>
        <v/>
      </c>
      <c r="TL16" s="8" t="str">
        <f>VLOOKUP(AG16,'BUS 2'!$G$1:$CU$424,47,0)</f>
        <v/>
      </c>
      <c r="TM16" s="8" t="str">
        <f>VLOOKUP(AG16,'BUS 2'!$G$1:$CU$424,48,0)</f>
        <v/>
      </c>
      <c r="TN16" s="8" t="str">
        <f>VLOOKUP(AG16,'BUS 2'!$G$1:$CU$424,49,0)</f>
        <v/>
      </c>
      <c r="TO16" s="8" t="str">
        <f>VLOOKUP(AG16,'BUS 2'!$G$1:$CU$424,50,0)</f>
        <v/>
      </c>
      <c r="TP16" s="8" t="str">
        <f>VLOOKUP(AG16,'BUS 2'!$G$1:$CU$424,51,0)</f>
        <v/>
      </c>
      <c r="TQ16" s="8" t="str">
        <f>VLOOKUP(AG16,'BUS 2'!$G$1:$CU$424,52,0)</f>
        <v/>
      </c>
      <c r="TR16" s="8" t="str">
        <f>VLOOKUP(AG16,'BUS 2'!$G$1:$CU$424,53,0)</f>
        <v/>
      </c>
      <c r="TS16" s="9" t="str">
        <f>VLOOKUP(AG16,'BUS 2'!$G$1:$CU$424,54,0)</f>
        <v/>
      </c>
      <c r="TT16" s="9" t="str">
        <f>VLOOKUP(AG16,'BUS 2'!$G$1:$CU$424,55,0)</f>
        <v/>
      </c>
      <c r="TU16" s="9" t="str">
        <f>VLOOKUP(AG16,'BUS 2'!$G$1:$CU$424,56,0)</f>
        <v/>
      </c>
      <c r="TV16" s="9" t="str">
        <f>VLOOKUP(AG16,'BUS 2'!$G$1:$CU$424,57,0)</f>
        <v/>
      </c>
      <c r="TW16" s="9" t="str">
        <f>VLOOKUP(AG16,'BUS 2'!$G$1:$CU$424,58,0)</f>
        <v/>
      </c>
      <c r="TX16" s="9" t="str">
        <f>VLOOKUP(AG16,'BUS 2'!$G$1:$CU$424,59,0)</f>
        <v/>
      </c>
      <c r="TY16" s="9" t="str">
        <f>VLOOKUP(AG16,'BUS 2'!$G$1:$CU$424,60,0)</f>
        <v/>
      </c>
      <c r="TZ16" s="9" t="str">
        <f>VLOOKUP(AG16,'BUS 2'!$G$1:$CU$424,61,0)</f>
        <v/>
      </c>
      <c r="UA16" s="9" t="str">
        <f>VLOOKUP(AG16,'BUS 2'!$G$1:$CU$424,62,0)</f>
        <v/>
      </c>
      <c r="UB16" s="9" t="str">
        <f>VLOOKUP(AG16,'BUS 2'!$G$1:$CU$424,63,0)</f>
        <v/>
      </c>
      <c r="UC16" s="9" t="str">
        <f>VLOOKUP(AG16,'BUS 2'!$G$1:$CU$424,64,0)</f>
        <v/>
      </c>
      <c r="UD16" s="9" t="str">
        <f>VLOOKUP(AG16,'BUS 2'!$G$1:$CU$424,65,0)</f>
        <v/>
      </c>
      <c r="UE16" s="9" t="str">
        <f>VLOOKUP(AG16,'BUS 2'!$G$1:$CU$424,66,0)</f>
        <v/>
      </c>
      <c r="UF16" s="9" t="str">
        <f>VLOOKUP(AG16,'BUS 2'!$G$1:$CU$424,67,0)</f>
        <v/>
      </c>
      <c r="UG16" s="9" t="str">
        <f>VLOOKUP(AG16,'BUS 2'!$G$1:$CU$424,68,0)</f>
        <v/>
      </c>
      <c r="UH16" s="9" t="str">
        <f>VLOOKUP(AG16,'BUS 2'!$G$1:$CU$424,69,0)</f>
        <v/>
      </c>
      <c r="UI16" s="9" t="str">
        <f>VLOOKUP(AG16,'BUS 2'!$G$1:$CU$424,70,0)</f>
        <v/>
      </c>
      <c r="UJ16" s="9" t="str">
        <f>VLOOKUP(AG16,'BUS 2'!$G$1:$CU$424,71,0)</f>
        <v/>
      </c>
      <c r="UK16" s="9" t="str">
        <f>VLOOKUP(AG16,'BUS 2'!$G$1:$CU$424,72,0)</f>
        <v/>
      </c>
      <c r="UL16" s="9" t="str">
        <f>VLOOKUP(AG16,'BUS 2'!$G$1:$CU$424,73,0)</f>
        <v/>
      </c>
      <c r="UM16" s="9" t="str">
        <f>VLOOKUP(AG16,'BUS 2'!$G$1:$CU$424,74,0)</f>
        <v/>
      </c>
      <c r="UN16" s="9" t="str">
        <f>VLOOKUP(AG16,'BUS 2'!$G$1:$CU$424,75,0)</f>
        <v/>
      </c>
      <c r="UO16" s="9" t="str">
        <f>VLOOKUP(AG16,'BUS 2'!$G$1:$CU$424,76,0)</f>
        <v/>
      </c>
      <c r="UP16" s="9" t="str">
        <f>VLOOKUP(AG16,'BUS 2'!$G$1:$CU$424,77,0)</f>
        <v/>
      </c>
      <c r="UQ16" s="9" t="str">
        <f>VLOOKUP(AG16,'BUS 2'!$G$1:$CU$424,78,0)</f>
        <v/>
      </c>
      <c r="UR16" s="9" t="str">
        <f>VLOOKUP(AG16,'BUS 2'!$G$1:$CU$424,79,0)</f>
        <v/>
      </c>
      <c r="US16" s="9" t="str">
        <f>VLOOKUP(AG16,'BUS 2'!$G$1:$CU$424,80,0)</f>
        <v/>
      </c>
      <c r="UT16" s="9" t="str">
        <f>VLOOKUP(AG16,'BUS 2'!$G$1:$CU$424,81,0)</f>
        <v/>
      </c>
      <c r="UU16" s="9"/>
      <c r="UV16" s="9" t="s">
        <v>901</v>
      </c>
      <c r="UW16" s="9"/>
      <c r="UX16" s="9"/>
      <c r="UY16" s="9"/>
      <c r="UZ16" s="9" t="s">
        <v>901</v>
      </c>
      <c r="VA16" s="9"/>
      <c r="VB16" s="9"/>
      <c r="VC16" s="9"/>
      <c r="VD16" s="9" t="s">
        <v>1150</v>
      </c>
      <c r="VE16" s="9"/>
      <c r="VF16" s="9"/>
      <c r="VG16" s="9"/>
      <c r="VH16" s="9" t="s">
        <v>1150</v>
      </c>
      <c r="VI16" s="9"/>
      <c r="VJ16" s="9"/>
      <c r="VK16" s="9"/>
      <c r="VL16" s="9" t="s">
        <v>903</v>
      </c>
      <c r="VM16" s="9"/>
      <c r="VN16" s="9"/>
      <c r="VO16" s="9"/>
      <c r="VP16" s="9" t="s">
        <v>903</v>
      </c>
      <c r="VQ16" s="9"/>
      <c r="VR16" s="9"/>
      <c r="VS16" s="9"/>
      <c r="VT16" s="9"/>
      <c r="VU16" s="9"/>
      <c r="VV16" s="9"/>
      <c r="VW16" s="9"/>
      <c r="VX16" s="9"/>
      <c r="VY16" s="9"/>
      <c r="VZ16" s="9"/>
      <c r="WA16" s="9"/>
      <c r="WB16" s="9"/>
      <c r="WC16" s="9"/>
      <c r="WD16" s="9"/>
      <c r="WE16" s="9"/>
      <c r="WF16" s="9" t="s">
        <v>1073</v>
      </c>
      <c r="WG16" s="8">
        <v>0.0</v>
      </c>
      <c r="WH16" s="8">
        <v>0.0</v>
      </c>
      <c r="WI16" s="8">
        <v>1.0</v>
      </c>
      <c r="WJ16" s="8">
        <v>1.0</v>
      </c>
      <c r="WK16" s="8">
        <v>0.0</v>
      </c>
      <c r="WL16" s="8">
        <v>0.0</v>
      </c>
      <c r="WM16" s="8">
        <v>0.0</v>
      </c>
      <c r="WN16" s="8">
        <v>0.0</v>
      </c>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t="s">
        <v>904</v>
      </c>
      <c r="YC16" s="8">
        <v>0.0</v>
      </c>
      <c r="YD16" s="8">
        <v>0.0</v>
      </c>
      <c r="YE16" s="8">
        <v>0.0</v>
      </c>
      <c r="YF16" s="8">
        <v>1.0</v>
      </c>
      <c r="YG16" s="8">
        <v>0.0</v>
      </c>
      <c r="YH16" s="8">
        <v>0.0</v>
      </c>
      <c r="YI16" s="8">
        <v>0.0</v>
      </c>
      <c r="YJ16" s="8">
        <v>0.0</v>
      </c>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8">
        <v>2.0</v>
      </c>
      <c r="ZX16" s="9"/>
      <c r="ZY16" s="9"/>
      <c r="ZZ16" s="9"/>
      <c r="AAA16" s="8">
        <v>1.0</v>
      </c>
      <c r="AAB16" s="9"/>
      <c r="AAC16" s="9"/>
      <c r="AAD16" s="9"/>
      <c r="AAE16" s="9" t="s">
        <v>905</v>
      </c>
      <c r="AAF16" s="9"/>
      <c r="AAG16" s="9"/>
      <c r="AAH16" s="9"/>
      <c r="AAI16" s="9" t="s">
        <v>905</v>
      </c>
      <c r="AAJ16" s="9"/>
      <c r="AAK16" s="9"/>
      <c r="AAL16" s="9" t="s">
        <v>857</v>
      </c>
      <c r="AAM16" s="9" t="s">
        <v>1033</v>
      </c>
      <c r="AAN16" s="8">
        <v>1.0</v>
      </c>
      <c r="AAO16" s="8">
        <v>1.0</v>
      </c>
      <c r="AAP16" s="8">
        <v>100.0</v>
      </c>
      <c r="AAQ16" s="8">
        <v>100.0</v>
      </c>
      <c r="AAR16" s="9" t="s">
        <v>857</v>
      </c>
      <c r="AAS16" s="9" t="s">
        <v>867</v>
      </c>
      <c r="AAT16" s="9" t="s">
        <v>906</v>
      </c>
      <c r="AAU16" s="8">
        <v>1.0</v>
      </c>
      <c r="AAV16" s="8">
        <v>0.0</v>
      </c>
      <c r="AAW16" s="8">
        <v>0.0</v>
      </c>
      <c r="AAX16" s="8">
        <v>0.0</v>
      </c>
      <c r="AAY16" s="8">
        <v>0.0</v>
      </c>
      <c r="AAZ16" s="8">
        <v>0.0</v>
      </c>
      <c r="ABA16" s="8">
        <v>0.0</v>
      </c>
      <c r="ABB16" s="9" t="s">
        <v>907</v>
      </c>
      <c r="ABC16" s="8">
        <v>1.0</v>
      </c>
      <c r="ABD16" s="8">
        <v>0.0</v>
      </c>
      <c r="ABE16" s="8">
        <v>0.0</v>
      </c>
      <c r="ABF16" s="8">
        <v>0.0</v>
      </c>
      <c r="ABG16" s="8">
        <v>0.0</v>
      </c>
      <c r="ABH16" s="9"/>
      <c r="ABI16" s="9"/>
      <c r="ABJ16" s="9"/>
      <c r="ABK16" s="9"/>
      <c r="ABL16" s="9"/>
      <c r="ABM16" s="9"/>
      <c r="ABN16" s="9"/>
      <c r="ABO16" s="9"/>
      <c r="ABP16" s="9"/>
      <c r="ABQ16" s="11" t="s">
        <v>953</v>
      </c>
      <c r="ABR16" s="9" t="s">
        <v>1075</v>
      </c>
      <c r="ABS16" s="8">
        <v>2000.0</v>
      </c>
      <c r="ABT16" s="9"/>
      <c r="ABU16" s="8">
        <v>200.0</v>
      </c>
      <c r="ABV16" s="8">
        <v>200.0</v>
      </c>
      <c r="ABW16" s="9" t="s">
        <v>910</v>
      </c>
      <c r="ABX16" s="9"/>
      <c r="ABY16" s="8">
        <v>25.0</v>
      </c>
      <c r="ABZ16" s="8">
        <v>6000.0</v>
      </c>
      <c r="ACA16" s="8">
        <v>10.0</v>
      </c>
      <c r="ACB16" s="8">
        <v>6000.0</v>
      </c>
      <c r="ACC16" s="8">
        <v>400.0</v>
      </c>
      <c r="ACD16" s="8">
        <v>600.0</v>
      </c>
      <c r="ACE16" s="9" t="s">
        <v>857</v>
      </c>
      <c r="ACF16" s="9" t="s">
        <v>911</v>
      </c>
      <c r="ACG16" s="9" t="s">
        <v>911</v>
      </c>
      <c r="ACH16" s="9" t="s">
        <v>911</v>
      </c>
      <c r="ACI16" s="9"/>
      <c r="ACJ16" s="9"/>
      <c r="ACK16" s="9"/>
      <c r="ACL16" s="9"/>
      <c r="ACM16" s="9"/>
      <c r="ACN16" s="9"/>
      <c r="ACO16" s="9"/>
      <c r="ACP16" s="9"/>
      <c r="ACQ16" s="9"/>
      <c r="ACR16" s="9"/>
      <c r="ACS16" s="9"/>
      <c r="ACT16" s="9" t="s">
        <v>912</v>
      </c>
      <c r="ACU16" s="9" t="s">
        <v>913</v>
      </c>
      <c r="ACV16" s="9" t="s">
        <v>957</v>
      </c>
      <c r="ACW16" s="9" t="s">
        <v>915</v>
      </c>
      <c r="ACX16" s="9" t="s">
        <v>916</v>
      </c>
      <c r="ACY16" s="9" t="s">
        <v>1017</v>
      </c>
      <c r="ACZ16" s="8">
        <v>1.0</v>
      </c>
      <c r="ADA16" s="8">
        <v>1.0</v>
      </c>
      <c r="ADB16" s="8">
        <v>1.0</v>
      </c>
      <c r="ADC16" s="8">
        <v>0.0</v>
      </c>
      <c r="ADD16" s="9" t="s">
        <v>918</v>
      </c>
      <c r="ADE16" s="9" t="s">
        <v>918</v>
      </c>
      <c r="ADF16" s="9" t="s">
        <v>918</v>
      </c>
      <c r="ADG16" s="9" t="s">
        <v>918</v>
      </c>
      <c r="ADH16" s="9" t="s">
        <v>881</v>
      </c>
      <c r="ADI16" s="9"/>
      <c r="ADJ16" s="9" t="s">
        <v>918</v>
      </c>
      <c r="ADK16" s="9"/>
      <c r="ADL16" s="9"/>
      <c r="ADM16" s="9"/>
      <c r="ADN16" s="9"/>
      <c r="ADO16" s="9"/>
      <c r="ADP16" s="9"/>
      <c r="ADQ16" s="9"/>
      <c r="ADR16" s="9"/>
      <c r="ADS16" s="9"/>
      <c r="ADT16" s="9"/>
      <c r="ADU16" s="9" t="s">
        <v>1018</v>
      </c>
      <c r="ADV16" s="8">
        <v>0.0</v>
      </c>
      <c r="ADW16" s="8">
        <v>0.0</v>
      </c>
      <c r="ADX16" s="8">
        <v>0.0</v>
      </c>
      <c r="ADY16" s="8">
        <v>0.0</v>
      </c>
      <c r="ADZ16" s="8">
        <v>1.0</v>
      </c>
      <c r="AEA16" s="8">
        <v>1.0</v>
      </c>
      <c r="AEB16" s="8">
        <v>0.0</v>
      </c>
      <c r="AEC16" s="8">
        <v>0.0</v>
      </c>
      <c r="AED16" s="12"/>
      <c r="AEE16" s="17" t="s">
        <v>872</v>
      </c>
      <c r="AEF16" s="9"/>
      <c r="AEG16" s="17" t="s">
        <v>920</v>
      </c>
      <c r="AEH16" s="9"/>
      <c r="AEI16" s="11" t="s">
        <v>999</v>
      </c>
      <c r="AEJ16" s="9" t="s">
        <v>961</v>
      </c>
      <c r="AEK16" s="19" t="s">
        <v>1151</v>
      </c>
      <c r="AEL16" s="18">
        <v>1.0</v>
      </c>
      <c r="AEM16" s="18">
        <v>1.0</v>
      </c>
      <c r="AEN16" s="18">
        <v>1.0</v>
      </c>
      <c r="AEO16" s="18">
        <v>1.0</v>
      </c>
      <c r="AEP16" s="18">
        <v>1.0</v>
      </c>
      <c r="AEQ16" s="18">
        <v>1.0</v>
      </c>
      <c r="AER16" s="18">
        <v>1.0</v>
      </c>
      <c r="AES16" s="18">
        <v>1.0</v>
      </c>
      <c r="AET16" s="18">
        <v>1.0</v>
      </c>
      <c r="AEU16" s="18">
        <v>0.0</v>
      </c>
      <c r="AEV16" s="18">
        <v>0.0</v>
      </c>
      <c r="AEW16" s="20">
        <v>0.0</v>
      </c>
      <c r="AEX16" s="21"/>
      <c r="AEY16" s="9" t="s">
        <v>923</v>
      </c>
      <c r="AEZ16" s="9"/>
      <c r="AFA16" s="9" t="s">
        <v>924</v>
      </c>
      <c r="AFB16" s="9"/>
      <c r="AFC16" s="9" t="s">
        <v>1152</v>
      </c>
      <c r="AFD16" s="16" t="s">
        <v>1153</v>
      </c>
      <c r="AFE16" s="9" t="s">
        <v>1154</v>
      </c>
      <c r="AFF16" s="16" t="s">
        <v>1155</v>
      </c>
      <c r="AFG16" s="9" t="s">
        <v>1137</v>
      </c>
      <c r="AFH16" s="9"/>
      <c r="AFI16" s="9"/>
    </row>
    <row r="17">
      <c r="A17" s="6">
        <v>46058.0</v>
      </c>
      <c r="B17" s="6">
        <v>46058.0</v>
      </c>
      <c r="C17" s="7" t="s">
        <v>837</v>
      </c>
      <c r="D17" s="7" t="s">
        <v>1156</v>
      </c>
      <c r="E17" s="8">
        <v>6.28139099012E11</v>
      </c>
      <c r="F17" s="9"/>
      <c r="G17" s="8">
        <v>-7.33150059</v>
      </c>
      <c r="H17" s="8">
        <v>110.341182</v>
      </c>
      <c r="I17" s="9"/>
      <c r="J17" s="8">
        <v>2.84</v>
      </c>
      <c r="K17" s="9"/>
      <c r="L17" s="9"/>
      <c r="M17" s="8">
        <v>-7.33153659</v>
      </c>
      <c r="N17" s="8">
        <v>110.3412659</v>
      </c>
      <c r="O17" s="9"/>
      <c r="P17" s="8">
        <v>4.63</v>
      </c>
      <c r="Q17" s="9"/>
      <c r="R17" s="9" t="s">
        <v>839</v>
      </c>
      <c r="S17" s="9"/>
      <c r="T17" s="9"/>
      <c r="U17" s="9"/>
      <c r="V17" s="9"/>
      <c r="W17" s="9"/>
      <c r="X17" s="9"/>
      <c r="Y17" s="9"/>
      <c r="Z17" s="9"/>
      <c r="AA17" s="9"/>
      <c r="AB17" s="9"/>
      <c r="AC17" s="7" t="s">
        <v>1025</v>
      </c>
      <c r="AD17" s="7" t="s">
        <v>1026</v>
      </c>
      <c r="AE17" s="7" t="s">
        <v>1127</v>
      </c>
      <c r="AF17" s="9" t="s">
        <v>1128</v>
      </c>
      <c r="AG17" s="9" t="s">
        <v>1157</v>
      </c>
      <c r="AH17" s="8">
        <v>16.0</v>
      </c>
      <c r="AI17" s="9" t="s">
        <v>933</v>
      </c>
      <c r="AJ17" s="9" t="s">
        <v>846</v>
      </c>
      <c r="AK17" s="8">
        <v>58.0</v>
      </c>
      <c r="AL17" s="9" t="s">
        <v>847</v>
      </c>
      <c r="AM17" s="9" t="s">
        <v>848</v>
      </c>
      <c r="AN17" s="9" t="s">
        <v>1009</v>
      </c>
      <c r="AO17" s="9" t="s">
        <v>850</v>
      </c>
      <c r="AP17" s="8">
        <v>1.0</v>
      </c>
      <c r="AQ17" s="8">
        <v>0.0</v>
      </c>
      <c r="AR17" s="8">
        <v>0.0</v>
      </c>
      <c r="AS17" s="8">
        <v>0.0</v>
      </c>
      <c r="AT17" s="8">
        <v>0.0</v>
      </c>
      <c r="AU17" s="8">
        <v>0.0</v>
      </c>
      <c r="AV17" s="8">
        <v>0.0</v>
      </c>
      <c r="AW17" s="8">
        <v>0.0</v>
      </c>
      <c r="AX17" s="9"/>
      <c r="AY17" s="9" t="s">
        <v>935</v>
      </c>
      <c r="AZ17" s="8">
        <v>0.0</v>
      </c>
      <c r="BA17" s="8">
        <v>1.0</v>
      </c>
      <c r="BB17" s="8">
        <v>0.0</v>
      </c>
      <c r="BC17" s="8">
        <v>0.0</v>
      </c>
      <c r="BD17" s="8">
        <v>0.0</v>
      </c>
      <c r="BE17" s="8">
        <v>0.0</v>
      </c>
      <c r="BF17" s="8">
        <v>0.0</v>
      </c>
      <c r="BG17" s="8">
        <v>0.0</v>
      </c>
      <c r="BH17" s="9"/>
      <c r="BI17" s="9" t="s">
        <v>852</v>
      </c>
      <c r="BJ17" s="8">
        <v>4.0</v>
      </c>
      <c r="BK17" s="8">
        <v>4.0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2010.0</v>
      </c>
      <c r="CN17" s="9" t="s">
        <v>858</v>
      </c>
      <c r="CO17" s="9" t="s">
        <v>859</v>
      </c>
      <c r="CP17" s="9" t="s">
        <v>1060</v>
      </c>
      <c r="CQ17" s="8">
        <v>0.0</v>
      </c>
      <c r="CR17" s="8">
        <v>0.0</v>
      </c>
      <c r="CS17" s="8">
        <v>0.0</v>
      </c>
      <c r="CT17" s="8">
        <v>0.0</v>
      </c>
      <c r="CU17" s="10">
        <v>1.0</v>
      </c>
      <c r="CV17" s="10">
        <v>1.0</v>
      </c>
      <c r="CW17" s="10">
        <v>0.0</v>
      </c>
      <c r="CX17" s="8">
        <v>0.0</v>
      </c>
      <c r="CY17" s="9" t="s">
        <v>860</v>
      </c>
      <c r="CZ17" s="8">
        <v>1.0</v>
      </c>
      <c r="DA17" s="8">
        <v>0.0</v>
      </c>
      <c r="DB17" s="8">
        <v>0.0</v>
      </c>
      <c r="DC17" s="9"/>
      <c r="DD17" s="9" t="s">
        <v>937</v>
      </c>
      <c r="DE17" s="8">
        <v>1.0</v>
      </c>
      <c r="DF17" s="8">
        <v>0.0</v>
      </c>
      <c r="DG17" s="8">
        <v>1.0</v>
      </c>
      <c r="DH17" s="8">
        <v>0.0</v>
      </c>
      <c r="DI17" s="9"/>
      <c r="DJ17" s="9" t="s">
        <v>937</v>
      </c>
      <c r="DK17" s="8">
        <v>1.0</v>
      </c>
      <c r="DL17" s="8">
        <v>0.0</v>
      </c>
      <c r="DM17" s="8">
        <v>1.0</v>
      </c>
      <c r="DN17" s="8">
        <v>0.0</v>
      </c>
      <c r="DO17" s="9"/>
      <c r="DP17" s="8">
        <v>1.0</v>
      </c>
      <c r="DQ17" s="8">
        <v>0.0</v>
      </c>
      <c r="DR17" s="8">
        <v>0.0</v>
      </c>
      <c r="DS17" s="9"/>
      <c r="DT17" s="9"/>
      <c r="DU17" s="9"/>
      <c r="DV17" s="9" t="s">
        <v>857</v>
      </c>
      <c r="DW17" s="9"/>
      <c r="DX17" s="9"/>
      <c r="DY17" s="9"/>
      <c r="DZ17" s="9"/>
      <c r="EA17" s="9"/>
      <c r="EB17" s="9"/>
      <c r="EC17" s="9"/>
      <c r="ED17" s="9"/>
      <c r="EE17" s="9"/>
      <c r="EF17" s="9"/>
      <c r="EG17" s="9"/>
      <c r="EH17" s="9"/>
      <c r="EI17" s="9" t="s">
        <v>862</v>
      </c>
      <c r="EJ17" s="8">
        <v>0.0</v>
      </c>
      <c r="EK17" s="8">
        <v>0.0</v>
      </c>
      <c r="EL17" s="8">
        <v>0.0</v>
      </c>
      <c r="EM17" s="8">
        <v>1.0</v>
      </c>
      <c r="EN17" s="8">
        <v>0.0</v>
      </c>
      <c r="EO17" s="11"/>
      <c r="EP17" s="9" t="s">
        <v>863</v>
      </c>
      <c r="EQ17" s="9" t="s">
        <v>864</v>
      </c>
      <c r="ER17" s="9" t="s">
        <v>1012</v>
      </c>
      <c r="ES17" s="8">
        <v>1.0</v>
      </c>
      <c r="ET17" s="8">
        <v>0.0</v>
      </c>
      <c r="EU17" s="8">
        <v>1.0</v>
      </c>
      <c r="EV17" s="8">
        <v>0.0</v>
      </c>
      <c r="EW17" s="9"/>
      <c r="EX17" s="9" t="s">
        <v>865</v>
      </c>
      <c r="EY17" s="8">
        <v>1.0</v>
      </c>
      <c r="EZ17" s="8">
        <v>0.0</v>
      </c>
      <c r="FA17" s="8">
        <v>0.0</v>
      </c>
      <c r="FB17" s="9"/>
      <c r="FC17" s="9" t="s">
        <v>1072</v>
      </c>
      <c r="FD17" s="9"/>
      <c r="FE17" s="9" t="s">
        <v>867</v>
      </c>
      <c r="FF17" s="9" t="s">
        <v>868</v>
      </c>
      <c r="FG17" s="9" t="s">
        <v>867</v>
      </c>
      <c r="FH17" s="9" t="s">
        <v>868</v>
      </c>
      <c r="FI17" s="9" t="s">
        <v>867</v>
      </c>
      <c r="FJ17" s="9" t="s">
        <v>868</v>
      </c>
      <c r="FK17" s="9" t="s">
        <v>867</v>
      </c>
      <c r="FL17" s="9" t="s">
        <v>869</v>
      </c>
      <c r="FM17" s="9" t="s">
        <v>867</v>
      </c>
      <c r="FN17" s="9" t="s">
        <v>870</v>
      </c>
      <c r="FO17" s="9" t="s">
        <v>867</v>
      </c>
      <c r="FP17" s="9" t="s">
        <v>870</v>
      </c>
      <c r="FQ17" s="9" t="s">
        <v>867</v>
      </c>
      <c r="FR17" s="9" t="s">
        <v>857</v>
      </c>
      <c r="FS17" s="9" t="s">
        <v>867</v>
      </c>
      <c r="FT17" s="9" t="s">
        <v>1130</v>
      </c>
      <c r="FU17" s="9" t="s">
        <v>989</v>
      </c>
      <c r="FV17" s="8">
        <v>1.0</v>
      </c>
      <c r="FW17" s="8">
        <v>1.0</v>
      </c>
      <c r="FX17" s="8">
        <v>0.0</v>
      </c>
      <c r="FY17" s="8">
        <v>0.0</v>
      </c>
      <c r="FZ17" s="9" t="s">
        <v>944</v>
      </c>
      <c r="GA17" s="9" t="s">
        <v>874</v>
      </c>
      <c r="GB17" s="8">
        <v>1.0</v>
      </c>
      <c r="GC17" s="8">
        <v>0.0</v>
      </c>
      <c r="GD17" s="8">
        <v>0.0</v>
      </c>
      <c r="GE17" s="8">
        <v>0.0</v>
      </c>
      <c r="GF17" s="9"/>
      <c r="GG17" s="9" t="s">
        <v>875</v>
      </c>
      <c r="GH17" s="9" t="s">
        <v>857</v>
      </c>
      <c r="GI17" s="9" t="s">
        <v>876</v>
      </c>
      <c r="GJ17" s="8">
        <v>1.0</v>
      </c>
      <c r="GK17" s="8">
        <v>0.0</v>
      </c>
      <c r="GL17" s="8">
        <v>0.0</v>
      </c>
      <c r="GM17" s="8">
        <v>0.0</v>
      </c>
      <c r="GN17" s="9"/>
      <c r="GO17" s="8">
        <v>10.0</v>
      </c>
      <c r="GP17" s="9" t="s">
        <v>877</v>
      </c>
      <c r="GQ17" s="9" t="s">
        <v>878</v>
      </c>
      <c r="GR17" s="8">
        <v>1.0</v>
      </c>
      <c r="GS17" s="8">
        <v>1.0</v>
      </c>
      <c r="GT17" s="8">
        <v>0.0</v>
      </c>
      <c r="GU17" s="8">
        <v>0.0</v>
      </c>
      <c r="GV17" s="8">
        <v>0.0</v>
      </c>
      <c r="GW17" s="8">
        <v>0.0</v>
      </c>
      <c r="GX17" s="8">
        <v>0.0</v>
      </c>
      <c r="GY17" s="9"/>
      <c r="GZ17" s="9" t="s">
        <v>857</v>
      </c>
      <c r="HA17" s="8">
        <v>200.0</v>
      </c>
      <c r="HB17" s="8">
        <v>200000.0</v>
      </c>
      <c r="HC17" s="8">
        <v>50.0</v>
      </c>
      <c r="HD17" s="8">
        <v>50000.0</v>
      </c>
      <c r="HE17" s="8">
        <v>15.0</v>
      </c>
      <c r="HF17" s="8">
        <v>125000.0</v>
      </c>
      <c r="HG17" s="8">
        <v>6.0</v>
      </c>
      <c r="HH17" s="8">
        <v>50000.0</v>
      </c>
      <c r="HI17" s="9"/>
      <c r="HJ17" s="9"/>
      <c r="HK17" s="9"/>
      <c r="HL17" s="9"/>
      <c r="HM17" s="9"/>
      <c r="HN17" s="9"/>
      <c r="HO17" s="9"/>
      <c r="HP17" s="9"/>
      <c r="HQ17" s="9"/>
      <c r="HR17" s="9"/>
      <c r="HS17" s="9"/>
      <c r="HT17" s="9"/>
      <c r="HU17" s="9"/>
      <c r="HV17" s="9"/>
      <c r="HW17" s="9"/>
      <c r="HX17" s="9"/>
      <c r="HY17" s="8">
        <v>150.0</v>
      </c>
      <c r="HZ17" s="8">
        <v>150000.0</v>
      </c>
      <c r="IA17" s="8">
        <v>9.0</v>
      </c>
      <c r="IB17" s="8">
        <v>75000.0</v>
      </c>
      <c r="IC17" s="9"/>
      <c r="ID17" s="9"/>
      <c r="IE17" s="9"/>
      <c r="IF17" s="9"/>
      <c r="IG17" s="9"/>
      <c r="IH17" s="9"/>
      <c r="II17" s="9"/>
      <c r="IJ17" s="9"/>
      <c r="IK17" s="9" t="s">
        <v>879</v>
      </c>
      <c r="IL17" s="9" t="s">
        <v>880</v>
      </c>
      <c r="IM17" s="9" t="s">
        <v>857</v>
      </c>
      <c r="IN17" s="9" t="s">
        <v>881</v>
      </c>
      <c r="IO17" s="9" t="s">
        <v>882</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884</v>
      </c>
      <c r="KT17" s="9" t="s">
        <v>886</v>
      </c>
      <c r="KU17" s="9" t="s">
        <v>886</v>
      </c>
      <c r="KV17" s="9" t="s">
        <v>872</v>
      </c>
      <c r="KW17" s="8">
        <v>1.0</v>
      </c>
      <c r="KX17" s="8">
        <v>0.0</v>
      </c>
      <c r="KY17" s="8">
        <v>0.0</v>
      </c>
      <c r="KZ17" s="8">
        <v>0.0</v>
      </c>
      <c r="LA17" s="9" t="s">
        <v>884</v>
      </c>
      <c r="LB17" s="9" t="s">
        <v>884</v>
      </c>
      <c r="LC17" s="8">
        <v>3.0</v>
      </c>
      <c r="LD17" s="8">
        <v>3.0</v>
      </c>
      <c r="LE17" s="8">
        <v>0.0</v>
      </c>
      <c r="LF17" s="8">
        <v>0.0</v>
      </c>
      <c r="LG17" s="9" t="s">
        <v>857</v>
      </c>
      <c r="LH17" s="8">
        <v>150000.0</v>
      </c>
      <c r="LI17" s="9"/>
      <c r="LJ17" s="9" t="s">
        <v>887</v>
      </c>
      <c r="LK17" s="8">
        <v>0.0</v>
      </c>
      <c r="LL17" s="8">
        <v>0.0</v>
      </c>
      <c r="LM17" s="8">
        <v>0.0</v>
      </c>
      <c r="LN17" s="8">
        <v>0.0</v>
      </c>
      <c r="LO17" s="8">
        <v>1.0</v>
      </c>
      <c r="LP17" s="8">
        <v>0.0</v>
      </c>
      <c r="LQ17" s="8">
        <v>0.0</v>
      </c>
      <c r="LR17" s="9"/>
      <c r="LS17" s="8">
        <v>15.0</v>
      </c>
      <c r="LT17" s="8">
        <v>15.0</v>
      </c>
      <c r="LU17" s="8">
        <v>0.0</v>
      </c>
      <c r="LV17" s="8">
        <v>5.0</v>
      </c>
      <c r="LW17" s="8">
        <v>5.0</v>
      </c>
      <c r="LX17" s="8">
        <v>0.0</v>
      </c>
      <c r="LY17" s="8">
        <v>5.0</v>
      </c>
      <c r="LZ17" s="8">
        <v>10.0</v>
      </c>
      <c r="MA17" s="8">
        <v>0.0</v>
      </c>
      <c r="MB17" s="9" t="s">
        <v>857</v>
      </c>
      <c r="MC17" s="8">
        <v>30.0</v>
      </c>
      <c r="MD17" s="8">
        <v>20.0</v>
      </c>
      <c r="ME17" s="8">
        <v>30.0</v>
      </c>
      <c r="MF17" s="8">
        <v>20.0</v>
      </c>
      <c r="MG17" s="8">
        <v>0.0</v>
      </c>
      <c r="MH17" s="8">
        <v>0.0</v>
      </c>
      <c r="MI17" s="9" t="s">
        <v>946</v>
      </c>
      <c r="MJ17" s="8">
        <v>0.0</v>
      </c>
      <c r="MK17" s="8">
        <v>0.0</v>
      </c>
      <c r="ML17" s="8">
        <v>1.0</v>
      </c>
      <c r="MM17" s="8">
        <v>0.0</v>
      </c>
      <c r="MN17" s="8">
        <v>0.0</v>
      </c>
      <c r="MO17" s="8">
        <v>0.0</v>
      </c>
      <c r="MP17" s="9"/>
      <c r="MQ17" s="9"/>
      <c r="MR17" s="9" t="s">
        <v>1048</v>
      </c>
      <c r="MS17" s="9"/>
      <c r="MT17" s="9" t="s">
        <v>888</v>
      </c>
      <c r="MU17" s="9" t="s">
        <v>881</v>
      </c>
      <c r="MV17" s="9"/>
      <c r="MW17" s="9"/>
      <c r="MX17" s="9"/>
      <c r="MY17" s="9"/>
      <c r="MZ17" s="9"/>
      <c r="NA17" s="9"/>
      <c r="NB17" s="9"/>
      <c r="NC17" s="9"/>
      <c r="ND17" s="9"/>
      <c r="NE17" s="9"/>
      <c r="NF17" s="9"/>
      <c r="NG17" s="9"/>
      <c r="NH17" s="9"/>
      <c r="NI17" s="9"/>
      <c r="NJ17" s="9"/>
      <c r="NK17" s="9"/>
      <c r="NL17" s="9" t="s">
        <v>881</v>
      </c>
      <c r="NM17" s="9" t="s">
        <v>893</v>
      </c>
      <c r="NN17" s="9" t="s">
        <v>1032</v>
      </c>
      <c r="NO17" s="9" t="s">
        <v>1077</v>
      </c>
      <c r="NP17" s="9"/>
      <c r="NQ17" s="9"/>
      <c r="NR17" s="9"/>
      <c r="NS17" s="9"/>
      <c r="NT17" s="9"/>
      <c r="NU17" s="9"/>
      <c r="NV17" s="9" t="s">
        <v>896</v>
      </c>
      <c r="NW17" s="9"/>
      <c r="NX17" s="9" t="s">
        <v>897</v>
      </c>
      <c r="NY17" s="8">
        <v>45.0</v>
      </c>
      <c r="NZ17" s="8">
        <v>0.0</v>
      </c>
      <c r="OA17" s="8">
        <v>0.0</v>
      </c>
      <c r="OB17" s="8">
        <v>5.0</v>
      </c>
      <c r="OC17" s="8">
        <v>0.0</v>
      </c>
      <c r="OD17" s="8">
        <v>0.0</v>
      </c>
      <c r="OE17" s="9" t="s">
        <v>898</v>
      </c>
      <c r="OF17" s="9" t="s">
        <v>899</v>
      </c>
      <c r="OG17" s="9" t="s">
        <v>857</v>
      </c>
      <c r="OH17" s="8">
        <v>0.0</v>
      </c>
      <c r="OI17" s="8">
        <v>8.0</v>
      </c>
      <c r="OJ17" s="8">
        <v>0.0</v>
      </c>
      <c r="OK17" s="8">
        <v>0.0</v>
      </c>
      <c r="OL17" s="8">
        <v>0.0</v>
      </c>
      <c r="OM17" s="8">
        <v>0.0</v>
      </c>
      <c r="ON17" s="8">
        <v>0.0</v>
      </c>
      <c r="OO17" s="8">
        <v>0.0</v>
      </c>
      <c r="OP17" s="9" t="str">
        <f>VLOOKUP(AG17,'BUS 2'!$G$1:$CU$424,2,0)</f>
        <v>Sapi perah</v>
      </c>
      <c r="OQ17" s="8">
        <f>VLOOKUP(AG17,'BUS 2'!$G$1:$CU$424,3,0)</f>
        <v>0</v>
      </c>
      <c r="OR17" s="8">
        <f>VLOOKUP(AG17,'BUS 2'!$G$1:$CU$424,4,0)</f>
        <v>1</v>
      </c>
      <c r="OS17" s="8">
        <f>VLOOKUP(AG17,'BUS 2'!$G$1:$CU$424,5,0)</f>
        <v>0</v>
      </c>
      <c r="OT17" s="8">
        <f>VLOOKUP(AG17,'BUS 2'!$G$1:$CU$424,6,0)</f>
        <v>0</v>
      </c>
      <c r="OU17" s="8">
        <f>VLOOKUP(AG17,'BUS 2'!$G$1:$CU$424,7,0)</f>
        <v>0</v>
      </c>
      <c r="OV17" s="8">
        <f>VLOOKUP(AG17,'BUS 2'!$G$1:$CU$424,8,0)</f>
        <v>0</v>
      </c>
      <c r="OW17" s="8">
        <f>VLOOKUP(AG17,'BUS 2'!$G$1:$CU$424,9,0)</f>
        <v>0</v>
      </c>
      <c r="OX17" s="8">
        <f>VLOOKUP(AG17,'BUS 2'!$G$1:$CU$424,10,0)</f>
        <v>0</v>
      </c>
      <c r="OY17" s="8">
        <f>VLOOKUP(AG17,'BUS 2'!$G$1:$CU$424,11,0)</f>
        <v>0</v>
      </c>
      <c r="OZ17" s="8" t="str">
        <f>VLOOKUP(AG17,'BUS 2'!$G$1:$CU$424,12,0)</f>
        <v>Sapi perah</v>
      </c>
      <c r="PA17" s="8">
        <f>VLOOKUP(AG17,'BUS 2'!$G$1:$CU$424,13,0)</f>
        <v>0</v>
      </c>
      <c r="PB17" s="8">
        <f>VLOOKUP(AG17,'BUS 2'!$G$1:$CU$424,14,0)</f>
        <v>1</v>
      </c>
      <c r="PC17" s="8">
        <f>VLOOKUP(AG17,'BUS 2'!$G$1:$CU$424,15,0)</f>
        <v>0</v>
      </c>
      <c r="PD17" s="8">
        <f>VLOOKUP(AG17,'BUS 2'!$G$1:$CU$424,16,0)</f>
        <v>0</v>
      </c>
      <c r="PE17" s="8">
        <f>VLOOKUP(AG17,'BUS 2'!$G$1:$CU$424,17,0)</f>
        <v>0</v>
      </c>
      <c r="PF17" s="8">
        <f>VLOOKUP(AG17,'BUS 2'!$G$1:$CU$424,18,0)</f>
        <v>0</v>
      </c>
      <c r="PG17" s="8">
        <f>VLOOKUP(AG17,'BUS 2'!$G$1:$CU$424,19,0)</f>
        <v>0</v>
      </c>
      <c r="PH17" s="8">
        <f>VLOOKUP(AG17,'BUS 2'!$G$1:$CU$424,20,0)</f>
        <v>0</v>
      </c>
      <c r="PI17" s="8">
        <f>VLOOKUP(AG17,'BUS 2'!$G$1:$CU$424,21,0)</f>
        <v>0</v>
      </c>
      <c r="PJ17" s="8" t="str">
        <f>VLOOKUP(AG17,'BUS 2'!$G$1:$CU$424,22,0)</f>
        <v>Tidak ada</v>
      </c>
      <c r="PK17" s="8">
        <f>VLOOKUP(AG17,'BUS 2'!$G$1:$CU$424,23,0)</f>
        <v>0</v>
      </c>
      <c r="PL17" s="8">
        <f>VLOOKUP(AG17,'BUS 2'!$G$1:$CU$424,24,0)</f>
        <v>0</v>
      </c>
      <c r="PM17" s="8">
        <f>VLOOKUP(AG17,'BUS 2'!$G$1:$CU$424,25,0)</f>
        <v>0</v>
      </c>
      <c r="PN17" s="8">
        <f>VLOOKUP(AG17,'BUS 2'!$G$1:$CU$424,26,0)</f>
        <v>0</v>
      </c>
      <c r="PO17" s="8">
        <f>VLOOKUP(AG17,'BUS 2'!$G$1:$CU$424,27,0)</f>
        <v>0</v>
      </c>
      <c r="PP17" s="8">
        <f>VLOOKUP(AG17,'BUS 2'!$G$1:$CU$424,28,0)</f>
        <v>0</v>
      </c>
      <c r="PQ17" s="8">
        <f>VLOOKUP(AG17,'BUS 2'!$G$1:$CU$424,29,0)</f>
        <v>0</v>
      </c>
      <c r="PR17" s="8">
        <f>VLOOKUP(AG17,'BUS 2'!$G$1:$CU$424,30,0)</f>
        <v>0</v>
      </c>
      <c r="PS17" s="8">
        <f>VLOOKUP(AG17,'BUS 2'!$G$1:$CU$424,31,0)</f>
        <v>1</v>
      </c>
      <c r="PT17" s="9"/>
      <c r="PU17" s="9"/>
      <c r="PV17" s="9"/>
      <c r="PW17" s="9"/>
      <c r="PX17" s="9"/>
      <c r="PY17" s="9"/>
      <c r="PZ17" s="9"/>
      <c r="QA17" s="9"/>
      <c r="QB17" s="9"/>
      <c r="QC17" s="9"/>
      <c r="QD17" s="9"/>
      <c r="QE17" s="9" t="s">
        <v>900</v>
      </c>
      <c r="QF17" s="8">
        <v>0.0</v>
      </c>
      <c r="QG17" s="8">
        <v>0.0</v>
      </c>
      <c r="QH17" s="8">
        <v>0.0</v>
      </c>
      <c r="QI17" s="8">
        <v>0.0</v>
      </c>
      <c r="QJ17" s="8">
        <v>0.0</v>
      </c>
      <c r="QK17" s="8">
        <v>1.0</v>
      </c>
      <c r="QL17" s="8">
        <v>0.0</v>
      </c>
      <c r="QM17" s="8">
        <v>0.0</v>
      </c>
      <c r="QN17" s="8">
        <v>0.0</v>
      </c>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8" t="str">
        <f>VLOOKUP(AG17,'BUS 2'!$G$1:$CU$424,33,0)</f>
        <v/>
      </c>
      <c r="SZ17" s="9">
        <f>VLOOKUP(AG17,'BUS 2'!$G$1:$CU$424,34,0)</f>
        <v>8</v>
      </c>
      <c r="TA17" s="9" t="str">
        <f>VLOOKUP(AG17,'BUS 2'!$G$1:$CU$424,35,0)</f>
        <v/>
      </c>
      <c r="TB17" s="9" t="str">
        <f>VLOOKUP(AG17,'BUS 2'!$G$1:$CU$424,36,0)</f>
        <v/>
      </c>
      <c r="TC17" s="9" t="str">
        <f>VLOOKUP(AG17,'BUS 2'!$G$1:$CU$424,37,0)</f>
        <v/>
      </c>
      <c r="TD17" s="9" t="str">
        <f>VLOOKUP(AG17,'BUS 2'!$G$1:$CU$424,38,0)</f>
        <v/>
      </c>
      <c r="TE17" s="9" t="str">
        <f>VLOOKUP(AG17,'BUS 2'!$G$1:$CU$424,39,0)</f>
        <v/>
      </c>
      <c r="TF17" s="9" t="str">
        <f>VLOOKUP(AG17,'BUS 2'!$G$1:$CU$424,40,0)</f>
        <v/>
      </c>
      <c r="TG17" s="8" t="str">
        <f>VLOOKUP(AG17,'BUS 2'!$G$1:$CU$424,42,0)</f>
        <v/>
      </c>
      <c r="TH17" s="8">
        <f>VLOOKUP(AG17,'BUS 2'!$G$1:$CU$424,43,0)</f>
        <v>8</v>
      </c>
      <c r="TI17" s="8" t="str">
        <f>VLOOKUP(AG17,'BUS 2'!$G$1:$CU$424,44,0)</f>
        <v/>
      </c>
      <c r="TJ17" s="8" t="str">
        <f>VLOOKUP(AG17,'BUS 2'!$G$1:$CU$424,45,0)</f>
        <v/>
      </c>
      <c r="TK17" s="8" t="str">
        <f>VLOOKUP(AG17,'BUS 2'!$G$1:$CU$424,46,0)</f>
        <v/>
      </c>
      <c r="TL17" s="8" t="str">
        <f>VLOOKUP(AG17,'BUS 2'!$G$1:$CU$424,47,0)</f>
        <v/>
      </c>
      <c r="TM17" s="8" t="str">
        <f>VLOOKUP(AG17,'BUS 2'!$G$1:$CU$424,48,0)</f>
        <v/>
      </c>
      <c r="TN17" s="8" t="str">
        <f>VLOOKUP(AG17,'BUS 2'!$G$1:$CU$424,49,0)</f>
        <v/>
      </c>
      <c r="TO17" s="8" t="str">
        <f>VLOOKUP(AG17,'BUS 2'!$G$1:$CU$424,50,0)</f>
        <v/>
      </c>
      <c r="TP17" s="8" t="str">
        <f>VLOOKUP(AG17,'BUS 2'!$G$1:$CU$424,51,0)</f>
        <v/>
      </c>
      <c r="TQ17" s="8" t="str">
        <f>VLOOKUP(AG17,'BUS 2'!$G$1:$CU$424,52,0)</f>
        <v/>
      </c>
      <c r="TR17" s="8" t="str">
        <f>VLOOKUP(AG17,'BUS 2'!$G$1:$CU$424,53,0)</f>
        <v/>
      </c>
      <c r="TS17" s="9" t="str">
        <f>VLOOKUP(AG17,'BUS 2'!$G$1:$CU$424,54,0)</f>
        <v/>
      </c>
      <c r="TT17" s="9" t="str">
        <f>VLOOKUP(AG17,'BUS 2'!$G$1:$CU$424,55,0)</f>
        <v/>
      </c>
      <c r="TU17" s="9" t="str">
        <f>VLOOKUP(AG17,'BUS 2'!$G$1:$CU$424,56,0)</f>
        <v/>
      </c>
      <c r="TV17" s="9" t="str">
        <f>VLOOKUP(AG17,'BUS 2'!$G$1:$CU$424,57,0)</f>
        <v/>
      </c>
      <c r="TW17" s="9" t="str">
        <f>VLOOKUP(AG17,'BUS 2'!$G$1:$CU$424,58,0)</f>
        <v/>
      </c>
      <c r="TX17" s="9" t="str">
        <f>VLOOKUP(AG17,'BUS 2'!$G$1:$CU$424,59,0)</f>
        <v/>
      </c>
      <c r="TY17" s="9" t="str">
        <f>VLOOKUP(AG17,'BUS 2'!$G$1:$CU$424,60,0)</f>
        <v/>
      </c>
      <c r="TZ17" s="9" t="str">
        <f>VLOOKUP(AG17,'BUS 2'!$G$1:$CU$424,61,0)</f>
        <v/>
      </c>
      <c r="UA17" s="9" t="str">
        <f>VLOOKUP(AG17,'BUS 2'!$G$1:$CU$424,62,0)</f>
        <v/>
      </c>
      <c r="UB17" s="9" t="str">
        <f>VLOOKUP(AG17,'BUS 2'!$G$1:$CU$424,63,0)</f>
        <v/>
      </c>
      <c r="UC17" s="9" t="str">
        <f>VLOOKUP(AG17,'BUS 2'!$G$1:$CU$424,64,0)</f>
        <v/>
      </c>
      <c r="UD17" s="9" t="str">
        <f>VLOOKUP(AG17,'BUS 2'!$G$1:$CU$424,65,0)</f>
        <v/>
      </c>
      <c r="UE17" s="9" t="str">
        <f>VLOOKUP(AG17,'BUS 2'!$G$1:$CU$424,66,0)</f>
        <v/>
      </c>
      <c r="UF17" s="9" t="str">
        <f>VLOOKUP(AG17,'BUS 2'!$G$1:$CU$424,67,0)</f>
        <v/>
      </c>
      <c r="UG17" s="9" t="str">
        <f>VLOOKUP(AG17,'BUS 2'!$G$1:$CU$424,68,0)</f>
        <v/>
      </c>
      <c r="UH17" s="9" t="str">
        <f>VLOOKUP(AG17,'BUS 2'!$G$1:$CU$424,69,0)</f>
        <v/>
      </c>
      <c r="UI17" s="9" t="str">
        <f>VLOOKUP(AG17,'BUS 2'!$G$1:$CU$424,70,0)</f>
        <v/>
      </c>
      <c r="UJ17" s="9" t="str">
        <f>VLOOKUP(AG17,'BUS 2'!$G$1:$CU$424,71,0)</f>
        <v/>
      </c>
      <c r="UK17" s="9" t="str">
        <f>VLOOKUP(AG17,'BUS 2'!$G$1:$CU$424,72,0)</f>
        <v/>
      </c>
      <c r="UL17" s="9" t="str">
        <f>VLOOKUP(AG17,'BUS 2'!$G$1:$CU$424,73,0)</f>
        <v/>
      </c>
      <c r="UM17" s="9" t="str">
        <f>VLOOKUP(AG17,'BUS 2'!$G$1:$CU$424,74,0)</f>
        <v/>
      </c>
      <c r="UN17" s="9" t="str">
        <f>VLOOKUP(AG17,'BUS 2'!$G$1:$CU$424,75,0)</f>
        <v/>
      </c>
      <c r="UO17" s="9" t="str">
        <f>VLOOKUP(AG17,'BUS 2'!$G$1:$CU$424,76,0)</f>
        <v/>
      </c>
      <c r="UP17" s="9" t="str">
        <f>VLOOKUP(AG17,'BUS 2'!$G$1:$CU$424,77,0)</f>
        <v/>
      </c>
      <c r="UQ17" s="9" t="str">
        <f>VLOOKUP(AG17,'BUS 2'!$G$1:$CU$424,78,0)</f>
        <v/>
      </c>
      <c r="UR17" s="9" t="str">
        <f>VLOOKUP(AG17,'BUS 2'!$G$1:$CU$424,79,0)</f>
        <v/>
      </c>
      <c r="US17" s="9" t="str">
        <f>VLOOKUP(AG17,'BUS 2'!$G$1:$CU$424,80,0)</f>
        <v/>
      </c>
      <c r="UT17" s="9" t="str">
        <f>VLOOKUP(AG17,'BUS 2'!$G$1:$CU$424,81,0)</f>
        <v/>
      </c>
      <c r="UU17" s="9"/>
      <c r="UV17" s="9" t="s">
        <v>901</v>
      </c>
      <c r="UW17" s="9"/>
      <c r="UX17" s="9"/>
      <c r="UY17" s="9"/>
      <c r="UZ17" s="9"/>
      <c r="VA17" s="9"/>
      <c r="VB17" s="9"/>
      <c r="VC17" s="9"/>
      <c r="VD17" s="9" t="s">
        <v>950</v>
      </c>
      <c r="VE17" s="9"/>
      <c r="VF17" s="9"/>
      <c r="VG17" s="9"/>
      <c r="VH17" s="9"/>
      <c r="VI17" s="9"/>
      <c r="VJ17" s="9"/>
      <c r="VK17" s="9"/>
      <c r="VL17" s="9" t="s">
        <v>1158</v>
      </c>
      <c r="VM17" s="9"/>
      <c r="VN17" s="9"/>
      <c r="VO17" s="9"/>
      <c r="VP17" s="9"/>
      <c r="VQ17" s="9"/>
      <c r="VR17" s="9"/>
      <c r="VS17" s="9"/>
      <c r="VT17" s="9"/>
      <c r="VU17" s="9"/>
      <c r="VV17" s="9"/>
      <c r="VW17" s="9"/>
      <c r="VX17" s="9"/>
      <c r="VY17" s="9"/>
      <c r="VZ17" s="9"/>
      <c r="WA17" s="9"/>
      <c r="WB17" s="9"/>
      <c r="WC17" s="9"/>
      <c r="WD17" s="9"/>
      <c r="WE17" s="9"/>
      <c r="WF17" s="9" t="s">
        <v>904</v>
      </c>
      <c r="WG17" s="8">
        <v>0.0</v>
      </c>
      <c r="WH17" s="8">
        <v>0.0</v>
      </c>
      <c r="WI17" s="8">
        <v>0.0</v>
      </c>
      <c r="WJ17" s="8">
        <v>1.0</v>
      </c>
      <c r="WK17" s="8">
        <v>0.0</v>
      </c>
      <c r="WL17" s="8">
        <v>0.0</v>
      </c>
      <c r="WM17" s="8">
        <v>0.0</v>
      </c>
      <c r="WN17" s="8">
        <v>0.0</v>
      </c>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8">
        <v>2.0</v>
      </c>
      <c r="ZX17" s="9"/>
      <c r="ZY17" s="9"/>
      <c r="ZZ17" s="9"/>
      <c r="AAA17" s="9"/>
      <c r="AAB17" s="9"/>
      <c r="AAC17" s="9"/>
      <c r="AAD17" s="9"/>
      <c r="AAE17" s="9" t="s">
        <v>905</v>
      </c>
      <c r="AAF17" s="9"/>
      <c r="AAG17" s="9"/>
      <c r="AAH17" s="9"/>
      <c r="AAI17" s="9"/>
      <c r="AAJ17" s="9"/>
      <c r="AAK17" s="9"/>
      <c r="AAL17" s="9" t="s">
        <v>857</v>
      </c>
      <c r="AAM17" s="9" t="s">
        <v>1033</v>
      </c>
      <c r="AAN17" s="8">
        <v>1.0</v>
      </c>
      <c r="AAO17" s="8">
        <v>1.0</v>
      </c>
      <c r="AAP17" s="8">
        <v>400.0</v>
      </c>
      <c r="AAQ17" s="8">
        <v>400.0</v>
      </c>
      <c r="AAR17" s="9" t="s">
        <v>857</v>
      </c>
      <c r="AAS17" s="9" t="s">
        <v>867</v>
      </c>
      <c r="AAT17" s="9" t="s">
        <v>906</v>
      </c>
      <c r="AAU17" s="8">
        <v>1.0</v>
      </c>
      <c r="AAV17" s="8">
        <v>0.0</v>
      </c>
      <c r="AAW17" s="8">
        <v>0.0</v>
      </c>
      <c r="AAX17" s="8">
        <v>0.0</v>
      </c>
      <c r="AAY17" s="8">
        <v>0.0</v>
      </c>
      <c r="AAZ17" s="8">
        <v>0.0</v>
      </c>
      <c r="ABA17" s="8">
        <v>0.0</v>
      </c>
      <c r="ABB17" s="9" t="s">
        <v>907</v>
      </c>
      <c r="ABC17" s="8">
        <v>1.0</v>
      </c>
      <c r="ABD17" s="8">
        <v>0.0</v>
      </c>
      <c r="ABE17" s="8">
        <v>0.0</v>
      </c>
      <c r="ABF17" s="8">
        <v>0.0</v>
      </c>
      <c r="ABG17" s="8">
        <v>0.0</v>
      </c>
      <c r="ABH17" s="9"/>
      <c r="ABI17" s="9"/>
      <c r="ABJ17" s="9"/>
      <c r="ABK17" s="9"/>
      <c r="ABL17" s="9"/>
      <c r="ABM17" s="9"/>
      <c r="ABN17" s="9"/>
      <c r="ABO17" s="9"/>
      <c r="ABP17" s="9"/>
      <c r="ABQ17" s="11" t="s">
        <v>1159</v>
      </c>
      <c r="ABR17" s="9" t="s">
        <v>909</v>
      </c>
      <c r="ABS17" s="8">
        <v>2000.0</v>
      </c>
      <c r="ABT17" s="9"/>
      <c r="ABU17" s="8">
        <v>400.0</v>
      </c>
      <c r="ABV17" s="8">
        <v>400.0</v>
      </c>
      <c r="ABW17" s="9" t="s">
        <v>910</v>
      </c>
      <c r="ABX17" s="9"/>
      <c r="ABY17" s="8">
        <v>25.0</v>
      </c>
      <c r="ABZ17" s="8">
        <v>5000.0</v>
      </c>
      <c r="ACA17" s="8">
        <v>10.0</v>
      </c>
      <c r="ACB17" s="8">
        <v>6000.0</v>
      </c>
      <c r="ACC17" s="8">
        <v>500.0</v>
      </c>
      <c r="ACD17" s="8">
        <v>650.0</v>
      </c>
      <c r="ACE17" s="9" t="s">
        <v>857</v>
      </c>
      <c r="ACF17" s="9" t="s">
        <v>911</v>
      </c>
      <c r="ACG17" s="9" t="s">
        <v>1034</v>
      </c>
      <c r="ACH17" s="9" t="s">
        <v>911</v>
      </c>
      <c r="ACI17" s="9"/>
      <c r="ACJ17" s="9"/>
      <c r="ACK17" s="9"/>
      <c r="ACL17" s="9"/>
      <c r="ACM17" s="9"/>
      <c r="ACN17" s="9"/>
      <c r="ACO17" s="9"/>
      <c r="ACP17" s="9"/>
      <c r="ACQ17" s="9"/>
      <c r="ACR17" s="9"/>
      <c r="ACS17" s="9"/>
      <c r="ACT17" s="9" t="s">
        <v>1061</v>
      </c>
      <c r="ACU17" s="9" t="s">
        <v>913</v>
      </c>
      <c r="ACV17" s="9" t="s">
        <v>996</v>
      </c>
      <c r="ACW17" s="9" t="s">
        <v>915</v>
      </c>
      <c r="ACX17" s="9" t="s">
        <v>916</v>
      </c>
      <c r="ACY17" s="9" t="s">
        <v>1017</v>
      </c>
      <c r="ACZ17" s="8">
        <v>1.0</v>
      </c>
      <c r="ADA17" s="8">
        <v>1.0</v>
      </c>
      <c r="ADB17" s="8">
        <v>1.0</v>
      </c>
      <c r="ADC17" s="8">
        <v>0.0</v>
      </c>
      <c r="ADD17" s="9" t="s">
        <v>918</v>
      </c>
      <c r="ADE17" s="9" t="s">
        <v>918</v>
      </c>
      <c r="ADF17" s="9" t="s">
        <v>917</v>
      </c>
      <c r="ADG17" s="9" t="s">
        <v>917</v>
      </c>
      <c r="ADH17" s="9" t="s">
        <v>881</v>
      </c>
      <c r="ADI17" s="9"/>
      <c r="ADJ17" s="9" t="s">
        <v>918</v>
      </c>
      <c r="ADK17" s="9"/>
      <c r="ADL17" s="9"/>
      <c r="ADM17" s="9"/>
      <c r="ADN17" s="9"/>
      <c r="ADO17" s="9"/>
      <c r="ADP17" s="9"/>
      <c r="ADQ17" s="9"/>
      <c r="ADR17" s="9"/>
      <c r="ADS17" s="9"/>
      <c r="ADT17" s="9"/>
      <c r="ADU17" s="9" t="s">
        <v>1018</v>
      </c>
      <c r="ADV17" s="8">
        <v>0.0</v>
      </c>
      <c r="ADW17" s="8">
        <v>0.0</v>
      </c>
      <c r="ADX17" s="8">
        <v>0.0</v>
      </c>
      <c r="ADY17" s="8">
        <v>0.0</v>
      </c>
      <c r="ADZ17" s="8">
        <v>1.0</v>
      </c>
      <c r="AEA17" s="8">
        <v>1.0</v>
      </c>
      <c r="AEB17" s="8">
        <v>0.0</v>
      </c>
      <c r="AEC17" s="8">
        <v>0.0</v>
      </c>
      <c r="AED17" s="12"/>
      <c r="AEE17" s="17" t="s">
        <v>872</v>
      </c>
      <c r="AEF17" s="9"/>
      <c r="AEG17" s="17" t="s">
        <v>920</v>
      </c>
      <c r="AEH17" s="9"/>
      <c r="AEI17" s="11" t="s">
        <v>999</v>
      </c>
      <c r="AEJ17" s="9" t="s">
        <v>961</v>
      </c>
      <c r="AEK17" s="17" t="s">
        <v>1076</v>
      </c>
      <c r="AEL17" s="18">
        <v>1.0</v>
      </c>
      <c r="AEM17" s="18">
        <v>1.0</v>
      </c>
      <c r="AEN17" s="18">
        <v>1.0</v>
      </c>
      <c r="AEO17" s="18">
        <v>1.0</v>
      </c>
      <c r="AEP17" s="18">
        <v>1.0</v>
      </c>
      <c r="AEQ17" s="18">
        <v>1.0</v>
      </c>
      <c r="AER17" s="18">
        <v>1.0</v>
      </c>
      <c r="AES17" s="18">
        <v>1.0</v>
      </c>
      <c r="AET17" s="18">
        <v>0.0</v>
      </c>
      <c r="AEU17" s="18">
        <v>0.0</v>
      </c>
      <c r="AEV17" s="18">
        <v>0.0</v>
      </c>
      <c r="AEW17" s="18">
        <v>0.0</v>
      </c>
      <c r="AEX17" s="9"/>
      <c r="AEY17" s="9" t="s">
        <v>923</v>
      </c>
      <c r="AEZ17" s="9"/>
      <c r="AFA17" s="9" t="s">
        <v>1077</v>
      </c>
      <c r="AFB17" s="9"/>
      <c r="AFC17" s="9" t="s">
        <v>1160</v>
      </c>
      <c r="AFD17" s="16" t="s">
        <v>1161</v>
      </c>
      <c r="AFE17" s="9" t="s">
        <v>1162</v>
      </c>
      <c r="AFF17" s="16" t="s">
        <v>1163</v>
      </c>
      <c r="AFG17" s="9" t="s">
        <v>1137</v>
      </c>
      <c r="AFH17" s="9"/>
      <c r="AFI17" s="9"/>
    </row>
    <row r="18">
      <c r="A18" s="6">
        <v>46058.0</v>
      </c>
      <c r="B18" s="6">
        <v>46058.0</v>
      </c>
      <c r="C18" s="7" t="s">
        <v>837</v>
      </c>
      <c r="D18" s="7" t="s">
        <v>1164</v>
      </c>
      <c r="E18" s="8">
        <v>6.288225162432E12</v>
      </c>
      <c r="F18" s="9"/>
      <c r="G18" s="8">
        <v>-7.31277021</v>
      </c>
      <c r="H18" s="8">
        <v>110.3113379</v>
      </c>
      <c r="I18" s="9"/>
      <c r="J18" s="8">
        <v>3.58</v>
      </c>
      <c r="K18" s="9"/>
      <c r="L18" s="9"/>
      <c r="M18" s="8">
        <v>-7.31272161</v>
      </c>
      <c r="N18" s="8">
        <v>110.3113321</v>
      </c>
      <c r="O18" s="9"/>
      <c r="P18" s="8">
        <v>4.67</v>
      </c>
      <c r="Q18" s="9"/>
      <c r="R18" s="9" t="s">
        <v>839</v>
      </c>
      <c r="S18" s="9"/>
      <c r="T18" s="9"/>
      <c r="U18" s="9"/>
      <c r="V18" s="9"/>
      <c r="W18" s="9"/>
      <c r="X18" s="9"/>
      <c r="Y18" s="9"/>
      <c r="Z18" s="9"/>
      <c r="AA18" s="9"/>
      <c r="AB18" s="9"/>
      <c r="AC18" s="7" t="s">
        <v>1025</v>
      </c>
      <c r="AD18" s="7" t="s">
        <v>1147</v>
      </c>
      <c r="AE18" s="7" t="s">
        <v>1165</v>
      </c>
      <c r="AF18" s="9" t="s">
        <v>1166</v>
      </c>
      <c r="AG18" s="9" t="s">
        <v>1167</v>
      </c>
      <c r="AH18" s="8">
        <v>11.0</v>
      </c>
      <c r="AI18" s="9" t="s">
        <v>933</v>
      </c>
      <c r="AJ18" s="9" t="s">
        <v>846</v>
      </c>
      <c r="AK18" s="8">
        <v>58.0</v>
      </c>
      <c r="AL18" s="9" t="s">
        <v>847</v>
      </c>
      <c r="AM18" s="9" t="s">
        <v>848</v>
      </c>
      <c r="AN18" s="9" t="s">
        <v>1099</v>
      </c>
      <c r="AO18" s="9" t="s">
        <v>850</v>
      </c>
      <c r="AP18" s="8">
        <v>1.0</v>
      </c>
      <c r="AQ18" s="8">
        <v>0.0</v>
      </c>
      <c r="AR18" s="8">
        <v>0.0</v>
      </c>
      <c r="AS18" s="8">
        <v>0.0</v>
      </c>
      <c r="AT18" s="8">
        <v>0.0</v>
      </c>
      <c r="AU18" s="8">
        <v>0.0</v>
      </c>
      <c r="AV18" s="8">
        <v>0.0</v>
      </c>
      <c r="AW18" s="8">
        <v>0.0</v>
      </c>
      <c r="AX18" s="9"/>
      <c r="AY18" s="9" t="s">
        <v>1168</v>
      </c>
      <c r="AZ18" s="8">
        <v>0.0</v>
      </c>
      <c r="BA18" s="8">
        <v>0.0</v>
      </c>
      <c r="BB18" s="8">
        <v>0.0</v>
      </c>
      <c r="BC18" s="8">
        <v>0.0</v>
      </c>
      <c r="BD18" s="8">
        <v>1.0</v>
      </c>
      <c r="BE18" s="8">
        <v>0.0</v>
      </c>
      <c r="BF18" s="8">
        <v>0.0</v>
      </c>
      <c r="BG18" s="8">
        <v>0.0</v>
      </c>
      <c r="BH18" s="9"/>
      <c r="BI18" s="9" t="s">
        <v>1101</v>
      </c>
      <c r="BJ18" s="8">
        <v>2.0</v>
      </c>
      <c r="BK18" s="8">
        <v>1.0</v>
      </c>
      <c r="BL18" s="8">
        <v>0.0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2014.0</v>
      </c>
      <c r="CN18" s="9" t="s">
        <v>858</v>
      </c>
      <c r="CO18" s="9" t="s">
        <v>859</v>
      </c>
      <c r="CP18" s="9" t="s">
        <v>860</v>
      </c>
      <c r="CQ18" s="8">
        <v>0.0</v>
      </c>
      <c r="CR18" s="8">
        <v>0.0</v>
      </c>
      <c r="CS18" s="8">
        <v>0.0</v>
      </c>
      <c r="CT18" s="8">
        <v>0.0</v>
      </c>
      <c r="CU18" s="10">
        <v>1.0</v>
      </c>
      <c r="CV18" s="10">
        <v>0.0</v>
      </c>
      <c r="CW18" s="10">
        <v>0.0</v>
      </c>
      <c r="CX18" s="8">
        <v>0.0</v>
      </c>
      <c r="CY18" s="9" t="s">
        <v>860</v>
      </c>
      <c r="CZ18" s="8">
        <v>1.0</v>
      </c>
      <c r="DA18" s="8">
        <v>0.0</v>
      </c>
      <c r="DB18" s="8">
        <v>0.0</v>
      </c>
      <c r="DC18" s="9"/>
      <c r="DD18" s="9" t="s">
        <v>937</v>
      </c>
      <c r="DE18" s="8">
        <v>1.0</v>
      </c>
      <c r="DF18" s="8">
        <v>0.0</v>
      </c>
      <c r="DG18" s="8">
        <v>1.0</v>
      </c>
      <c r="DH18" s="8">
        <v>0.0</v>
      </c>
      <c r="DI18" s="9"/>
      <c r="DJ18" s="9" t="s">
        <v>937</v>
      </c>
      <c r="DK18" s="8">
        <v>1.0</v>
      </c>
      <c r="DL18" s="8">
        <v>0.0</v>
      </c>
      <c r="DM18" s="8">
        <v>1.0</v>
      </c>
      <c r="DN18" s="8">
        <v>0.0</v>
      </c>
      <c r="DO18" s="9"/>
      <c r="DP18" s="8">
        <v>1.0</v>
      </c>
      <c r="DQ18" s="8">
        <v>0.0</v>
      </c>
      <c r="DR18" s="8">
        <v>0.0</v>
      </c>
      <c r="DS18" s="9"/>
      <c r="DT18" s="9"/>
      <c r="DU18" s="9"/>
      <c r="DV18" s="9" t="s">
        <v>857</v>
      </c>
      <c r="DW18" s="9"/>
      <c r="DX18" s="9"/>
      <c r="DY18" s="9"/>
      <c r="DZ18" s="9"/>
      <c r="EA18" s="9"/>
      <c r="EB18" s="9"/>
      <c r="EC18" s="9"/>
      <c r="ED18" s="9"/>
      <c r="EE18" s="9"/>
      <c r="EF18" s="9"/>
      <c r="EG18" s="9"/>
      <c r="EH18" s="9"/>
      <c r="EI18" s="9" t="s">
        <v>862</v>
      </c>
      <c r="EJ18" s="8">
        <v>0.0</v>
      </c>
      <c r="EK18" s="8">
        <v>0.0</v>
      </c>
      <c r="EL18" s="8">
        <v>0.0</v>
      </c>
      <c r="EM18" s="8">
        <v>1.0</v>
      </c>
      <c r="EN18" s="8">
        <v>0.0</v>
      </c>
      <c r="EO18" s="11"/>
      <c r="EP18" s="9" t="s">
        <v>863</v>
      </c>
      <c r="EQ18" s="9" t="s">
        <v>864</v>
      </c>
      <c r="ER18" s="9" t="s">
        <v>861</v>
      </c>
      <c r="ES18" s="8">
        <v>1.0</v>
      </c>
      <c r="ET18" s="8">
        <v>0.0</v>
      </c>
      <c r="EU18" s="8">
        <v>0.0</v>
      </c>
      <c r="EV18" s="8">
        <v>0.0</v>
      </c>
      <c r="EW18" s="9"/>
      <c r="EX18" s="9" t="s">
        <v>865</v>
      </c>
      <c r="EY18" s="8">
        <v>1.0</v>
      </c>
      <c r="EZ18" s="8">
        <v>0.0</v>
      </c>
      <c r="FA18" s="8">
        <v>0.0</v>
      </c>
      <c r="FB18" s="9"/>
      <c r="FC18" s="9" t="s">
        <v>1028</v>
      </c>
      <c r="FD18" s="9"/>
      <c r="FE18" s="9" t="s">
        <v>867</v>
      </c>
      <c r="FF18" s="9" t="s">
        <v>868</v>
      </c>
      <c r="FG18" s="9" t="s">
        <v>867</v>
      </c>
      <c r="FH18" s="9" t="s">
        <v>869</v>
      </c>
      <c r="FI18" s="9" t="s">
        <v>867</v>
      </c>
      <c r="FJ18" s="9" t="s">
        <v>869</v>
      </c>
      <c r="FK18" s="9" t="s">
        <v>867</v>
      </c>
      <c r="FL18" s="9" t="s">
        <v>869</v>
      </c>
      <c r="FM18" s="9" t="s">
        <v>867</v>
      </c>
      <c r="FN18" s="9" t="s">
        <v>870</v>
      </c>
      <c r="FO18" s="9" t="s">
        <v>867</v>
      </c>
      <c r="FP18" s="9" t="s">
        <v>870</v>
      </c>
      <c r="FQ18" s="9" t="s">
        <v>867</v>
      </c>
      <c r="FR18" s="9" t="s">
        <v>857</v>
      </c>
      <c r="FS18" s="9" t="s">
        <v>867</v>
      </c>
      <c r="FT18" s="9" t="s">
        <v>1130</v>
      </c>
      <c r="FU18" s="9" t="s">
        <v>989</v>
      </c>
      <c r="FV18" s="8">
        <v>1.0</v>
      </c>
      <c r="FW18" s="8">
        <v>1.0</v>
      </c>
      <c r="FX18" s="8">
        <v>0.0</v>
      </c>
      <c r="FY18" s="8">
        <v>0.0</v>
      </c>
      <c r="FZ18" s="9" t="s">
        <v>873</v>
      </c>
      <c r="GA18" s="9" t="s">
        <v>874</v>
      </c>
      <c r="GB18" s="8">
        <v>1.0</v>
      </c>
      <c r="GC18" s="8">
        <v>0.0</v>
      </c>
      <c r="GD18" s="8">
        <v>0.0</v>
      </c>
      <c r="GE18" s="8">
        <v>0.0</v>
      </c>
      <c r="GF18" s="9"/>
      <c r="GG18" s="9" t="s">
        <v>875</v>
      </c>
      <c r="GH18" s="9" t="s">
        <v>857</v>
      </c>
      <c r="GI18" s="9" t="s">
        <v>876</v>
      </c>
      <c r="GJ18" s="8">
        <v>1.0</v>
      </c>
      <c r="GK18" s="8">
        <v>0.0</v>
      </c>
      <c r="GL18" s="8">
        <v>0.0</v>
      </c>
      <c r="GM18" s="8">
        <v>0.0</v>
      </c>
      <c r="GN18" s="9"/>
      <c r="GO18" s="8">
        <v>10.0</v>
      </c>
      <c r="GP18" s="9" t="s">
        <v>877</v>
      </c>
      <c r="GQ18" s="9" t="s">
        <v>878</v>
      </c>
      <c r="GR18" s="8">
        <v>1.0</v>
      </c>
      <c r="GS18" s="8">
        <v>1.0</v>
      </c>
      <c r="GT18" s="8">
        <v>0.0</v>
      </c>
      <c r="GU18" s="8">
        <v>0.0</v>
      </c>
      <c r="GV18" s="8">
        <v>0.0</v>
      </c>
      <c r="GW18" s="8">
        <v>0.0</v>
      </c>
      <c r="GX18" s="8">
        <v>0.0</v>
      </c>
      <c r="GY18" s="9"/>
      <c r="GZ18" s="9" t="s">
        <v>857</v>
      </c>
      <c r="HA18" s="8">
        <v>150.0</v>
      </c>
      <c r="HB18" s="8">
        <v>150000.0</v>
      </c>
      <c r="HC18" s="8">
        <v>0.0</v>
      </c>
      <c r="HD18" s="8">
        <v>0.0</v>
      </c>
      <c r="HE18" s="8">
        <v>9.0</v>
      </c>
      <c r="HF18" s="8">
        <v>75000.0</v>
      </c>
      <c r="HG18" s="8">
        <v>3.0</v>
      </c>
      <c r="HH18" s="8">
        <v>25000.0</v>
      </c>
      <c r="HI18" s="9"/>
      <c r="HJ18" s="9"/>
      <c r="HK18" s="9"/>
      <c r="HL18" s="9"/>
      <c r="HM18" s="9"/>
      <c r="HN18" s="9"/>
      <c r="HO18" s="9"/>
      <c r="HP18" s="9"/>
      <c r="HQ18" s="9"/>
      <c r="HR18" s="9"/>
      <c r="HS18" s="9"/>
      <c r="HT18" s="9"/>
      <c r="HU18" s="9"/>
      <c r="HV18" s="9"/>
      <c r="HW18" s="9"/>
      <c r="HX18" s="9"/>
      <c r="HY18" s="8">
        <v>150.0</v>
      </c>
      <c r="HZ18" s="8">
        <v>150000.0</v>
      </c>
      <c r="IA18" s="8">
        <v>6.0</v>
      </c>
      <c r="IB18" s="8">
        <v>50000.0</v>
      </c>
      <c r="IC18" s="9"/>
      <c r="ID18" s="9"/>
      <c r="IE18" s="9"/>
      <c r="IF18" s="9"/>
      <c r="IG18" s="9"/>
      <c r="IH18" s="9"/>
      <c r="II18" s="9"/>
      <c r="IJ18" s="9"/>
      <c r="IK18" s="9" t="s">
        <v>879</v>
      </c>
      <c r="IL18" s="9" t="s">
        <v>880</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884</v>
      </c>
      <c r="KT18" s="9" t="s">
        <v>886</v>
      </c>
      <c r="KU18" s="9" t="s">
        <v>886</v>
      </c>
      <c r="KV18" s="9" t="s">
        <v>1014</v>
      </c>
      <c r="KW18" s="8">
        <v>0.0</v>
      </c>
      <c r="KX18" s="8">
        <v>1.0</v>
      </c>
      <c r="KY18" s="8">
        <v>0.0</v>
      </c>
      <c r="KZ18" s="8">
        <v>0.0</v>
      </c>
      <c r="LA18" s="9" t="s">
        <v>884</v>
      </c>
      <c r="LB18" s="9" t="s">
        <v>884</v>
      </c>
      <c r="LC18" s="8">
        <v>3.0</v>
      </c>
      <c r="LD18" s="8">
        <v>3.0</v>
      </c>
      <c r="LE18" s="8">
        <v>0.0</v>
      </c>
      <c r="LF18" s="8">
        <v>0.0</v>
      </c>
      <c r="LG18" s="9" t="s">
        <v>857</v>
      </c>
      <c r="LH18" s="8">
        <v>150000.0</v>
      </c>
      <c r="LI18" s="9"/>
      <c r="LJ18" s="9" t="s">
        <v>887</v>
      </c>
      <c r="LK18" s="8">
        <v>0.0</v>
      </c>
      <c r="LL18" s="8">
        <v>0.0</v>
      </c>
      <c r="LM18" s="8">
        <v>0.0</v>
      </c>
      <c r="LN18" s="8">
        <v>0.0</v>
      </c>
      <c r="LO18" s="8">
        <v>1.0</v>
      </c>
      <c r="LP18" s="8">
        <v>0.0</v>
      </c>
      <c r="LQ18" s="8">
        <v>0.0</v>
      </c>
      <c r="LR18" s="9"/>
      <c r="LS18" s="8">
        <v>15.0</v>
      </c>
      <c r="LT18" s="8">
        <v>15.0</v>
      </c>
      <c r="LU18" s="8">
        <v>0.0</v>
      </c>
      <c r="LV18" s="8">
        <v>7.0</v>
      </c>
      <c r="LW18" s="8">
        <v>7.0</v>
      </c>
      <c r="LX18" s="8">
        <v>0.0</v>
      </c>
      <c r="LY18" s="8">
        <v>5.0</v>
      </c>
      <c r="LZ18" s="8">
        <v>5.0</v>
      </c>
      <c r="MA18" s="8">
        <v>0.0</v>
      </c>
      <c r="MB18" s="9" t="s">
        <v>857</v>
      </c>
      <c r="MC18" s="8">
        <v>30.0</v>
      </c>
      <c r="MD18" s="8">
        <v>0.0</v>
      </c>
      <c r="ME18" s="8">
        <v>0.0</v>
      </c>
      <c r="MF18" s="8">
        <v>0.0</v>
      </c>
      <c r="MG18" s="8">
        <v>0.0</v>
      </c>
      <c r="MH18" s="8">
        <v>0.0</v>
      </c>
      <c r="MI18" s="9" t="s">
        <v>946</v>
      </c>
      <c r="MJ18" s="8">
        <v>0.0</v>
      </c>
      <c r="MK18" s="8">
        <v>0.0</v>
      </c>
      <c r="ML18" s="8">
        <v>1.0</v>
      </c>
      <c r="MM18" s="8">
        <v>0.0</v>
      </c>
      <c r="MN18" s="8">
        <v>0.0</v>
      </c>
      <c r="MO18" s="8">
        <v>0.0</v>
      </c>
      <c r="MP18" s="9"/>
      <c r="MQ18" s="9"/>
      <c r="MR18" s="9" t="s">
        <v>1048</v>
      </c>
      <c r="MS18" s="9"/>
      <c r="MT18" s="9" t="s">
        <v>991</v>
      </c>
      <c r="MU18" s="9" t="s">
        <v>881</v>
      </c>
      <c r="MV18" s="9"/>
      <c r="MW18" s="9"/>
      <c r="MX18" s="9"/>
      <c r="MY18" s="9"/>
      <c r="MZ18" s="9"/>
      <c r="NA18" s="9"/>
      <c r="NB18" s="9"/>
      <c r="NC18" s="9"/>
      <c r="ND18" s="9"/>
      <c r="NE18" s="9"/>
      <c r="NF18" s="9"/>
      <c r="NG18" s="9"/>
      <c r="NH18" s="9"/>
      <c r="NI18" s="9"/>
      <c r="NJ18" s="9"/>
      <c r="NK18" s="9"/>
      <c r="NL18" s="9" t="s">
        <v>857</v>
      </c>
      <c r="NM18" s="9" t="s">
        <v>893</v>
      </c>
      <c r="NN18" s="9" t="s">
        <v>1032</v>
      </c>
      <c r="NO18" s="9" t="s">
        <v>973</v>
      </c>
      <c r="NP18" s="9"/>
      <c r="NQ18" s="9"/>
      <c r="NR18" s="9"/>
      <c r="NS18" s="9"/>
      <c r="NT18" s="9"/>
      <c r="NU18" s="9"/>
      <c r="NV18" s="9" t="s">
        <v>896</v>
      </c>
      <c r="NW18" s="9"/>
      <c r="NX18" s="9" t="s">
        <v>897</v>
      </c>
      <c r="NY18" s="8">
        <v>45.0</v>
      </c>
      <c r="NZ18" s="8">
        <v>20.0</v>
      </c>
      <c r="OA18" s="8">
        <v>0.0</v>
      </c>
      <c r="OB18" s="8">
        <v>5.0</v>
      </c>
      <c r="OC18" s="8">
        <v>5.0</v>
      </c>
      <c r="OD18" s="8">
        <v>0.0</v>
      </c>
      <c r="OE18" s="9" t="s">
        <v>898</v>
      </c>
      <c r="OF18" s="9" t="s">
        <v>899</v>
      </c>
      <c r="OG18" s="9" t="s">
        <v>857</v>
      </c>
      <c r="OH18" s="8">
        <v>0.0</v>
      </c>
      <c r="OI18" s="8">
        <v>3.0</v>
      </c>
      <c r="OJ18" s="8">
        <v>0.0</v>
      </c>
      <c r="OK18" s="8">
        <v>0.0</v>
      </c>
      <c r="OL18" s="8">
        <v>0.0</v>
      </c>
      <c r="OM18" s="8">
        <v>0.0</v>
      </c>
      <c r="ON18" s="8">
        <v>0.0</v>
      </c>
      <c r="OO18" s="8">
        <v>0.0</v>
      </c>
      <c r="OP18" s="9" t="str">
        <f>VLOOKUP(AG18,'BUS 2'!$G$1:$CU$424,2,0)</f>
        <v>Sapi perah</v>
      </c>
      <c r="OQ18" s="8">
        <f>VLOOKUP(AG18,'BUS 2'!$G$1:$CU$424,3,0)</f>
        <v>0</v>
      </c>
      <c r="OR18" s="8">
        <f>VLOOKUP(AG18,'BUS 2'!$G$1:$CU$424,4,0)</f>
        <v>1</v>
      </c>
      <c r="OS18" s="8">
        <f>VLOOKUP(AG18,'BUS 2'!$G$1:$CU$424,5,0)</f>
        <v>0</v>
      </c>
      <c r="OT18" s="8">
        <f>VLOOKUP(AG18,'BUS 2'!$G$1:$CU$424,6,0)</f>
        <v>0</v>
      </c>
      <c r="OU18" s="8">
        <f>VLOOKUP(AG18,'BUS 2'!$G$1:$CU$424,7,0)</f>
        <v>0</v>
      </c>
      <c r="OV18" s="8">
        <f>VLOOKUP(AG18,'BUS 2'!$G$1:$CU$424,8,0)</f>
        <v>0</v>
      </c>
      <c r="OW18" s="8">
        <f>VLOOKUP(AG18,'BUS 2'!$G$1:$CU$424,9,0)</f>
        <v>0</v>
      </c>
      <c r="OX18" s="8">
        <f>VLOOKUP(AG18,'BUS 2'!$G$1:$CU$424,10,0)</f>
        <v>0</v>
      </c>
      <c r="OY18" s="8">
        <f>VLOOKUP(AG18,'BUS 2'!$G$1:$CU$424,11,0)</f>
        <v>0</v>
      </c>
      <c r="OZ18" s="8" t="str">
        <f>VLOOKUP(AG18,'BUS 2'!$G$1:$CU$424,12,0)</f>
        <v>Sapi perah</v>
      </c>
      <c r="PA18" s="8">
        <f>VLOOKUP(AG18,'BUS 2'!$G$1:$CU$424,13,0)</f>
        <v>0</v>
      </c>
      <c r="PB18" s="8">
        <f>VLOOKUP(AG18,'BUS 2'!$G$1:$CU$424,14,0)</f>
        <v>1</v>
      </c>
      <c r="PC18" s="8">
        <f>VLOOKUP(AG18,'BUS 2'!$G$1:$CU$424,15,0)</f>
        <v>0</v>
      </c>
      <c r="PD18" s="8">
        <f>VLOOKUP(AG18,'BUS 2'!$G$1:$CU$424,16,0)</f>
        <v>0</v>
      </c>
      <c r="PE18" s="8">
        <f>VLOOKUP(AG18,'BUS 2'!$G$1:$CU$424,17,0)</f>
        <v>0</v>
      </c>
      <c r="PF18" s="8">
        <f>VLOOKUP(AG18,'BUS 2'!$G$1:$CU$424,18,0)</f>
        <v>0</v>
      </c>
      <c r="PG18" s="8">
        <f>VLOOKUP(AG18,'BUS 2'!$G$1:$CU$424,19,0)</f>
        <v>0</v>
      </c>
      <c r="PH18" s="8">
        <f>VLOOKUP(AG18,'BUS 2'!$G$1:$CU$424,20,0)</f>
        <v>0</v>
      </c>
      <c r="PI18" s="8">
        <f>VLOOKUP(AG18,'BUS 2'!$G$1:$CU$424,21,0)</f>
        <v>0</v>
      </c>
      <c r="PJ18" s="8" t="str">
        <f>VLOOKUP(AG18,'BUS 2'!$G$1:$CU$424,22,0)</f>
        <v>Tidak ada</v>
      </c>
      <c r="PK18" s="8">
        <f>VLOOKUP(AG18,'BUS 2'!$G$1:$CU$424,23,0)</f>
        <v>0</v>
      </c>
      <c r="PL18" s="8">
        <f>VLOOKUP(AG18,'BUS 2'!$G$1:$CU$424,24,0)</f>
        <v>0</v>
      </c>
      <c r="PM18" s="8">
        <f>VLOOKUP(AG18,'BUS 2'!$G$1:$CU$424,25,0)</f>
        <v>0</v>
      </c>
      <c r="PN18" s="8">
        <f>VLOOKUP(AG18,'BUS 2'!$G$1:$CU$424,26,0)</f>
        <v>0</v>
      </c>
      <c r="PO18" s="8">
        <f>VLOOKUP(AG18,'BUS 2'!$G$1:$CU$424,27,0)</f>
        <v>0</v>
      </c>
      <c r="PP18" s="8">
        <f>VLOOKUP(AG18,'BUS 2'!$G$1:$CU$424,28,0)</f>
        <v>0</v>
      </c>
      <c r="PQ18" s="8">
        <f>VLOOKUP(AG18,'BUS 2'!$G$1:$CU$424,29,0)</f>
        <v>0</v>
      </c>
      <c r="PR18" s="8">
        <f>VLOOKUP(AG18,'BUS 2'!$G$1:$CU$424,30,0)</f>
        <v>0</v>
      </c>
      <c r="PS18" s="8">
        <f>VLOOKUP(AG18,'BUS 2'!$G$1:$CU$424,31,0)</f>
        <v>1</v>
      </c>
      <c r="PT18" s="9"/>
      <c r="PU18" s="9"/>
      <c r="PV18" s="9"/>
      <c r="PW18" s="9"/>
      <c r="PX18" s="9"/>
      <c r="PY18" s="9"/>
      <c r="PZ18" s="9"/>
      <c r="QA18" s="9"/>
      <c r="QB18" s="9"/>
      <c r="QC18" s="9"/>
      <c r="QD18" s="9"/>
      <c r="QE18" s="9" t="s">
        <v>900</v>
      </c>
      <c r="QF18" s="8">
        <v>0.0</v>
      </c>
      <c r="QG18" s="8">
        <v>0.0</v>
      </c>
      <c r="QH18" s="8">
        <v>0.0</v>
      </c>
      <c r="QI18" s="8">
        <v>0.0</v>
      </c>
      <c r="QJ18" s="8">
        <v>0.0</v>
      </c>
      <c r="QK18" s="8">
        <v>1.0</v>
      </c>
      <c r="QL18" s="8">
        <v>0.0</v>
      </c>
      <c r="QM18" s="8">
        <v>0.0</v>
      </c>
      <c r="QN18" s="8">
        <v>0.0</v>
      </c>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8" t="str">
        <f>VLOOKUP(AG18,'BUS 2'!$G$1:$CU$424,33,0)</f>
        <v/>
      </c>
      <c r="SZ18" s="9">
        <f>VLOOKUP(AG18,'BUS 2'!$G$1:$CU$424,34,0)</f>
        <v>3</v>
      </c>
      <c r="TA18" s="9" t="str">
        <f>VLOOKUP(AG18,'BUS 2'!$G$1:$CU$424,35,0)</f>
        <v/>
      </c>
      <c r="TB18" s="9" t="str">
        <f>VLOOKUP(AG18,'BUS 2'!$G$1:$CU$424,36,0)</f>
        <v/>
      </c>
      <c r="TC18" s="9" t="str">
        <f>VLOOKUP(AG18,'BUS 2'!$G$1:$CU$424,37,0)</f>
        <v/>
      </c>
      <c r="TD18" s="9" t="str">
        <f>VLOOKUP(AG18,'BUS 2'!$G$1:$CU$424,38,0)</f>
        <v/>
      </c>
      <c r="TE18" s="9" t="str">
        <f>VLOOKUP(AG18,'BUS 2'!$G$1:$CU$424,39,0)</f>
        <v/>
      </c>
      <c r="TF18" s="9" t="str">
        <f>VLOOKUP(AG18,'BUS 2'!$G$1:$CU$424,40,0)</f>
        <v/>
      </c>
      <c r="TG18" s="8" t="str">
        <f>VLOOKUP(AG18,'BUS 2'!$G$1:$CU$424,42,0)</f>
        <v/>
      </c>
      <c r="TH18" s="8">
        <f>VLOOKUP(AG18,'BUS 2'!$G$1:$CU$424,43,0)</f>
        <v>3</v>
      </c>
      <c r="TI18" s="8" t="str">
        <f>VLOOKUP(AG18,'BUS 2'!$G$1:$CU$424,44,0)</f>
        <v/>
      </c>
      <c r="TJ18" s="8" t="str">
        <f>VLOOKUP(AG18,'BUS 2'!$G$1:$CU$424,45,0)</f>
        <v/>
      </c>
      <c r="TK18" s="8" t="str">
        <f>VLOOKUP(AG18,'BUS 2'!$G$1:$CU$424,46,0)</f>
        <v/>
      </c>
      <c r="TL18" s="8" t="str">
        <f>VLOOKUP(AG18,'BUS 2'!$G$1:$CU$424,47,0)</f>
        <v/>
      </c>
      <c r="TM18" s="8" t="str">
        <f>VLOOKUP(AG18,'BUS 2'!$G$1:$CU$424,48,0)</f>
        <v/>
      </c>
      <c r="TN18" s="8" t="str">
        <f>VLOOKUP(AG18,'BUS 2'!$G$1:$CU$424,49,0)</f>
        <v/>
      </c>
      <c r="TO18" s="8" t="str">
        <f>VLOOKUP(AG18,'BUS 2'!$G$1:$CU$424,50,0)</f>
        <v/>
      </c>
      <c r="TP18" s="8" t="str">
        <f>VLOOKUP(AG18,'BUS 2'!$G$1:$CU$424,51,0)</f>
        <v/>
      </c>
      <c r="TQ18" s="8" t="str">
        <f>VLOOKUP(AG18,'BUS 2'!$G$1:$CU$424,52,0)</f>
        <v/>
      </c>
      <c r="TR18" s="8" t="str">
        <f>VLOOKUP(AG18,'BUS 2'!$G$1:$CU$424,53,0)</f>
        <v/>
      </c>
      <c r="TS18" s="9" t="str">
        <f>VLOOKUP(AG18,'BUS 2'!$G$1:$CU$424,54,0)</f>
        <v/>
      </c>
      <c r="TT18" s="9" t="str">
        <f>VLOOKUP(AG18,'BUS 2'!$G$1:$CU$424,55,0)</f>
        <v/>
      </c>
      <c r="TU18" s="9" t="str">
        <f>VLOOKUP(AG18,'BUS 2'!$G$1:$CU$424,56,0)</f>
        <v/>
      </c>
      <c r="TV18" s="9" t="str">
        <f>VLOOKUP(AG18,'BUS 2'!$G$1:$CU$424,57,0)</f>
        <v/>
      </c>
      <c r="TW18" s="9" t="str">
        <f>VLOOKUP(AG18,'BUS 2'!$G$1:$CU$424,58,0)</f>
        <v/>
      </c>
      <c r="TX18" s="9" t="str">
        <f>VLOOKUP(AG18,'BUS 2'!$G$1:$CU$424,59,0)</f>
        <v/>
      </c>
      <c r="TY18" s="9" t="str">
        <f>VLOOKUP(AG18,'BUS 2'!$G$1:$CU$424,60,0)</f>
        <v/>
      </c>
      <c r="TZ18" s="9" t="str">
        <f>VLOOKUP(AG18,'BUS 2'!$G$1:$CU$424,61,0)</f>
        <v/>
      </c>
      <c r="UA18" s="9" t="str">
        <f>VLOOKUP(AG18,'BUS 2'!$G$1:$CU$424,62,0)</f>
        <v/>
      </c>
      <c r="UB18" s="9" t="str">
        <f>VLOOKUP(AG18,'BUS 2'!$G$1:$CU$424,63,0)</f>
        <v/>
      </c>
      <c r="UC18" s="9" t="str">
        <f>VLOOKUP(AG18,'BUS 2'!$G$1:$CU$424,64,0)</f>
        <v/>
      </c>
      <c r="UD18" s="9" t="str">
        <f>VLOOKUP(AG18,'BUS 2'!$G$1:$CU$424,65,0)</f>
        <v/>
      </c>
      <c r="UE18" s="9" t="str">
        <f>VLOOKUP(AG18,'BUS 2'!$G$1:$CU$424,66,0)</f>
        <v/>
      </c>
      <c r="UF18" s="9" t="str">
        <f>VLOOKUP(AG18,'BUS 2'!$G$1:$CU$424,67,0)</f>
        <v/>
      </c>
      <c r="UG18" s="9" t="str">
        <f>VLOOKUP(AG18,'BUS 2'!$G$1:$CU$424,68,0)</f>
        <v/>
      </c>
      <c r="UH18" s="9" t="str">
        <f>VLOOKUP(AG18,'BUS 2'!$G$1:$CU$424,69,0)</f>
        <v/>
      </c>
      <c r="UI18" s="9" t="str">
        <f>VLOOKUP(AG18,'BUS 2'!$G$1:$CU$424,70,0)</f>
        <v/>
      </c>
      <c r="UJ18" s="9" t="str">
        <f>VLOOKUP(AG18,'BUS 2'!$G$1:$CU$424,71,0)</f>
        <v/>
      </c>
      <c r="UK18" s="9" t="str">
        <f>VLOOKUP(AG18,'BUS 2'!$G$1:$CU$424,72,0)</f>
        <v/>
      </c>
      <c r="UL18" s="9" t="str">
        <f>VLOOKUP(AG18,'BUS 2'!$G$1:$CU$424,73,0)</f>
        <v/>
      </c>
      <c r="UM18" s="9" t="str">
        <f>VLOOKUP(AG18,'BUS 2'!$G$1:$CU$424,74,0)</f>
        <v/>
      </c>
      <c r="UN18" s="9" t="str">
        <f>VLOOKUP(AG18,'BUS 2'!$G$1:$CU$424,75,0)</f>
        <v/>
      </c>
      <c r="UO18" s="9" t="str">
        <f>VLOOKUP(AG18,'BUS 2'!$G$1:$CU$424,76,0)</f>
        <v/>
      </c>
      <c r="UP18" s="9" t="str">
        <f>VLOOKUP(AG18,'BUS 2'!$G$1:$CU$424,77,0)</f>
        <v/>
      </c>
      <c r="UQ18" s="9" t="str">
        <f>VLOOKUP(AG18,'BUS 2'!$G$1:$CU$424,78,0)</f>
        <v/>
      </c>
      <c r="UR18" s="9" t="str">
        <f>VLOOKUP(AG18,'BUS 2'!$G$1:$CU$424,79,0)</f>
        <v/>
      </c>
      <c r="US18" s="9" t="str">
        <f>VLOOKUP(AG18,'BUS 2'!$G$1:$CU$424,80,0)</f>
        <v/>
      </c>
      <c r="UT18" s="9" t="str">
        <f>VLOOKUP(AG18,'BUS 2'!$G$1:$CU$424,81,0)</f>
        <v/>
      </c>
      <c r="UU18" s="9"/>
      <c r="UV18" s="9" t="s">
        <v>901</v>
      </c>
      <c r="UW18" s="9"/>
      <c r="UX18" s="9"/>
      <c r="UY18" s="9"/>
      <c r="UZ18" s="9"/>
      <c r="VA18" s="9"/>
      <c r="VB18" s="9"/>
      <c r="VC18" s="9"/>
      <c r="VD18" s="9" t="s">
        <v>950</v>
      </c>
      <c r="VE18" s="9"/>
      <c r="VF18" s="9"/>
      <c r="VG18" s="9"/>
      <c r="VH18" s="9"/>
      <c r="VI18" s="9"/>
      <c r="VJ18" s="9"/>
      <c r="VK18" s="9"/>
      <c r="VL18" s="9" t="s">
        <v>903</v>
      </c>
      <c r="VM18" s="9"/>
      <c r="VN18" s="9"/>
      <c r="VO18" s="9"/>
      <c r="VP18" s="9"/>
      <c r="VQ18" s="9"/>
      <c r="VR18" s="9"/>
      <c r="VS18" s="9"/>
      <c r="VT18" s="9"/>
      <c r="VU18" s="9"/>
      <c r="VV18" s="9"/>
      <c r="VW18" s="9"/>
      <c r="VX18" s="9"/>
      <c r="VY18" s="9"/>
      <c r="VZ18" s="9"/>
      <c r="WA18" s="9"/>
      <c r="WB18" s="9"/>
      <c r="WC18" s="9"/>
      <c r="WD18" s="9"/>
      <c r="WE18" s="9"/>
      <c r="WF18" s="9" t="s">
        <v>904</v>
      </c>
      <c r="WG18" s="8">
        <v>0.0</v>
      </c>
      <c r="WH18" s="8">
        <v>0.0</v>
      </c>
      <c r="WI18" s="8">
        <v>0.0</v>
      </c>
      <c r="WJ18" s="8">
        <v>1.0</v>
      </c>
      <c r="WK18" s="8">
        <v>0.0</v>
      </c>
      <c r="WL18" s="8">
        <v>0.0</v>
      </c>
      <c r="WM18" s="8">
        <v>0.0</v>
      </c>
      <c r="WN18" s="8">
        <v>0.0</v>
      </c>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8">
        <v>2.0</v>
      </c>
      <c r="ZX18" s="9"/>
      <c r="ZY18" s="9"/>
      <c r="ZZ18" s="9"/>
      <c r="AAA18" s="9"/>
      <c r="AAB18" s="9"/>
      <c r="AAC18" s="9"/>
      <c r="AAD18" s="9"/>
      <c r="AAE18" s="9" t="s">
        <v>905</v>
      </c>
      <c r="AAF18" s="9"/>
      <c r="AAG18" s="9"/>
      <c r="AAH18" s="9"/>
      <c r="AAI18" s="9"/>
      <c r="AAJ18" s="9"/>
      <c r="AAK18" s="9"/>
      <c r="AAL18" s="9" t="s">
        <v>857</v>
      </c>
      <c r="AAM18" s="9" t="s">
        <v>1033</v>
      </c>
      <c r="AAN18" s="8">
        <v>1.0</v>
      </c>
      <c r="AAO18" s="8">
        <v>1.0</v>
      </c>
      <c r="AAP18" s="8">
        <v>100.0</v>
      </c>
      <c r="AAQ18" s="8">
        <v>100.0</v>
      </c>
      <c r="AAR18" s="9" t="s">
        <v>857</v>
      </c>
      <c r="AAS18" s="9" t="s">
        <v>867</v>
      </c>
      <c r="AAT18" s="9" t="s">
        <v>906</v>
      </c>
      <c r="AAU18" s="8">
        <v>1.0</v>
      </c>
      <c r="AAV18" s="8">
        <v>0.0</v>
      </c>
      <c r="AAW18" s="8">
        <v>0.0</v>
      </c>
      <c r="AAX18" s="8">
        <v>0.0</v>
      </c>
      <c r="AAY18" s="8">
        <v>0.0</v>
      </c>
      <c r="AAZ18" s="8">
        <v>0.0</v>
      </c>
      <c r="ABA18" s="8">
        <v>0.0</v>
      </c>
      <c r="ABB18" s="9" t="s">
        <v>907</v>
      </c>
      <c r="ABC18" s="8">
        <v>1.0</v>
      </c>
      <c r="ABD18" s="8">
        <v>0.0</v>
      </c>
      <c r="ABE18" s="8">
        <v>0.0</v>
      </c>
      <c r="ABF18" s="8">
        <v>0.0</v>
      </c>
      <c r="ABG18" s="8">
        <v>0.0</v>
      </c>
      <c r="ABH18" s="9"/>
      <c r="ABI18" s="9"/>
      <c r="ABJ18" s="9"/>
      <c r="ABK18" s="9"/>
      <c r="ABL18" s="9"/>
      <c r="ABM18" s="9"/>
      <c r="ABN18" s="9"/>
      <c r="ABO18" s="9"/>
      <c r="ABP18" s="9"/>
      <c r="ABQ18" s="11" t="s">
        <v>1159</v>
      </c>
      <c r="ABR18" s="9" t="s">
        <v>1075</v>
      </c>
      <c r="ABS18" s="8">
        <v>3500.0</v>
      </c>
      <c r="ABT18" s="9"/>
      <c r="ABU18" s="8">
        <v>100.0</v>
      </c>
      <c r="ABV18" s="8">
        <v>100.0</v>
      </c>
      <c r="ABW18" s="9" t="s">
        <v>910</v>
      </c>
      <c r="ABX18" s="9"/>
      <c r="ABY18" s="8">
        <v>30.0</v>
      </c>
      <c r="ABZ18" s="8">
        <v>4000.0</v>
      </c>
      <c r="ACA18" s="8">
        <v>10.0</v>
      </c>
      <c r="ACB18" s="8">
        <v>4000.0</v>
      </c>
      <c r="ACC18" s="8">
        <v>550.0</v>
      </c>
      <c r="ACD18" s="8">
        <v>700.0</v>
      </c>
      <c r="ACE18" s="9" t="s">
        <v>857</v>
      </c>
      <c r="ACF18" s="9" t="s">
        <v>911</v>
      </c>
      <c r="ACG18" s="9" t="s">
        <v>1034</v>
      </c>
      <c r="ACH18" s="9" t="s">
        <v>911</v>
      </c>
      <c r="ACI18" s="9"/>
      <c r="ACJ18" s="9"/>
      <c r="ACK18" s="9"/>
      <c r="ACL18" s="9"/>
      <c r="ACM18" s="9"/>
      <c r="ACN18" s="9"/>
      <c r="ACO18" s="9"/>
      <c r="ACP18" s="9"/>
      <c r="ACQ18" s="9"/>
      <c r="ACR18" s="9"/>
      <c r="ACS18" s="9"/>
      <c r="ACT18" s="9" t="s">
        <v>912</v>
      </c>
      <c r="ACU18" s="9" t="s">
        <v>913</v>
      </c>
      <c r="ACV18" s="9" t="s">
        <v>996</v>
      </c>
      <c r="ACW18" s="9" t="s">
        <v>915</v>
      </c>
      <c r="ACX18" s="9" t="s">
        <v>916</v>
      </c>
      <c r="ACY18" s="9" t="s">
        <v>1017</v>
      </c>
      <c r="ACZ18" s="8">
        <v>1.0</v>
      </c>
      <c r="ADA18" s="8">
        <v>1.0</v>
      </c>
      <c r="ADB18" s="8">
        <v>1.0</v>
      </c>
      <c r="ADC18" s="8">
        <v>0.0</v>
      </c>
      <c r="ADD18" s="9" t="s">
        <v>918</v>
      </c>
      <c r="ADE18" s="9" t="s">
        <v>918</v>
      </c>
      <c r="ADF18" s="9" t="s">
        <v>918</v>
      </c>
      <c r="ADG18" s="9" t="s">
        <v>918</v>
      </c>
      <c r="ADH18" s="9" t="s">
        <v>881</v>
      </c>
      <c r="ADI18" s="9"/>
      <c r="ADJ18" s="9" t="s">
        <v>917</v>
      </c>
      <c r="ADK18" s="9"/>
      <c r="ADL18" s="9"/>
      <c r="ADM18" s="9"/>
      <c r="ADN18" s="9"/>
      <c r="ADO18" s="9"/>
      <c r="ADP18" s="9"/>
      <c r="ADQ18" s="9"/>
      <c r="ADR18" s="9"/>
      <c r="ADS18" s="9"/>
      <c r="ADT18" s="9"/>
      <c r="ADU18" s="9" t="s">
        <v>1018</v>
      </c>
      <c r="ADV18" s="8">
        <v>0.0</v>
      </c>
      <c r="ADW18" s="8">
        <v>0.0</v>
      </c>
      <c r="ADX18" s="8">
        <v>0.0</v>
      </c>
      <c r="ADY18" s="8">
        <v>0.0</v>
      </c>
      <c r="ADZ18" s="8">
        <v>1.0</v>
      </c>
      <c r="AEA18" s="8">
        <v>1.0</v>
      </c>
      <c r="AEB18" s="8">
        <v>0.0</v>
      </c>
      <c r="AEC18" s="8">
        <v>0.0</v>
      </c>
      <c r="AED18" s="12"/>
      <c r="AEE18" s="17" t="s">
        <v>872</v>
      </c>
      <c r="AEF18" s="9"/>
      <c r="AEG18" s="17" t="s">
        <v>920</v>
      </c>
      <c r="AEH18" s="9"/>
      <c r="AEI18" s="11" t="s">
        <v>999</v>
      </c>
      <c r="AEJ18" s="9" t="s">
        <v>961</v>
      </c>
      <c r="AEK18" s="17" t="s">
        <v>1169</v>
      </c>
      <c r="AEL18" s="18">
        <v>1.0</v>
      </c>
      <c r="AEM18" s="18">
        <v>1.0</v>
      </c>
      <c r="AEN18" s="18">
        <v>0.0</v>
      </c>
      <c r="AEO18" s="18">
        <v>1.0</v>
      </c>
      <c r="AEP18" s="18">
        <v>1.0</v>
      </c>
      <c r="AEQ18" s="18">
        <v>1.0</v>
      </c>
      <c r="AER18" s="18">
        <v>0.0</v>
      </c>
      <c r="AES18" s="18">
        <v>0.0</v>
      </c>
      <c r="AET18" s="18">
        <v>0.0</v>
      </c>
      <c r="AEU18" s="18">
        <v>0.0</v>
      </c>
      <c r="AEV18" s="18">
        <v>0.0</v>
      </c>
      <c r="AEW18" s="18">
        <v>0.0</v>
      </c>
      <c r="AEX18" s="9"/>
      <c r="AEY18" s="9" t="s">
        <v>923</v>
      </c>
      <c r="AEZ18" s="9"/>
      <c r="AFA18" s="9" t="s">
        <v>924</v>
      </c>
      <c r="AFB18" s="9"/>
      <c r="AFC18" s="9" t="s">
        <v>1170</v>
      </c>
      <c r="AFD18" s="16" t="s">
        <v>1171</v>
      </c>
      <c r="AFE18" s="9" t="s">
        <v>1172</v>
      </c>
      <c r="AFF18" s="16" t="s">
        <v>1173</v>
      </c>
      <c r="AFG18" s="9" t="s">
        <v>1137</v>
      </c>
      <c r="AFH18" s="9"/>
      <c r="AFI18" s="9"/>
    </row>
    <row r="19">
      <c r="A19" s="6">
        <v>46058.0</v>
      </c>
      <c r="B19" s="6">
        <v>46059.0</v>
      </c>
      <c r="C19" s="7" t="s">
        <v>837</v>
      </c>
      <c r="D19" s="7" t="s">
        <v>1174</v>
      </c>
      <c r="E19" s="8">
        <v>6.28564032685E12</v>
      </c>
      <c r="F19" s="9"/>
      <c r="G19" s="8">
        <v>-7.214702</v>
      </c>
      <c r="H19" s="8">
        <v>110.2733276</v>
      </c>
      <c r="I19" s="9"/>
      <c r="J19" s="8">
        <v>2.32</v>
      </c>
      <c r="K19" s="9"/>
      <c r="L19" s="9"/>
      <c r="M19" s="8">
        <v>-7.2145414</v>
      </c>
      <c r="N19" s="8">
        <v>110.2732406</v>
      </c>
      <c r="O19" s="9"/>
      <c r="P19" s="8">
        <v>4.97</v>
      </c>
      <c r="Q19" s="9"/>
      <c r="R19" s="9" t="s">
        <v>839</v>
      </c>
      <c r="S19" s="9"/>
      <c r="T19" s="9"/>
      <c r="U19" s="9"/>
      <c r="V19" s="9"/>
      <c r="W19" s="9"/>
      <c r="X19" s="9"/>
      <c r="Y19" s="9"/>
      <c r="Z19" s="9"/>
      <c r="AA19" s="9"/>
      <c r="AB19" s="9"/>
      <c r="AC19" s="7" t="s">
        <v>1175</v>
      </c>
      <c r="AD19" s="7" t="s">
        <v>1176</v>
      </c>
      <c r="AE19" s="7" t="s">
        <v>1177</v>
      </c>
      <c r="AF19" s="9" t="s">
        <v>1178</v>
      </c>
      <c r="AG19" s="9" t="s">
        <v>1179</v>
      </c>
      <c r="AH19" s="8">
        <v>2.0</v>
      </c>
      <c r="AI19" s="9" t="s">
        <v>845</v>
      </c>
      <c r="AJ19" s="9" t="s">
        <v>846</v>
      </c>
      <c r="AK19" s="8">
        <v>50.0</v>
      </c>
      <c r="AL19" s="9" t="s">
        <v>847</v>
      </c>
      <c r="AM19" s="9" t="s">
        <v>848</v>
      </c>
      <c r="AN19" s="9" t="s">
        <v>986</v>
      </c>
      <c r="AO19" s="9" t="s">
        <v>1168</v>
      </c>
      <c r="AP19" s="8">
        <v>0.0</v>
      </c>
      <c r="AQ19" s="8">
        <v>0.0</v>
      </c>
      <c r="AR19" s="8">
        <v>0.0</v>
      </c>
      <c r="AS19" s="8">
        <v>0.0</v>
      </c>
      <c r="AT19" s="8">
        <v>1.0</v>
      </c>
      <c r="AU19" s="8">
        <v>0.0</v>
      </c>
      <c r="AV19" s="8">
        <v>0.0</v>
      </c>
      <c r="AW19" s="8">
        <v>0.0</v>
      </c>
      <c r="AX19" s="9"/>
      <c r="AY19" s="9" t="s">
        <v>935</v>
      </c>
      <c r="AZ19" s="8">
        <v>0.0</v>
      </c>
      <c r="BA19" s="8">
        <v>1.0</v>
      </c>
      <c r="BB19" s="8">
        <v>0.0</v>
      </c>
      <c r="BC19" s="8">
        <v>0.0</v>
      </c>
      <c r="BD19" s="8">
        <v>0.0</v>
      </c>
      <c r="BE19" s="8">
        <v>0.0</v>
      </c>
      <c r="BF19" s="8">
        <v>0.0</v>
      </c>
      <c r="BG19" s="8">
        <v>0.0</v>
      </c>
      <c r="BH19" s="9"/>
      <c r="BI19" s="9" t="s">
        <v>852</v>
      </c>
      <c r="BJ19" s="8">
        <v>1.0</v>
      </c>
      <c r="BK19" s="8">
        <v>3.0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2024.0</v>
      </c>
      <c r="CN19" s="9" t="s">
        <v>858</v>
      </c>
      <c r="CO19" s="9" t="s">
        <v>859</v>
      </c>
      <c r="CP19" s="9" t="s">
        <v>860</v>
      </c>
      <c r="CQ19" s="8">
        <v>0.0</v>
      </c>
      <c r="CR19" s="8">
        <v>0.0</v>
      </c>
      <c r="CS19" s="8">
        <v>0.0</v>
      </c>
      <c r="CT19" s="8">
        <v>0.0</v>
      </c>
      <c r="CU19" s="10">
        <v>1.0</v>
      </c>
      <c r="CV19" s="10">
        <v>0.0</v>
      </c>
      <c r="CW19" s="10">
        <v>0.0</v>
      </c>
      <c r="CX19" s="8">
        <v>0.0</v>
      </c>
      <c r="CY19" s="9" t="s">
        <v>860</v>
      </c>
      <c r="CZ19" s="8">
        <v>1.0</v>
      </c>
      <c r="DA19" s="8">
        <v>0.0</v>
      </c>
      <c r="DB19" s="8">
        <v>0.0</v>
      </c>
      <c r="DC19" s="9"/>
      <c r="DD19" s="9" t="s">
        <v>937</v>
      </c>
      <c r="DE19" s="8">
        <v>1.0</v>
      </c>
      <c r="DF19" s="8">
        <v>0.0</v>
      </c>
      <c r="DG19" s="8">
        <v>1.0</v>
      </c>
      <c r="DH19" s="8">
        <v>0.0</v>
      </c>
      <c r="DI19" s="9"/>
      <c r="DJ19" s="9" t="s">
        <v>937</v>
      </c>
      <c r="DK19" s="8">
        <v>1.0</v>
      </c>
      <c r="DL19" s="8">
        <v>0.0</v>
      </c>
      <c r="DM19" s="8">
        <v>1.0</v>
      </c>
      <c r="DN19" s="8">
        <v>0.0</v>
      </c>
      <c r="DO19" s="9"/>
      <c r="DP19" s="8">
        <v>1.0</v>
      </c>
      <c r="DQ19" s="8">
        <v>0.0</v>
      </c>
      <c r="DR19" s="8">
        <v>0.0</v>
      </c>
      <c r="DS19" s="9"/>
      <c r="DT19" s="9"/>
      <c r="DU19" s="9"/>
      <c r="DV19" s="9" t="s">
        <v>857</v>
      </c>
      <c r="DW19" s="9"/>
      <c r="DX19" s="9"/>
      <c r="DY19" s="9"/>
      <c r="DZ19" s="9"/>
      <c r="EA19" s="9"/>
      <c r="EB19" s="9"/>
      <c r="EC19" s="9"/>
      <c r="ED19" s="9"/>
      <c r="EE19" s="9"/>
      <c r="EF19" s="9"/>
      <c r="EG19" s="9"/>
      <c r="EH19" s="9"/>
      <c r="EI19" s="9" t="s">
        <v>862</v>
      </c>
      <c r="EJ19" s="8">
        <v>0.0</v>
      </c>
      <c r="EK19" s="8">
        <v>0.0</v>
      </c>
      <c r="EL19" s="8">
        <v>0.0</v>
      </c>
      <c r="EM19" s="8">
        <v>1.0</v>
      </c>
      <c r="EN19" s="8">
        <v>0.0</v>
      </c>
      <c r="EO19" s="11"/>
      <c r="EP19" s="9" t="s">
        <v>863</v>
      </c>
      <c r="EQ19" s="9" t="s">
        <v>864</v>
      </c>
      <c r="ER19" s="9" t="s">
        <v>861</v>
      </c>
      <c r="ES19" s="8">
        <v>1.0</v>
      </c>
      <c r="ET19" s="8">
        <v>0.0</v>
      </c>
      <c r="EU19" s="8">
        <v>0.0</v>
      </c>
      <c r="EV19" s="8">
        <v>0.0</v>
      </c>
      <c r="EW19" s="9"/>
      <c r="EX19" s="9" t="s">
        <v>865</v>
      </c>
      <c r="EY19" s="8">
        <v>1.0</v>
      </c>
      <c r="EZ19" s="8">
        <v>0.0</v>
      </c>
      <c r="FA19" s="8">
        <v>0.0</v>
      </c>
      <c r="FB19" s="9"/>
      <c r="FC19" s="9" t="s">
        <v>1072</v>
      </c>
      <c r="FD19" s="9"/>
      <c r="FE19" s="9" t="s">
        <v>867</v>
      </c>
      <c r="FF19" s="9" t="s">
        <v>869</v>
      </c>
      <c r="FG19" s="9" t="s">
        <v>867</v>
      </c>
      <c r="FH19" s="9" t="s">
        <v>869</v>
      </c>
      <c r="FI19" s="9" t="s">
        <v>867</v>
      </c>
      <c r="FJ19" s="9" t="s">
        <v>868</v>
      </c>
      <c r="FK19" s="9" t="s">
        <v>867</v>
      </c>
      <c r="FL19" s="9" t="s">
        <v>868</v>
      </c>
      <c r="FM19" s="9" t="s">
        <v>867</v>
      </c>
      <c r="FN19" s="9" t="s">
        <v>868</v>
      </c>
      <c r="FO19" s="9" t="s">
        <v>867</v>
      </c>
      <c r="FP19" s="9" t="s">
        <v>943</v>
      </c>
      <c r="FQ19" s="9" t="s">
        <v>867</v>
      </c>
      <c r="FR19" s="9" t="s">
        <v>857</v>
      </c>
      <c r="FS19" s="9" t="s">
        <v>867</v>
      </c>
      <c r="FT19" s="9" t="s">
        <v>871</v>
      </c>
      <c r="FU19" s="9" t="s">
        <v>872</v>
      </c>
      <c r="FV19" s="8">
        <v>1.0</v>
      </c>
      <c r="FW19" s="8">
        <v>0.0</v>
      </c>
      <c r="FX19" s="8">
        <v>0.0</v>
      </c>
      <c r="FY19" s="8">
        <v>0.0</v>
      </c>
      <c r="FZ19" s="9" t="s">
        <v>873</v>
      </c>
      <c r="GA19" s="9" t="s">
        <v>990</v>
      </c>
      <c r="GB19" s="8">
        <v>1.0</v>
      </c>
      <c r="GC19" s="8">
        <v>1.0</v>
      </c>
      <c r="GD19" s="8">
        <v>0.0</v>
      </c>
      <c r="GE19" s="8">
        <v>0.0</v>
      </c>
      <c r="GF19" s="9"/>
      <c r="GG19" s="9" t="s">
        <v>875</v>
      </c>
      <c r="GH19" s="9" t="s">
        <v>857</v>
      </c>
      <c r="GI19" s="9" t="s">
        <v>876</v>
      </c>
      <c r="GJ19" s="8">
        <v>1.0</v>
      </c>
      <c r="GK19" s="8">
        <v>0.0</v>
      </c>
      <c r="GL19" s="8">
        <v>0.0</v>
      </c>
      <c r="GM19" s="8">
        <v>0.0</v>
      </c>
      <c r="GN19" s="9"/>
      <c r="GO19" s="8">
        <v>9.0</v>
      </c>
      <c r="GP19" s="9" t="s">
        <v>877</v>
      </c>
      <c r="GQ19" s="9" t="s">
        <v>878</v>
      </c>
      <c r="GR19" s="8">
        <v>1.0</v>
      </c>
      <c r="GS19" s="8">
        <v>1.0</v>
      </c>
      <c r="GT19" s="8">
        <v>0.0</v>
      </c>
      <c r="GU19" s="8">
        <v>0.0</v>
      </c>
      <c r="GV19" s="8">
        <v>0.0</v>
      </c>
      <c r="GW19" s="8">
        <v>0.0</v>
      </c>
      <c r="GX19" s="8">
        <v>0.0</v>
      </c>
      <c r="GY19" s="9"/>
      <c r="GZ19" s="9" t="s">
        <v>857</v>
      </c>
      <c r="HA19" s="8">
        <v>150.0</v>
      </c>
      <c r="HB19" s="8">
        <v>150000.0</v>
      </c>
      <c r="HC19" s="8">
        <v>10.0</v>
      </c>
      <c r="HD19" s="8">
        <v>100000.0</v>
      </c>
      <c r="HE19" s="8">
        <v>3.0</v>
      </c>
      <c r="HF19" s="8">
        <v>25000.0</v>
      </c>
      <c r="HG19" s="8">
        <v>3.0</v>
      </c>
      <c r="HH19" s="8">
        <v>25000.0</v>
      </c>
      <c r="HI19" s="9"/>
      <c r="HJ19" s="9"/>
      <c r="HK19" s="9"/>
      <c r="HL19" s="9"/>
      <c r="HM19" s="9"/>
      <c r="HN19" s="9"/>
      <c r="HO19" s="9"/>
      <c r="HP19" s="9"/>
      <c r="HQ19" s="9"/>
      <c r="HR19" s="9"/>
      <c r="HS19" s="9"/>
      <c r="HT19" s="9"/>
      <c r="HU19" s="9"/>
      <c r="HV19" s="9"/>
      <c r="HW19" s="9"/>
      <c r="HX19" s="9"/>
      <c r="HY19" s="8">
        <v>100.0</v>
      </c>
      <c r="HZ19" s="8">
        <v>100000.0</v>
      </c>
      <c r="IA19" s="8">
        <v>6.0</v>
      </c>
      <c r="IB19" s="8">
        <v>50000.0</v>
      </c>
      <c r="IC19" s="9"/>
      <c r="ID19" s="9"/>
      <c r="IE19" s="9"/>
      <c r="IF19" s="9"/>
      <c r="IG19" s="9"/>
      <c r="IH19" s="9"/>
      <c r="II19" s="9"/>
      <c r="IJ19" s="9"/>
      <c r="IK19" s="9" t="s">
        <v>879</v>
      </c>
      <c r="IL19" s="9" t="s">
        <v>880</v>
      </c>
      <c r="IM19" s="9" t="s">
        <v>857</v>
      </c>
      <c r="IN19" s="9" t="s">
        <v>881</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886</v>
      </c>
      <c r="KU19" s="9" t="s">
        <v>886</v>
      </c>
      <c r="KV19" s="9" t="s">
        <v>999</v>
      </c>
      <c r="KW19" s="8">
        <v>0.0</v>
      </c>
      <c r="KX19" s="8">
        <v>0.0</v>
      </c>
      <c r="KY19" s="8">
        <v>0.0</v>
      </c>
      <c r="KZ19" s="8">
        <v>1.0</v>
      </c>
      <c r="LA19" s="9" t="s">
        <v>884</v>
      </c>
      <c r="LB19" s="9" t="s">
        <v>884</v>
      </c>
      <c r="LC19" s="8">
        <v>0.0</v>
      </c>
      <c r="LD19" s="8">
        <v>3.0</v>
      </c>
      <c r="LE19" s="8">
        <v>0.0</v>
      </c>
      <c r="LF19" s="8">
        <v>0.0</v>
      </c>
      <c r="LG19" s="9" t="s">
        <v>857</v>
      </c>
      <c r="LH19" s="8">
        <v>100000.0</v>
      </c>
      <c r="LI19" s="9"/>
      <c r="LJ19" s="9" t="s">
        <v>887</v>
      </c>
      <c r="LK19" s="8">
        <v>0.0</v>
      </c>
      <c r="LL19" s="8">
        <v>0.0</v>
      </c>
      <c r="LM19" s="8">
        <v>0.0</v>
      </c>
      <c r="LN19" s="8">
        <v>0.0</v>
      </c>
      <c r="LO19" s="8">
        <v>1.0</v>
      </c>
      <c r="LP19" s="8">
        <v>0.0</v>
      </c>
      <c r="LQ19" s="8">
        <v>0.0</v>
      </c>
      <c r="LR19" s="9"/>
      <c r="LS19" s="8">
        <v>10.0</v>
      </c>
      <c r="LT19" s="8">
        <v>10.0</v>
      </c>
      <c r="LU19" s="8">
        <v>0.0</v>
      </c>
      <c r="LV19" s="8">
        <v>5.0</v>
      </c>
      <c r="LW19" s="8">
        <v>5.0</v>
      </c>
      <c r="LX19" s="8">
        <v>0.0</v>
      </c>
      <c r="LY19" s="8">
        <v>5.0</v>
      </c>
      <c r="LZ19" s="8">
        <v>5.0</v>
      </c>
      <c r="MA19" s="8">
        <v>0.0</v>
      </c>
      <c r="MB19" s="9" t="s">
        <v>857</v>
      </c>
      <c r="MC19" s="8">
        <v>30.0</v>
      </c>
      <c r="MD19" s="8">
        <v>15.0</v>
      </c>
      <c r="ME19" s="8">
        <v>15.0</v>
      </c>
      <c r="MF19" s="8">
        <v>0.0</v>
      </c>
      <c r="MG19" s="8">
        <v>0.0</v>
      </c>
      <c r="MH19" s="8">
        <v>0.0</v>
      </c>
      <c r="MI19" s="9" t="s">
        <v>946</v>
      </c>
      <c r="MJ19" s="8">
        <v>0.0</v>
      </c>
      <c r="MK19" s="8">
        <v>0.0</v>
      </c>
      <c r="ML19" s="8">
        <v>1.0</v>
      </c>
      <c r="MM19" s="8">
        <v>0.0</v>
      </c>
      <c r="MN19" s="8">
        <v>0.0</v>
      </c>
      <c r="MO19" s="8">
        <v>0.0</v>
      </c>
      <c r="MP19" s="9"/>
      <c r="MQ19" s="9"/>
      <c r="MR19" s="9" t="s">
        <v>1181</v>
      </c>
      <c r="MS19" s="9"/>
      <c r="MT19" s="9" t="s">
        <v>1182</v>
      </c>
      <c r="MU19" s="9" t="s">
        <v>881</v>
      </c>
      <c r="MV19" s="9"/>
      <c r="MW19" s="9"/>
      <c r="MX19" s="9"/>
      <c r="MY19" s="9"/>
      <c r="MZ19" s="9"/>
      <c r="NA19" s="9"/>
      <c r="NB19" s="9"/>
      <c r="NC19" s="9"/>
      <c r="ND19" s="9"/>
      <c r="NE19" s="9"/>
      <c r="NF19" s="9"/>
      <c r="NG19" s="9"/>
      <c r="NH19" s="9"/>
      <c r="NI19" s="9"/>
      <c r="NJ19" s="9"/>
      <c r="NK19" s="9"/>
      <c r="NL19" s="9" t="s">
        <v>881</v>
      </c>
      <c r="NM19" s="9" t="s">
        <v>893</v>
      </c>
      <c r="NN19" s="9" t="s">
        <v>993</v>
      </c>
      <c r="NO19" s="9" t="s">
        <v>994</v>
      </c>
      <c r="NP19" s="9"/>
      <c r="NQ19" s="9"/>
      <c r="NR19" s="9"/>
      <c r="NS19" s="9"/>
      <c r="NT19" s="9"/>
      <c r="NU19" s="9"/>
      <c r="NV19" s="9" t="s">
        <v>896</v>
      </c>
      <c r="NW19" s="9"/>
      <c r="NX19" s="9" t="s">
        <v>1183</v>
      </c>
      <c r="NY19" s="8">
        <v>40.0</v>
      </c>
      <c r="NZ19" s="8">
        <v>20.0</v>
      </c>
      <c r="OA19" s="8">
        <v>15.0</v>
      </c>
      <c r="OB19" s="8">
        <v>5.0</v>
      </c>
      <c r="OC19" s="8">
        <v>5.0</v>
      </c>
      <c r="OD19" s="8">
        <v>5.0</v>
      </c>
      <c r="OE19" s="9" t="s">
        <v>1180</v>
      </c>
      <c r="OF19" s="9" t="s">
        <v>1184</v>
      </c>
      <c r="OG19" s="9" t="s">
        <v>857</v>
      </c>
      <c r="OH19" s="8">
        <v>0.0</v>
      </c>
      <c r="OI19" s="8">
        <v>4.0</v>
      </c>
      <c r="OJ19" s="8">
        <v>0.0</v>
      </c>
      <c r="OK19" s="8">
        <v>0.0</v>
      </c>
      <c r="OL19" s="8">
        <v>0.0</v>
      </c>
      <c r="OM19" s="8">
        <v>0.0</v>
      </c>
      <c r="ON19" s="8">
        <v>0.0</v>
      </c>
      <c r="OO19" s="8">
        <v>0.0</v>
      </c>
      <c r="OP19" s="9" t="str">
        <f>VLOOKUP(AG19,'BUS 2'!$G$1:$CU$424,2,0)</f>
        <v>Sapi perah</v>
      </c>
      <c r="OQ19" s="8">
        <f>VLOOKUP(AG19,'BUS 2'!$G$1:$CU$424,3,0)</f>
        <v>0</v>
      </c>
      <c r="OR19" s="8">
        <f>VLOOKUP(AG19,'BUS 2'!$G$1:$CU$424,4,0)</f>
        <v>1</v>
      </c>
      <c r="OS19" s="8">
        <f>VLOOKUP(AG19,'BUS 2'!$G$1:$CU$424,5,0)</f>
        <v>0</v>
      </c>
      <c r="OT19" s="8">
        <f>VLOOKUP(AG19,'BUS 2'!$G$1:$CU$424,6,0)</f>
        <v>0</v>
      </c>
      <c r="OU19" s="8">
        <f>VLOOKUP(AG19,'BUS 2'!$G$1:$CU$424,7,0)</f>
        <v>0</v>
      </c>
      <c r="OV19" s="8">
        <f>VLOOKUP(AG19,'BUS 2'!$G$1:$CU$424,8,0)</f>
        <v>0</v>
      </c>
      <c r="OW19" s="8">
        <f>VLOOKUP(AG19,'BUS 2'!$G$1:$CU$424,9,0)</f>
        <v>0</v>
      </c>
      <c r="OX19" s="8">
        <f>VLOOKUP(AG19,'BUS 2'!$G$1:$CU$424,10,0)</f>
        <v>0</v>
      </c>
      <c r="OY19" s="8">
        <f>VLOOKUP(AG19,'BUS 2'!$G$1:$CU$424,11,0)</f>
        <v>0</v>
      </c>
      <c r="OZ19" s="8" t="str">
        <f>VLOOKUP(AG19,'BUS 2'!$G$1:$CU$424,12,0)</f>
        <v>Sapi perah</v>
      </c>
      <c r="PA19" s="8">
        <f>VLOOKUP(AG19,'BUS 2'!$G$1:$CU$424,13,0)</f>
        <v>0</v>
      </c>
      <c r="PB19" s="8">
        <f>VLOOKUP(AG19,'BUS 2'!$G$1:$CU$424,14,0)</f>
        <v>1</v>
      </c>
      <c r="PC19" s="8">
        <f>VLOOKUP(AG19,'BUS 2'!$G$1:$CU$424,15,0)</f>
        <v>0</v>
      </c>
      <c r="PD19" s="8">
        <f>VLOOKUP(AG19,'BUS 2'!$G$1:$CU$424,16,0)</f>
        <v>0</v>
      </c>
      <c r="PE19" s="8">
        <f>VLOOKUP(AG19,'BUS 2'!$G$1:$CU$424,17,0)</f>
        <v>0</v>
      </c>
      <c r="PF19" s="8">
        <f>VLOOKUP(AG19,'BUS 2'!$G$1:$CU$424,18,0)</f>
        <v>0</v>
      </c>
      <c r="PG19" s="8">
        <f>VLOOKUP(AG19,'BUS 2'!$G$1:$CU$424,19,0)</f>
        <v>0</v>
      </c>
      <c r="PH19" s="8">
        <f>VLOOKUP(AG19,'BUS 2'!$G$1:$CU$424,20,0)</f>
        <v>0</v>
      </c>
      <c r="PI19" s="8">
        <f>VLOOKUP(AG19,'BUS 2'!$G$1:$CU$424,21,0)</f>
        <v>0</v>
      </c>
      <c r="PJ19" s="8" t="str">
        <f>VLOOKUP(AG19,'BUS 2'!$G$1:$CU$424,22,0)</f>
        <v>Tidak ada</v>
      </c>
      <c r="PK19" s="8">
        <f>VLOOKUP(AG19,'BUS 2'!$G$1:$CU$424,23,0)</f>
        <v>0</v>
      </c>
      <c r="PL19" s="8">
        <f>VLOOKUP(AG19,'BUS 2'!$G$1:$CU$424,24,0)</f>
        <v>0</v>
      </c>
      <c r="PM19" s="8">
        <f>VLOOKUP(AG19,'BUS 2'!$G$1:$CU$424,25,0)</f>
        <v>0</v>
      </c>
      <c r="PN19" s="8">
        <f>VLOOKUP(AG19,'BUS 2'!$G$1:$CU$424,26,0)</f>
        <v>0</v>
      </c>
      <c r="PO19" s="8">
        <f>VLOOKUP(AG19,'BUS 2'!$G$1:$CU$424,27,0)</f>
        <v>0</v>
      </c>
      <c r="PP19" s="8">
        <f>VLOOKUP(AG19,'BUS 2'!$G$1:$CU$424,28,0)</f>
        <v>0</v>
      </c>
      <c r="PQ19" s="8">
        <f>VLOOKUP(AG19,'BUS 2'!$G$1:$CU$424,29,0)</f>
        <v>0</v>
      </c>
      <c r="PR19" s="8">
        <f>VLOOKUP(AG19,'BUS 2'!$G$1:$CU$424,30,0)</f>
        <v>0</v>
      </c>
      <c r="PS19" s="8">
        <f>VLOOKUP(AG19,'BUS 2'!$G$1:$CU$424,31,0)</f>
        <v>1</v>
      </c>
      <c r="PT19" s="9"/>
      <c r="PU19" s="9"/>
      <c r="PV19" s="9"/>
      <c r="PW19" s="9"/>
      <c r="PX19" s="9"/>
      <c r="PY19" s="9"/>
      <c r="PZ19" s="9"/>
      <c r="QA19" s="9"/>
      <c r="QB19" s="9"/>
      <c r="QC19" s="9"/>
      <c r="QD19" s="9"/>
      <c r="QE19" s="9" t="s">
        <v>900</v>
      </c>
      <c r="QF19" s="8">
        <v>0.0</v>
      </c>
      <c r="QG19" s="8">
        <v>0.0</v>
      </c>
      <c r="QH19" s="8">
        <v>0.0</v>
      </c>
      <c r="QI19" s="8">
        <v>0.0</v>
      </c>
      <c r="QJ19" s="8">
        <v>0.0</v>
      </c>
      <c r="QK19" s="8">
        <v>1.0</v>
      </c>
      <c r="QL19" s="8">
        <v>0.0</v>
      </c>
      <c r="QM19" s="8">
        <v>0.0</v>
      </c>
      <c r="QN19" s="8">
        <v>0.0</v>
      </c>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8" t="str">
        <f>VLOOKUP(AG19,'BUS 2'!$G$1:$CU$424,33,0)</f>
        <v/>
      </c>
      <c r="SZ19" s="9">
        <f>VLOOKUP(AG19,'BUS 2'!$G$1:$CU$424,34,0)</f>
        <v>4</v>
      </c>
      <c r="TA19" s="9" t="str">
        <f>VLOOKUP(AG19,'BUS 2'!$G$1:$CU$424,35,0)</f>
        <v/>
      </c>
      <c r="TB19" s="9" t="str">
        <f>VLOOKUP(AG19,'BUS 2'!$G$1:$CU$424,36,0)</f>
        <v/>
      </c>
      <c r="TC19" s="9" t="str">
        <f>VLOOKUP(AG19,'BUS 2'!$G$1:$CU$424,37,0)</f>
        <v/>
      </c>
      <c r="TD19" s="9" t="str">
        <f>VLOOKUP(AG19,'BUS 2'!$G$1:$CU$424,38,0)</f>
        <v/>
      </c>
      <c r="TE19" s="9" t="str">
        <f>VLOOKUP(AG19,'BUS 2'!$G$1:$CU$424,39,0)</f>
        <v/>
      </c>
      <c r="TF19" s="9" t="str">
        <f>VLOOKUP(AG19,'BUS 2'!$G$1:$CU$424,40,0)</f>
        <v/>
      </c>
      <c r="TG19" s="8" t="str">
        <f>VLOOKUP(AG19,'BUS 2'!$G$1:$CU$424,42,0)</f>
        <v/>
      </c>
      <c r="TH19" s="8">
        <f>VLOOKUP(AG19,'BUS 2'!$G$1:$CU$424,43,0)</f>
        <v>4</v>
      </c>
      <c r="TI19" s="8" t="str">
        <f>VLOOKUP(AG19,'BUS 2'!$G$1:$CU$424,44,0)</f>
        <v/>
      </c>
      <c r="TJ19" s="8" t="str">
        <f>VLOOKUP(AG19,'BUS 2'!$G$1:$CU$424,45,0)</f>
        <v/>
      </c>
      <c r="TK19" s="8" t="str">
        <f>VLOOKUP(AG19,'BUS 2'!$G$1:$CU$424,46,0)</f>
        <v/>
      </c>
      <c r="TL19" s="8" t="str">
        <f>VLOOKUP(AG19,'BUS 2'!$G$1:$CU$424,47,0)</f>
        <v/>
      </c>
      <c r="TM19" s="8" t="str">
        <f>VLOOKUP(AG19,'BUS 2'!$G$1:$CU$424,48,0)</f>
        <v/>
      </c>
      <c r="TN19" s="8" t="str">
        <f>VLOOKUP(AG19,'BUS 2'!$G$1:$CU$424,49,0)</f>
        <v/>
      </c>
      <c r="TO19" s="8" t="str">
        <f>VLOOKUP(AG19,'BUS 2'!$G$1:$CU$424,50,0)</f>
        <v/>
      </c>
      <c r="TP19" s="8" t="str">
        <f>VLOOKUP(AG19,'BUS 2'!$G$1:$CU$424,51,0)</f>
        <v/>
      </c>
      <c r="TQ19" s="8" t="str">
        <f>VLOOKUP(AG19,'BUS 2'!$G$1:$CU$424,52,0)</f>
        <v/>
      </c>
      <c r="TR19" s="8" t="str">
        <f>VLOOKUP(AG19,'BUS 2'!$G$1:$CU$424,53,0)</f>
        <v/>
      </c>
      <c r="TS19" s="9" t="str">
        <f>VLOOKUP(AG19,'BUS 2'!$G$1:$CU$424,54,0)</f>
        <v/>
      </c>
      <c r="TT19" s="9" t="str">
        <f>VLOOKUP(AG19,'BUS 2'!$G$1:$CU$424,55,0)</f>
        <v/>
      </c>
      <c r="TU19" s="9" t="str">
        <f>VLOOKUP(AG19,'BUS 2'!$G$1:$CU$424,56,0)</f>
        <v/>
      </c>
      <c r="TV19" s="9" t="str">
        <f>VLOOKUP(AG19,'BUS 2'!$G$1:$CU$424,57,0)</f>
        <v/>
      </c>
      <c r="TW19" s="9" t="str">
        <f>VLOOKUP(AG19,'BUS 2'!$G$1:$CU$424,58,0)</f>
        <v/>
      </c>
      <c r="TX19" s="9" t="str">
        <f>VLOOKUP(AG19,'BUS 2'!$G$1:$CU$424,59,0)</f>
        <v/>
      </c>
      <c r="TY19" s="9" t="str">
        <f>VLOOKUP(AG19,'BUS 2'!$G$1:$CU$424,60,0)</f>
        <v/>
      </c>
      <c r="TZ19" s="9" t="str">
        <f>VLOOKUP(AG19,'BUS 2'!$G$1:$CU$424,61,0)</f>
        <v/>
      </c>
      <c r="UA19" s="9" t="str">
        <f>VLOOKUP(AG19,'BUS 2'!$G$1:$CU$424,62,0)</f>
        <v/>
      </c>
      <c r="UB19" s="9" t="str">
        <f>VLOOKUP(AG19,'BUS 2'!$G$1:$CU$424,63,0)</f>
        <v/>
      </c>
      <c r="UC19" s="9" t="str">
        <f>VLOOKUP(AG19,'BUS 2'!$G$1:$CU$424,64,0)</f>
        <v/>
      </c>
      <c r="UD19" s="9" t="str">
        <f>VLOOKUP(AG19,'BUS 2'!$G$1:$CU$424,65,0)</f>
        <v/>
      </c>
      <c r="UE19" s="9" t="str">
        <f>VLOOKUP(AG19,'BUS 2'!$G$1:$CU$424,66,0)</f>
        <v/>
      </c>
      <c r="UF19" s="9" t="str">
        <f>VLOOKUP(AG19,'BUS 2'!$G$1:$CU$424,67,0)</f>
        <v/>
      </c>
      <c r="UG19" s="9" t="str">
        <f>VLOOKUP(AG19,'BUS 2'!$G$1:$CU$424,68,0)</f>
        <v/>
      </c>
      <c r="UH19" s="9" t="str">
        <f>VLOOKUP(AG19,'BUS 2'!$G$1:$CU$424,69,0)</f>
        <v/>
      </c>
      <c r="UI19" s="9" t="str">
        <f>VLOOKUP(AG19,'BUS 2'!$G$1:$CU$424,70,0)</f>
        <v/>
      </c>
      <c r="UJ19" s="9" t="str">
        <f>VLOOKUP(AG19,'BUS 2'!$G$1:$CU$424,71,0)</f>
        <v/>
      </c>
      <c r="UK19" s="9" t="str">
        <f>VLOOKUP(AG19,'BUS 2'!$G$1:$CU$424,72,0)</f>
        <v/>
      </c>
      <c r="UL19" s="9" t="str">
        <f>VLOOKUP(AG19,'BUS 2'!$G$1:$CU$424,73,0)</f>
        <v/>
      </c>
      <c r="UM19" s="9" t="str">
        <f>VLOOKUP(AG19,'BUS 2'!$G$1:$CU$424,74,0)</f>
        <v/>
      </c>
      <c r="UN19" s="9" t="str">
        <f>VLOOKUP(AG19,'BUS 2'!$G$1:$CU$424,75,0)</f>
        <v/>
      </c>
      <c r="UO19" s="9" t="str">
        <f>VLOOKUP(AG19,'BUS 2'!$G$1:$CU$424,76,0)</f>
        <v/>
      </c>
      <c r="UP19" s="9" t="str">
        <f>VLOOKUP(AG19,'BUS 2'!$G$1:$CU$424,77,0)</f>
        <v/>
      </c>
      <c r="UQ19" s="9" t="str">
        <f>VLOOKUP(AG19,'BUS 2'!$G$1:$CU$424,78,0)</f>
        <v/>
      </c>
      <c r="UR19" s="9" t="str">
        <f>VLOOKUP(AG19,'BUS 2'!$G$1:$CU$424,79,0)</f>
        <v/>
      </c>
      <c r="US19" s="9" t="str">
        <f>VLOOKUP(AG19,'BUS 2'!$G$1:$CU$424,80,0)</f>
        <v/>
      </c>
      <c r="UT19" s="9" t="str">
        <f>VLOOKUP(AG19,'BUS 2'!$G$1:$CU$424,81,0)</f>
        <v/>
      </c>
      <c r="UU19" s="9"/>
      <c r="UV19" s="9" t="s">
        <v>901</v>
      </c>
      <c r="UW19" s="9"/>
      <c r="UX19" s="9"/>
      <c r="UY19" s="9"/>
      <c r="UZ19" s="9"/>
      <c r="VA19" s="9"/>
      <c r="VB19" s="9"/>
      <c r="VC19" s="9"/>
      <c r="VD19" s="9" t="s">
        <v>950</v>
      </c>
      <c r="VE19" s="9"/>
      <c r="VF19" s="9"/>
      <c r="VG19" s="9"/>
      <c r="VH19" s="9"/>
      <c r="VI19" s="9"/>
      <c r="VJ19" s="9"/>
      <c r="VK19" s="9"/>
      <c r="VL19" s="9" t="s">
        <v>1158</v>
      </c>
      <c r="VM19" s="9"/>
      <c r="VN19" s="9"/>
      <c r="VO19" s="9"/>
      <c r="VP19" s="9"/>
      <c r="VQ19" s="9"/>
      <c r="VR19" s="9"/>
      <c r="VS19" s="9"/>
      <c r="VT19" s="9"/>
      <c r="VU19" s="9"/>
      <c r="VV19" s="9"/>
      <c r="VW19" s="9"/>
      <c r="VX19" s="9"/>
      <c r="VY19" s="9"/>
      <c r="VZ19" s="9"/>
      <c r="WA19" s="9"/>
      <c r="WB19" s="9"/>
      <c r="WC19" s="9"/>
      <c r="WD19" s="9"/>
      <c r="WE19" s="9"/>
      <c r="WF19" s="9" t="s">
        <v>1185</v>
      </c>
      <c r="WG19" s="8">
        <v>0.0</v>
      </c>
      <c r="WH19" s="8">
        <v>0.0</v>
      </c>
      <c r="WI19" s="8">
        <v>1.0</v>
      </c>
      <c r="WJ19" s="8">
        <v>0.0</v>
      </c>
      <c r="WK19" s="8">
        <v>0.0</v>
      </c>
      <c r="WL19" s="8">
        <v>1.0</v>
      </c>
      <c r="WM19" s="8">
        <v>0.0</v>
      </c>
      <c r="WN19" s="8">
        <v>0.0</v>
      </c>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8">
        <v>60.0</v>
      </c>
      <c r="ZP19" s="9"/>
      <c r="ZQ19" s="9"/>
      <c r="ZR19" s="9"/>
      <c r="ZS19" s="9"/>
      <c r="ZT19" s="9"/>
      <c r="ZU19" s="9"/>
      <c r="ZV19" s="9"/>
      <c r="ZW19" s="8">
        <v>2.0</v>
      </c>
      <c r="ZX19" s="9"/>
      <c r="ZY19" s="9"/>
      <c r="ZZ19" s="9"/>
      <c r="AAA19" s="9"/>
      <c r="AAB19" s="9"/>
      <c r="AAC19" s="9"/>
      <c r="AAD19" s="9"/>
      <c r="AAE19" s="9" t="s">
        <v>1186</v>
      </c>
      <c r="AAF19" s="9"/>
      <c r="AAG19" s="9"/>
      <c r="AAH19" s="9"/>
      <c r="AAI19" s="9"/>
      <c r="AAJ19" s="9"/>
      <c r="AAK19" s="9"/>
      <c r="AAL19" s="9" t="s">
        <v>857</v>
      </c>
      <c r="AAM19" s="9" t="s">
        <v>1033</v>
      </c>
      <c r="AAN19" s="8">
        <v>1.0</v>
      </c>
      <c r="AAO19" s="8">
        <v>1.0</v>
      </c>
      <c r="AAP19" s="8">
        <v>60.0</v>
      </c>
      <c r="AAQ19" s="8">
        <v>60.0</v>
      </c>
      <c r="AAR19" s="9" t="s">
        <v>857</v>
      </c>
      <c r="AAS19" s="9" t="s">
        <v>867</v>
      </c>
      <c r="AAT19" s="9" t="s">
        <v>995</v>
      </c>
      <c r="AAU19" s="8">
        <v>1.0</v>
      </c>
      <c r="AAV19" s="8">
        <v>0.0</v>
      </c>
      <c r="AAW19" s="8">
        <v>0.0</v>
      </c>
      <c r="AAX19" s="8">
        <v>0.0</v>
      </c>
      <c r="AAY19" s="8">
        <v>1.0</v>
      </c>
      <c r="AAZ19" s="8">
        <v>0.0</v>
      </c>
      <c r="ABA19" s="8">
        <v>0.0</v>
      </c>
      <c r="ABB19" s="9" t="s">
        <v>907</v>
      </c>
      <c r="ABC19" s="8">
        <v>1.0</v>
      </c>
      <c r="ABD19" s="8">
        <v>0.0</v>
      </c>
      <c r="ABE19" s="8">
        <v>0.0</v>
      </c>
      <c r="ABF19" s="8">
        <v>0.0</v>
      </c>
      <c r="ABG19" s="8">
        <v>0.0</v>
      </c>
      <c r="ABH19" s="9"/>
      <c r="ABI19" s="9"/>
      <c r="ABJ19" s="9"/>
      <c r="ABK19" s="9"/>
      <c r="ABL19" s="9"/>
      <c r="ABM19" s="9"/>
      <c r="ABN19" s="9"/>
      <c r="ABO19" s="9"/>
      <c r="ABP19" s="9"/>
      <c r="ABQ19" s="11" t="s">
        <v>953</v>
      </c>
      <c r="ABR19" s="9" t="s">
        <v>1075</v>
      </c>
      <c r="ABS19" s="8">
        <v>2000.0</v>
      </c>
      <c r="ABT19" s="9"/>
      <c r="ABU19" s="8">
        <v>100.0</v>
      </c>
      <c r="ABV19" s="8">
        <v>100.0</v>
      </c>
      <c r="ABW19" s="9" t="s">
        <v>910</v>
      </c>
      <c r="ABX19" s="9"/>
      <c r="ABY19" s="8">
        <v>40.0</v>
      </c>
      <c r="ABZ19" s="8">
        <v>4000.0</v>
      </c>
      <c r="ACA19" s="8">
        <v>15.0</v>
      </c>
      <c r="ACB19" s="8">
        <v>4000.0</v>
      </c>
      <c r="ACC19" s="8">
        <v>400.0</v>
      </c>
      <c r="ACD19" s="8">
        <v>600.0</v>
      </c>
      <c r="ACE19" s="9" t="s">
        <v>857</v>
      </c>
      <c r="ACF19" s="9" t="s">
        <v>911</v>
      </c>
      <c r="ACG19" s="9" t="s">
        <v>911</v>
      </c>
      <c r="ACH19" s="9" t="s">
        <v>911</v>
      </c>
      <c r="ACI19" s="9"/>
      <c r="ACJ19" s="9"/>
      <c r="ACK19" s="9" t="s">
        <v>976</v>
      </c>
      <c r="ACL19" s="8">
        <v>0.0</v>
      </c>
      <c r="ACM19" s="8">
        <v>0.0</v>
      </c>
      <c r="ACN19" s="8">
        <v>1.0</v>
      </c>
      <c r="ACO19" s="8">
        <v>1.0</v>
      </c>
      <c r="ACP19" s="8">
        <v>0.0</v>
      </c>
      <c r="ACQ19" s="8">
        <v>0.0</v>
      </c>
      <c r="ACR19" s="8">
        <v>0.0</v>
      </c>
      <c r="ACS19" s="9"/>
      <c r="ACT19" s="9" t="s">
        <v>912</v>
      </c>
      <c r="ACU19" s="9" t="s">
        <v>1050</v>
      </c>
      <c r="ACV19" s="9" t="s">
        <v>957</v>
      </c>
      <c r="ACW19" s="9" t="s">
        <v>915</v>
      </c>
      <c r="ACX19" s="9" t="s">
        <v>916</v>
      </c>
      <c r="ACY19" s="9" t="s">
        <v>1017</v>
      </c>
      <c r="ACZ19" s="8">
        <v>1.0</v>
      </c>
      <c r="ADA19" s="8">
        <v>1.0</v>
      </c>
      <c r="ADB19" s="8">
        <v>1.0</v>
      </c>
      <c r="ADC19" s="8">
        <v>0.0</v>
      </c>
      <c r="ADD19" s="9" t="s">
        <v>917</v>
      </c>
      <c r="ADE19" s="9" t="s">
        <v>917</v>
      </c>
      <c r="ADF19" s="9" t="s">
        <v>917</v>
      </c>
      <c r="ADG19" s="9" t="s">
        <v>1187</v>
      </c>
      <c r="ADH19" s="9" t="s">
        <v>881</v>
      </c>
      <c r="ADI19" s="9"/>
      <c r="ADJ19" s="9" t="s">
        <v>1187</v>
      </c>
      <c r="ADK19" s="9"/>
      <c r="ADL19" s="9"/>
      <c r="ADM19" s="9"/>
      <c r="ADN19" s="9"/>
      <c r="ADO19" s="9"/>
      <c r="ADP19" s="9"/>
      <c r="ADQ19" s="9"/>
      <c r="ADR19" s="9"/>
      <c r="ADS19" s="9"/>
      <c r="ADT19" s="9"/>
      <c r="ADU19" s="9" t="s">
        <v>919</v>
      </c>
      <c r="ADV19" s="8">
        <v>0.0</v>
      </c>
      <c r="ADW19" s="8">
        <v>0.0</v>
      </c>
      <c r="ADX19" s="8">
        <v>0.0</v>
      </c>
      <c r="ADY19" s="8">
        <v>0.0</v>
      </c>
      <c r="ADZ19" s="8">
        <v>1.0</v>
      </c>
      <c r="AEA19" s="8">
        <v>0.0</v>
      </c>
      <c r="AEB19" s="8">
        <v>0.0</v>
      </c>
      <c r="AEC19" s="8">
        <v>0.0</v>
      </c>
      <c r="AED19" s="12"/>
      <c r="AEE19" s="17" t="s">
        <v>872</v>
      </c>
      <c r="AEF19" s="9"/>
      <c r="AEG19" s="17" t="s">
        <v>920</v>
      </c>
      <c r="AEH19" s="9"/>
      <c r="AEI19" s="11" t="s">
        <v>999</v>
      </c>
      <c r="AEJ19" s="9" t="s">
        <v>871</v>
      </c>
      <c r="AEK19" s="17" t="s">
        <v>1108</v>
      </c>
      <c r="AEL19" s="18">
        <v>1.0</v>
      </c>
      <c r="AEM19" s="18">
        <v>1.0</v>
      </c>
      <c r="AEN19" s="18">
        <v>1.0</v>
      </c>
      <c r="AEO19" s="18">
        <v>1.0</v>
      </c>
      <c r="AEP19" s="18">
        <v>1.0</v>
      </c>
      <c r="AEQ19" s="18">
        <v>1.0</v>
      </c>
      <c r="AER19" s="18">
        <v>1.0</v>
      </c>
      <c r="AES19" s="18">
        <v>1.0</v>
      </c>
      <c r="AET19" s="18">
        <v>1.0</v>
      </c>
      <c r="AEU19" s="18">
        <v>0.0</v>
      </c>
      <c r="AEV19" s="18">
        <v>0.0</v>
      </c>
      <c r="AEW19" s="18">
        <v>0.0</v>
      </c>
      <c r="AEX19" s="9"/>
      <c r="AEY19" s="9" t="s">
        <v>923</v>
      </c>
      <c r="AEZ19" s="9"/>
      <c r="AFA19" s="9" t="s">
        <v>1188</v>
      </c>
      <c r="AFB19" s="9"/>
      <c r="AFC19" s="9" t="s">
        <v>1189</v>
      </c>
      <c r="AFD19" s="16" t="s">
        <v>1190</v>
      </c>
      <c r="AFE19" s="9" t="s">
        <v>1191</v>
      </c>
      <c r="AFF19" s="16" t="s">
        <v>1192</v>
      </c>
      <c r="AFG19" s="9" t="s">
        <v>1193</v>
      </c>
      <c r="AFH19" s="9"/>
      <c r="AFI19" s="9"/>
    </row>
    <row r="20">
      <c r="A20" s="22">
        <v>46059.0</v>
      </c>
      <c r="B20" s="22">
        <v>46059.0</v>
      </c>
      <c r="C20" s="23" t="s">
        <v>837</v>
      </c>
      <c r="D20" s="23" t="s">
        <v>1194</v>
      </c>
      <c r="E20" s="24">
        <v>6.282143382909E12</v>
      </c>
      <c r="F20" s="14"/>
      <c r="G20" s="24">
        <v>-7.21524099</v>
      </c>
      <c r="H20" s="24">
        <v>110.2641442</v>
      </c>
      <c r="I20" s="14"/>
      <c r="J20" s="24">
        <v>2.38</v>
      </c>
      <c r="K20" s="14"/>
      <c r="L20" s="14"/>
      <c r="M20" s="24">
        <v>-7.21529362</v>
      </c>
      <c r="N20" s="24">
        <v>110.2640822</v>
      </c>
      <c r="O20" s="14"/>
      <c r="P20" s="24">
        <v>4.98</v>
      </c>
      <c r="Q20" s="14"/>
      <c r="R20" s="14" t="s">
        <v>839</v>
      </c>
      <c r="S20" s="14"/>
      <c r="T20" s="14"/>
      <c r="U20" s="14"/>
      <c r="V20" s="14"/>
      <c r="W20" s="14"/>
      <c r="X20" s="14"/>
      <c r="Y20" s="14"/>
      <c r="Z20" s="14"/>
      <c r="AA20" s="14"/>
      <c r="AB20" s="14"/>
      <c r="AC20" s="23" t="s">
        <v>1175</v>
      </c>
      <c r="AD20" s="23" t="s">
        <v>1176</v>
      </c>
      <c r="AE20" s="23" t="s">
        <v>1195</v>
      </c>
      <c r="AF20" s="14" t="s">
        <v>1178</v>
      </c>
      <c r="AG20" s="23" t="s">
        <v>1196</v>
      </c>
      <c r="AH20" s="24">
        <v>2.0</v>
      </c>
      <c r="AI20" s="14" t="s">
        <v>845</v>
      </c>
      <c r="AJ20" s="14" t="s">
        <v>846</v>
      </c>
      <c r="AK20" s="24">
        <v>56.0</v>
      </c>
      <c r="AL20" s="14" t="s">
        <v>847</v>
      </c>
      <c r="AM20" s="14" t="s">
        <v>848</v>
      </c>
      <c r="AN20" s="14" t="s">
        <v>849</v>
      </c>
      <c r="AO20" s="9" t="s">
        <v>850</v>
      </c>
      <c r="AP20" s="24">
        <v>1.0</v>
      </c>
      <c r="AQ20" s="24">
        <v>0.0</v>
      </c>
      <c r="AR20" s="24">
        <v>0.0</v>
      </c>
      <c r="AS20" s="24">
        <v>0.0</v>
      </c>
      <c r="AT20" s="24">
        <v>0.0</v>
      </c>
      <c r="AU20" s="24">
        <v>0.0</v>
      </c>
      <c r="AV20" s="24">
        <v>0.0</v>
      </c>
      <c r="AW20" s="24">
        <v>0.0</v>
      </c>
      <c r="AX20" s="14"/>
      <c r="AY20" s="14" t="s">
        <v>935</v>
      </c>
      <c r="AZ20" s="24">
        <v>0.0</v>
      </c>
      <c r="BA20" s="24">
        <v>1.0</v>
      </c>
      <c r="BB20" s="24">
        <v>0.0</v>
      </c>
      <c r="BC20" s="24">
        <v>0.0</v>
      </c>
      <c r="BD20" s="24">
        <v>0.0</v>
      </c>
      <c r="BE20" s="24">
        <v>0.0</v>
      </c>
      <c r="BF20" s="24">
        <v>0.0</v>
      </c>
      <c r="BG20" s="24">
        <v>0.0</v>
      </c>
      <c r="BH20" s="14"/>
      <c r="BI20" s="14" t="s">
        <v>852</v>
      </c>
      <c r="BJ20" s="24">
        <v>1.0</v>
      </c>
      <c r="BK20" s="24">
        <v>3.0</v>
      </c>
      <c r="BL20" s="24">
        <v>0.0</v>
      </c>
      <c r="BM20" s="24">
        <v>0.0</v>
      </c>
      <c r="BN20" s="14" t="s">
        <v>853</v>
      </c>
      <c r="BO20" s="14" t="s">
        <v>854</v>
      </c>
      <c r="BP20" s="24">
        <v>1.0</v>
      </c>
      <c r="BQ20" s="24">
        <v>0.0</v>
      </c>
      <c r="BR20" s="24">
        <v>0.0</v>
      </c>
      <c r="BS20" s="24">
        <v>0.0</v>
      </c>
      <c r="BT20" s="24">
        <v>0.0</v>
      </c>
      <c r="BU20" s="14"/>
      <c r="BV20" s="14" t="s">
        <v>855</v>
      </c>
      <c r="BW20" s="24">
        <v>0.0</v>
      </c>
      <c r="BX20" s="24">
        <v>0.0</v>
      </c>
      <c r="BY20" s="24">
        <v>1.0</v>
      </c>
      <c r="BZ20" s="24">
        <v>0.0</v>
      </c>
      <c r="CA20" s="24">
        <v>0.0</v>
      </c>
      <c r="CB20" s="14"/>
      <c r="CC20" s="14" t="s">
        <v>856</v>
      </c>
      <c r="CD20" s="24">
        <v>0.0</v>
      </c>
      <c r="CE20" s="24">
        <v>0.0</v>
      </c>
      <c r="CF20" s="24">
        <v>0.0</v>
      </c>
      <c r="CG20" s="24">
        <v>0.0</v>
      </c>
      <c r="CH20" s="24">
        <v>0.0</v>
      </c>
      <c r="CI20" s="24">
        <v>1.0</v>
      </c>
      <c r="CJ20" s="24">
        <v>0.0</v>
      </c>
      <c r="CK20" s="14"/>
      <c r="CL20" s="14" t="s">
        <v>857</v>
      </c>
      <c r="CM20" s="24">
        <v>2024.0</v>
      </c>
      <c r="CN20" s="14" t="s">
        <v>858</v>
      </c>
      <c r="CO20" s="14" t="s">
        <v>859</v>
      </c>
      <c r="CP20" s="14" t="s">
        <v>1060</v>
      </c>
      <c r="CQ20" s="24">
        <v>0.0</v>
      </c>
      <c r="CR20" s="24">
        <v>0.0</v>
      </c>
      <c r="CS20" s="24">
        <v>0.0</v>
      </c>
      <c r="CT20" s="24">
        <v>0.0</v>
      </c>
      <c r="CU20" s="10">
        <v>1.0</v>
      </c>
      <c r="CV20" s="10">
        <v>1.0</v>
      </c>
      <c r="CW20" s="10">
        <v>0.0</v>
      </c>
      <c r="CX20" s="8">
        <v>0.0</v>
      </c>
      <c r="CY20" s="9" t="s">
        <v>860</v>
      </c>
      <c r="CZ20" s="8">
        <v>1.0</v>
      </c>
      <c r="DA20" s="8">
        <v>0.0</v>
      </c>
      <c r="DB20" s="8">
        <v>0.0</v>
      </c>
      <c r="DC20" s="9"/>
      <c r="DD20" s="9" t="s">
        <v>937</v>
      </c>
      <c r="DE20" s="8">
        <v>1.0</v>
      </c>
      <c r="DF20" s="8">
        <v>0.0</v>
      </c>
      <c r="DG20" s="8">
        <v>1.0</v>
      </c>
      <c r="DH20" s="8">
        <v>0.0</v>
      </c>
      <c r="DI20" s="9"/>
      <c r="DJ20" s="9" t="s">
        <v>937</v>
      </c>
      <c r="DK20" s="8">
        <v>1.0</v>
      </c>
      <c r="DL20" s="8">
        <v>0.0</v>
      </c>
      <c r="DM20" s="8">
        <v>1.0</v>
      </c>
      <c r="DN20" s="8">
        <v>0.0</v>
      </c>
      <c r="DO20" s="9"/>
      <c r="DP20" s="8">
        <v>1.0</v>
      </c>
      <c r="DQ20" s="8">
        <v>0.0</v>
      </c>
      <c r="DR20" s="8">
        <v>0.0</v>
      </c>
      <c r="DS20" s="14"/>
      <c r="DT20" s="14"/>
      <c r="DU20" s="14"/>
      <c r="DV20" s="14" t="s">
        <v>857</v>
      </c>
      <c r="DW20" s="14"/>
      <c r="DX20" s="14"/>
      <c r="DY20" s="14"/>
      <c r="DZ20" s="14"/>
      <c r="EA20" s="14"/>
      <c r="EB20" s="14"/>
      <c r="EC20" s="14"/>
      <c r="ED20" s="14"/>
      <c r="EE20" s="14"/>
      <c r="EF20" s="14"/>
      <c r="EG20" s="14"/>
      <c r="EH20" s="14"/>
      <c r="EI20" s="14" t="s">
        <v>862</v>
      </c>
      <c r="EJ20" s="24">
        <v>0.0</v>
      </c>
      <c r="EK20" s="24">
        <v>0.0</v>
      </c>
      <c r="EL20" s="24">
        <v>0.0</v>
      </c>
      <c r="EM20" s="24">
        <v>1.0</v>
      </c>
      <c r="EN20" s="24">
        <v>0.0</v>
      </c>
      <c r="EO20" s="11"/>
      <c r="EP20" s="14" t="s">
        <v>863</v>
      </c>
      <c r="EQ20" s="14" t="s">
        <v>864</v>
      </c>
      <c r="ER20" s="14" t="s">
        <v>861</v>
      </c>
      <c r="ES20" s="24">
        <v>1.0</v>
      </c>
      <c r="ET20" s="24">
        <v>0.0</v>
      </c>
      <c r="EU20" s="24">
        <v>0.0</v>
      </c>
      <c r="EV20" s="24">
        <v>0.0</v>
      </c>
      <c r="EW20" s="14"/>
      <c r="EX20" s="9" t="s">
        <v>1013</v>
      </c>
      <c r="EY20" s="8">
        <v>1.0</v>
      </c>
      <c r="EZ20" s="8">
        <v>1.0</v>
      </c>
      <c r="FA20" s="8">
        <v>0.0</v>
      </c>
      <c r="FB20" s="14"/>
      <c r="FC20" s="14" t="s">
        <v>1072</v>
      </c>
      <c r="FD20" s="14"/>
      <c r="FE20" s="14" t="s">
        <v>867</v>
      </c>
      <c r="FF20" s="14" t="s">
        <v>868</v>
      </c>
      <c r="FG20" s="14" t="s">
        <v>867</v>
      </c>
      <c r="FH20" s="14" t="s">
        <v>868</v>
      </c>
      <c r="FI20" s="14" t="s">
        <v>867</v>
      </c>
      <c r="FJ20" s="14" t="s">
        <v>868</v>
      </c>
      <c r="FK20" s="14" t="s">
        <v>867</v>
      </c>
      <c r="FL20" s="14" t="s">
        <v>869</v>
      </c>
      <c r="FM20" s="14" t="s">
        <v>867</v>
      </c>
      <c r="FN20" s="14" t="s">
        <v>943</v>
      </c>
      <c r="FO20" s="14" t="s">
        <v>867</v>
      </c>
      <c r="FP20" s="14" t="s">
        <v>943</v>
      </c>
      <c r="FQ20" s="14" t="s">
        <v>867</v>
      </c>
      <c r="FR20" s="14" t="s">
        <v>857</v>
      </c>
      <c r="FS20" s="14" t="s">
        <v>867</v>
      </c>
      <c r="FT20" s="14" t="s">
        <v>871</v>
      </c>
      <c r="FU20" s="14" t="s">
        <v>989</v>
      </c>
      <c r="FV20" s="24">
        <v>1.0</v>
      </c>
      <c r="FW20" s="24">
        <v>1.0</v>
      </c>
      <c r="FX20" s="24">
        <v>0.0</v>
      </c>
      <c r="FY20" s="24">
        <v>0.0</v>
      </c>
      <c r="FZ20" s="14" t="s">
        <v>1197</v>
      </c>
      <c r="GA20" s="14" t="s">
        <v>874</v>
      </c>
      <c r="GB20" s="24">
        <v>1.0</v>
      </c>
      <c r="GC20" s="24">
        <v>0.0</v>
      </c>
      <c r="GD20" s="24">
        <v>0.0</v>
      </c>
      <c r="GE20" s="24">
        <v>0.0</v>
      </c>
      <c r="GF20" s="14"/>
      <c r="GG20" s="14" t="s">
        <v>875</v>
      </c>
      <c r="GH20" s="14" t="s">
        <v>857</v>
      </c>
      <c r="GI20" s="14" t="s">
        <v>876</v>
      </c>
      <c r="GJ20" s="24">
        <v>1.0</v>
      </c>
      <c r="GK20" s="24">
        <v>0.0</v>
      </c>
      <c r="GL20" s="24">
        <v>0.0</v>
      </c>
      <c r="GM20" s="24">
        <v>0.0</v>
      </c>
      <c r="GN20" s="14"/>
      <c r="GO20" s="24">
        <v>10.0</v>
      </c>
      <c r="GP20" s="14" t="s">
        <v>877</v>
      </c>
      <c r="GQ20" s="14" t="s">
        <v>878</v>
      </c>
      <c r="GR20" s="24">
        <v>1.0</v>
      </c>
      <c r="GS20" s="24">
        <v>1.0</v>
      </c>
      <c r="GT20" s="24">
        <v>0.0</v>
      </c>
      <c r="GU20" s="24">
        <v>0.0</v>
      </c>
      <c r="GV20" s="24">
        <v>0.0</v>
      </c>
      <c r="GW20" s="24">
        <v>0.0</v>
      </c>
      <c r="GX20" s="24">
        <v>0.0</v>
      </c>
      <c r="GY20" s="14"/>
      <c r="GZ20" s="14" t="s">
        <v>857</v>
      </c>
      <c r="HA20" s="24">
        <v>150.0</v>
      </c>
      <c r="HB20" s="24">
        <v>150000.0</v>
      </c>
      <c r="HC20" s="24">
        <v>10.0</v>
      </c>
      <c r="HD20" s="24">
        <v>100000.0</v>
      </c>
      <c r="HE20" s="24">
        <v>9.0</v>
      </c>
      <c r="HF20" s="24">
        <v>75000.0</v>
      </c>
      <c r="HG20" s="24">
        <v>3.0</v>
      </c>
      <c r="HH20" s="24">
        <v>25000.0</v>
      </c>
      <c r="HI20" s="14"/>
      <c r="HJ20" s="14"/>
      <c r="HK20" s="14"/>
      <c r="HL20" s="14"/>
      <c r="HM20" s="14"/>
      <c r="HN20" s="14"/>
      <c r="HO20" s="14"/>
      <c r="HP20" s="14"/>
      <c r="HQ20" s="14"/>
      <c r="HR20" s="14"/>
      <c r="HS20" s="14"/>
      <c r="HT20" s="14"/>
      <c r="HU20" s="14"/>
      <c r="HV20" s="14"/>
      <c r="HW20" s="14"/>
      <c r="HX20" s="14"/>
      <c r="HY20" s="24">
        <v>100.0</v>
      </c>
      <c r="HZ20" s="24">
        <v>100000.0</v>
      </c>
      <c r="IA20" s="24">
        <v>6.0</v>
      </c>
      <c r="IB20" s="24">
        <v>50000.0</v>
      </c>
      <c r="IC20" s="14"/>
      <c r="ID20" s="14"/>
      <c r="IE20" s="14"/>
      <c r="IF20" s="14"/>
      <c r="IG20" s="14"/>
      <c r="IH20" s="14"/>
      <c r="II20" s="14"/>
      <c r="IJ20" s="14"/>
      <c r="IK20" s="14" t="s">
        <v>879</v>
      </c>
      <c r="IL20" s="14" t="s">
        <v>880</v>
      </c>
      <c r="IM20" s="14" t="s">
        <v>857</v>
      </c>
      <c r="IN20" s="14" t="s">
        <v>857</v>
      </c>
      <c r="IO20" s="14" t="s">
        <v>882</v>
      </c>
      <c r="IP20" s="14"/>
      <c r="IQ20" s="14" t="s">
        <v>883</v>
      </c>
      <c r="IR20" s="14"/>
      <c r="IS20" s="14"/>
      <c r="IT20" s="14"/>
      <c r="IU20" s="14"/>
      <c r="IV20" s="14"/>
      <c r="IW20" s="14"/>
      <c r="IX20" s="14"/>
      <c r="IY20" s="14"/>
      <c r="IZ20" s="14" t="s">
        <v>883</v>
      </c>
      <c r="JA20" s="14"/>
      <c r="JB20" s="14"/>
      <c r="JC20" s="14"/>
      <c r="JD20" s="14"/>
      <c r="JE20" s="14"/>
      <c r="JF20" s="14"/>
      <c r="JG20" s="14"/>
      <c r="JH20" s="14"/>
      <c r="JI20" s="14" t="s">
        <v>883</v>
      </c>
      <c r="JJ20" s="14"/>
      <c r="JK20" s="14"/>
      <c r="JL20" s="14"/>
      <c r="JM20" s="14"/>
      <c r="JN20" s="14"/>
      <c r="JO20" s="14"/>
      <c r="JP20" s="14"/>
      <c r="JQ20" s="14"/>
      <c r="JR20" s="14" t="s">
        <v>883</v>
      </c>
      <c r="JS20" s="14"/>
      <c r="JT20" s="14"/>
      <c r="JU20" s="14"/>
      <c r="JV20" s="14"/>
      <c r="JW20" s="14"/>
      <c r="JX20" s="14"/>
      <c r="JY20" s="14"/>
      <c r="JZ20" s="14"/>
      <c r="KA20" s="14" t="s">
        <v>883</v>
      </c>
      <c r="KB20" s="14"/>
      <c r="KC20" s="14"/>
      <c r="KD20" s="14"/>
      <c r="KE20" s="14"/>
      <c r="KF20" s="14"/>
      <c r="KG20" s="14"/>
      <c r="KH20" s="14"/>
      <c r="KI20" s="14"/>
      <c r="KJ20" s="14" t="s">
        <v>883</v>
      </c>
      <c r="KK20" s="14"/>
      <c r="KL20" s="14"/>
      <c r="KM20" s="14"/>
      <c r="KN20" s="14"/>
      <c r="KO20" s="14"/>
      <c r="KP20" s="14"/>
      <c r="KQ20" s="14"/>
      <c r="KR20" s="14"/>
      <c r="KS20" s="14" t="s">
        <v>1180</v>
      </c>
      <c r="KT20" s="14" t="s">
        <v>886</v>
      </c>
      <c r="KU20" s="14" t="s">
        <v>886</v>
      </c>
      <c r="KV20" s="14" t="s">
        <v>999</v>
      </c>
      <c r="KW20" s="24">
        <v>0.0</v>
      </c>
      <c r="KX20" s="24">
        <v>0.0</v>
      </c>
      <c r="KY20" s="24">
        <v>0.0</v>
      </c>
      <c r="KZ20" s="24">
        <v>1.0</v>
      </c>
      <c r="LA20" s="14" t="s">
        <v>884</v>
      </c>
      <c r="LB20" s="14" t="s">
        <v>884</v>
      </c>
      <c r="LC20" s="24">
        <v>3.0</v>
      </c>
      <c r="LD20" s="24">
        <v>3.0</v>
      </c>
      <c r="LE20" s="24">
        <v>0.0</v>
      </c>
      <c r="LF20" s="24">
        <v>0.0</v>
      </c>
      <c r="LG20" s="14" t="s">
        <v>857</v>
      </c>
      <c r="LH20" s="24">
        <v>100000.0</v>
      </c>
      <c r="LI20" s="14"/>
      <c r="LJ20" s="14" t="s">
        <v>887</v>
      </c>
      <c r="LK20" s="24">
        <v>0.0</v>
      </c>
      <c r="LL20" s="24">
        <v>0.0</v>
      </c>
      <c r="LM20" s="24">
        <v>0.0</v>
      </c>
      <c r="LN20" s="24">
        <v>0.0</v>
      </c>
      <c r="LO20" s="24">
        <v>1.0</v>
      </c>
      <c r="LP20" s="24">
        <v>0.0</v>
      </c>
      <c r="LQ20" s="24">
        <v>0.0</v>
      </c>
      <c r="LR20" s="14"/>
      <c r="LS20" s="24">
        <v>15.0</v>
      </c>
      <c r="LT20" s="24">
        <v>15.0</v>
      </c>
      <c r="LU20" s="24">
        <v>0.0</v>
      </c>
      <c r="LV20" s="24">
        <v>5.0</v>
      </c>
      <c r="LW20" s="24">
        <v>5.0</v>
      </c>
      <c r="LX20" s="24">
        <v>0.0</v>
      </c>
      <c r="LY20" s="24">
        <v>5.0</v>
      </c>
      <c r="LZ20" s="24">
        <v>5.0</v>
      </c>
      <c r="MA20" s="24">
        <v>0.0</v>
      </c>
      <c r="MB20" s="14" t="s">
        <v>857</v>
      </c>
      <c r="MC20" s="24">
        <v>30.0</v>
      </c>
      <c r="MD20" s="24">
        <v>15.0</v>
      </c>
      <c r="ME20" s="24">
        <v>30.0</v>
      </c>
      <c r="MF20" s="24">
        <v>15.0</v>
      </c>
      <c r="MG20" s="24">
        <v>30.0</v>
      </c>
      <c r="MH20" s="24">
        <v>15.0</v>
      </c>
      <c r="MI20" s="14" t="s">
        <v>946</v>
      </c>
      <c r="MJ20" s="24">
        <v>0.0</v>
      </c>
      <c r="MK20" s="24">
        <v>0.0</v>
      </c>
      <c r="ML20" s="24">
        <v>1.0</v>
      </c>
      <c r="MM20" s="24">
        <v>0.0</v>
      </c>
      <c r="MN20" s="24">
        <v>0.0</v>
      </c>
      <c r="MO20" s="24">
        <v>0.0</v>
      </c>
      <c r="MP20" s="14"/>
      <c r="MQ20" s="14"/>
      <c r="MR20" s="14" t="s">
        <v>1048</v>
      </c>
      <c r="MS20" s="14"/>
      <c r="MT20" s="14" t="s">
        <v>888</v>
      </c>
      <c r="MU20" s="14" t="s">
        <v>881</v>
      </c>
      <c r="MV20" s="14"/>
      <c r="MW20" s="14"/>
      <c r="MX20" s="14"/>
      <c r="MY20" s="14"/>
      <c r="MZ20" s="14"/>
      <c r="NA20" s="14"/>
      <c r="NB20" s="14"/>
      <c r="NC20" s="14"/>
      <c r="ND20" s="14"/>
      <c r="NE20" s="14"/>
      <c r="NF20" s="14"/>
      <c r="NG20" s="14"/>
      <c r="NH20" s="14"/>
      <c r="NI20" s="14"/>
      <c r="NJ20" s="14"/>
      <c r="NK20" s="14"/>
      <c r="NL20" s="14" t="s">
        <v>857</v>
      </c>
      <c r="NM20" s="14" t="s">
        <v>893</v>
      </c>
      <c r="NN20" s="14" t="s">
        <v>993</v>
      </c>
      <c r="NO20" s="14" t="s">
        <v>994</v>
      </c>
      <c r="NP20" s="14"/>
      <c r="NQ20" s="14"/>
      <c r="NR20" s="14"/>
      <c r="NS20" s="14"/>
      <c r="NT20" s="14"/>
      <c r="NU20" s="14"/>
      <c r="NV20" s="14" t="s">
        <v>896</v>
      </c>
      <c r="NW20" s="14"/>
      <c r="NX20" s="14" t="s">
        <v>1183</v>
      </c>
      <c r="NY20" s="24">
        <v>40.0</v>
      </c>
      <c r="NZ20" s="24">
        <v>20.0</v>
      </c>
      <c r="OA20" s="24">
        <v>10.0</v>
      </c>
      <c r="OB20" s="24">
        <v>5.0</v>
      </c>
      <c r="OC20" s="24">
        <v>5.0</v>
      </c>
      <c r="OD20" s="24">
        <v>5.0</v>
      </c>
      <c r="OE20" s="14" t="s">
        <v>1180</v>
      </c>
      <c r="OF20" s="14" t="s">
        <v>1184</v>
      </c>
      <c r="OG20" s="14" t="s">
        <v>857</v>
      </c>
      <c r="OH20" s="24">
        <v>0.0</v>
      </c>
      <c r="OI20" s="24">
        <v>3.0</v>
      </c>
      <c r="OJ20" s="24">
        <v>0.0</v>
      </c>
      <c r="OK20" s="24">
        <v>0.0</v>
      </c>
      <c r="OL20" s="24">
        <v>0.0</v>
      </c>
      <c r="OM20" s="24">
        <v>0.0</v>
      </c>
      <c r="ON20" s="24">
        <v>0.0</v>
      </c>
      <c r="OO20" s="24">
        <v>0.0</v>
      </c>
      <c r="OP20" s="9" t="str">
        <f>VLOOKUP(AG20,'BUS 2'!$G$1:$CU$424,2,0)</f>
        <v>Sapi perah</v>
      </c>
      <c r="OQ20" s="8">
        <f>VLOOKUP(AG20,'BUS 2'!$G$1:$CU$424,3,0)</f>
        <v>0</v>
      </c>
      <c r="OR20" s="8">
        <f>VLOOKUP(AG20,'BUS 2'!$G$1:$CU$424,4,0)</f>
        <v>1</v>
      </c>
      <c r="OS20" s="8">
        <f>VLOOKUP(AG20,'BUS 2'!$G$1:$CU$424,5,0)</f>
        <v>0</v>
      </c>
      <c r="OT20" s="8">
        <f>VLOOKUP(AG20,'BUS 2'!$G$1:$CU$424,6,0)</f>
        <v>0</v>
      </c>
      <c r="OU20" s="8">
        <f>VLOOKUP(AG20,'BUS 2'!$G$1:$CU$424,7,0)</f>
        <v>0</v>
      </c>
      <c r="OV20" s="8">
        <f>VLOOKUP(AG20,'BUS 2'!$G$1:$CU$424,8,0)</f>
        <v>0</v>
      </c>
      <c r="OW20" s="8">
        <f>VLOOKUP(AG20,'BUS 2'!$G$1:$CU$424,9,0)</f>
        <v>0</v>
      </c>
      <c r="OX20" s="8">
        <f>VLOOKUP(AG20,'BUS 2'!$G$1:$CU$424,10,0)</f>
        <v>0</v>
      </c>
      <c r="OY20" s="8">
        <f>VLOOKUP(AG20,'BUS 2'!$G$1:$CU$424,11,0)</f>
        <v>0</v>
      </c>
      <c r="OZ20" s="8" t="str">
        <f>VLOOKUP(AG20,'BUS 2'!$G$1:$CU$424,12,0)</f>
        <v>Sapi perah</v>
      </c>
      <c r="PA20" s="8">
        <f>VLOOKUP(AG20,'BUS 2'!$G$1:$CU$424,13,0)</f>
        <v>0</v>
      </c>
      <c r="PB20" s="8">
        <f>VLOOKUP(AG20,'BUS 2'!$G$1:$CU$424,14,0)</f>
        <v>1</v>
      </c>
      <c r="PC20" s="8">
        <f>VLOOKUP(AG20,'BUS 2'!$G$1:$CU$424,15,0)</f>
        <v>0</v>
      </c>
      <c r="PD20" s="8">
        <f>VLOOKUP(AG20,'BUS 2'!$G$1:$CU$424,16,0)</f>
        <v>0</v>
      </c>
      <c r="PE20" s="8">
        <f>VLOOKUP(AG20,'BUS 2'!$G$1:$CU$424,17,0)</f>
        <v>0</v>
      </c>
      <c r="PF20" s="8">
        <f>VLOOKUP(AG20,'BUS 2'!$G$1:$CU$424,18,0)</f>
        <v>0</v>
      </c>
      <c r="PG20" s="8">
        <f>VLOOKUP(AG20,'BUS 2'!$G$1:$CU$424,19,0)</f>
        <v>0</v>
      </c>
      <c r="PH20" s="8">
        <f>VLOOKUP(AG20,'BUS 2'!$G$1:$CU$424,20,0)</f>
        <v>0</v>
      </c>
      <c r="PI20" s="8">
        <f>VLOOKUP(AG20,'BUS 2'!$G$1:$CU$424,21,0)</f>
        <v>0</v>
      </c>
      <c r="PJ20" s="8" t="str">
        <f>VLOOKUP(AG20,'BUS 2'!$G$1:$CU$424,22,0)</f>
        <v>Tidak ada</v>
      </c>
      <c r="PK20" s="8">
        <f>VLOOKUP(AG20,'BUS 2'!$G$1:$CU$424,23,0)</f>
        <v>0</v>
      </c>
      <c r="PL20" s="8">
        <f>VLOOKUP(AG20,'BUS 2'!$G$1:$CU$424,24,0)</f>
        <v>0</v>
      </c>
      <c r="PM20" s="8">
        <f>VLOOKUP(AG20,'BUS 2'!$G$1:$CU$424,25,0)</f>
        <v>0</v>
      </c>
      <c r="PN20" s="8">
        <f>VLOOKUP(AG20,'BUS 2'!$G$1:$CU$424,26,0)</f>
        <v>0</v>
      </c>
      <c r="PO20" s="8">
        <f>VLOOKUP(AG20,'BUS 2'!$G$1:$CU$424,27,0)</f>
        <v>0</v>
      </c>
      <c r="PP20" s="8">
        <f>VLOOKUP(AG20,'BUS 2'!$G$1:$CU$424,28,0)</f>
        <v>0</v>
      </c>
      <c r="PQ20" s="8">
        <f>VLOOKUP(AG20,'BUS 2'!$G$1:$CU$424,29,0)</f>
        <v>0</v>
      </c>
      <c r="PR20" s="8">
        <f>VLOOKUP(AG20,'BUS 2'!$G$1:$CU$424,30,0)</f>
        <v>0</v>
      </c>
      <c r="PS20" s="8">
        <f>VLOOKUP(AG20,'BUS 2'!$G$1:$CU$424,31,0)</f>
        <v>1</v>
      </c>
      <c r="PT20" s="14"/>
      <c r="PU20" s="14"/>
      <c r="PV20" s="14"/>
      <c r="PW20" s="14"/>
      <c r="PX20" s="14"/>
      <c r="PY20" s="14"/>
      <c r="PZ20" s="14"/>
      <c r="QA20" s="14"/>
      <c r="QB20" s="14"/>
      <c r="QC20" s="14"/>
      <c r="QD20" s="14"/>
      <c r="QE20" s="14" t="s">
        <v>900</v>
      </c>
      <c r="QF20" s="24">
        <v>0.0</v>
      </c>
      <c r="QG20" s="24">
        <v>0.0</v>
      </c>
      <c r="QH20" s="24">
        <v>0.0</v>
      </c>
      <c r="QI20" s="24">
        <v>0.0</v>
      </c>
      <c r="QJ20" s="24">
        <v>0.0</v>
      </c>
      <c r="QK20" s="24">
        <v>1.0</v>
      </c>
      <c r="QL20" s="24">
        <v>0.0</v>
      </c>
      <c r="QM20" s="24">
        <v>0.0</v>
      </c>
      <c r="QN20" s="24">
        <v>0.0</v>
      </c>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14"/>
      <c r="SF20" s="14"/>
      <c r="SG20" s="14"/>
      <c r="SH20" s="14"/>
      <c r="SI20" s="14"/>
      <c r="SJ20" s="14"/>
      <c r="SK20" s="14"/>
      <c r="SL20" s="14"/>
      <c r="SM20" s="14"/>
      <c r="SN20" s="14"/>
      <c r="SO20" s="14"/>
      <c r="SP20" s="14"/>
      <c r="SQ20" s="14"/>
      <c r="SR20" s="14"/>
      <c r="SS20" s="14"/>
      <c r="ST20" s="14"/>
      <c r="SU20" s="14"/>
      <c r="SV20" s="14"/>
      <c r="SW20" s="14"/>
      <c r="SX20" s="14"/>
      <c r="SY20" s="8" t="str">
        <f>VLOOKUP(AG20,'BUS 2'!$G$1:$CU$424,33,0)</f>
        <v/>
      </c>
      <c r="SZ20" s="9">
        <f>VLOOKUP(AG20,'BUS 2'!$G$1:$CU$424,34,0)</f>
        <v>3</v>
      </c>
      <c r="TA20" s="9" t="str">
        <f>VLOOKUP(AG20,'BUS 2'!$G$1:$CU$424,35,0)</f>
        <v/>
      </c>
      <c r="TB20" s="9" t="str">
        <f>VLOOKUP(AG20,'BUS 2'!$G$1:$CU$424,36,0)</f>
        <v/>
      </c>
      <c r="TC20" s="9" t="str">
        <f>VLOOKUP(AG20,'BUS 2'!$G$1:$CU$424,37,0)</f>
        <v/>
      </c>
      <c r="TD20" s="9" t="str">
        <f>VLOOKUP(AG20,'BUS 2'!$G$1:$CU$424,38,0)</f>
        <v/>
      </c>
      <c r="TE20" s="9" t="str">
        <f>VLOOKUP(AG20,'BUS 2'!$G$1:$CU$424,39,0)</f>
        <v/>
      </c>
      <c r="TF20" s="9" t="str">
        <f>VLOOKUP(AG20,'BUS 2'!$G$1:$CU$424,40,0)</f>
        <v/>
      </c>
      <c r="TG20" s="8" t="str">
        <f>VLOOKUP(AG20,'BUS 2'!$G$1:$CU$424,42,0)</f>
        <v/>
      </c>
      <c r="TH20" s="8">
        <f>VLOOKUP(AG20,'BUS 2'!$G$1:$CU$424,43,0)</f>
        <v>3</v>
      </c>
      <c r="TI20" s="8" t="str">
        <f>VLOOKUP(AG20,'BUS 2'!$G$1:$CU$424,44,0)</f>
        <v/>
      </c>
      <c r="TJ20" s="8" t="str">
        <f>VLOOKUP(AG20,'BUS 2'!$G$1:$CU$424,45,0)</f>
        <v/>
      </c>
      <c r="TK20" s="8" t="str">
        <f>VLOOKUP(AG20,'BUS 2'!$G$1:$CU$424,46,0)</f>
        <v/>
      </c>
      <c r="TL20" s="8" t="str">
        <f>VLOOKUP(AG20,'BUS 2'!$G$1:$CU$424,47,0)</f>
        <v/>
      </c>
      <c r="TM20" s="8" t="str">
        <f>VLOOKUP(AG20,'BUS 2'!$G$1:$CU$424,48,0)</f>
        <v/>
      </c>
      <c r="TN20" s="8" t="str">
        <f>VLOOKUP(AG20,'BUS 2'!$G$1:$CU$424,49,0)</f>
        <v/>
      </c>
      <c r="TO20" s="8" t="str">
        <f>VLOOKUP(AG20,'BUS 2'!$G$1:$CU$424,50,0)</f>
        <v/>
      </c>
      <c r="TP20" s="8" t="str">
        <f>VLOOKUP(AG20,'BUS 2'!$G$1:$CU$424,51,0)</f>
        <v/>
      </c>
      <c r="TQ20" s="8" t="str">
        <f>VLOOKUP(AG20,'BUS 2'!$G$1:$CU$424,52,0)</f>
        <v/>
      </c>
      <c r="TR20" s="8" t="str">
        <f>VLOOKUP(AG20,'BUS 2'!$G$1:$CU$424,53,0)</f>
        <v/>
      </c>
      <c r="TS20" s="9" t="str">
        <f>VLOOKUP(AG20,'BUS 2'!$G$1:$CU$424,54,0)</f>
        <v/>
      </c>
      <c r="TT20" s="9" t="str">
        <f>VLOOKUP(AG20,'BUS 2'!$G$1:$CU$424,55,0)</f>
        <v/>
      </c>
      <c r="TU20" s="9" t="str">
        <f>VLOOKUP(AG20,'BUS 2'!$G$1:$CU$424,56,0)</f>
        <v/>
      </c>
      <c r="TV20" s="9" t="str">
        <f>VLOOKUP(AG20,'BUS 2'!$G$1:$CU$424,57,0)</f>
        <v/>
      </c>
      <c r="TW20" s="9" t="str">
        <f>VLOOKUP(AG20,'BUS 2'!$G$1:$CU$424,58,0)</f>
        <v/>
      </c>
      <c r="TX20" s="9" t="str">
        <f>VLOOKUP(AG20,'BUS 2'!$G$1:$CU$424,59,0)</f>
        <v/>
      </c>
      <c r="TY20" s="9" t="str">
        <f>VLOOKUP(AG20,'BUS 2'!$G$1:$CU$424,60,0)</f>
        <v/>
      </c>
      <c r="TZ20" s="9" t="str">
        <f>VLOOKUP(AG20,'BUS 2'!$G$1:$CU$424,61,0)</f>
        <v/>
      </c>
      <c r="UA20" s="9" t="str">
        <f>VLOOKUP(AG20,'BUS 2'!$G$1:$CU$424,62,0)</f>
        <v/>
      </c>
      <c r="UB20" s="9" t="str">
        <f>VLOOKUP(AG20,'BUS 2'!$G$1:$CU$424,63,0)</f>
        <v/>
      </c>
      <c r="UC20" s="9" t="str">
        <f>VLOOKUP(AG20,'BUS 2'!$G$1:$CU$424,64,0)</f>
        <v/>
      </c>
      <c r="UD20" s="9" t="str">
        <f>VLOOKUP(AG20,'BUS 2'!$G$1:$CU$424,65,0)</f>
        <v/>
      </c>
      <c r="UE20" s="9" t="str">
        <f>VLOOKUP(AG20,'BUS 2'!$G$1:$CU$424,66,0)</f>
        <v/>
      </c>
      <c r="UF20" s="9" t="str">
        <f>VLOOKUP(AG20,'BUS 2'!$G$1:$CU$424,67,0)</f>
        <v/>
      </c>
      <c r="UG20" s="9" t="str">
        <f>VLOOKUP(AG20,'BUS 2'!$G$1:$CU$424,68,0)</f>
        <v/>
      </c>
      <c r="UH20" s="9" t="str">
        <f>VLOOKUP(AG20,'BUS 2'!$G$1:$CU$424,69,0)</f>
        <v/>
      </c>
      <c r="UI20" s="9" t="str">
        <f>VLOOKUP(AG20,'BUS 2'!$G$1:$CU$424,70,0)</f>
        <v/>
      </c>
      <c r="UJ20" s="9" t="str">
        <f>VLOOKUP(AG20,'BUS 2'!$G$1:$CU$424,71,0)</f>
        <v/>
      </c>
      <c r="UK20" s="9" t="str">
        <f>VLOOKUP(AG20,'BUS 2'!$G$1:$CU$424,72,0)</f>
        <v/>
      </c>
      <c r="UL20" s="9" t="str">
        <f>VLOOKUP(AG20,'BUS 2'!$G$1:$CU$424,73,0)</f>
        <v/>
      </c>
      <c r="UM20" s="9" t="str">
        <f>VLOOKUP(AG20,'BUS 2'!$G$1:$CU$424,74,0)</f>
        <v/>
      </c>
      <c r="UN20" s="9" t="str">
        <f>VLOOKUP(AG20,'BUS 2'!$G$1:$CU$424,75,0)</f>
        <v/>
      </c>
      <c r="UO20" s="9" t="str">
        <f>VLOOKUP(AG20,'BUS 2'!$G$1:$CU$424,76,0)</f>
        <v/>
      </c>
      <c r="UP20" s="9" t="str">
        <f>VLOOKUP(AG20,'BUS 2'!$G$1:$CU$424,77,0)</f>
        <v/>
      </c>
      <c r="UQ20" s="9" t="str">
        <f>VLOOKUP(AG20,'BUS 2'!$G$1:$CU$424,78,0)</f>
        <v/>
      </c>
      <c r="UR20" s="9" t="str">
        <f>VLOOKUP(AG20,'BUS 2'!$G$1:$CU$424,79,0)</f>
        <v/>
      </c>
      <c r="US20" s="9" t="str">
        <f>VLOOKUP(AG20,'BUS 2'!$G$1:$CU$424,80,0)</f>
        <v/>
      </c>
      <c r="UT20" s="9" t="str">
        <f>VLOOKUP(AG20,'BUS 2'!$G$1:$CU$424,81,0)</f>
        <v/>
      </c>
      <c r="UU20" s="14"/>
      <c r="UV20" s="14" t="s">
        <v>901</v>
      </c>
      <c r="UW20" s="14"/>
      <c r="UX20" s="14"/>
      <c r="UY20" s="14"/>
      <c r="UZ20" s="14"/>
      <c r="VA20" s="14"/>
      <c r="VB20" s="14"/>
      <c r="VC20" s="14"/>
      <c r="VD20" s="14" t="s">
        <v>950</v>
      </c>
      <c r="VE20" s="14"/>
      <c r="VF20" s="14"/>
      <c r="VG20" s="14"/>
      <c r="VH20" s="14"/>
      <c r="VI20" s="14"/>
      <c r="VJ20" s="14"/>
      <c r="VK20" s="14"/>
      <c r="VL20" s="14" t="s">
        <v>1158</v>
      </c>
      <c r="VM20" s="14"/>
      <c r="VN20" s="14"/>
      <c r="VO20" s="14"/>
      <c r="VP20" s="14"/>
      <c r="VQ20" s="14"/>
      <c r="VR20" s="14"/>
      <c r="VS20" s="14"/>
      <c r="VT20" s="14"/>
      <c r="VU20" s="14"/>
      <c r="VV20" s="14"/>
      <c r="VW20" s="14"/>
      <c r="VX20" s="14"/>
      <c r="VY20" s="14"/>
      <c r="VZ20" s="14"/>
      <c r="WA20" s="14"/>
      <c r="WB20" s="14"/>
      <c r="WC20" s="14"/>
      <c r="WD20" s="14"/>
      <c r="WE20" s="14"/>
      <c r="WF20" s="14" t="s">
        <v>1198</v>
      </c>
      <c r="WG20" s="24">
        <v>0.0</v>
      </c>
      <c r="WH20" s="24">
        <v>0.0</v>
      </c>
      <c r="WI20" s="24">
        <v>0.0</v>
      </c>
      <c r="WJ20" s="24">
        <v>1.0</v>
      </c>
      <c r="WK20" s="24">
        <v>0.0</v>
      </c>
      <c r="WL20" s="24">
        <v>1.0</v>
      </c>
      <c r="WM20" s="24">
        <v>0.0</v>
      </c>
      <c r="WN20" s="24">
        <v>0.0</v>
      </c>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14"/>
      <c r="YU20" s="14"/>
      <c r="YV20" s="14"/>
      <c r="YW20" s="14"/>
      <c r="YX20" s="14"/>
      <c r="YY20" s="14"/>
      <c r="YZ20" s="14"/>
      <c r="ZA20" s="14"/>
      <c r="ZB20" s="14"/>
      <c r="ZC20" s="14"/>
      <c r="ZD20" s="14"/>
      <c r="ZE20" s="14"/>
      <c r="ZF20" s="14"/>
      <c r="ZG20" s="14"/>
      <c r="ZH20" s="14"/>
      <c r="ZI20" s="14"/>
      <c r="ZJ20" s="14"/>
      <c r="ZK20" s="14"/>
      <c r="ZL20" s="14"/>
      <c r="ZM20" s="14"/>
      <c r="ZN20" s="14"/>
      <c r="ZO20" s="24">
        <v>50.0</v>
      </c>
      <c r="ZP20" s="14"/>
      <c r="ZQ20" s="14"/>
      <c r="ZR20" s="14"/>
      <c r="ZS20" s="14"/>
      <c r="ZT20" s="14"/>
      <c r="ZU20" s="14"/>
      <c r="ZV20" s="14"/>
      <c r="ZW20" s="24">
        <v>2.0</v>
      </c>
      <c r="ZX20" s="14"/>
      <c r="ZY20" s="14"/>
      <c r="ZZ20" s="14"/>
      <c r="AAA20" s="14"/>
      <c r="AAB20" s="14"/>
      <c r="AAC20" s="14"/>
      <c r="AAD20" s="14"/>
      <c r="AAE20" s="14" t="s">
        <v>1186</v>
      </c>
      <c r="AAF20" s="14"/>
      <c r="AAG20" s="14"/>
      <c r="AAH20" s="14"/>
      <c r="AAI20" s="14"/>
      <c r="AAJ20" s="14"/>
      <c r="AAK20" s="14"/>
      <c r="AAL20" s="14" t="s">
        <v>857</v>
      </c>
      <c r="AAM20" s="14" t="s">
        <v>1033</v>
      </c>
      <c r="AAN20" s="24">
        <v>1.0</v>
      </c>
      <c r="AAO20" s="24">
        <v>1.0</v>
      </c>
      <c r="AAP20" s="24">
        <v>50.0</v>
      </c>
      <c r="AAQ20" s="24">
        <v>50.0</v>
      </c>
      <c r="AAR20" s="14" t="s">
        <v>857</v>
      </c>
      <c r="AAS20" s="14" t="s">
        <v>867</v>
      </c>
      <c r="AAT20" s="14" t="s">
        <v>1074</v>
      </c>
      <c r="AAU20" s="24">
        <v>1.0</v>
      </c>
      <c r="AAV20" s="24">
        <v>0.0</v>
      </c>
      <c r="AAW20" s="24">
        <v>0.0</v>
      </c>
      <c r="AAX20" s="24">
        <v>1.0</v>
      </c>
      <c r="AAY20" s="24">
        <v>1.0</v>
      </c>
      <c r="AAZ20" s="24">
        <v>0.0</v>
      </c>
      <c r="ABA20" s="24">
        <v>0.0</v>
      </c>
      <c r="ABB20" s="14" t="s">
        <v>907</v>
      </c>
      <c r="ABC20" s="24">
        <v>1.0</v>
      </c>
      <c r="ABD20" s="24">
        <v>0.0</v>
      </c>
      <c r="ABE20" s="24">
        <v>0.0</v>
      </c>
      <c r="ABF20" s="24">
        <v>0.0</v>
      </c>
      <c r="ABG20" s="24">
        <v>0.0</v>
      </c>
      <c r="ABH20" s="14"/>
      <c r="ABI20" s="14"/>
      <c r="ABJ20" s="14"/>
      <c r="ABK20" s="14"/>
      <c r="ABL20" s="14"/>
      <c r="ABM20" s="14"/>
      <c r="ABN20" s="14"/>
      <c r="ABO20" s="14"/>
      <c r="ABP20" s="14"/>
      <c r="ABQ20" s="11" t="s">
        <v>953</v>
      </c>
      <c r="ABR20" s="14" t="s">
        <v>909</v>
      </c>
      <c r="ABS20" s="24">
        <v>2000.0</v>
      </c>
      <c r="ABT20" s="24">
        <v>2000.0</v>
      </c>
      <c r="ABU20" s="24">
        <v>50.0</v>
      </c>
      <c r="ABV20" s="24">
        <v>50.0</v>
      </c>
      <c r="ABW20" s="14" t="s">
        <v>1199</v>
      </c>
      <c r="ABX20" s="14"/>
      <c r="ABY20" s="24">
        <v>30.0</v>
      </c>
      <c r="ABZ20" s="24">
        <v>4000.0</v>
      </c>
      <c r="ACA20" s="24">
        <v>10.0</v>
      </c>
      <c r="ACB20" s="24">
        <v>4000.0</v>
      </c>
      <c r="ACC20" s="24">
        <v>500.0</v>
      </c>
      <c r="ACD20" s="24">
        <v>650.0</v>
      </c>
      <c r="ACE20" s="14" t="s">
        <v>857</v>
      </c>
      <c r="ACF20" s="14" t="s">
        <v>1183</v>
      </c>
      <c r="ACG20" s="14" t="s">
        <v>1034</v>
      </c>
      <c r="ACH20" s="14" t="s">
        <v>911</v>
      </c>
      <c r="ACI20" s="14"/>
      <c r="ACJ20" s="14"/>
      <c r="ACK20" s="14" t="s">
        <v>976</v>
      </c>
      <c r="ACL20" s="24">
        <v>0.0</v>
      </c>
      <c r="ACM20" s="24">
        <v>0.0</v>
      </c>
      <c r="ACN20" s="24">
        <v>1.0</v>
      </c>
      <c r="ACO20" s="24">
        <v>1.0</v>
      </c>
      <c r="ACP20" s="24">
        <v>0.0</v>
      </c>
      <c r="ACQ20" s="24">
        <v>0.0</v>
      </c>
      <c r="ACR20" s="24">
        <v>0.0</v>
      </c>
      <c r="ACS20" s="14"/>
      <c r="ACT20" s="14" t="s">
        <v>912</v>
      </c>
      <c r="ACU20" s="14" t="s">
        <v>1050</v>
      </c>
      <c r="ACV20" s="14" t="s">
        <v>957</v>
      </c>
      <c r="ACW20" s="14" t="s">
        <v>915</v>
      </c>
      <c r="ACX20" s="14" t="s">
        <v>916</v>
      </c>
      <c r="ACY20" s="14" t="s">
        <v>1017</v>
      </c>
      <c r="ACZ20" s="24">
        <v>1.0</v>
      </c>
      <c r="ADA20" s="24">
        <v>1.0</v>
      </c>
      <c r="ADB20" s="24">
        <v>1.0</v>
      </c>
      <c r="ADC20" s="24">
        <v>0.0</v>
      </c>
      <c r="ADD20" s="14" t="s">
        <v>917</v>
      </c>
      <c r="ADE20" s="14" t="s">
        <v>917</v>
      </c>
      <c r="ADF20" s="14" t="s">
        <v>917</v>
      </c>
      <c r="ADG20" s="14" t="s">
        <v>917</v>
      </c>
      <c r="ADH20" s="14" t="s">
        <v>881</v>
      </c>
      <c r="ADI20" s="14"/>
      <c r="ADJ20" s="14" t="s">
        <v>917</v>
      </c>
      <c r="ADK20" s="14"/>
      <c r="ADL20" s="14"/>
      <c r="ADM20" s="14"/>
      <c r="ADN20" s="14"/>
      <c r="ADO20" s="14"/>
      <c r="ADP20" s="14"/>
      <c r="ADQ20" s="14"/>
      <c r="ADR20" s="14"/>
      <c r="ADS20" s="14"/>
      <c r="ADT20" s="14"/>
      <c r="ADU20" s="14" t="s">
        <v>919</v>
      </c>
      <c r="ADV20" s="24">
        <v>0.0</v>
      </c>
      <c r="ADW20" s="24">
        <v>0.0</v>
      </c>
      <c r="ADX20" s="24">
        <v>0.0</v>
      </c>
      <c r="ADY20" s="24">
        <v>0.0</v>
      </c>
      <c r="ADZ20" s="24">
        <v>1.0</v>
      </c>
      <c r="AEA20" s="24">
        <v>0.0</v>
      </c>
      <c r="AEB20" s="24">
        <v>0.0</v>
      </c>
      <c r="AEC20" s="24">
        <v>0.0</v>
      </c>
      <c r="AED20" s="12"/>
      <c r="AEE20" s="17" t="s">
        <v>872</v>
      </c>
      <c r="AEF20" s="9"/>
      <c r="AEG20" s="17" t="s">
        <v>920</v>
      </c>
      <c r="AEH20" s="14"/>
      <c r="AEI20" s="11" t="s">
        <v>999</v>
      </c>
      <c r="AEJ20" s="14" t="s">
        <v>871</v>
      </c>
      <c r="AEK20" s="17" t="s">
        <v>1108</v>
      </c>
      <c r="AEL20" s="18">
        <v>1.0</v>
      </c>
      <c r="AEM20" s="18">
        <v>1.0</v>
      </c>
      <c r="AEN20" s="18">
        <v>1.0</v>
      </c>
      <c r="AEO20" s="18">
        <v>1.0</v>
      </c>
      <c r="AEP20" s="18">
        <v>1.0</v>
      </c>
      <c r="AEQ20" s="18">
        <v>1.0</v>
      </c>
      <c r="AER20" s="18">
        <v>1.0</v>
      </c>
      <c r="AES20" s="18">
        <v>1.0</v>
      </c>
      <c r="AET20" s="18">
        <v>1.0</v>
      </c>
      <c r="AEU20" s="18">
        <v>0.0</v>
      </c>
      <c r="AEV20" s="18">
        <v>0.0</v>
      </c>
      <c r="AEW20" s="18">
        <v>0.0</v>
      </c>
      <c r="AEX20" s="14"/>
      <c r="AEY20" s="14" t="s">
        <v>923</v>
      </c>
      <c r="AEZ20" s="14"/>
      <c r="AFA20" s="14" t="s">
        <v>1188</v>
      </c>
      <c r="AFB20" s="14"/>
      <c r="AFC20" s="14" t="s">
        <v>1200</v>
      </c>
      <c r="AFD20" s="25" t="s">
        <v>1201</v>
      </c>
      <c r="AFE20" s="14" t="s">
        <v>1202</v>
      </c>
      <c r="AFF20" s="25" t="s">
        <v>1203</v>
      </c>
      <c r="AFG20" s="14" t="s">
        <v>1137</v>
      </c>
      <c r="AFH20" s="14"/>
      <c r="AFI20" s="14"/>
    </row>
    <row r="21">
      <c r="A21" s="6">
        <v>46059.0</v>
      </c>
      <c r="B21" s="6">
        <v>46059.0</v>
      </c>
      <c r="C21" s="7" t="s">
        <v>837</v>
      </c>
      <c r="D21" s="7" t="s">
        <v>1204</v>
      </c>
      <c r="E21" s="8">
        <v>6.282138033049E12</v>
      </c>
      <c r="F21" s="9"/>
      <c r="G21" s="8">
        <v>-7.21401879</v>
      </c>
      <c r="H21" s="8">
        <v>110.2638694</v>
      </c>
      <c r="I21" s="9"/>
      <c r="J21" s="8">
        <v>4.52</v>
      </c>
      <c r="K21" s="9"/>
      <c r="L21" s="9"/>
      <c r="M21" s="8">
        <v>-7.21401062</v>
      </c>
      <c r="N21" s="8">
        <v>110.2638854</v>
      </c>
      <c r="O21" s="9"/>
      <c r="P21" s="8">
        <v>4.96</v>
      </c>
      <c r="Q21" s="9"/>
      <c r="R21" s="9" t="s">
        <v>839</v>
      </c>
      <c r="S21" s="9"/>
      <c r="T21" s="9"/>
      <c r="U21" s="9"/>
      <c r="V21" s="9"/>
      <c r="W21" s="9"/>
      <c r="X21" s="9"/>
      <c r="Y21" s="9"/>
      <c r="Z21" s="9"/>
      <c r="AA21" s="9"/>
      <c r="AB21" s="9"/>
      <c r="AC21" s="7" t="s">
        <v>1175</v>
      </c>
      <c r="AD21" s="7" t="s">
        <v>1176</v>
      </c>
      <c r="AE21" s="7" t="s">
        <v>1195</v>
      </c>
      <c r="AF21" s="9" t="s">
        <v>1178</v>
      </c>
      <c r="AG21" s="9" t="s">
        <v>1205</v>
      </c>
      <c r="AH21" s="8">
        <v>2.0</v>
      </c>
      <c r="AI21" s="9" t="s">
        <v>845</v>
      </c>
      <c r="AJ21" s="9" t="s">
        <v>846</v>
      </c>
      <c r="AK21" s="8">
        <v>55.0</v>
      </c>
      <c r="AL21" s="9" t="s">
        <v>847</v>
      </c>
      <c r="AM21" s="9" t="s">
        <v>848</v>
      </c>
      <c r="AN21" s="9" t="s">
        <v>986</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9"/>
      <c r="BI21" s="9" t="s">
        <v>852</v>
      </c>
      <c r="BJ21" s="8">
        <v>1.0</v>
      </c>
      <c r="BK21" s="8">
        <v>1.0</v>
      </c>
      <c r="BL21" s="8">
        <v>0.0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2024.0</v>
      </c>
      <c r="CN21" s="9" t="s">
        <v>858</v>
      </c>
      <c r="CO21" s="9" t="s">
        <v>859</v>
      </c>
      <c r="CP21" s="9" t="s">
        <v>860</v>
      </c>
      <c r="CQ21" s="8">
        <v>0.0</v>
      </c>
      <c r="CR21" s="8">
        <v>0.0</v>
      </c>
      <c r="CS21" s="8">
        <v>0.0</v>
      </c>
      <c r="CT21" s="8">
        <v>0.0</v>
      </c>
      <c r="CU21" s="10">
        <v>1.0</v>
      </c>
      <c r="CV21" s="10">
        <v>0.0</v>
      </c>
      <c r="CW21" s="10">
        <v>0.0</v>
      </c>
      <c r="CX21" s="8">
        <v>0.0</v>
      </c>
      <c r="CY21" s="9" t="s">
        <v>860</v>
      </c>
      <c r="CZ21" s="8">
        <v>1.0</v>
      </c>
      <c r="DA21" s="8">
        <v>0.0</v>
      </c>
      <c r="DB21" s="8">
        <v>0.0</v>
      </c>
      <c r="DC21" s="9"/>
      <c r="DD21" s="9" t="s">
        <v>937</v>
      </c>
      <c r="DE21" s="8">
        <v>1.0</v>
      </c>
      <c r="DF21" s="8">
        <v>0.0</v>
      </c>
      <c r="DG21" s="8">
        <v>1.0</v>
      </c>
      <c r="DH21" s="8">
        <v>0.0</v>
      </c>
      <c r="DI21" s="9"/>
      <c r="DJ21" s="9" t="s">
        <v>937</v>
      </c>
      <c r="DK21" s="8">
        <v>1.0</v>
      </c>
      <c r="DL21" s="8">
        <v>0.0</v>
      </c>
      <c r="DM21" s="8">
        <v>1.0</v>
      </c>
      <c r="DN21" s="8">
        <v>0.0</v>
      </c>
      <c r="DO21" s="9"/>
      <c r="DP21" s="8">
        <v>1.0</v>
      </c>
      <c r="DQ21" s="8">
        <v>0.0</v>
      </c>
      <c r="DR21" s="8">
        <v>0.0</v>
      </c>
      <c r="DS21" s="9"/>
      <c r="DT21" s="9"/>
      <c r="DU21" s="9"/>
      <c r="DV21" s="9" t="s">
        <v>857</v>
      </c>
      <c r="DW21" s="9"/>
      <c r="DX21" s="9"/>
      <c r="DY21" s="9"/>
      <c r="DZ21" s="9"/>
      <c r="EA21" s="9"/>
      <c r="EB21" s="9"/>
      <c r="EC21" s="9"/>
      <c r="ED21" s="9"/>
      <c r="EE21" s="9"/>
      <c r="EF21" s="9"/>
      <c r="EG21" s="9"/>
      <c r="EH21" s="9"/>
      <c r="EI21" s="9" t="s">
        <v>862</v>
      </c>
      <c r="EJ21" s="8">
        <v>0.0</v>
      </c>
      <c r="EK21" s="8">
        <v>0.0</v>
      </c>
      <c r="EL21" s="8">
        <v>0.0</v>
      </c>
      <c r="EM21" s="8">
        <v>1.0</v>
      </c>
      <c r="EN21" s="8">
        <v>0.0</v>
      </c>
      <c r="EO21" s="11"/>
      <c r="EP21" s="9" t="s">
        <v>863</v>
      </c>
      <c r="EQ21" s="9" t="s">
        <v>864</v>
      </c>
      <c r="ER21" s="9" t="s">
        <v>861</v>
      </c>
      <c r="ES21" s="8">
        <v>1.0</v>
      </c>
      <c r="ET21" s="8">
        <v>0.0</v>
      </c>
      <c r="EU21" s="8">
        <v>0.0</v>
      </c>
      <c r="EV21" s="8">
        <v>0.0</v>
      </c>
      <c r="EW21" s="9"/>
      <c r="EX21" s="9" t="s">
        <v>865</v>
      </c>
      <c r="EY21" s="8">
        <v>1.0</v>
      </c>
      <c r="EZ21" s="8">
        <v>0.0</v>
      </c>
      <c r="FA21" s="8">
        <v>0.0</v>
      </c>
      <c r="FB21" s="9"/>
      <c r="FC21" s="9" t="s">
        <v>866</v>
      </c>
      <c r="FD21" s="9"/>
      <c r="FE21" s="9" t="s">
        <v>867</v>
      </c>
      <c r="FF21" s="9" t="s">
        <v>868</v>
      </c>
      <c r="FG21" s="9" t="s">
        <v>867</v>
      </c>
      <c r="FH21" s="9" t="s">
        <v>869</v>
      </c>
      <c r="FI21" s="9" t="s">
        <v>867</v>
      </c>
      <c r="FJ21" s="9" t="s">
        <v>869</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874</v>
      </c>
      <c r="GB21" s="8">
        <v>1.0</v>
      </c>
      <c r="GC21" s="8">
        <v>0.0</v>
      </c>
      <c r="GD21" s="8">
        <v>0.0</v>
      </c>
      <c r="GE21" s="8">
        <v>0.0</v>
      </c>
      <c r="GF21" s="9"/>
      <c r="GG21" s="9" t="s">
        <v>875</v>
      </c>
      <c r="GH21" s="9" t="s">
        <v>857</v>
      </c>
      <c r="GI21" s="9" t="s">
        <v>876</v>
      </c>
      <c r="GJ21" s="8">
        <v>1.0</v>
      </c>
      <c r="GK21" s="8">
        <v>0.0</v>
      </c>
      <c r="GL21" s="8">
        <v>0.0</v>
      </c>
      <c r="GM21" s="8">
        <v>0.0</v>
      </c>
      <c r="GN21" s="9"/>
      <c r="GO21" s="8">
        <v>10.0</v>
      </c>
      <c r="GP21" s="9" t="s">
        <v>877</v>
      </c>
      <c r="GQ21" s="9" t="s">
        <v>878</v>
      </c>
      <c r="GR21" s="8">
        <v>1.0</v>
      </c>
      <c r="GS21" s="8">
        <v>1.0</v>
      </c>
      <c r="GT21" s="8">
        <v>0.0</v>
      </c>
      <c r="GU21" s="8">
        <v>0.0</v>
      </c>
      <c r="GV21" s="8">
        <v>0.0</v>
      </c>
      <c r="GW21" s="8">
        <v>0.0</v>
      </c>
      <c r="GX21" s="8">
        <v>0.0</v>
      </c>
      <c r="GY21" s="9"/>
      <c r="GZ21" s="9" t="s">
        <v>857</v>
      </c>
      <c r="HA21" s="8">
        <v>150.0</v>
      </c>
      <c r="HB21" s="8">
        <v>150000.0</v>
      </c>
      <c r="HC21" s="8">
        <v>50.0</v>
      </c>
      <c r="HD21" s="8">
        <v>50000.0</v>
      </c>
      <c r="HE21" s="8">
        <v>9.0</v>
      </c>
      <c r="HF21" s="8">
        <v>75000.0</v>
      </c>
      <c r="HG21" s="8">
        <v>3.0</v>
      </c>
      <c r="HH21" s="8">
        <v>25000.0</v>
      </c>
      <c r="HI21" s="9"/>
      <c r="HJ21" s="9"/>
      <c r="HK21" s="9"/>
      <c r="HL21" s="9"/>
      <c r="HM21" s="9"/>
      <c r="HN21" s="9"/>
      <c r="HO21" s="9"/>
      <c r="HP21" s="9"/>
      <c r="HQ21" s="9"/>
      <c r="HR21" s="9"/>
      <c r="HS21" s="9"/>
      <c r="HT21" s="9"/>
      <c r="HU21" s="9"/>
      <c r="HV21" s="9"/>
      <c r="HW21" s="9"/>
      <c r="HX21" s="9"/>
      <c r="HY21" s="8">
        <v>100.0</v>
      </c>
      <c r="HZ21" s="8">
        <v>100000.0</v>
      </c>
      <c r="IA21" s="8">
        <v>6.0</v>
      </c>
      <c r="IB21" s="8">
        <v>50000.0</v>
      </c>
      <c r="IC21" s="9"/>
      <c r="ID21" s="9"/>
      <c r="IE21" s="9"/>
      <c r="IF21" s="9"/>
      <c r="IG21" s="9"/>
      <c r="IH21" s="9"/>
      <c r="II21" s="9"/>
      <c r="IJ21" s="9"/>
      <c r="IK21" s="9" t="s">
        <v>879</v>
      </c>
      <c r="IL21" s="9" t="s">
        <v>880</v>
      </c>
      <c r="IM21" s="9" t="s">
        <v>857</v>
      </c>
      <c r="IN21" s="9" t="s">
        <v>857</v>
      </c>
      <c r="IO21" s="9" t="s">
        <v>1206</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886</v>
      </c>
      <c r="KU21" s="9" t="s">
        <v>886</v>
      </c>
      <c r="KV21" s="9" t="s">
        <v>999</v>
      </c>
      <c r="KW21" s="8">
        <v>0.0</v>
      </c>
      <c r="KX21" s="8">
        <v>0.0</v>
      </c>
      <c r="KY21" s="8">
        <v>0.0</v>
      </c>
      <c r="KZ21" s="8">
        <v>1.0</v>
      </c>
      <c r="LA21" s="9" t="s">
        <v>1180</v>
      </c>
      <c r="LB21" s="9" t="s">
        <v>884</v>
      </c>
      <c r="LC21" s="8">
        <v>0.0</v>
      </c>
      <c r="LD21" s="8">
        <v>3.0</v>
      </c>
      <c r="LE21" s="8">
        <v>0.0</v>
      </c>
      <c r="LF21" s="8">
        <v>3.0</v>
      </c>
      <c r="LG21" s="9" t="s">
        <v>857</v>
      </c>
      <c r="LH21" s="8">
        <v>100000.0</v>
      </c>
      <c r="LI21" s="9"/>
      <c r="LJ21" s="9" t="s">
        <v>887</v>
      </c>
      <c r="LK21" s="8">
        <v>0.0</v>
      </c>
      <c r="LL21" s="8">
        <v>0.0</v>
      </c>
      <c r="LM21" s="8">
        <v>0.0</v>
      </c>
      <c r="LN21" s="8">
        <v>0.0</v>
      </c>
      <c r="LO21" s="8">
        <v>1.0</v>
      </c>
      <c r="LP21" s="8">
        <v>0.0</v>
      </c>
      <c r="LQ21" s="8">
        <v>0.0</v>
      </c>
      <c r="LR21" s="9"/>
      <c r="LS21" s="8">
        <v>15.0</v>
      </c>
      <c r="LT21" s="8">
        <v>15.0</v>
      </c>
      <c r="LU21" s="8">
        <v>0.0</v>
      </c>
      <c r="LV21" s="8">
        <v>5.0</v>
      </c>
      <c r="LW21" s="8">
        <v>5.0</v>
      </c>
      <c r="LX21" s="8">
        <v>0.0</v>
      </c>
      <c r="LY21" s="8">
        <v>5.0</v>
      </c>
      <c r="LZ21" s="8">
        <v>5.0</v>
      </c>
      <c r="MA21" s="8">
        <v>0.0</v>
      </c>
      <c r="MB21" s="9" t="s">
        <v>857</v>
      </c>
      <c r="MC21" s="8">
        <v>30.0</v>
      </c>
      <c r="MD21" s="8">
        <v>15.0</v>
      </c>
      <c r="ME21" s="8">
        <v>30.0</v>
      </c>
      <c r="MF21" s="8">
        <v>15.0</v>
      </c>
      <c r="MG21" s="8">
        <v>0.0</v>
      </c>
      <c r="MH21" s="8">
        <v>0.0</v>
      </c>
      <c r="MI21" s="9" t="s">
        <v>946</v>
      </c>
      <c r="MJ21" s="8">
        <v>0.0</v>
      </c>
      <c r="MK21" s="8">
        <v>0.0</v>
      </c>
      <c r="ML21" s="8">
        <v>1.0</v>
      </c>
      <c r="MM21" s="8">
        <v>0.0</v>
      </c>
      <c r="MN21" s="8">
        <v>0.0</v>
      </c>
      <c r="MO21" s="8">
        <v>0.0</v>
      </c>
      <c r="MP21" s="9"/>
      <c r="MQ21" s="9"/>
      <c r="MR21" s="9" t="s">
        <v>1048</v>
      </c>
      <c r="MS21" s="9"/>
      <c r="MT21" s="9" t="s">
        <v>888</v>
      </c>
      <c r="MU21" s="9" t="s">
        <v>881</v>
      </c>
      <c r="MV21" s="9"/>
      <c r="MW21" s="9"/>
      <c r="MX21" s="9"/>
      <c r="MY21" s="9"/>
      <c r="MZ21" s="9"/>
      <c r="NA21" s="9"/>
      <c r="NB21" s="9"/>
      <c r="NC21" s="9"/>
      <c r="ND21" s="9"/>
      <c r="NE21" s="9"/>
      <c r="NF21" s="9"/>
      <c r="NG21" s="9"/>
      <c r="NH21" s="9"/>
      <c r="NI21" s="9"/>
      <c r="NJ21" s="9"/>
      <c r="NK21" s="9"/>
      <c r="NL21" s="9" t="s">
        <v>857</v>
      </c>
      <c r="NM21" s="9" t="s">
        <v>893</v>
      </c>
      <c r="NN21" s="9" t="s">
        <v>993</v>
      </c>
      <c r="NO21" s="9" t="s">
        <v>994</v>
      </c>
      <c r="NP21" s="9"/>
      <c r="NQ21" s="9"/>
      <c r="NR21" s="9"/>
      <c r="NS21" s="9"/>
      <c r="NT21" s="9"/>
      <c r="NU21" s="9"/>
      <c r="NV21" s="9" t="s">
        <v>896</v>
      </c>
      <c r="NW21" s="9"/>
      <c r="NX21" s="9" t="s">
        <v>1183</v>
      </c>
      <c r="NY21" s="8">
        <v>40.0</v>
      </c>
      <c r="NZ21" s="8">
        <v>15.0</v>
      </c>
      <c r="OA21" s="8">
        <v>0.0</v>
      </c>
      <c r="OB21" s="8">
        <v>5.0</v>
      </c>
      <c r="OC21" s="8">
        <v>5.0</v>
      </c>
      <c r="OD21" s="8">
        <v>0.0</v>
      </c>
      <c r="OE21" s="9" t="s">
        <v>1180</v>
      </c>
      <c r="OF21" s="9" t="s">
        <v>1184</v>
      </c>
      <c r="OG21" s="9" t="s">
        <v>857</v>
      </c>
      <c r="OH21" s="8">
        <v>0.0</v>
      </c>
      <c r="OI21" s="8">
        <v>3.0</v>
      </c>
      <c r="OJ21" s="8">
        <v>0.0</v>
      </c>
      <c r="OK21" s="8">
        <v>0.0</v>
      </c>
      <c r="OL21" s="8">
        <v>0.0</v>
      </c>
      <c r="OM21" s="8">
        <v>0.0</v>
      </c>
      <c r="ON21" s="8">
        <v>0.0</v>
      </c>
      <c r="OO21" s="8">
        <v>0.0</v>
      </c>
      <c r="OP21" s="9" t="str">
        <f>VLOOKUP(AG21,'BUS 2'!$G$1:$CU$424,2,0)</f>
        <v>Sapi perah</v>
      </c>
      <c r="OQ21" s="8">
        <f>VLOOKUP(AG21,'BUS 2'!$G$1:$CU$424,3,0)</f>
        <v>0</v>
      </c>
      <c r="OR21" s="8">
        <f>VLOOKUP(AG21,'BUS 2'!$G$1:$CU$424,4,0)</f>
        <v>1</v>
      </c>
      <c r="OS21" s="8">
        <f>VLOOKUP(AG21,'BUS 2'!$G$1:$CU$424,5,0)</f>
        <v>0</v>
      </c>
      <c r="OT21" s="8">
        <f>VLOOKUP(AG21,'BUS 2'!$G$1:$CU$424,6,0)</f>
        <v>0</v>
      </c>
      <c r="OU21" s="8">
        <f>VLOOKUP(AG21,'BUS 2'!$G$1:$CU$424,7,0)</f>
        <v>0</v>
      </c>
      <c r="OV21" s="8">
        <f>VLOOKUP(AG21,'BUS 2'!$G$1:$CU$424,8,0)</f>
        <v>0</v>
      </c>
      <c r="OW21" s="8">
        <f>VLOOKUP(AG21,'BUS 2'!$G$1:$CU$424,9,0)</f>
        <v>0</v>
      </c>
      <c r="OX21" s="8">
        <f>VLOOKUP(AG21,'BUS 2'!$G$1:$CU$424,10,0)</f>
        <v>0</v>
      </c>
      <c r="OY21" s="8">
        <f>VLOOKUP(AG21,'BUS 2'!$G$1:$CU$424,11,0)</f>
        <v>0</v>
      </c>
      <c r="OZ21" s="8" t="str">
        <f>VLOOKUP(AG21,'BUS 2'!$G$1:$CU$424,12,0)</f>
        <v>Sapi perah</v>
      </c>
      <c r="PA21" s="8">
        <f>VLOOKUP(AG21,'BUS 2'!$G$1:$CU$424,13,0)</f>
        <v>0</v>
      </c>
      <c r="PB21" s="8">
        <f>VLOOKUP(AG21,'BUS 2'!$G$1:$CU$424,14,0)</f>
        <v>1</v>
      </c>
      <c r="PC21" s="8">
        <f>VLOOKUP(AG21,'BUS 2'!$G$1:$CU$424,15,0)</f>
        <v>0</v>
      </c>
      <c r="PD21" s="8">
        <f>VLOOKUP(AG21,'BUS 2'!$G$1:$CU$424,16,0)</f>
        <v>0</v>
      </c>
      <c r="PE21" s="8">
        <f>VLOOKUP(AG21,'BUS 2'!$G$1:$CU$424,17,0)</f>
        <v>0</v>
      </c>
      <c r="PF21" s="8">
        <f>VLOOKUP(AG21,'BUS 2'!$G$1:$CU$424,18,0)</f>
        <v>0</v>
      </c>
      <c r="PG21" s="8">
        <f>VLOOKUP(AG21,'BUS 2'!$G$1:$CU$424,19,0)</f>
        <v>0</v>
      </c>
      <c r="PH21" s="8">
        <f>VLOOKUP(AG21,'BUS 2'!$G$1:$CU$424,20,0)</f>
        <v>0</v>
      </c>
      <c r="PI21" s="8">
        <f>VLOOKUP(AG21,'BUS 2'!$G$1:$CU$424,21,0)</f>
        <v>0</v>
      </c>
      <c r="PJ21" s="8" t="str">
        <f>VLOOKUP(AG21,'BUS 2'!$G$1:$CU$424,22,0)</f>
        <v>Tidak ada</v>
      </c>
      <c r="PK21" s="8">
        <f>VLOOKUP(AG21,'BUS 2'!$G$1:$CU$424,23,0)</f>
        <v>0</v>
      </c>
      <c r="PL21" s="8">
        <f>VLOOKUP(AG21,'BUS 2'!$G$1:$CU$424,24,0)</f>
        <v>0</v>
      </c>
      <c r="PM21" s="8">
        <f>VLOOKUP(AG21,'BUS 2'!$G$1:$CU$424,25,0)</f>
        <v>0</v>
      </c>
      <c r="PN21" s="8">
        <f>VLOOKUP(AG21,'BUS 2'!$G$1:$CU$424,26,0)</f>
        <v>0</v>
      </c>
      <c r="PO21" s="8">
        <f>VLOOKUP(AG21,'BUS 2'!$G$1:$CU$424,27,0)</f>
        <v>0</v>
      </c>
      <c r="PP21" s="8">
        <f>VLOOKUP(AG21,'BUS 2'!$G$1:$CU$424,28,0)</f>
        <v>0</v>
      </c>
      <c r="PQ21" s="8">
        <f>VLOOKUP(AG21,'BUS 2'!$G$1:$CU$424,29,0)</f>
        <v>0</v>
      </c>
      <c r="PR21" s="8">
        <f>VLOOKUP(AG21,'BUS 2'!$G$1:$CU$424,30,0)</f>
        <v>0</v>
      </c>
      <c r="PS21" s="8">
        <f>VLOOKUP(AG21,'BUS 2'!$G$1:$CU$424,31,0)</f>
        <v>1</v>
      </c>
      <c r="PT21" s="9"/>
      <c r="PU21" s="9"/>
      <c r="PV21" s="9"/>
      <c r="PW21" s="9"/>
      <c r="PX21" s="9"/>
      <c r="PY21" s="9"/>
      <c r="PZ21" s="9"/>
      <c r="QA21" s="9"/>
      <c r="QB21" s="9"/>
      <c r="QC21" s="9"/>
      <c r="QD21" s="9"/>
      <c r="QE21" s="9" t="s">
        <v>900</v>
      </c>
      <c r="QF21" s="8">
        <v>0.0</v>
      </c>
      <c r="QG21" s="8">
        <v>0.0</v>
      </c>
      <c r="QH21" s="8">
        <v>0.0</v>
      </c>
      <c r="QI21" s="8">
        <v>0.0</v>
      </c>
      <c r="QJ21" s="8">
        <v>0.0</v>
      </c>
      <c r="QK21" s="8">
        <v>1.0</v>
      </c>
      <c r="QL21" s="8">
        <v>0.0</v>
      </c>
      <c r="QM21" s="8">
        <v>0.0</v>
      </c>
      <c r="QN21" s="8">
        <v>0.0</v>
      </c>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8" t="str">
        <f>VLOOKUP(AG21,'BUS 2'!$G$1:$CU$424,33,0)</f>
        <v/>
      </c>
      <c r="SZ21" s="9">
        <f>VLOOKUP(AG21,'BUS 2'!$G$1:$CU$424,34,0)</f>
        <v>3</v>
      </c>
      <c r="TA21" s="9" t="str">
        <f>VLOOKUP(AG21,'BUS 2'!$G$1:$CU$424,35,0)</f>
        <v/>
      </c>
      <c r="TB21" s="9" t="str">
        <f>VLOOKUP(AG21,'BUS 2'!$G$1:$CU$424,36,0)</f>
        <v/>
      </c>
      <c r="TC21" s="9" t="str">
        <f>VLOOKUP(AG21,'BUS 2'!$G$1:$CU$424,37,0)</f>
        <v/>
      </c>
      <c r="TD21" s="9" t="str">
        <f>VLOOKUP(AG21,'BUS 2'!$G$1:$CU$424,38,0)</f>
        <v/>
      </c>
      <c r="TE21" s="9" t="str">
        <f>VLOOKUP(AG21,'BUS 2'!$G$1:$CU$424,39,0)</f>
        <v/>
      </c>
      <c r="TF21" s="9" t="str">
        <f>VLOOKUP(AG21,'BUS 2'!$G$1:$CU$424,40,0)</f>
        <v/>
      </c>
      <c r="TG21" s="8" t="str">
        <f>VLOOKUP(AG21,'BUS 2'!$G$1:$CU$424,42,0)</f>
        <v/>
      </c>
      <c r="TH21" s="8">
        <f>VLOOKUP(AG21,'BUS 2'!$G$1:$CU$424,43,0)</f>
        <v>3</v>
      </c>
      <c r="TI21" s="8" t="str">
        <f>VLOOKUP(AG21,'BUS 2'!$G$1:$CU$424,44,0)</f>
        <v/>
      </c>
      <c r="TJ21" s="8" t="str">
        <f>VLOOKUP(AG21,'BUS 2'!$G$1:$CU$424,45,0)</f>
        <v/>
      </c>
      <c r="TK21" s="8" t="str">
        <f>VLOOKUP(AG21,'BUS 2'!$G$1:$CU$424,46,0)</f>
        <v/>
      </c>
      <c r="TL21" s="8" t="str">
        <f>VLOOKUP(AG21,'BUS 2'!$G$1:$CU$424,47,0)</f>
        <v/>
      </c>
      <c r="TM21" s="8" t="str">
        <f>VLOOKUP(AG21,'BUS 2'!$G$1:$CU$424,48,0)</f>
        <v/>
      </c>
      <c r="TN21" s="8" t="str">
        <f>VLOOKUP(AG21,'BUS 2'!$G$1:$CU$424,49,0)</f>
        <v/>
      </c>
      <c r="TO21" s="8" t="str">
        <f>VLOOKUP(AG21,'BUS 2'!$G$1:$CU$424,50,0)</f>
        <v/>
      </c>
      <c r="TP21" s="8" t="str">
        <f>VLOOKUP(AG21,'BUS 2'!$G$1:$CU$424,51,0)</f>
        <v/>
      </c>
      <c r="TQ21" s="8" t="str">
        <f>VLOOKUP(AG21,'BUS 2'!$G$1:$CU$424,52,0)</f>
        <v/>
      </c>
      <c r="TR21" s="8" t="str">
        <f>VLOOKUP(AG21,'BUS 2'!$G$1:$CU$424,53,0)</f>
        <v/>
      </c>
      <c r="TS21" s="9" t="str">
        <f>VLOOKUP(AG21,'BUS 2'!$G$1:$CU$424,54,0)</f>
        <v/>
      </c>
      <c r="TT21" s="9" t="str">
        <f>VLOOKUP(AG21,'BUS 2'!$G$1:$CU$424,55,0)</f>
        <v/>
      </c>
      <c r="TU21" s="9" t="str">
        <f>VLOOKUP(AG21,'BUS 2'!$G$1:$CU$424,56,0)</f>
        <v/>
      </c>
      <c r="TV21" s="9" t="str">
        <f>VLOOKUP(AG21,'BUS 2'!$G$1:$CU$424,57,0)</f>
        <v/>
      </c>
      <c r="TW21" s="9" t="str">
        <f>VLOOKUP(AG21,'BUS 2'!$G$1:$CU$424,58,0)</f>
        <v/>
      </c>
      <c r="TX21" s="9" t="str">
        <f>VLOOKUP(AG21,'BUS 2'!$G$1:$CU$424,59,0)</f>
        <v/>
      </c>
      <c r="TY21" s="9" t="str">
        <f>VLOOKUP(AG21,'BUS 2'!$G$1:$CU$424,60,0)</f>
        <v/>
      </c>
      <c r="TZ21" s="9" t="str">
        <f>VLOOKUP(AG21,'BUS 2'!$G$1:$CU$424,61,0)</f>
        <v/>
      </c>
      <c r="UA21" s="9" t="str">
        <f>VLOOKUP(AG21,'BUS 2'!$G$1:$CU$424,62,0)</f>
        <v/>
      </c>
      <c r="UB21" s="9" t="str">
        <f>VLOOKUP(AG21,'BUS 2'!$G$1:$CU$424,63,0)</f>
        <v/>
      </c>
      <c r="UC21" s="9" t="str">
        <f>VLOOKUP(AG21,'BUS 2'!$G$1:$CU$424,64,0)</f>
        <v/>
      </c>
      <c r="UD21" s="9" t="str">
        <f>VLOOKUP(AG21,'BUS 2'!$G$1:$CU$424,65,0)</f>
        <v/>
      </c>
      <c r="UE21" s="9" t="str">
        <f>VLOOKUP(AG21,'BUS 2'!$G$1:$CU$424,66,0)</f>
        <v/>
      </c>
      <c r="UF21" s="9" t="str">
        <f>VLOOKUP(AG21,'BUS 2'!$G$1:$CU$424,67,0)</f>
        <v/>
      </c>
      <c r="UG21" s="9" t="str">
        <f>VLOOKUP(AG21,'BUS 2'!$G$1:$CU$424,68,0)</f>
        <v/>
      </c>
      <c r="UH21" s="9" t="str">
        <f>VLOOKUP(AG21,'BUS 2'!$G$1:$CU$424,69,0)</f>
        <v/>
      </c>
      <c r="UI21" s="9" t="str">
        <f>VLOOKUP(AG21,'BUS 2'!$G$1:$CU$424,70,0)</f>
        <v/>
      </c>
      <c r="UJ21" s="9" t="str">
        <f>VLOOKUP(AG21,'BUS 2'!$G$1:$CU$424,71,0)</f>
        <v/>
      </c>
      <c r="UK21" s="9" t="str">
        <f>VLOOKUP(AG21,'BUS 2'!$G$1:$CU$424,72,0)</f>
        <v/>
      </c>
      <c r="UL21" s="9" t="str">
        <f>VLOOKUP(AG21,'BUS 2'!$G$1:$CU$424,73,0)</f>
        <v/>
      </c>
      <c r="UM21" s="9" t="str">
        <f>VLOOKUP(AG21,'BUS 2'!$G$1:$CU$424,74,0)</f>
        <v/>
      </c>
      <c r="UN21" s="9" t="str">
        <f>VLOOKUP(AG21,'BUS 2'!$G$1:$CU$424,75,0)</f>
        <v/>
      </c>
      <c r="UO21" s="9" t="str">
        <f>VLOOKUP(AG21,'BUS 2'!$G$1:$CU$424,76,0)</f>
        <v/>
      </c>
      <c r="UP21" s="9" t="str">
        <f>VLOOKUP(AG21,'BUS 2'!$G$1:$CU$424,77,0)</f>
        <v/>
      </c>
      <c r="UQ21" s="9" t="str">
        <f>VLOOKUP(AG21,'BUS 2'!$G$1:$CU$424,78,0)</f>
        <v/>
      </c>
      <c r="UR21" s="9" t="str">
        <f>VLOOKUP(AG21,'BUS 2'!$G$1:$CU$424,79,0)</f>
        <v/>
      </c>
      <c r="US21" s="9" t="str">
        <f>VLOOKUP(AG21,'BUS 2'!$G$1:$CU$424,80,0)</f>
        <v/>
      </c>
      <c r="UT21" s="9" t="str">
        <f>VLOOKUP(AG21,'BUS 2'!$G$1:$CU$424,81,0)</f>
        <v/>
      </c>
      <c r="UU21" s="9"/>
      <c r="UV21" s="9" t="s">
        <v>901</v>
      </c>
      <c r="UW21" s="9"/>
      <c r="UX21" s="9"/>
      <c r="UY21" s="9"/>
      <c r="UZ21" s="9"/>
      <c r="VA21" s="9"/>
      <c r="VB21" s="9"/>
      <c r="VC21" s="9"/>
      <c r="VD21" s="9" t="s">
        <v>950</v>
      </c>
      <c r="VE21" s="9"/>
      <c r="VF21" s="9"/>
      <c r="VG21" s="9"/>
      <c r="VH21" s="9"/>
      <c r="VI21" s="9"/>
      <c r="VJ21" s="9"/>
      <c r="VK21" s="9"/>
      <c r="VL21" s="9" t="s">
        <v>903</v>
      </c>
      <c r="VM21" s="9"/>
      <c r="VN21" s="9"/>
      <c r="VO21" s="9"/>
      <c r="VP21" s="9"/>
      <c r="VQ21" s="9"/>
      <c r="VR21" s="9"/>
      <c r="VS21" s="9"/>
      <c r="VT21" s="9"/>
      <c r="VU21" s="9"/>
      <c r="VV21" s="9"/>
      <c r="VW21" s="9"/>
      <c r="VX21" s="9"/>
      <c r="VY21" s="9"/>
      <c r="VZ21" s="9"/>
      <c r="WA21" s="9"/>
      <c r="WB21" s="9"/>
      <c r="WC21" s="9"/>
      <c r="WD21" s="9"/>
      <c r="WE21" s="9"/>
      <c r="WF21" s="9" t="s">
        <v>1207</v>
      </c>
      <c r="WG21" s="8">
        <v>0.0</v>
      </c>
      <c r="WH21" s="8">
        <v>0.0</v>
      </c>
      <c r="WI21" s="8">
        <v>0.0</v>
      </c>
      <c r="WJ21" s="8">
        <v>1.0</v>
      </c>
      <c r="WK21" s="8">
        <v>1.0</v>
      </c>
      <c r="WL21" s="8">
        <v>1.0</v>
      </c>
      <c r="WM21" s="8">
        <v>0.0</v>
      </c>
      <c r="WN21" s="8">
        <v>0.0</v>
      </c>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8">
        <v>60.0</v>
      </c>
      <c r="ZP21" s="9"/>
      <c r="ZQ21" s="9"/>
      <c r="ZR21" s="9"/>
      <c r="ZS21" s="9"/>
      <c r="ZT21" s="9"/>
      <c r="ZU21" s="9"/>
      <c r="ZV21" s="9"/>
      <c r="ZW21" s="8">
        <v>2.0</v>
      </c>
      <c r="ZX21" s="9"/>
      <c r="ZY21" s="9"/>
      <c r="ZZ21" s="9"/>
      <c r="AAA21" s="9"/>
      <c r="AAB21" s="9"/>
      <c r="AAC21" s="9"/>
      <c r="AAD21" s="9"/>
      <c r="AAE21" s="9" t="s">
        <v>905</v>
      </c>
      <c r="AAF21" s="9"/>
      <c r="AAG21" s="9"/>
      <c r="AAH21" s="9"/>
      <c r="AAI21" s="9"/>
      <c r="AAJ21" s="9"/>
      <c r="AAK21" s="9"/>
      <c r="AAL21" s="9" t="s">
        <v>857</v>
      </c>
      <c r="AAM21" s="9" t="s">
        <v>1033</v>
      </c>
      <c r="AAN21" s="8">
        <v>1.0</v>
      </c>
      <c r="AAO21" s="8">
        <v>1.0</v>
      </c>
      <c r="AAP21" s="8">
        <v>60.0</v>
      </c>
      <c r="AAQ21" s="8">
        <v>60.0</v>
      </c>
      <c r="AAR21" s="9" t="s">
        <v>857</v>
      </c>
      <c r="AAS21" s="9" t="s">
        <v>867</v>
      </c>
      <c r="AAT21" s="9" t="s">
        <v>906</v>
      </c>
      <c r="AAU21" s="8">
        <v>1.0</v>
      </c>
      <c r="AAV21" s="8">
        <v>0.0</v>
      </c>
      <c r="AAW21" s="8">
        <v>0.0</v>
      </c>
      <c r="AAX21" s="8">
        <v>0.0</v>
      </c>
      <c r="AAY21" s="8">
        <v>0.0</v>
      </c>
      <c r="AAZ21" s="8">
        <v>0.0</v>
      </c>
      <c r="ABA21" s="8">
        <v>0.0</v>
      </c>
      <c r="ABB21" s="9" t="s">
        <v>907</v>
      </c>
      <c r="ABC21" s="8">
        <v>1.0</v>
      </c>
      <c r="ABD21" s="8">
        <v>0.0</v>
      </c>
      <c r="ABE21" s="8">
        <v>0.0</v>
      </c>
      <c r="ABF21" s="8">
        <v>0.0</v>
      </c>
      <c r="ABG21" s="8">
        <v>0.0</v>
      </c>
      <c r="ABH21" s="9"/>
      <c r="ABI21" s="9"/>
      <c r="ABJ21" s="9"/>
      <c r="ABK21" s="9"/>
      <c r="ABL21" s="9"/>
      <c r="ABM21" s="9"/>
      <c r="ABN21" s="9"/>
      <c r="ABO21" s="9"/>
      <c r="ABP21" s="9"/>
      <c r="ABQ21" s="11" t="s">
        <v>953</v>
      </c>
      <c r="ABR21" s="9" t="s">
        <v>1075</v>
      </c>
      <c r="ABS21" s="8">
        <v>3000.0</v>
      </c>
      <c r="ABT21" s="9"/>
      <c r="ABU21" s="8">
        <v>60.0</v>
      </c>
      <c r="ABV21" s="8">
        <v>60.0</v>
      </c>
      <c r="ABW21" s="9" t="s">
        <v>1199</v>
      </c>
      <c r="ABX21" s="9"/>
      <c r="ABY21" s="8">
        <v>30.0</v>
      </c>
      <c r="ABZ21" s="8">
        <v>4000.0</v>
      </c>
      <c r="ACA21" s="8">
        <v>0.0</v>
      </c>
      <c r="ACB21" s="8">
        <v>4000.0</v>
      </c>
      <c r="ACC21" s="8">
        <v>600.0</v>
      </c>
      <c r="ACD21" s="8">
        <v>750.0</v>
      </c>
      <c r="ACE21" s="9" t="s">
        <v>857</v>
      </c>
      <c r="ACF21" s="9" t="s">
        <v>1183</v>
      </c>
      <c r="ACG21" s="9" t="s">
        <v>911</v>
      </c>
      <c r="ACH21" s="9" t="s">
        <v>911</v>
      </c>
      <c r="ACI21" s="9"/>
      <c r="ACJ21" s="9"/>
      <c r="ACK21" s="9"/>
      <c r="ACL21" s="9"/>
      <c r="ACM21" s="9"/>
      <c r="ACN21" s="9"/>
      <c r="ACO21" s="9"/>
      <c r="ACP21" s="9"/>
      <c r="ACQ21" s="9"/>
      <c r="ACR21" s="9"/>
      <c r="ACS21" s="9"/>
      <c r="ACT21" s="9" t="s">
        <v>912</v>
      </c>
      <c r="ACU21" s="9" t="s">
        <v>1050</v>
      </c>
      <c r="ACV21" s="9" t="s">
        <v>957</v>
      </c>
      <c r="ACW21" s="9" t="s">
        <v>915</v>
      </c>
      <c r="ACX21" s="9" t="s">
        <v>916</v>
      </c>
      <c r="ACY21" s="9" t="s">
        <v>1017</v>
      </c>
      <c r="ACZ21" s="8">
        <v>1.0</v>
      </c>
      <c r="ADA21" s="8">
        <v>1.0</v>
      </c>
      <c r="ADB21" s="8">
        <v>1.0</v>
      </c>
      <c r="ADC21" s="8">
        <v>0.0</v>
      </c>
      <c r="ADD21" s="9" t="s">
        <v>917</v>
      </c>
      <c r="ADE21" s="9" t="s">
        <v>917</v>
      </c>
      <c r="ADF21" s="9" t="s">
        <v>917</v>
      </c>
      <c r="ADG21" s="9" t="s">
        <v>917</v>
      </c>
      <c r="ADH21" s="9" t="s">
        <v>881</v>
      </c>
      <c r="ADI21" s="9"/>
      <c r="ADJ21" s="9" t="s">
        <v>917</v>
      </c>
      <c r="ADK21" s="9"/>
      <c r="ADL21" s="9"/>
      <c r="ADM21" s="9"/>
      <c r="ADN21" s="9"/>
      <c r="ADO21" s="9"/>
      <c r="ADP21" s="9"/>
      <c r="ADQ21" s="9"/>
      <c r="ADR21" s="9"/>
      <c r="ADS21" s="9"/>
      <c r="ADT21" s="9"/>
      <c r="ADU21" s="9" t="s">
        <v>919</v>
      </c>
      <c r="ADV21" s="8">
        <v>0.0</v>
      </c>
      <c r="ADW21" s="8">
        <v>0.0</v>
      </c>
      <c r="ADX21" s="8">
        <v>0.0</v>
      </c>
      <c r="ADY21" s="8">
        <v>0.0</v>
      </c>
      <c r="ADZ21" s="8">
        <v>1.0</v>
      </c>
      <c r="AEA21" s="8">
        <v>0.0</v>
      </c>
      <c r="AEB21" s="8">
        <v>0.0</v>
      </c>
      <c r="AEC21" s="8">
        <v>0.0</v>
      </c>
      <c r="AED21" s="12"/>
      <c r="AEE21" s="17" t="s">
        <v>872</v>
      </c>
      <c r="AEF21" s="9"/>
      <c r="AEG21" s="17" t="s">
        <v>920</v>
      </c>
      <c r="AEH21" s="9"/>
      <c r="AEI21" s="11" t="s">
        <v>999</v>
      </c>
      <c r="AEJ21" s="9" t="s">
        <v>871</v>
      </c>
      <c r="AEK21" s="17" t="s">
        <v>1076</v>
      </c>
      <c r="AEL21" s="18">
        <v>1.0</v>
      </c>
      <c r="AEM21" s="18">
        <v>1.0</v>
      </c>
      <c r="AEN21" s="18">
        <v>1.0</v>
      </c>
      <c r="AEO21" s="18">
        <v>1.0</v>
      </c>
      <c r="AEP21" s="18">
        <v>1.0</v>
      </c>
      <c r="AEQ21" s="18">
        <v>1.0</v>
      </c>
      <c r="AER21" s="18">
        <v>1.0</v>
      </c>
      <c r="AES21" s="18">
        <v>1.0</v>
      </c>
      <c r="AET21" s="18">
        <v>0.0</v>
      </c>
      <c r="AEU21" s="18">
        <v>0.0</v>
      </c>
      <c r="AEV21" s="18">
        <v>0.0</v>
      </c>
      <c r="AEW21" s="18">
        <v>0.0</v>
      </c>
      <c r="AEX21" s="9"/>
      <c r="AEY21" s="9" t="s">
        <v>923</v>
      </c>
      <c r="AEZ21" s="9"/>
      <c r="AFA21" s="9" t="s">
        <v>1188</v>
      </c>
      <c r="AFB21" s="9"/>
      <c r="AFC21" s="9" t="s">
        <v>1208</v>
      </c>
      <c r="AFD21" s="16" t="s">
        <v>1209</v>
      </c>
      <c r="AFE21" s="9" t="s">
        <v>1210</v>
      </c>
      <c r="AFF21" s="16" t="s">
        <v>1211</v>
      </c>
      <c r="AFG21" s="9" t="s">
        <v>1137</v>
      </c>
      <c r="AFH21" s="9"/>
      <c r="AFI21" s="9"/>
    </row>
    <row r="22">
      <c r="A22" s="6">
        <v>46059.0</v>
      </c>
      <c r="B22" s="6">
        <v>46059.0</v>
      </c>
      <c r="C22" s="7" t="s">
        <v>837</v>
      </c>
      <c r="D22" s="7" t="s">
        <v>1212</v>
      </c>
      <c r="E22" s="8">
        <v>6.283153516334E12</v>
      </c>
      <c r="F22" s="9"/>
      <c r="G22" s="8">
        <v>-7.212259</v>
      </c>
      <c r="H22" s="8">
        <v>110.2652614</v>
      </c>
      <c r="I22" s="9"/>
      <c r="J22" s="8">
        <v>2.68</v>
      </c>
      <c r="K22" s="9"/>
      <c r="L22" s="9"/>
      <c r="M22" s="8">
        <v>-7.2122466</v>
      </c>
      <c r="N22" s="8">
        <v>110.2653124</v>
      </c>
      <c r="O22" s="9"/>
      <c r="P22" s="8">
        <v>3.48</v>
      </c>
      <c r="Q22" s="9"/>
      <c r="R22" s="9" t="s">
        <v>839</v>
      </c>
      <c r="S22" s="9"/>
      <c r="T22" s="9"/>
      <c r="U22" s="9"/>
      <c r="V22" s="9"/>
      <c r="W22" s="9"/>
      <c r="X22" s="9"/>
      <c r="Y22" s="9"/>
      <c r="Z22" s="9"/>
      <c r="AA22" s="9"/>
      <c r="AB22" s="9"/>
      <c r="AC22" s="7" t="s">
        <v>1175</v>
      </c>
      <c r="AD22" s="7" t="s">
        <v>1176</v>
      </c>
      <c r="AE22" s="7" t="s">
        <v>1195</v>
      </c>
      <c r="AF22" s="9" t="s">
        <v>1178</v>
      </c>
      <c r="AG22" s="9" t="s">
        <v>1213</v>
      </c>
      <c r="AH22" s="8">
        <v>3.0</v>
      </c>
      <c r="AI22" s="9" t="s">
        <v>845</v>
      </c>
      <c r="AJ22" s="9" t="s">
        <v>846</v>
      </c>
      <c r="AK22" s="8">
        <v>60.0</v>
      </c>
      <c r="AL22" s="9" t="s">
        <v>847</v>
      </c>
      <c r="AM22" s="9" t="s">
        <v>848</v>
      </c>
      <c r="AN22" s="9" t="s">
        <v>1009</v>
      </c>
      <c r="AO22" s="9" t="s">
        <v>850</v>
      </c>
      <c r="AP22" s="8">
        <v>1.0</v>
      </c>
      <c r="AQ22" s="8">
        <v>0.0</v>
      </c>
      <c r="AR22" s="8">
        <v>0.0</v>
      </c>
      <c r="AS22" s="8">
        <v>0.0</v>
      </c>
      <c r="AT22" s="8">
        <v>0.0</v>
      </c>
      <c r="AU22" s="8">
        <v>0.0</v>
      </c>
      <c r="AV22" s="8">
        <v>0.0</v>
      </c>
      <c r="AW22" s="8">
        <v>0.0</v>
      </c>
      <c r="AX22" s="9"/>
      <c r="AY22" s="9" t="s">
        <v>935</v>
      </c>
      <c r="AZ22" s="8">
        <v>0.0</v>
      </c>
      <c r="BA22" s="8">
        <v>1.0</v>
      </c>
      <c r="BB22" s="8">
        <v>0.0</v>
      </c>
      <c r="BC22" s="8">
        <v>0.0</v>
      </c>
      <c r="BD22" s="8">
        <v>0.0</v>
      </c>
      <c r="BE22" s="8">
        <v>0.0</v>
      </c>
      <c r="BF22" s="8">
        <v>0.0</v>
      </c>
      <c r="BG22" s="8">
        <v>0.0</v>
      </c>
      <c r="BH22" s="9"/>
      <c r="BI22" s="9" t="s">
        <v>852</v>
      </c>
      <c r="BJ22" s="8">
        <v>2.0</v>
      </c>
      <c r="BK22" s="8">
        <v>2.0</v>
      </c>
      <c r="BL22" s="8">
        <v>0.0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859</v>
      </c>
      <c r="CP22" s="9" t="s">
        <v>860</v>
      </c>
      <c r="CQ22" s="8">
        <v>0.0</v>
      </c>
      <c r="CR22" s="8">
        <v>0.0</v>
      </c>
      <c r="CS22" s="8">
        <v>0.0</v>
      </c>
      <c r="CT22" s="8">
        <v>0.0</v>
      </c>
      <c r="CU22" s="10">
        <v>1.0</v>
      </c>
      <c r="CV22" s="10">
        <v>0.0</v>
      </c>
      <c r="CW22" s="10">
        <v>0.0</v>
      </c>
      <c r="CX22" s="8">
        <v>0.0</v>
      </c>
      <c r="CY22" s="9" t="s">
        <v>860</v>
      </c>
      <c r="CZ22" s="8">
        <v>1.0</v>
      </c>
      <c r="DA22" s="8">
        <v>0.0</v>
      </c>
      <c r="DB22" s="8">
        <v>0.0</v>
      </c>
      <c r="DC22" s="9"/>
      <c r="DD22" s="9" t="s">
        <v>937</v>
      </c>
      <c r="DE22" s="8">
        <v>1.0</v>
      </c>
      <c r="DF22" s="8">
        <v>0.0</v>
      </c>
      <c r="DG22" s="8">
        <v>1.0</v>
      </c>
      <c r="DH22" s="8">
        <v>0.0</v>
      </c>
      <c r="DI22" s="9"/>
      <c r="DJ22" s="9" t="s">
        <v>937</v>
      </c>
      <c r="DK22" s="8">
        <v>1.0</v>
      </c>
      <c r="DL22" s="8">
        <v>0.0</v>
      </c>
      <c r="DM22" s="8">
        <v>1.0</v>
      </c>
      <c r="DN22" s="8">
        <v>0.0</v>
      </c>
      <c r="DO22" s="9"/>
      <c r="DP22" s="8">
        <v>1.0</v>
      </c>
      <c r="DQ22" s="8">
        <v>0.0</v>
      </c>
      <c r="DR22" s="8">
        <v>0.0</v>
      </c>
      <c r="DS22" s="9"/>
      <c r="DT22" s="9"/>
      <c r="DU22" s="9"/>
      <c r="DV22" s="9" t="s">
        <v>857</v>
      </c>
      <c r="DW22" s="9"/>
      <c r="DX22" s="9"/>
      <c r="DY22" s="9"/>
      <c r="DZ22" s="9"/>
      <c r="EA22" s="9"/>
      <c r="EB22" s="9"/>
      <c r="EC22" s="9"/>
      <c r="ED22" s="9"/>
      <c r="EE22" s="9"/>
      <c r="EF22" s="9"/>
      <c r="EG22" s="9"/>
      <c r="EH22" s="9"/>
      <c r="EI22" s="9" t="s">
        <v>862</v>
      </c>
      <c r="EJ22" s="8">
        <v>0.0</v>
      </c>
      <c r="EK22" s="8">
        <v>0.0</v>
      </c>
      <c r="EL22" s="8">
        <v>0.0</v>
      </c>
      <c r="EM22" s="8">
        <v>1.0</v>
      </c>
      <c r="EN22" s="8">
        <v>0.0</v>
      </c>
      <c r="EO22" s="11"/>
      <c r="EP22" s="9" t="s">
        <v>863</v>
      </c>
      <c r="EQ22" s="9" t="s">
        <v>864</v>
      </c>
      <c r="ER22" s="9" t="s">
        <v>861</v>
      </c>
      <c r="ES22" s="8">
        <v>1.0</v>
      </c>
      <c r="ET22" s="8">
        <v>0.0</v>
      </c>
      <c r="EU22" s="8">
        <v>0.0</v>
      </c>
      <c r="EV22" s="8">
        <v>0.0</v>
      </c>
      <c r="EW22" s="9"/>
      <c r="EX22" s="9" t="s">
        <v>865</v>
      </c>
      <c r="EY22" s="8">
        <v>1.0</v>
      </c>
      <c r="EZ22" s="8">
        <v>0.0</v>
      </c>
      <c r="FA22" s="8">
        <v>0.0</v>
      </c>
      <c r="FB22" s="9"/>
      <c r="FC22" s="9" t="s">
        <v>1072</v>
      </c>
      <c r="FD22" s="9"/>
      <c r="FE22" s="9" t="s">
        <v>867</v>
      </c>
      <c r="FF22" s="9" t="s">
        <v>868</v>
      </c>
      <c r="FG22" s="9" t="s">
        <v>867</v>
      </c>
      <c r="FH22" s="9" t="s">
        <v>868</v>
      </c>
      <c r="FI22" s="9" t="s">
        <v>867</v>
      </c>
      <c r="FJ22" s="9" t="s">
        <v>868</v>
      </c>
      <c r="FK22" s="9" t="s">
        <v>867</v>
      </c>
      <c r="FL22" s="9" t="s">
        <v>943</v>
      </c>
      <c r="FM22" s="9" t="s">
        <v>867</v>
      </c>
      <c r="FN22" s="9" t="s">
        <v>869</v>
      </c>
      <c r="FO22" s="9" t="s">
        <v>867</v>
      </c>
      <c r="FP22" s="9" t="s">
        <v>869</v>
      </c>
      <c r="FQ22" s="9" t="s">
        <v>867</v>
      </c>
      <c r="FR22" s="9" t="s">
        <v>857</v>
      </c>
      <c r="FS22" s="9" t="s">
        <v>867</v>
      </c>
      <c r="FT22" s="9" t="s">
        <v>871</v>
      </c>
      <c r="FU22" s="9" t="s">
        <v>989</v>
      </c>
      <c r="FV22" s="8">
        <v>1.0</v>
      </c>
      <c r="FW22" s="8">
        <v>1.0</v>
      </c>
      <c r="FX22" s="8">
        <v>0.0</v>
      </c>
      <c r="FY22" s="8">
        <v>0.0</v>
      </c>
      <c r="FZ22" s="9" t="s">
        <v>873</v>
      </c>
      <c r="GA22" s="9" t="s">
        <v>874</v>
      </c>
      <c r="GB22" s="8">
        <v>1.0</v>
      </c>
      <c r="GC22" s="8">
        <v>0.0</v>
      </c>
      <c r="GD22" s="8">
        <v>0.0</v>
      </c>
      <c r="GE22" s="8">
        <v>0.0</v>
      </c>
      <c r="GF22" s="9"/>
      <c r="GG22" s="9" t="s">
        <v>875</v>
      </c>
      <c r="GH22" s="9" t="s">
        <v>857</v>
      </c>
      <c r="GI22" s="9" t="s">
        <v>876</v>
      </c>
      <c r="GJ22" s="8">
        <v>1.0</v>
      </c>
      <c r="GK22" s="8">
        <v>0.0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20.0</v>
      </c>
      <c r="HB22" s="8">
        <v>200000.0</v>
      </c>
      <c r="HC22" s="8">
        <v>12.0</v>
      </c>
      <c r="HD22" s="8">
        <v>100000.0</v>
      </c>
      <c r="HE22" s="8">
        <v>12.0</v>
      </c>
      <c r="HF22" s="8">
        <v>100000.0</v>
      </c>
      <c r="HG22" s="8">
        <v>3.0</v>
      </c>
      <c r="HH22" s="8">
        <v>25000.0</v>
      </c>
      <c r="HI22" s="9"/>
      <c r="HJ22" s="9"/>
      <c r="HK22" s="9"/>
      <c r="HL22" s="9"/>
      <c r="HM22" s="9"/>
      <c r="HN22" s="9"/>
      <c r="HO22" s="9"/>
      <c r="HP22" s="9"/>
      <c r="HQ22" s="9"/>
      <c r="HR22" s="9"/>
      <c r="HS22" s="9"/>
      <c r="HT22" s="9"/>
      <c r="HU22" s="9"/>
      <c r="HV22" s="9"/>
      <c r="HW22" s="9"/>
      <c r="HX22" s="9"/>
      <c r="HY22" s="8">
        <v>15.0</v>
      </c>
      <c r="HZ22" s="8">
        <v>150000.0</v>
      </c>
      <c r="IA22" s="8">
        <v>9.0</v>
      </c>
      <c r="IB22" s="8">
        <v>75000.0</v>
      </c>
      <c r="IC22" s="9"/>
      <c r="ID22" s="9"/>
      <c r="IE22" s="9"/>
      <c r="IF22" s="9"/>
      <c r="IG22" s="9"/>
      <c r="IH22" s="9"/>
      <c r="II22" s="9"/>
      <c r="IJ22" s="9"/>
      <c r="IK22" s="9" t="s">
        <v>879</v>
      </c>
      <c r="IL22" s="9" t="s">
        <v>880</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1180</v>
      </c>
      <c r="KT22" s="9" t="s">
        <v>886</v>
      </c>
      <c r="KU22" s="9" t="s">
        <v>886</v>
      </c>
      <c r="KV22" s="9" t="s">
        <v>999</v>
      </c>
      <c r="KW22" s="8">
        <v>0.0</v>
      </c>
      <c r="KX22" s="8">
        <v>0.0</v>
      </c>
      <c r="KY22" s="8">
        <v>0.0</v>
      </c>
      <c r="KZ22" s="8">
        <v>1.0</v>
      </c>
      <c r="LA22" s="9" t="s">
        <v>884</v>
      </c>
      <c r="LB22" s="9" t="s">
        <v>884</v>
      </c>
      <c r="LC22" s="8">
        <v>0.0</v>
      </c>
      <c r="LD22" s="8">
        <v>3.0</v>
      </c>
      <c r="LE22" s="8">
        <v>0.0</v>
      </c>
      <c r="LF22" s="8">
        <v>3.0</v>
      </c>
      <c r="LG22" s="9" t="s">
        <v>857</v>
      </c>
      <c r="LH22" s="8">
        <v>100000.0</v>
      </c>
      <c r="LI22" s="9"/>
      <c r="LJ22" s="9" t="s">
        <v>887</v>
      </c>
      <c r="LK22" s="8">
        <v>0.0</v>
      </c>
      <c r="LL22" s="8">
        <v>0.0</v>
      </c>
      <c r="LM22" s="8">
        <v>0.0</v>
      </c>
      <c r="LN22" s="8">
        <v>0.0</v>
      </c>
      <c r="LO22" s="8">
        <v>1.0</v>
      </c>
      <c r="LP22" s="8">
        <v>0.0</v>
      </c>
      <c r="LQ22" s="8">
        <v>0.0</v>
      </c>
      <c r="LR22" s="9"/>
      <c r="LS22" s="8">
        <v>15.0</v>
      </c>
      <c r="LT22" s="8">
        <v>15.0</v>
      </c>
      <c r="LU22" s="8">
        <v>0.0</v>
      </c>
      <c r="LV22" s="8">
        <v>5.0</v>
      </c>
      <c r="LW22" s="8">
        <v>5.0</v>
      </c>
      <c r="LX22" s="8">
        <v>0.0</v>
      </c>
      <c r="LY22" s="8">
        <v>5.0</v>
      </c>
      <c r="LZ22" s="8">
        <v>5.0</v>
      </c>
      <c r="MA22" s="8">
        <v>0.0</v>
      </c>
      <c r="MB22" s="9" t="s">
        <v>857</v>
      </c>
      <c r="MC22" s="8">
        <v>30.0</v>
      </c>
      <c r="MD22" s="8">
        <v>15.0</v>
      </c>
      <c r="ME22" s="8">
        <v>30.0</v>
      </c>
      <c r="MF22" s="8">
        <v>15.0</v>
      </c>
      <c r="MG22" s="8">
        <v>0.0</v>
      </c>
      <c r="MH22" s="8">
        <v>0.0</v>
      </c>
      <c r="MI22" s="9" t="s">
        <v>946</v>
      </c>
      <c r="MJ22" s="8">
        <v>0.0</v>
      </c>
      <c r="MK22" s="8">
        <v>0.0</v>
      </c>
      <c r="ML22" s="8">
        <v>1.0</v>
      </c>
      <c r="MM22" s="8">
        <v>0.0</v>
      </c>
      <c r="MN22" s="8">
        <v>0.0</v>
      </c>
      <c r="MO22" s="8">
        <v>0.0</v>
      </c>
      <c r="MP22" s="9"/>
      <c r="MQ22" s="9"/>
      <c r="MR22" s="9" t="s">
        <v>1181</v>
      </c>
      <c r="MS22" s="9"/>
      <c r="MT22" s="9" t="s">
        <v>888</v>
      </c>
      <c r="MU22" s="9" t="s">
        <v>881</v>
      </c>
      <c r="MV22" s="9"/>
      <c r="MW22" s="9"/>
      <c r="MX22" s="9"/>
      <c r="MY22" s="9"/>
      <c r="MZ22" s="9"/>
      <c r="NA22" s="9"/>
      <c r="NB22" s="9"/>
      <c r="NC22" s="9"/>
      <c r="ND22" s="9"/>
      <c r="NE22" s="9"/>
      <c r="NF22" s="9"/>
      <c r="NG22" s="9"/>
      <c r="NH22" s="9"/>
      <c r="NI22" s="9"/>
      <c r="NJ22" s="9"/>
      <c r="NK22" s="9"/>
      <c r="NL22" s="9" t="s">
        <v>857</v>
      </c>
      <c r="NM22" s="9" t="s">
        <v>893</v>
      </c>
      <c r="NN22" s="9" t="s">
        <v>993</v>
      </c>
      <c r="NO22" s="9" t="s">
        <v>994</v>
      </c>
      <c r="NP22" s="9"/>
      <c r="NQ22" s="9"/>
      <c r="NR22" s="9"/>
      <c r="NS22" s="9"/>
      <c r="NT22" s="9"/>
      <c r="NU22" s="9"/>
      <c r="NV22" s="9" t="s">
        <v>896</v>
      </c>
      <c r="NW22" s="9"/>
      <c r="NX22" s="9" t="s">
        <v>1183</v>
      </c>
      <c r="NY22" s="8">
        <v>40.0</v>
      </c>
      <c r="NZ22" s="8">
        <v>20.0</v>
      </c>
      <c r="OA22" s="8">
        <v>0.0</v>
      </c>
      <c r="OB22" s="8">
        <v>5.0</v>
      </c>
      <c r="OC22" s="8">
        <v>5.0</v>
      </c>
      <c r="OD22" s="8">
        <v>0.0</v>
      </c>
      <c r="OE22" s="9" t="s">
        <v>898</v>
      </c>
      <c r="OF22" s="9" t="s">
        <v>1184</v>
      </c>
      <c r="OG22" s="9" t="s">
        <v>857</v>
      </c>
      <c r="OH22" s="8">
        <v>0.0</v>
      </c>
      <c r="OI22" s="8">
        <v>5.0</v>
      </c>
      <c r="OJ22" s="8">
        <v>0.0</v>
      </c>
      <c r="OK22" s="8">
        <v>0.0</v>
      </c>
      <c r="OL22" s="8">
        <v>0.0</v>
      </c>
      <c r="OM22" s="8">
        <v>0.0</v>
      </c>
      <c r="ON22" s="8">
        <v>0.0</v>
      </c>
      <c r="OO22" s="8">
        <v>0.0</v>
      </c>
      <c r="OP22" s="9" t="str">
        <f>VLOOKUP(AG22,'BUS 2'!$G$1:$CU$424,2,0)</f>
        <v>Sapi perah</v>
      </c>
      <c r="OQ22" s="8">
        <f>VLOOKUP(AG22,'BUS 2'!$G$1:$CU$424,3,0)</f>
        <v>0</v>
      </c>
      <c r="OR22" s="8">
        <f>VLOOKUP(AG22,'BUS 2'!$G$1:$CU$424,4,0)</f>
        <v>1</v>
      </c>
      <c r="OS22" s="8">
        <f>VLOOKUP(AG22,'BUS 2'!$G$1:$CU$424,5,0)</f>
        <v>0</v>
      </c>
      <c r="OT22" s="8">
        <f>VLOOKUP(AG22,'BUS 2'!$G$1:$CU$424,6,0)</f>
        <v>0</v>
      </c>
      <c r="OU22" s="8">
        <f>VLOOKUP(AG22,'BUS 2'!$G$1:$CU$424,7,0)</f>
        <v>0</v>
      </c>
      <c r="OV22" s="8">
        <f>VLOOKUP(AG22,'BUS 2'!$G$1:$CU$424,8,0)</f>
        <v>0</v>
      </c>
      <c r="OW22" s="8">
        <f>VLOOKUP(AG22,'BUS 2'!$G$1:$CU$424,9,0)</f>
        <v>0</v>
      </c>
      <c r="OX22" s="8">
        <f>VLOOKUP(AG22,'BUS 2'!$G$1:$CU$424,10,0)</f>
        <v>0</v>
      </c>
      <c r="OY22" s="8">
        <f>VLOOKUP(AG22,'BUS 2'!$G$1:$CU$424,11,0)</f>
        <v>0</v>
      </c>
      <c r="OZ22" s="8" t="str">
        <f>VLOOKUP(AG22,'BUS 2'!$G$1:$CU$424,12,0)</f>
        <v>Sapi perah</v>
      </c>
      <c r="PA22" s="8">
        <f>VLOOKUP(AG22,'BUS 2'!$G$1:$CU$424,13,0)</f>
        <v>0</v>
      </c>
      <c r="PB22" s="8">
        <f>VLOOKUP(AG22,'BUS 2'!$G$1:$CU$424,14,0)</f>
        <v>1</v>
      </c>
      <c r="PC22" s="8">
        <f>VLOOKUP(AG22,'BUS 2'!$G$1:$CU$424,15,0)</f>
        <v>0</v>
      </c>
      <c r="PD22" s="8">
        <f>VLOOKUP(AG22,'BUS 2'!$G$1:$CU$424,16,0)</f>
        <v>0</v>
      </c>
      <c r="PE22" s="8">
        <f>VLOOKUP(AG22,'BUS 2'!$G$1:$CU$424,17,0)</f>
        <v>0</v>
      </c>
      <c r="PF22" s="8">
        <f>VLOOKUP(AG22,'BUS 2'!$G$1:$CU$424,18,0)</f>
        <v>0</v>
      </c>
      <c r="PG22" s="8">
        <f>VLOOKUP(AG22,'BUS 2'!$G$1:$CU$424,19,0)</f>
        <v>0</v>
      </c>
      <c r="PH22" s="8">
        <f>VLOOKUP(AG22,'BUS 2'!$G$1:$CU$424,20,0)</f>
        <v>0</v>
      </c>
      <c r="PI22" s="8">
        <f>VLOOKUP(AG22,'BUS 2'!$G$1:$CU$424,21,0)</f>
        <v>0</v>
      </c>
      <c r="PJ22" s="8" t="str">
        <f>VLOOKUP(AG22,'BUS 2'!$G$1:$CU$424,22,0)</f>
        <v>Tidak ada</v>
      </c>
      <c r="PK22" s="8">
        <f>VLOOKUP(AG22,'BUS 2'!$G$1:$CU$424,23,0)</f>
        <v>0</v>
      </c>
      <c r="PL22" s="8">
        <f>VLOOKUP(AG22,'BUS 2'!$G$1:$CU$424,24,0)</f>
        <v>0</v>
      </c>
      <c r="PM22" s="8">
        <f>VLOOKUP(AG22,'BUS 2'!$G$1:$CU$424,25,0)</f>
        <v>0</v>
      </c>
      <c r="PN22" s="8">
        <f>VLOOKUP(AG22,'BUS 2'!$G$1:$CU$424,26,0)</f>
        <v>0</v>
      </c>
      <c r="PO22" s="8">
        <f>VLOOKUP(AG22,'BUS 2'!$G$1:$CU$424,27,0)</f>
        <v>0</v>
      </c>
      <c r="PP22" s="8">
        <f>VLOOKUP(AG22,'BUS 2'!$G$1:$CU$424,28,0)</f>
        <v>0</v>
      </c>
      <c r="PQ22" s="8">
        <f>VLOOKUP(AG22,'BUS 2'!$G$1:$CU$424,29,0)</f>
        <v>0</v>
      </c>
      <c r="PR22" s="8">
        <f>VLOOKUP(AG22,'BUS 2'!$G$1:$CU$424,30,0)</f>
        <v>0</v>
      </c>
      <c r="PS22" s="8">
        <f>VLOOKUP(AG22,'BUS 2'!$G$1:$CU$424,31,0)</f>
        <v>1</v>
      </c>
      <c r="PT22" s="9"/>
      <c r="PU22" s="9"/>
      <c r="PV22" s="9"/>
      <c r="PW22" s="9"/>
      <c r="PX22" s="9"/>
      <c r="PY22" s="9"/>
      <c r="PZ22" s="9"/>
      <c r="QA22" s="9"/>
      <c r="QB22" s="9"/>
      <c r="QC22" s="9"/>
      <c r="QD22" s="9"/>
      <c r="QE22" s="9" t="s">
        <v>900</v>
      </c>
      <c r="QF22" s="8">
        <v>0.0</v>
      </c>
      <c r="QG22" s="8">
        <v>0.0</v>
      </c>
      <c r="QH22" s="8">
        <v>0.0</v>
      </c>
      <c r="QI22" s="8">
        <v>0.0</v>
      </c>
      <c r="QJ22" s="8">
        <v>0.0</v>
      </c>
      <c r="QK22" s="8">
        <v>1.0</v>
      </c>
      <c r="QL22" s="8">
        <v>0.0</v>
      </c>
      <c r="QM22" s="8">
        <v>0.0</v>
      </c>
      <c r="QN22" s="8">
        <v>0.0</v>
      </c>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8" t="str">
        <f>VLOOKUP(AG22,'BUS 2'!$G$1:$CU$424,33,0)</f>
        <v/>
      </c>
      <c r="SZ22" s="9">
        <f>VLOOKUP(AG22,'BUS 2'!$G$1:$CU$424,34,0)</f>
        <v>5</v>
      </c>
      <c r="TA22" s="9" t="str">
        <f>VLOOKUP(AG22,'BUS 2'!$G$1:$CU$424,35,0)</f>
        <v/>
      </c>
      <c r="TB22" s="9" t="str">
        <f>VLOOKUP(AG22,'BUS 2'!$G$1:$CU$424,36,0)</f>
        <v/>
      </c>
      <c r="TC22" s="9" t="str">
        <f>VLOOKUP(AG22,'BUS 2'!$G$1:$CU$424,37,0)</f>
        <v/>
      </c>
      <c r="TD22" s="9" t="str">
        <f>VLOOKUP(AG22,'BUS 2'!$G$1:$CU$424,38,0)</f>
        <v/>
      </c>
      <c r="TE22" s="9" t="str">
        <f>VLOOKUP(AG22,'BUS 2'!$G$1:$CU$424,39,0)</f>
        <v/>
      </c>
      <c r="TF22" s="9" t="str">
        <f>VLOOKUP(AG22,'BUS 2'!$G$1:$CU$424,40,0)</f>
        <v/>
      </c>
      <c r="TG22" s="8" t="str">
        <f>VLOOKUP(AG22,'BUS 2'!$G$1:$CU$424,42,0)</f>
        <v/>
      </c>
      <c r="TH22" s="8">
        <f>VLOOKUP(AG22,'BUS 2'!$G$1:$CU$424,43,0)</f>
        <v>5</v>
      </c>
      <c r="TI22" s="8" t="str">
        <f>VLOOKUP(AG22,'BUS 2'!$G$1:$CU$424,44,0)</f>
        <v/>
      </c>
      <c r="TJ22" s="8" t="str">
        <f>VLOOKUP(AG22,'BUS 2'!$G$1:$CU$424,45,0)</f>
        <v/>
      </c>
      <c r="TK22" s="8" t="str">
        <f>VLOOKUP(AG22,'BUS 2'!$G$1:$CU$424,46,0)</f>
        <v/>
      </c>
      <c r="TL22" s="8" t="str">
        <f>VLOOKUP(AG22,'BUS 2'!$G$1:$CU$424,47,0)</f>
        <v/>
      </c>
      <c r="TM22" s="8" t="str">
        <f>VLOOKUP(AG22,'BUS 2'!$G$1:$CU$424,48,0)</f>
        <v/>
      </c>
      <c r="TN22" s="8" t="str">
        <f>VLOOKUP(AG22,'BUS 2'!$G$1:$CU$424,49,0)</f>
        <v/>
      </c>
      <c r="TO22" s="8" t="str">
        <f>VLOOKUP(AG22,'BUS 2'!$G$1:$CU$424,50,0)</f>
        <v/>
      </c>
      <c r="TP22" s="8" t="str">
        <f>VLOOKUP(AG22,'BUS 2'!$G$1:$CU$424,51,0)</f>
        <v/>
      </c>
      <c r="TQ22" s="8" t="str">
        <f>VLOOKUP(AG22,'BUS 2'!$G$1:$CU$424,52,0)</f>
        <v/>
      </c>
      <c r="TR22" s="8" t="str">
        <f>VLOOKUP(AG22,'BUS 2'!$G$1:$CU$424,53,0)</f>
        <v/>
      </c>
      <c r="TS22" s="9" t="str">
        <f>VLOOKUP(AG22,'BUS 2'!$G$1:$CU$424,54,0)</f>
        <v/>
      </c>
      <c r="TT22" s="9" t="str">
        <f>VLOOKUP(AG22,'BUS 2'!$G$1:$CU$424,55,0)</f>
        <v/>
      </c>
      <c r="TU22" s="9" t="str">
        <f>VLOOKUP(AG22,'BUS 2'!$G$1:$CU$424,56,0)</f>
        <v/>
      </c>
      <c r="TV22" s="9" t="str">
        <f>VLOOKUP(AG22,'BUS 2'!$G$1:$CU$424,57,0)</f>
        <v/>
      </c>
      <c r="TW22" s="9" t="str">
        <f>VLOOKUP(AG22,'BUS 2'!$G$1:$CU$424,58,0)</f>
        <v/>
      </c>
      <c r="TX22" s="9" t="str">
        <f>VLOOKUP(AG22,'BUS 2'!$G$1:$CU$424,59,0)</f>
        <v/>
      </c>
      <c r="TY22" s="9" t="str">
        <f>VLOOKUP(AG22,'BUS 2'!$G$1:$CU$424,60,0)</f>
        <v/>
      </c>
      <c r="TZ22" s="9" t="str">
        <f>VLOOKUP(AG22,'BUS 2'!$G$1:$CU$424,61,0)</f>
        <v/>
      </c>
      <c r="UA22" s="9" t="str">
        <f>VLOOKUP(AG22,'BUS 2'!$G$1:$CU$424,62,0)</f>
        <v/>
      </c>
      <c r="UB22" s="9" t="str">
        <f>VLOOKUP(AG22,'BUS 2'!$G$1:$CU$424,63,0)</f>
        <v/>
      </c>
      <c r="UC22" s="9" t="str">
        <f>VLOOKUP(AG22,'BUS 2'!$G$1:$CU$424,64,0)</f>
        <v/>
      </c>
      <c r="UD22" s="9" t="str">
        <f>VLOOKUP(AG22,'BUS 2'!$G$1:$CU$424,65,0)</f>
        <v/>
      </c>
      <c r="UE22" s="9" t="str">
        <f>VLOOKUP(AG22,'BUS 2'!$G$1:$CU$424,66,0)</f>
        <v/>
      </c>
      <c r="UF22" s="9" t="str">
        <f>VLOOKUP(AG22,'BUS 2'!$G$1:$CU$424,67,0)</f>
        <v/>
      </c>
      <c r="UG22" s="9" t="str">
        <f>VLOOKUP(AG22,'BUS 2'!$G$1:$CU$424,68,0)</f>
        <v/>
      </c>
      <c r="UH22" s="9" t="str">
        <f>VLOOKUP(AG22,'BUS 2'!$G$1:$CU$424,69,0)</f>
        <v/>
      </c>
      <c r="UI22" s="9" t="str">
        <f>VLOOKUP(AG22,'BUS 2'!$G$1:$CU$424,70,0)</f>
        <v/>
      </c>
      <c r="UJ22" s="9" t="str">
        <f>VLOOKUP(AG22,'BUS 2'!$G$1:$CU$424,71,0)</f>
        <v/>
      </c>
      <c r="UK22" s="9" t="str">
        <f>VLOOKUP(AG22,'BUS 2'!$G$1:$CU$424,72,0)</f>
        <v/>
      </c>
      <c r="UL22" s="9" t="str">
        <f>VLOOKUP(AG22,'BUS 2'!$G$1:$CU$424,73,0)</f>
        <v/>
      </c>
      <c r="UM22" s="9" t="str">
        <f>VLOOKUP(AG22,'BUS 2'!$G$1:$CU$424,74,0)</f>
        <v/>
      </c>
      <c r="UN22" s="9" t="str">
        <f>VLOOKUP(AG22,'BUS 2'!$G$1:$CU$424,75,0)</f>
        <v/>
      </c>
      <c r="UO22" s="9" t="str">
        <f>VLOOKUP(AG22,'BUS 2'!$G$1:$CU$424,76,0)</f>
        <v/>
      </c>
      <c r="UP22" s="9" t="str">
        <f>VLOOKUP(AG22,'BUS 2'!$G$1:$CU$424,77,0)</f>
        <v/>
      </c>
      <c r="UQ22" s="9" t="str">
        <f>VLOOKUP(AG22,'BUS 2'!$G$1:$CU$424,78,0)</f>
        <v/>
      </c>
      <c r="UR22" s="9" t="str">
        <f>VLOOKUP(AG22,'BUS 2'!$G$1:$CU$424,79,0)</f>
        <v/>
      </c>
      <c r="US22" s="9" t="str">
        <f>VLOOKUP(AG22,'BUS 2'!$G$1:$CU$424,80,0)</f>
        <v/>
      </c>
      <c r="UT22" s="9" t="str">
        <f>VLOOKUP(AG22,'BUS 2'!$G$1:$CU$424,81,0)</f>
        <v/>
      </c>
      <c r="UU22" s="9"/>
      <c r="UV22" s="9" t="s">
        <v>901</v>
      </c>
      <c r="UW22" s="9"/>
      <c r="UX22" s="9"/>
      <c r="UY22" s="9"/>
      <c r="UZ22" s="9"/>
      <c r="VA22" s="9"/>
      <c r="VB22" s="9"/>
      <c r="VC22" s="9"/>
      <c r="VD22" s="9" t="s">
        <v>950</v>
      </c>
      <c r="VE22" s="9"/>
      <c r="VF22" s="9"/>
      <c r="VG22" s="9"/>
      <c r="VH22" s="9"/>
      <c r="VI22" s="9"/>
      <c r="VJ22" s="9"/>
      <c r="VK22" s="9"/>
      <c r="VL22" s="9" t="s">
        <v>903</v>
      </c>
      <c r="VM22" s="9"/>
      <c r="VN22" s="9"/>
      <c r="VO22" s="9"/>
      <c r="VP22" s="9"/>
      <c r="VQ22" s="9"/>
      <c r="VR22" s="9"/>
      <c r="VS22" s="9"/>
      <c r="VT22" s="9"/>
      <c r="VU22" s="9"/>
      <c r="VV22" s="9"/>
      <c r="VW22" s="9"/>
      <c r="VX22" s="9"/>
      <c r="VY22" s="9"/>
      <c r="VZ22" s="9"/>
      <c r="WA22" s="9"/>
      <c r="WB22" s="9"/>
      <c r="WC22" s="9"/>
      <c r="WD22" s="9"/>
      <c r="WE22" s="9"/>
      <c r="WF22" s="9" t="s">
        <v>1214</v>
      </c>
      <c r="WG22" s="8">
        <v>0.0</v>
      </c>
      <c r="WH22" s="8">
        <v>0.0</v>
      </c>
      <c r="WI22" s="8">
        <v>1.0</v>
      </c>
      <c r="WJ22" s="8">
        <v>1.0</v>
      </c>
      <c r="WK22" s="8">
        <v>0.0</v>
      </c>
      <c r="WL22" s="8">
        <v>1.0</v>
      </c>
      <c r="WM22" s="8">
        <v>0.0</v>
      </c>
      <c r="WN22" s="8">
        <v>0.0</v>
      </c>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8">
        <v>60.0</v>
      </c>
      <c r="ZP22" s="9"/>
      <c r="ZQ22" s="9"/>
      <c r="ZR22" s="9"/>
      <c r="ZS22" s="9"/>
      <c r="ZT22" s="9"/>
      <c r="ZU22" s="9"/>
      <c r="ZV22" s="9"/>
      <c r="ZW22" s="8">
        <v>2.0</v>
      </c>
      <c r="ZX22" s="9"/>
      <c r="ZY22" s="9"/>
      <c r="ZZ22" s="9"/>
      <c r="AAA22" s="9"/>
      <c r="AAB22" s="9"/>
      <c r="AAC22" s="9"/>
      <c r="AAD22" s="9"/>
      <c r="AAE22" s="9" t="s">
        <v>905</v>
      </c>
      <c r="AAF22" s="9"/>
      <c r="AAG22" s="9"/>
      <c r="AAH22" s="9"/>
      <c r="AAI22" s="9"/>
      <c r="AAJ22" s="9"/>
      <c r="AAK22" s="9"/>
      <c r="AAL22" s="9" t="s">
        <v>857</v>
      </c>
      <c r="AAM22" s="9" t="s">
        <v>1033</v>
      </c>
      <c r="AAN22" s="8">
        <v>1.0</v>
      </c>
      <c r="AAO22" s="8">
        <v>1.0</v>
      </c>
      <c r="AAP22" s="8">
        <v>60.0</v>
      </c>
      <c r="AAQ22" s="8">
        <v>60.0</v>
      </c>
      <c r="AAR22" s="9" t="s">
        <v>857</v>
      </c>
      <c r="AAS22" s="9" t="s">
        <v>867</v>
      </c>
      <c r="AAT22" s="9" t="s">
        <v>1074</v>
      </c>
      <c r="AAU22" s="8">
        <v>1.0</v>
      </c>
      <c r="AAV22" s="8">
        <v>0.0</v>
      </c>
      <c r="AAW22" s="8">
        <v>0.0</v>
      </c>
      <c r="AAX22" s="8">
        <v>1.0</v>
      </c>
      <c r="AAY22" s="8">
        <v>1.0</v>
      </c>
      <c r="AAZ22" s="8">
        <v>0.0</v>
      </c>
      <c r="ABA22" s="8">
        <v>0.0</v>
      </c>
      <c r="ABB22" s="9" t="s">
        <v>907</v>
      </c>
      <c r="ABC22" s="8">
        <v>1.0</v>
      </c>
      <c r="ABD22" s="8">
        <v>0.0</v>
      </c>
      <c r="ABE22" s="8">
        <v>0.0</v>
      </c>
      <c r="ABF22" s="8">
        <v>0.0</v>
      </c>
      <c r="ABG22" s="8">
        <v>0.0</v>
      </c>
      <c r="ABH22" s="9"/>
      <c r="ABI22" s="9"/>
      <c r="ABJ22" s="9"/>
      <c r="ABK22" s="9"/>
      <c r="ABL22" s="9"/>
      <c r="ABM22" s="9"/>
      <c r="ABN22" s="9"/>
      <c r="ABO22" s="9"/>
      <c r="ABP22" s="9"/>
      <c r="ABQ22" s="11" t="s">
        <v>953</v>
      </c>
      <c r="ABR22" s="9" t="s">
        <v>1075</v>
      </c>
      <c r="ABS22" s="8">
        <v>2500.0</v>
      </c>
      <c r="ABT22" s="8">
        <v>1000.0</v>
      </c>
      <c r="ABU22" s="8">
        <v>60.0</v>
      </c>
      <c r="ABV22" s="8">
        <v>60.0</v>
      </c>
      <c r="ABW22" s="9" t="s">
        <v>1199</v>
      </c>
      <c r="ABX22" s="9"/>
      <c r="ABY22" s="8">
        <v>40.0</v>
      </c>
      <c r="ABZ22" s="8">
        <v>4000.0</v>
      </c>
      <c r="ACA22" s="8">
        <v>0.0</v>
      </c>
      <c r="ACB22" s="8">
        <v>4000.0</v>
      </c>
      <c r="ACC22" s="8">
        <v>500.0</v>
      </c>
      <c r="ACD22" s="8">
        <v>600.0</v>
      </c>
      <c r="ACE22" s="9" t="s">
        <v>857</v>
      </c>
      <c r="ACF22" s="9" t="s">
        <v>1183</v>
      </c>
      <c r="ACG22" s="9" t="s">
        <v>1034</v>
      </c>
      <c r="ACH22" s="9" t="s">
        <v>911</v>
      </c>
      <c r="ACI22" s="9"/>
      <c r="ACJ22" s="9"/>
      <c r="ACK22" s="9" t="s">
        <v>1215</v>
      </c>
      <c r="ACL22" s="8">
        <v>0.0</v>
      </c>
      <c r="ACM22" s="8">
        <v>1.0</v>
      </c>
      <c r="ACN22" s="8">
        <v>0.0</v>
      </c>
      <c r="ACO22" s="8">
        <v>1.0</v>
      </c>
      <c r="ACP22" s="8">
        <v>0.0</v>
      </c>
      <c r="ACQ22" s="8">
        <v>0.0</v>
      </c>
      <c r="ACR22" s="8">
        <v>0.0</v>
      </c>
      <c r="ACS22" s="9"/>
      <c r="ACT22" s="9" t="s">
        <v>912</v>
      </c>
      <c r="ACU22" s="9" t="s">
        <v>1216</v>
      </c>
      <c r="ACV22" s="9" t="s">
        <v>957</v>
      </c>
      <c r="ACW22" s="9" t="s">
        <v>915</v>
      </c>
      <c r="ACX22" s="9" t="s">
        <v>916</v>
      </c>
      <c r="ACY22" s="9" t="s">
        <v>1017</v>
      </c>
      <c r="ACZ22" s="8">
        <v>1.0</v>
      </c>
      <c r="ADA22" s="8">
        <v>1.0</v>
      </c>
      <c r="ADB22" s="8">
        <v>1.0</v>
      </c>
      <c r="ADC22" s="8">
        <v>0.0</v>
      </c>
      <c r="ADD22" s="9" t="s">
        <v>917</v>
      </c>
      <c r="ADE22" s="9" t="s">
        <v>917</v>
      </c>
      <c r="ADF22" s="9" t="s">
        <v>917</v>
      </c>
      <c r="ADG22" s="9" t="s">
        <v>917</v>
      </c>
      <c r="ADH22" s="9" t="s">
        <v>881</v>
      </c>
      <c r="ADI22" s="9"/>
      <c r="ADJ22" s="9" t="s">
        <v>917</v>
      </c>
      <c r="ADK22" s="9"/>
      <c r="ADL22" s="9"/>
      <c r="ADM22" s="9"/>
      <c r="ADN22" s="9"/>
      <c r="ADO22" s="9"/>
      <c r="ADP22" s="9"/>
      <c r="ADQ22" s="9"/>
      <c r="ADR22" s="9"/>
      <c r="ADS22" s="9"/>
      <c r="ADT22" s="9"/>
      <c r="ADU22" s="9" t="s">
        <v>919</v>
      </c>
      <c r="ADV22" s="8">
        <v>0.0</v>
      </c>
      <c r="ADW22" s="8">
        <v>0.0</v>
      </c>
      <c r="ADX22" s="8">
        <v>0.0</v>
      </c>
      <c r="ADY22" s="8">
        <v>0.0</v>
      </c>
      <c r="ADZ22" s="8">
        <v>1.0</v>
      </c>
      <c r="AEA22" s="8">
        <v>0.0</v>
      </c>
      <c r="AEB22" s="8">
        <v>0.0</v>
      </c>
      <c r="AEC22" s="8">
        <v>0.0</v>
      </c>
      <c r="AED22" s="12"/>
      <c r="AEE22" s="17" t="s">
        <v>872</v>
      </c>
      <c r="AEF22" s="9"/>
      <c r="AEG22" s="17" t="s">
        <v>920</v>
      </c>
      <c r="AEH22" s="9"/>
      <c r="AEI22" s="11" t="s">
        <v>999</v>
      </c>
      <c r="AEJ22" s="9" t="s">
        <v>871</v>
      </c>
      <c r="AEK22" s="17" t="s">
        <v>1076</v>
      </c>
      <c r="AEL22" s="18">
        <v>1.0</v>
      </c>
      <c r="AEM22" s="18">
        <v>1.0</v>
      </c>
      <c r="AEN22" s="18">
        <v>1.0</v>
      </c>
      <c r="AEO22" s="18">
        <v>1.0</v>
      </c>
      <c r="AEP22" s="18">
        <v>1.0</v>
      </c>
      <c r="AEQ22" s="18">
        <v>1.0</v>
      </c>
      <c r="AER22" s="18">
        <v>1.0</v>
      </c>
      <c r="AES22" s="18">
        <v>1.0</v>
      </c>
      <c r="AET22" s="18">
        <v>0.0</v>
      </c>
      <c r="AEU22" s="18">
        <v>0.0</v>
      </c>
      <c r="AEV22" s="18">
        <v>0.0</v>
      </c>
      <c r="AEW22" s="18">
        <v>0.0</v>
      </c>
      <c r="AEX22" s="9"/>
      <c r="AEY22" s="9" t="s">
        <v>923</v>
      </c>
      <c r="AEZ22" s="9"/>
      <c r="AFA22" s="9" t="s">
        <v>1188</v>
      </c>
      <c r="AFB22" s="9"/>
      <c r="AFC22" s="9" t="s">
        <v>1217</v>
      </c>
      <c r="AFD22" s="16" t="s">
        <v>1218</v>
      </c>
      <c r="AFE22" s="9" t="s">
        <v>1219</v>
      </c>
      <c r="AFF22" s="16" t="s">
        <v>1220</v>
      </c>
      <c r="AFG22" s="9" t="s">
        <v>1137</v>
      </c>
      <c r="AFH22" s="9"/>
      <c r="AFI22" s="9"/>
    </row>
    <row r="23">
      <c r="A23" s="6">
        <v>46059.0</v>
      </c>
      <c r="B23" s="6">
        <v>46059.0</v>
      </c>
      <c r="C23" s="7" t="s">
        <v>837</v>
      </c>
      <c r="D23" s="7" t="s">
        <v>1221</v>
      </c>
      <c r="E23" s="8">
        <v>6.285172380065E12</v>
      </c>
      <c r="F23" s="9"/>
      <c r="G23" s="8">
        <v>-7.21185821</v>
      </c>
      <c r="H23" s="8">
        <v>110.2633904</v>
      </c>
      <c r="I23" s="9"/>
      <c r="J23" s="8">
        <v>4.93</v>
      </c>
      <c r="K23" s="9"/>
      <c r="L23" s="9"/>
      <c r="M23" s="8">
        <v>-7.21182221</v>
      </c>
      <c r="N23" s="8">
        <v>110.2653</v>
      </c>
      <c r="O23" s="9"/>
      <c r="P23" s="8">
        <v>4.69</v>
      </c>
      <c r="Q23" s="9"/>
      <c r="R23" s="9" t="s">
        <v>839</v>
      </c>
      <c r="S23" s="9"/>
      <c r="T23" s="9"/>
      <c r="U23" s="9"/>
      <c r="V23" s="9"/>
      <c r="W23" s="9"/>
      <c r="X23" s="9"/>
      <c r="Y23" s="9"/>
      <c r="Z23" s="9"/>
      <c r="AA23" s="9"/>
      <c r="AB23" s="9"/>
      <c r="AC23" s="7" t="s">
        <v>1175</v>
      </c>
      <c r="AD23" s="7" t="s">
        <v>1176</v>
      </c>
      <c r="AE23" s="7" t="s">
        <v>1195</v>
      </c>
      <c r="AF23" s="9" t="s">
        <v>1178</v>
      </c>
      <c r="AG23" s="9" t="s">
        <v>1222</v>
      </c>
      <c r="AH23" s="8">
        <v>3.0</v>
      </c>
      <c r="AI23" s="9" t="s">
        <v>845</v>
      </c>
      <c r="AJ23" s="9" t="s">
        <v>846</v>
      </c>
      <c r="AK23" s="8">
        <v>59.0</v>
      </c>
      <c r="AL23" s="9" t="s">
        <v>847</v>
      </c>
      <c r="AM23" s="9" t="s">
        <v>848</v>
      </c>
      <c r="AN23" s="9" t="s">
        <v>849</v>
      </c>
      <c r="AO23" s="9" t="s">
        <v>850</v>
      </c>
      <c r="AP23" s="8">
        <v>1.0</v>
      </c>
      <c r="AQ23" s="8">
        <v>0.0</v>
      </c>
      <c r="AR23" s="8">
        <v>0.0</v>
      </c>
      <c r="AS23" s="8">
        <v>0.0</v>
      </c>
      <c r="AT23" s="8">
        <v>0.0</v>
      </c>
      <c r="AU23" s="8">
        <v>0.0</v>
      </c>
      <c r="AV23" s="8">
        <v>0.0</v>
      </c>
      <c r="AW23" s="8">
        <v>0.0</v>
      </c>
      <c r="AX23" s="9"/>
      <c r="AY23" s="9" t="s">
        <v>935</v>
      </c>
      <c r="AZ23" s="8">
        <v>0.0</v>
      </c>
      <c r="BA23" s="8">
        <v>1.0</v>
      </c>
      <c r="BB23" s="8">
        <v>0.0</v>
      </c>
      <c r="BC23" s="8">
        <v>0.0</v>
      </c>
      <c r="BD23" s="8">
        <v>0.0</v>
      </c>
      <c r="BE23" s="8">
        <v>0.0</v>
      </c>
      <c r="BF23" s="8">
        <v>0.0</v>
      </c>
      <c r="BG23" s="8">
        <v>0.0</v>
      </c>
      <c r="BH23" s="9"/>
      <c r="BI23" s="9" t="s">
        <v>852</v>
      </c>
      <c r="BJ23" s="8">
        <v>1.0</v>
      </c>
      <c r="BK23" s="8">
        <v>2.0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2023.0</v>
      </c>
      <c r="CN23" s="9" t="s">
        <v>858</v>
      </c>
      <c r="CO23" s="9" t="s">
        <v>859</v>
      </c>
      <c r="CP23" s="9" t="s">
        <v>860</v>
      </c>
      <c r="CQ23" s="8">
        <v>0.0</v>
      </c>
      <c r="CR23" s="8">
        <v>0.0</v>
      </c>
      <c r="CS23" s="8">
        <v>0.0</v>
      </c>
      <c r="CT23" s="8">
        <v>0.0</v>
      </c>
      <c r="CU23" s="10">
        <v>1.0</v>
      </c>
      <c r="CV23" s="10">
        <v>0.0</v>
      </c>
      <c r="CW23" s="10">
        <v>0.0</v>
      </c>
      <c r="CX23" s="8">
        <v>0.0</v>
      </c>
      <c r="CY23" s="9" t="s">
        <v>860</v>
      </c>
      <c r="CZ23" s="8">
        <v>1.0</v>
      </c>
      <c r="DA23" s="8">
        <v>0.0</v>
      </c>
      <c r="DB23" s="8">
        <v>0.0</v>
      </c>
      <c r="DC23" s="9"/>
      <c r="DD23" s="9" t="s">
        <v>937</v>
      </c>
      <c r="DE23" s="8">
        <v>1.0</v>
      </c>
      <c r="DF23" s="8">
        <v>0.0</v>
      </c>
      <c r="DG23" s="8">
        <v>1.0</v>
      </c>
      <c r="DH23" s="8">
        <v>0.0</v>
      </c>
      <c r="DI23" s="9"/>
      <c r="DJ23" s="9" t="s">
        <v>937</v>
      </c>
      <c r="DK23" s="8">
        <v>1.0</v>
      </c>
      <c r="DL23" s="8">
        <v>0.0</v>
      </c>
      <c r="DM23" s="8">
        <v>1.0</v>
      </c>
      <c r="DN23" s="8">
        <v>0.0</v>
      </c>
      <c r="DO23" s="9"/>
      <c r="DP23" s="8">
        <v>1.0</v>
      </c>
      <c r="DQ23" s="8">
        <v>0.0</v>
      </c>
      <c r="DR23" s="8">
        <v>0.0</v>
      </c>
      <c r="DS23" s="9"/>
      <c r="DT23" s="9"/>
      <c r="DU23" s="9"/>
      <c r="DV23" s="9" t="s">
        <v>857</v>
      </c>
      <c r="DW23" s="9"/>
      <c r="DX23" s="9"/>
      <c r="DY23" s="9"/>
      <c r="DZ23" s="9"/>
      <c r="EA23" s="9"/>
      <c r="EB23" s="9"/>
      <c r="EC23" s="9"/>
      <c r="ED23" s="9"/>
      <c r="EE23" s="9"/>
      <c r="EF23" s="9"/>
      <c r="EG23" s="9"/>
      <c r="EH23" s="9"/>
      <c r="EI23" s="9" t="s">
        <v>862</v>
      </c>
      <c r="EJ23" s="8">
        <v>0.0</v>
      </c>
      <c r="EK23" s="8">
        <v>0.0</v>
      </c>
      <c r="EL23" s="8">
        <v>0.0</v>
      </c>
      <c r="EM23" s="8">
        <v>1.0</v>
      </c>
      <c r="EN23" s="8">
        <v>0.0</v>
      </c>
      <c r="EO23" s="11"/>
      <c r="EP23" s="9" t="s">
        <v>863</v>
      </c>
      <c r="EQ23" s="9" t="s">
        <v>864</v>
      </c>
      <c r="ER23" s="9" t="s">
        <v>861</v>
      </c>
      <c r="ES23" s="8">
        <v>1.0</v>
      </c>
      <c r="ET23" s="8">
        <v>0.0</v>
      </c>
      <c r="EU23" s="8">
        <v>0.0</v>
      </c>
      <c r="EV23" s="8">
        <v>0.0</v>
      </c>
      <c r="EW23" s="9"/>
      <c r="EX23" s="9" t="s">
        <v>865</v>
      </c>
      <c r="EY23" s="8">
        <v>1.0</v>
      </c>
      <c r="EZ23" s="8">
        <v>0.0</v>
      </c>
      <c r="FA23" s="8">
        <v>0.0</v>
      </c>
      <c r="FB23" s="9"/>
      <c r="FC23" s="9" t="s">
        <v>1072</v>
      </c>
      <c r="FD23" s="9"/>
      <c r="FE23" s="9" t="s">
        <v>867</v>
      </c>
      <c r="FF23" s="9" t="s">
        <v>868</v>
      </c>
      <c r="FG23" s="9" t="s">
        <v>867</v>
      </c>
      <c r="FH23" s="9" t="s">
        <v>868</v>
      </c>
      <c r="FI23" s="9" t="s">
        <v>867</v>
      </c>
      <c r="FJ23" s="9" t="s">
        <v>869</v>
      </c>
      <c r="FK23" s="9" t="s">
        <v>867</v>
      </c>
      <c r="FL23" s="9" t="s">
        <v>869</v>
      </c>
      <c r="FM23" s="9" t="s">
        <v>867</v>
      </c>
      <c r="FN23" s="9" t="s">
        <v>869</v>
      </c>
      <c r="FO23" s="9" t="s">
        <v>867</v>
      </c>
      <c r="FP23" s="9" t="s">
        <v>943</v>
      </c>
      <c r="FQ23" s="9" t="s">
        <v>867</v>
      </c>
      <c r="FR23" s="9" t="s">
        <v>857</v>
      </c>
      <c r="FS23" s="9" t="s">
        <v>867</v>
      </c>
      <c r="FT23" s="9" t="s">
        <v>871</v>
      </c>
      <c r="FU23" s="9" t="s">
        <v>989</v>
      </c>
      <c r="FV23" s="8">
        <v>1.0</v>
      </c>
      <c r="FW23" s="8">
        <v>1.0</v>
      </c>
      <c r="FX23" s="8">
        <v>0.0</v>
      </c>
      <c r="FY23" s="8">
        <v>0.0</v>
      </c>
      <c r="FZ23" s="9" t="s">
        <v>873</v>
      </c>
      <c r="GA23" s="9" t="s">
        <v>874</v>
      </c>
      <c r="GB23" s="8">
        <v>1.0</v>
      </c>
      <c r="GC23" s="8">
        <v>0.0</v>
      </c>
      <c r="GD23" s="8">
        <v>0.0</v>
      </c>
      <c r="GE23" s="8">
        <v>0.0</v>
      </c>
      <c r="GF23" s="9"/>
      <c r="GG23" s="9" t="s">
        <v>875</v>
      </c>
      <c r="GH23" s="9" t="s">
        <v>857</v>
      </c>
      <c r="GI23" s="9" t="s">
        <v>876</v>
      </c>
      <c r="GJ23" s="8">
        <v>1.0</v>
      </c>
      <c r="GK23" s="8">
        <v>0.0</v>
      </c>
      <c r="GL23" s="8">
        <v>0.0</v>
      </c>
      <c r="GM23" s="8">
        <v>0.0</v>
      </c>
      <c r="GN23" s="9"/>
      <c r="GO23" s="8">
        <v>9.0</v>
      </c>
      <c r="GP23" s="9" t="s">
        <v>877</v>
      </c>
      <c r="GQ23" s="9" t="s">
        <v>878</v>
      </c>
      <c r="GR23" s="8">
        <v>1.0</v>
      </c>
      <c r="GS23" s="8">
        <v>1.0</v>
      </c>
      <c r="GT23" s="8">
        <v>0.0</v>
      </c>
      <c r="GU23" s="8">
        <v>0.0</v>
      </c>
      <c r="GV23" s="8">
        <v>0.0</v>
      </c>
      <c r="GW23" s="8">
        <v>0.0</v>
      </c>
      <c r="GX23" s="8">
        <v>0.0</v>
      </c>
      <c r="GY23" s="9"/>
      <c r="GZ23" s="9" t="s">
        <v>857</v>
      </c>
      <c r="HA23" s="8">
        <v>20.0</v>
      </c>
      <c r="HB23" s="8">
        <v>200000.0</v>
      </c>
      <c r="HC23" s="8">
        <v>5.0</v>
      </c>
      <c r="HD23" s="8">
        <v>50000.0</v>
      </c>
      <c r="HE23" s="8">
        <v>9.0</v>
      </c>
      <c r="HF23" s="8">
        <v>75000.0</v>
      </c>
      <c r="HG23" s="8">
        <v>3.0</v>
      </c>
      <c r="HH23" s="8">
        <v>25000.0</v>
      </c>
      <c r="HI23" s="9"/>
      <c r="HJ23" s="9"/>
      <c r="HK23" s="9"/>
      <c r="HL23" s="9"/>
      <c r="HM23" s="9"/>
      <c r="HN23" s="9"/>
      <c r="HO23" s="9"/>
      <c r="HP23" s="9"/>
      <c r="HQ23" s="9"/>
      <c r="HR23" s="9"/>
      <c r="HS23" s="9"/>
      <c r="HT23" s="9"/>
      <c r="HU23" s="9"/>
      <c r="HV23" s="9"/>
      <c r="HW23" s="9"/>
      <c r="HX23" s="9"/>
      <c r="HY23" s="8">
        <v>15.0</v>
      </c>
      <c r="HZ23" s="8">
        <v>150000.0</v>
      </c>
      <c r="IA23" s="8">
        <v>6.0</v>
      </c>
      <c r="IB23" s="8">
        <v>50000.0</v>
      </c>
      <c r="IC23" s="9"/>
      <c r="ID23" s="9"/>
      <c r="IE23" s="9"/>
      <c r="IF23" s="9"/>
      <c r="IG23" s="9"/>
      <c r="IH23" s="9"/>
      <c r="II23" s="9"/>
      <c r="IJ23" s="9"/>
      <c r="IK23" s="9" t="s">
        <v>879</v>
      </c>
      <c r="IL23" s="9" t="s">
        <v>880</v>
      </c>
      <c r="IM23" s="9" t="s">
        <v>857</v>
      </c>
      <c r="IN23" s="9" t="s">
        <v>857</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999</v>
      </c>
      <c r="KW23" s="8">
        <v>0.0</v>
      </c>
      <c r="KX23" s="8">
        <v>0.0</v>
      </c>
      <c r="KY23" s="8">
        <v>0.0</v>
      </c>
      <c r="KZ23" s="8">
        <v>1.0</v>
      </c>
      <c r="LA23" s="9" t="s">
        <v>884</v>
      </c>
      <c r="LB23" s="9" t="s">
        <v>884</v>
      </c>
      <c r="LC23" s="8">
        <v>0.0</v>
      </c>
      <c r="LD23" s="8">
        <v>3.0</v>
      </c>
      <c r="LE23" s="8">
        <v>0.0</v>
      </c>
      <c r="LF23" s="8">
        <v>3.0</v>
      </c>
      <c r="LG23" s="9" t="s">
        <v>857</v>
      </c>
      <c r="LH23" s="8">
        <v>150000.0</v>
      </c>
      <c r="LI23" s="9"/>
      <c r="LJ23" s="9" t="s">
        <v>887</v>
      </c>
      <c r="LK23" s="8">
        <v>0.0</v>
      </c>
      <c r="LL23" s="8">
        <v>0.0</v>
      </c>
      <c r="LM23" s="8">
        <v>0.0</v>
      </c>
      <c r="LN23" s="8">
        <v>0.0</v>
      </c>
      <c r="LO23" s="8">
        <v>1.0</v>
      </c>
      <c r="LP23" s="8">
        <v>0.0</v>
      </c>
      <c r="LQ23" s="8">
        <v>0.0</v>
      </c>
      <c r="LR23" s="9"/>
      <c r="LS23" s="8">
        <v>15.0</v>
      </c>
      <c r="LT23" s="8">
        <v>15.0</v>
      </c>
      <c r="LU23" s="8">
        <v>0.0</v>
      </c>
      <c r="LV23" s="8">
        <v>5.0</v>
      </c>
      <c r="LW23" s="8">
        <v>5.0</v>
      </c>
      <c r="LX23" s="8">
        <v>0.0</v>
      </c>
      <c r="LY23" s="8">
        <v>0.0</v>
      </c>
      <c r="LZ23" s="8">
        <v>5.0</v>
      </c>
      <c r="MA23" s="8">
        <v>5.0</v>
      </c>
      <c r="MB23" s="9" t="s">
        <v>857</v>
      </c>
      <c r="MC23" s="8">
        <v>30.0</v>
      </c>
      <c r="MD23" s="8">
        <v>15.0</v>
      </c>
      <c r="ME23" s="8">
        <v>30.0</v>
      </c>
      <c r="MF23" s="8">
        <v>15.0</v>
      </c>
      <c r="MG23" s="8">
        <v>0.0</v>
      </c>
      <c r="MH23" s="8">
        <v>0.0</v>
      </c>
      <c r="MI23" s="9" t="s">
        <v>946</v>
      </c>
      <c r="MJ23" s="8">
        <v>0.0</v>
      </c>
      <c r="MK23" s="8">
        <v>0.0</v>
      </c>
      <c r="ML23" s="8">
        <v>1.0</v>
      </c>
      <c r="MM23" s="8">
        <v>0.0</v>
      </c>
      <c r="MN23" s="8">
        <v>0.0</v>
      </c>
      <c r="MO23" s="8">
        <v>0.0</v>
      </c>
      <c r="MP23" s="9"/>
      <c r="MQ23" s="9"/>
      <c r="MR23" s="9" t="s">
        <v>1048</v>
      </c>
      <c r="MS23" s="9"/>
      <c r="MT23" s="9" t="s">
        <v>1223</v>
      </c>
      <c r="MU23" s="9" t="s">
        <v>881</v>
      </c>
      <c r="MV23" s="9"/>
      <c r="MW23" s="9"/>
      <c r="MX23" s="9"/>
      <c r="MY23" s="9"/>
      <c r="MZ23" s="9"/>
      <c r="NA23" s="9"/>
      <c r="NB23" s="9"/>
      <c r="NC23" s="9"/>
      <c r="ND23" s="9"/>
      <c r="NE23" s="9"/>
      <c r="NF23" s="9"/>
      <c r="NG23" s="9"/>
      <c r="NH23" s="9"/>
      <c r="NI23" s="9"/>
      <c r="NJ23" s="9"/>
      <c r="NK23" s="9"/>
      <c r="NL23" s="9" t="s">
        <v>857</v>
      </c>
      <c r="NM23" s="9" t="s">
        <v>893</v>
      </c>
      <c r="NN23" s="9" t="s">
        <v>993</v>
      </c>
      <c r="NO23" s="9" t="s">
        <v>994</v>
      </c>
      <c r="NP23" s="9"/>
      <c r="NQ23" s="9"/>
      <c r="NR23" s="9"/>
      <c r="NS23" s="9"/>
      <c r="NT23" s="9"/>
      <c r="NU23" s="9"/>
      <c r="NV23" s="9" t="s">
        <v>896</v>
      </c>
      <c r="NW23" s="9"/>
      <c r="NX23" s="9" t="s">
        <v>1183</v>
      </c>
      <c r="NY23" s="8">
        <v>40.0</v>
      </c>
      <c r="NZ23" s="8">
        <v>10.0</v>
      </c>
      <c r="OA23" s="8">
        <v>0.0</v>
      </c>
      <c r="OB23" s="8">
        <v>5.0</v>
      </c>
      <c r="OC23" s="8">
        <v>5.0</v>
      </c>
      <c r="OD23" s="8">
        <v>0.0</v>
      </c>
      <c r="OE23" s="9" t="s">
        <v>1180</v>
      </c>
      <c r="OF23" s="9" t="s">
        <v>1184</v>
      </c>
      <c r="OG23" s="9" t="s">
        <v>857</v>
      </c>
      <c r="OH23" s="8">
        <v>0.0</v>
      </c>
      <c r="OI23" s="8">
        <v>3.0</v>
      </c>
      <c r="OJ23" s="8">
        <v>0.0</v>
      </c>
      <c r="OK23" s="8">
        <v>0.0</v>
      </c>
      <c r="OL23" s="8">
        <v>0.0</v>
      </c>
      <c r="OM23" s="8">
        <v>0.0</v>
      </c>
      <c r="ON23" s="8">
        <v>0.0</v>
      </c>
      <c r="OO23" s="8">
        <v>0.0</v>
      </c>
      <c r="OP23" s="9" t="str">
        <f>VLOOKUP(AG23,'BUS 2'!$G$1:$CU$424,2,0)</f>
        <v>Sapi perah</v>
      </c>
      <c r="OQ23" s="8">
        <f>VLOOKUP(AG23,'BUS 2'!$G$1:$CU$424,3,0)</f>
        <v>0</v>
      </c>
      <c r="OR23" s="8">
        <f>VLOOKUP(AG23,'BUS 2'!$G$1:$CU$424,4,0)</f>
        <v>1</v>
      </c>
      <c r="OS23" s="8">
        <f>VLOOKUP(AG23,'BUS 2'!$G$1:$CU$424,5,0)</f>
        <v>0</v>
      </c>
      <c r="OT23" s="8">
        <f>VLOOKUP(AG23,'BUS 2'!$G$1:$CU$424,6,0)</f>
        <v>0</v>
      </c>
      <c r="OU23" s="8">
        <f>VLOOKUP(AG23,'BUS 2'!$G$1:$CU$424,7,0)</f>
        <v>0</v>
      </c>
      <c r="OV23" s="8">
        <f>VLOOKUP(AG23,'BUS 2'!$G$1:$CU$424,8,0)</f>
        <v>0</v>
      </c>
      <c r="OW23" s="8">
        <f>VLOOKUP(AG23,'BUS 2'!$G$1:$CU$424,9,0)</f>
        <v>0</v>
      </c>
      <c r="OX23" s="8">
        <f>VLOOKUP(AG23,'BUS 2'!$G$1:$CU$424,10,0)</f>
        <v>0</v>
      </c>
      <c r="OY23" s="8">
        <f>VLOOKUP(AG23,'BUS 2'!$G$1:$CU$424,11,0)</f>
        <v>0</v>
      </c>
      <c r="OZ23" s="8" t="str">
        <f>VLOOKUP(AG23,'BUS 2'!$G$1:$CU$424,12,0)</f>
        <v>Sapi perah</v>
      </c>
      <c r="PA23" s="8">
        <f>VLOOKUP(AG23,'BUS 2'!$G$1:$CU$424,13,0)</f>
        <v>0</v>
      </c>
      <c r="PB23" s="8">
        <f>VLOOKUP(AG23,'BUS 2'!$G$1:$CU$424,14,0)</f>
        <v>1</v>
      </c>
      <c r="PC23" s="8">
        <f>VLOOKUP(AG23,'BUS 2'!$G$1:$CU$424,15,0)</f>
        <v>0</v>
      </c>
      <c r="PD23" s="8">
        <f>VLOOKUP(AG23,'BUS 2'!$G$1:$CU$424,16,0)</f>
        <v>0</v>
      </c>
      <c r="PE23" s="8">
        <f>VLOOKUP(AG23,'BUS 2'!$G$1:$CU$424,17,0)</f>
        <v>0</v>
      </c>
      <c r="PF23" s="8">
        <f>VLOOKUP(AG23,'BUS 2'!$G$1:$CU$424,18,0)</f>
        <v>0</v>
      </c>
      <c r="PG23" s="8">
        <f>VLOOKUP(AG23,'BUS 2'!$G$1:$CU$424,19,0)</f>
        <v>0</v>
      </c>
      <c r="PH23" s="8">
        <f>VLOOKUP(AG23,'BUS 2'!$G$1:$CU$424,20,0)</f>
        <v>0</v>
      </c>
      <c r="PI23" s="8">
        <f>VLOOKUP(AG23,'BUS 2'!$G$1:$CU$424,21,0)</f>
        <v>0</v>
      </c>
      <c r="PJ23" s="8" t="str">
        <f>VLOOKUP(AG23,'BUS 2'!$G$1:$CU$424,22,0)</f>
        <v>Tidak ada</v>
      </c>
      <c r="PK23" s="8">
        <f>VLOOKUP(AG23,'BUS 2'!$G$1:$CU$424,23,0)</f>
        <v>0</v>
      </c>
      <c r="PL23" s="8">
        <f>VLOOKUP(AG23,'BUS 2'!$G$1:$CU$424,24,0)</f>
        <v>0</v>
      </c>
      <c r="PM23" s="8">
        <f>VLOOKUP(AG23,'BUS 2'!$G$1:$CU$424,25,0)</f>
        <v>0</v>
      </c>
      <c r="PN23" s="8">
        <f>VLOOKUP(AG23,'BUS 2'!$G$1:$CU$424,26,0)</f>
        <v>0</v>
      </c>
      <c r="PO23" s="8">
        <f>VLOOKUP(AG23,'BUS 2'!$G$1:$CU$424,27,0)</f>
        <v>0</v>
      </c>
      <c r="PP23" s="8">
        <f>VLOOKUP(AG23,'BUS 2'!$G$1:$CU$424,28,0)</f>
        <v>0</v>
      </c>
      <c r="PQ23" s="8">
        <f>VLOOKUP(AG23,'BUS 2'!$G$1:$CU$424,29,0)</f>
        <v>0</v>
      </c>
      <c r="PR23" s="8">
        <f>VLOOKUP(AG23,'BUS 2'!$G$1:$CU$424,30,0)</f>
        <v>0</v>
      </c>
      <c r="PS23" s="8">
        <f>VLOOKUP(AG23,'BUS 2'!$G$1:$CU$424,31,0)</f>
        <v>1</v>
      </c>
      <c r="PT23" s="9"/>
      <c r="PU23" s="9"/>
      <c r="PV23" s="9"/>
      <c r="PW23" s="9"/>
      <c r="PX23" s="9"/>
      <c r="PY23" s="9"/>
      <c r="PZ23" s="9"/>
      <c r="QA23" s="9"/>
      <c r="QB23" s="9"/>
      <c r="QC23" s="9"/>
      <c r="QD23" s="9"/>
      <c r="QE23" s="9" t="s">
        <v>900</v>
      </c>
      <c r="QF23" s="8">
        <v>0.0</v>
      </c>
      <c r="QG23" s="8">
        <v>0.0</v>
      </c>
      <c r="QH23" s="8">
        <v>0.0</v>
      </c>
      <c r="QI23" s="8">
        <v>0.0</v>
      </c>
      <c r="QJ23" s="8">
        <v>0.0</v>
      </c>
      <c r="QK23" s="8">
        <v>1.0</v>
      </c>
      <c r="QL23" s="8">
        <v>0.0</v>
      </c>
      <c r="QM23" s="8">
        <v>0.0</v>
      </c>
      <c r="QN23" s="8">
        <v>0.0</v>
      </c>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8" t="str">
        <f>VLOOKUP(AG23,'BUS 2'!$G$1:$CU$424,33,0)</f>
        <v/>
      </c>
      <c r="SZ23" s="9">
        <f>VLOOKUP(AG23,'BUS 2'!$G$1:$CU$424,34,0)</f>
        <v>3</v>
      </c>
      <c r="TA23" s="9" t="str">
        <f>VLOOKUP(AG23,'BUS 2'!$G$1:$CU$424,35,0)</f>
        <v/>
      </c>
      <c r="TB23" s="9" t="str">
        <f>VLOOKUP(AG23,'BUS 2'!$G$1:$CU$424,36,0)</f>
        <v/>
      </c>
      <c r="TC23" s="9" t="str">
        <f>VLOOKUP(AG23,'BUS 2'!$G$1:$CU$424,37,0)</f>
        <v/>
      </c>
      <c r="TD23" s="9" t="str">
        <f>VLOOKUP(AG23,'BUS 2'!$G$1:$CU$424,38,0)</f>
        <v/>
      </c>
      <c r="TE23" s="9" t="str">
        <f>VLOOKUP(AG23,'BUS 2'!$G$1:$CU$424,39,0)</f>
        <v/>
      </c>
      <c r="TF23" s="9" t="str">
        <f>VLOOKUP(AG23,'BUS 2'!$G$1:$CU$424,40,0)</f>
        <v/>
      </c>
      <c r="TG23" s="8" t="str">
        <f>VLOOKUP(AG23,'BUS 2'!$G$1:$CU$424,42,0)</f>
        <v/>
      </c>
      <c r="TH23" s="8">
        <f>VLOOKUP(AG23,'BUS 2'!$G$1:$CU$424,43,0)</f>
        <v>3</v>
      </c>
      <c r="TI23" s="8" t="str">
        <f>VLOOKUP(AG23,'BUS 2'!$G$1:$CU$424,44,0)</f>
        <v/>
      </c>
      <c r="TJ23" s="8" t="str">
        <f>VLOOKUP(AG23,'BUS 2'!$G$1:$CU$424,45,0)</f>
        <v/>
      </c>
      <c r="TK23" s="8" t="str">
        <f>VLOOKUP(AG23,'BUS 2'!$G$1:$CU$424,46,0)</f>
        <v/>
      </c>
      <c r="TL23" s="8" t="str">
        <f>VLOOKUP(AG23,'BUS 2'!$G$1:$CU$424,47,0)</f>
        <v/>
      </c>
      <c r="TM23" s="8" t="str">
        <f>VLOOKUP(AG23,'BUS 2'!$G$1:$CU$424,48,0)</f>
        <v/>
      </c>
      <c r="TN23" s="8" t="str">
        <f>VLOOKUP(AG23,'BUS 2'!$G$1:$CU$424,49,0)</f>
        <v/>
      </c>
      <c r="TO23" s="8" t="str">
        <f>VLOOKUP(AG23,'BUS 2'!$G$1:$CU$424,50,0)</f>
        <v/>
      </c>
      <c r="TP23" s="8" t="str">
        <f>VLOOKUP(AG23,'BUS 2'!$G$1:$CU$424,51,0)</f>
        <v/>
      </c>
      <c r="TQ23" s="8" t="str">
        <f>VLOOKUP(AG23,'BUS 2'!$G$1:$CU$424,52,0)</f>
        <v/>
      </c>
      <c r="TR23" s="8" t="str">
        <f>VLOOKUP(AG23,'BUS 2'!$G$1:$CU$424,53,0)</f>
        <v/>
      </c>
      <c r="TS23" s="9" t="str">
        <f>VLOOKUP(AG23,'BUS 2'!$G$1:$CU$424,54,0)</f>
        <v/>
      </c>
      <c r="TT23" s="9" t="str">
        <f>VLOOKUP(AG23,'BUS 2'!$G$1:$CU$424,55,0)</f>
        <v/>
      </c>
      <c r="TU23" s="9" t="str">
        <f>VLOOKUP(AG23,'BUS 2'!$G$1:$CU$424,56,0)</f>
        <v/>
      </c>
      <c r="TV23" s="9" t="str">
        <f>VLOOKUP(AG23,'BUS 2'!$G$1:$CU$424,57,0)</f>
        <v/>
      </c>
      <c r="TW23" s="9" t="str">
        <f>VLOOKUP(AG23,'BUS 2'!$G$1:$CU$424,58,0)</f>
        <v/>
      </c>
      <c r="TX23" s="9" t="str">
        <f>VLOOKUP(AG23,'BUS 2'!$G$1:$CU$424,59,0)</f>
        <v/>
      </c>
      <c r="TY23" s="9" t="str">
        <f>VLOOKUP(AG23,'BUS 2'!$G$1:$CU$424,60,0)</f>
        <v/>
      </c>
      <c r="TZ23" s="9" t="str">
        <f>VLOOKUP(AG23,'BUS 2'!$G$1:$CU$424,61,0)</f>
        <v/>
      </c>
      <c r="UA23" s="9" t="str">
        <f>VLOOKUP(AG23,'BUS 2'!$G$1:$CU$424,62,0)</f>
        <v/>
      </c>
      <c r="UB23" s="9" t="str">
        <f>VLOOKUP(AG23,'BUS 2'!$G$1:$CU$424,63,0)</f>
        <v/>
      </c>
      <c r="UC23" s="9" t="str">
        <f>VLOOKUP(AG23,'BUS 2'!$G$1:$CU$424,64,0)</f>
        <v/>
      </c>
      <c r="UD23" s="9" t="str">
        <f>VLOOKUP(AG23,'BUS 2'!$G$1:$CU$424,65,0)</f>
        <v/>
      </c>
      <c r="UE23" s="9" t="str">
        <f>VLOOKUP(AG23,'BUS 2'!$G$1:$CU$424,66,0)</f>
        <v/>
      </c>
      <c r="UF23" s="9" t="str">
        <f>VLOOKUP(AG23,'BUS 2'!$G$1:$CU$424,67,0)</f>
        <v/>
      </c>
      <c r="UG23" s="9" t="str">
        <f>VLOOKUP(AG23,'BUS 2'!$G$1:$CU$424,68,0)</f>
        <v/>
      </c>
      <c r="UH23" s="9" t="str">
        <f>VLOOKUP(AG23,'BUS 2'!$G$1:$CU$424,69,0)</f>
        <v/>
      </c>
      <c r="UI23" s="9" t="str">
        <f>VLOOKUP(AG23,'BUS 2'!$G$1:$CU$424,70,0)</f>
        <v/>
      </c>
      <c r="UJ23" s="9" t="str">
        <f>VLOOKUP(AG23,'BUS 2'!$G$1:$CU$424,71,0)</f>
        <v/>
      </c>
      <c r="UK23" s="9" t="str">
        <f>VLOOKUP(AG23,'BUS 2'!$G$1:$CU$424,72,0)</f>
        <v/>
      </c>
      <c r="UL23" s="9" t="str">
        <f>VLOOKUP(AG23,'BUS 2'!$G$1:$CU$424,73,0)</f>
        <v/>
      </c>
      <c r="UM23" s="9" t="str">
        <f>VLOOKUP(AG23,'BUS 2'!$G$1:$CU$424,74,0)</f>
        <v/>
      </c>
      <c r="UN23" s="9" t="str">
        <f>VLOOKUP(AG23,'BUS 2'!$G$1:$CU$424,75,0)</f>
        <v/>
      </c>
      <c r="UO23" s="9" t="str">
        <f>VLOOKUP(AG23,'BUS 2'!$G$1:$CU$424,76,0)</f>
        <v/>
      </c>
      <c r="UP23" s="9" t="str">
        <f>VLOOKUP(AG23,'BUS 2'!$G$1:$CU$424,77,0)</f>
        <v/>
      </c>
      <c r="UQ23" s="9" t="str">
        <f>VLOOKUP(AG23,'BUS 2'!$G$1:$CU$424,78,0)</f>
        <v/>
      </c>
      <c r="UR23" s="9" t="str">
        <f>VLOOKUP(AG23,'BUS 2'!$G$1:$CU$424,79,0)</f>
        <v/>
      </c>
      <c r="US23" s="9" t="str">
        <f>VLOOKUP(AG23,'BUS 2'!$G$1:$CU$424,80,0)</f>
        <v/>
      </c>
      <c r="UT23" s="9" t="str">
        <f>VLOOKUP(AG23,'BUS 2'!$G$1:$CU$424,81,0)</f>
        <v/>
      </c>
      <c r="UU23" s="9"/>
      <c r="UV23" s="9" t="s">
        <v>901</v>
      </c>
      <c r="UW23" s="9"/>
      <c r="UX23" s="9"/>
      <c r="UY23" s="9"/>
      <c r="UZ23" s="9"/>
      <c r="VA23" s="9"/>
      <c r="VB23" s="9"/>
      <c r="VC23" s="9"/>
      <c r="VD23" s="9" t="s">
        <v>950</v>
      </c>
      <c r="VE23" s="9"/>
      <c r="VF23" s="9"/>
      <c r="VG23" s="9"/>
      <c r="VH23" s="9"/>
      <c r="VI23" s="9"/>
      <c r="VJ23" s="9"/>
      <c r="VK23" s="9"/>
      <c r="VL23" s="9" t="s">
        <v>1158</v>
      </c>
      <c r="VM23" s="9"/>
      <c r="VN23" s="9"/>
      <c r="VO23" s="9"/>
      <c r="VP23" s="9"/>
      <c r="VQ23" s="9"/>
      <c r="VR23" s="9"/>
      <c r="VS23" s="9"/>
      <c r="VT23" s="9"/>
      <c r="VU23" s="9"/>
      <c r="VV23" s="9"/>
      <c r="VW23" s="9"/>
      <c r="VX23" s="9"/>
      <c r="VY23" s="9"/>
      <c r="VZ23" s="9"/>
      <c r="WA23" s="9"/>
      <c r="WB23" s="9"/>
      <c r="WC23" s="9"/>
      <c r="WD23" s="9"/>
      <c r="WE23" s="9"/>
      <c r="WF23" s="9" t="s">
        <v>1224</v>
      </c>
      <c r="WG23" s="8">
        <v>0.0</v>
      </c>
      <c r="WH23" s="8">
        <v>1.0</v>
      </c>
      <c r="WI23" s="8">
        <v>1.0</v>
      </c>
      <c r="WJ23" s="8">
        <v>0.0</v>
      </c>
      <c r="WK23" s="8">
        <v>1.0</v>
      </c>
      <c r="WL23" s="8">
        <v>1.0</v>
      </c>
      <c r="WM23" s="8">
        <v>0.0</v>
      </c>
      <c r="WN23" s="8">
        <v>0.0</v>
      </c>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8">
        <v>50.0</v>
      </c>
      <c r="ZP23" s="9"/>
      <c r="ZQ23" s="9"/>
      <c r="ZR23" s="9"/>
      <c r="ZS23" s="9"/>
      <c r="ZT23" s="9"/>
      <c r="ZU23" s="9"/>
      <c r="ZV23" s="9"/>
      <c r="ZW23" s="8">
        <v>2.0</v>
      </c>
      <c r="ZX23" s="9"/>
      <c r="ZY23" s="9"/>
      <c r="ZZ23" s="9"/>
      <c r="AAA23" s="9"/>
      <c r="AAB23" s="9"/>
      <c r="AAC23" s="9"/>
      <c r="AAD23" s="9"/>
      <c r="AAE23" s="9" t="s">
        <v>905</v>
      </c>
      <c r="AAF23" s="9"/>
      <c r="AAG23" s="9"/>
      <c r="AAH23" s="9"/>
      <c r="AAI23" s="9"/>
      <c r="AAJ23" s="9"/>
      <c r="AAK23" s="9"/>
      <c r="AAL23" s="9" t="s">
        <v>857</v>
      </c>
      <c r="AAM23" s="9" t="s">
        <v>1033</v>
      </c>
      <c r="AAN23" s="8">
        <v>1.0</v>
      </c>
      <c r="AAO23" s="8">
        <v>1.0</v>
      </c>
      <c r="AAP23" s="8">
        <v>50.0</v>
      </c>
      <c r="AAQ23" s="8">
        <v>50.0</v>
      </c>
      <c r="AAR23" s="9" t="s">
        <v>857</v>
      </c>
      <c r="AAS23" s="9" t="s">
        <v>867</v>
      </c>
      <c r="AAT23" s="9" t="s">
        <v>1074</v>
      </c>
      <c r="AAU23" s="8">
        <v>1.0</v>
      </c>
      <c r="AAV23" s="8">
        <v>0.0</v>
      </c>
      <c r="AAW23" s="8">
        <v>0.0</v>
      </c>
      <c r="AAX23" s="8">
        <v>1.0</v>
      </c>
      <c r="AAY23" s="8">
        <v>1.0</v>
      </c>
      <c r="AAZ23" s="8">
        <v>0.0</v>
      </c>
      <c r="ABA23" s="8">
        <v>0.0</v>
      </c>
      <c r="ABB23" s="9" t="s">
        <v>907</v>
      </c>
      <c r="ABC23" s="8">
        <v>1.0</v>
      </c>
      <c r="ABD23" s="8">
        <v>0.0</v>
      </c>
      <c r="ABE23" s="8">
        <v>0.0</v>
      </c>
      <c r="ABF23" s="8">
        <v>0.0</v>
      </c>
      <c r="ABG23" s="8">
        <v>0.0</v>
      </c>
      <c r="ABH23" s="9"/>
      <c r="ABI23" s="9"/>
      <c r="ABJ23" s="9"/>
      <c r="ABK23" s="9"/>
      <c r="ABL23" s="9"/>
      <c r="ABM23" s="9"/>
      <c r="ABN23" s="9"/>
      <c r="ABO23" s="9"/>
      <c r="ABP23" s="9"/>
      <c r="ABQ23" s="11" t="s">
        <v>953</v>
      </c>
      <c r="ABR23" s="9" t="s">
        <v>1075</v>
      </c>
      <c r="ABS23" s="8">
        <v>3000.0</v>
      </c>
      <c r="ABT23" s="8">
        <v>500.0</v>
      </c>
      <c r="ABU23" s="8">
        <v>50.0</v>
      </c>
      <c r="ABV23" s="8">
        <v>50.0</v>
      </c>
      <c r="ABW23" s="9" t="s">
        <v>1199</v>
      </c>
      <c r="ABX23" s="9"/>
      <c r="ABY23" s="8">
        <v>30.0</v>
      </c>
      <c r="ABZ23" s="8">
        <v>4000.0</v>
      </c>
      <c r="ACA23" s="8">
        <v>0.0</v>
      </c>
      <c r="ACB23" s="8">
        <v>4000.0</v>
      </c>
      <c r="ACC23" s="8">
        <v>500.0</v>
      </c>
      <c r="ACD23" s="8">
        <v>760.0</v>
      </c>
      <c r="ACE23" s="9" t="s">
        <v>857</v>
      </c>
      <c r="ACF23" s="9" t="s">
        <v>911</v>
      </c>
      <c r="ACG23" s="9" t="s">
        <v>911</v>
      </c>
      <c r="ACH23" s="9" t="s">
        <v>1183</v>
      </c>
      <c r="ACI23" s="9"/>
      <c r="ACJ23" s="9"/>
      <c r="ACK23" s="9" t="s">
        <v>976</v>
      </c>
      <c r="ACL23" s="8">
        <v>0.0</v>
      </c>
      <c r="ACM23" s="8">
        <v>0.0</v>
      </c>
      <c r="ACN23" s="8">
        <v>1.0</v>
      </c>
      <c r="ACO23" s="8">
        <v>1.0</v>
      </c>
      <c r="ACP23" s="8">
        <v>0.0</v>
      </c>
      <c r="ACQ23" s="8">
        <v>0.0</v>
      </c>
      <c r="ACR23" s="8">
        <v>0.0</v>
      </c>
      <c r="ACS23" s="9"/>
      <c r="ACT23" s="9" t="s">
        <v>912</v>
      </c>
      <c r="ACU23" s="9" t="s">
        <v>1050</v>
      </c>
      <c r="ACV23" s="9" t="s">
        <v>957</v>
      </c>
      <c r="ACW23" s="9" t="s">
        <v>915</v>
      </c>
      <c r="ACX23" s="9" t="s">
        <v>916</v>
      </c>
      <c r="ACY23" s="9" t="s">
        <v>1017</v>
      </c>
      <c r="ACZ23" s="8">
        <v>1.0</v>
      </c>
      <c r="ADA23" s="8">
        <v>1.0</v>
      </c>
      <c r="ADB23" s="8">
        <v>1.0</v>
      </c>
      <c r="ADC23" s="8">
        <v>0.0</v>
      </c>
      <c r="ADD23" s="9" t="s">
        <v>917</v>
      </c>
      <c r="ADE23" s="9" t="s">
        <v>917</v>
      </c>
      <c r="ADF23" s="9" t="s">
        <v>917</v>
      </c>
      <c r="ADG23" s="9" t="s">
        <v>917</v>
      </c>
      <c r="ADH23" s="9" t="s">
        <v>881</v>
      </c>
      <c r="ADI23" s="9"/>
      <c r="ADJ23" s="9" t="s">
        <v>917</v>
      </c>
      <c r="ADK23" s="9"/>
      <c r="ADL23" s="9"/>
      <c r="ADM23" s="9"/>
      <c r="ADN23" s="9"/>
      <c r="ADO23" s="9"/>
      <c r="ADP23" s="9"/>
      <c r="ADQ23" s="9"/>
      <c r="ADR23" s="9"/>
      <c r="ADS23" s="9"/>
      <c r="ADT23" s="9"/>
      <c r="ADU23" s="9" t="s">
        <v>919</v>
      </c>
      <c r="ADV23" s="8">
        <v>0.0</v>
      </c>
      <c r="ADW23" s="8">
        <v>0.0</v>
      </c>
      <c r="ADX23" s="8">
        <v>0.0</v>
      </c>
      <c r="ADY23" s="8">
        <v>0.0</v>
      </c>
      <c r="ADZ23" s="8">
        <v>1.0</v>
      </c>
      <c r="AEA23" s="8">
        <v>0.0</v>
      </c>
      <c r="AEB23" s="8">
        <v>0.0</v>
      </c>
      <c r="AEC23" s="8">
        <v>0.0</v>
      </c>
      <c r="AED23" s="12"/>
      <c r="AEE23" s="17" t="s">
        <v>872</v>
      </c>
      <c r="AEF23" s="9"/>
      <c r="AEG23" s="17" t="s">
        <v>920</v>
      </c>
      <c r="AEH23" s="9"/>
      <c r="AEI23" s="11" t="s">
        <v>999</v>
      </c>
      <c r="AEJ23" s="9" t="s">
        <v>871</v>
      </c>
      <c r="AEK23" s="17" t="s">
        <v>1108</v>
      </c>
      <c r="AEL23" s="18">
        <v>1.0</v>
      </c>
      <c r="AEM23" s="18">
        <v>1.0</v>
      </c>
      <c r="AEN23" s="18">
        <v>1.0</v>
      </c>
      <c r="AEO23" s="18">
        <v>1.0</v>
      </c>
      <c r="AEP23" s="18">
        <v>1.0</v>
      </c>
      <c r="AEQ23" s="18">
        <v>1.0</v>
      </c>
      <c r="AER23" s="18">
        <v>1.0</v>
      </c>
      <c r="AES23" s="18">
        <v>1.0</v>
      </c>
      <c r="AET23" s="18">
        <v>1.0</v>
      </c>
      <c r="AEU23" s="18">
        <v>0.0</v>
      </c>
      <c r="AEV23" s="18">
        <v>0.0</v>
      </c>
      <c r="AEW23" s="18">
        <v>0.0</v>
      </c>
      <c r="AEX23" s="9"/>
      <c r="AEY23" s="9" t="s">
        <v>923</v>
      </c>
      <c r="AEZ23" s="9"/>
      <c r="AFA23" s="9" t="s">
        <v>1188</v>
      </c>
      <c r="AFB23" s="9"/>
      <c r="AFC23" s="9" t="s">
        <v>1225</v>
      </c>
      <c r="AFD23" s="16" t="s">
        <v>1226</v>
      </c>
      <c r="AFE23" s="9" t="s">
        <v>1227</v>
      </c>
      <c r="AFF23" s="16" t="s">
        <v>1228</v>
      </c>
      <c r="AFG23" s="9" t="s">
        <v>1137</v>
      </c>
      <c r="AFH23" s="9"/>
      <c r="AFI23" s="9"/>
    </row>
    <row r="24">
      <c r="A24" s="6">
        <v>46059.0</v>
      </c>
      <c r="B24" s="6">
        <v>46059.0</v>
      </c>
      <c r="C24" s="7" t="s">
        <v>837</v>
      </c>
      <c r="D24" s="7" t="s">
        <v>1229</v>
      </c>
      <c r="E24" s="8">
        <v>6.283844933984E12</v>
      </c>
      <c r="F24" s="9"/>
      <c r="G24" s="8">
        <v>-7.2127879</v>
      </c>
      <c r="H24" s="8">
        <v>110.264323</v>
      </c>
      <c r="I24" s="9"/>
      <c r="J24" s="8">
        <v>4.68</v>
      </c>
      <c r="K24" s="9"/>
      <c r="L24" s="9"/>
      <c r="M24" s="8">
        <v>-7.2125848</v>
      </c>
      <c r="N24" s="8">
        <v>110.2643681</v>
      </c>
      <c r="O24" s="9"/>
      <c r="P24" s="8">
        <v>5.0</v>
      </c>
      <c r="Q24" s="9"/>
      <c r="R24" s="9" t="s">
        <v>839</v>
      </c>
      <c r="S24" s="9"/>
      <c r="T24" s="9"/>
      <c r="U24" s="9"/>
      <c r="V24" s="9"/>
      <c r="W24" s="9"/>
      <c r="X24" s="9"/>
      <c r="Y24" s="9"/>
      <c r="Z24" s="9"/>
      <c r="AA24" s="9"/>
      <c r="AB24" s="9"/>
      <c r="AC24" s="7" t="s">
        <v>1175</v>
      </c>
      <c r="AD24" s="7" t="s">
        <v>1176</v>
      </c>
      <c r="AE24" s="7" t="s">
        <v>1195</v>
      </c>
      <c r="AF24" s="9" t="s">
        <v>1178</v>
      </c>
      <c r="AG24" s="9" t="s">
        <v>1230</v>
      </c>
      <c r="AH24" s="8">
        <v>3.0</v>
      </c>
      <c r="AI24" s="9" t="s">
        <v>845</v>
      </c>
      <c r="AJ24" s="9" t="s">
        <v>846</v>
      </c>
      <c r="AK24" s="8">
        <v>35.0</v>
      </c>
      <c r="AL24" s="9" t="s">
        <v>847</v>
      </c>
      <c r="AM24" s="9" t="s">
        <v>848</v>
      </c>
      <c r="AN24" s="9" t="s">
        <v>986</v>
      </c>
      <c r="AO24" s="9" t="s">
        <v>935</v>
      </c>
      <c r="AP24" s="8">
        <v>0.0</v>
      </c>
      <c r="AQ24" s="8">
        <v>1.0</v>
      </c>
      <c r="AR24" s="8">
        <v>0.0</v>
      </c>
      <c r="AS24" s="8">
        <v>0.0</v>
      </c>
      <c r="AT24" s="8">
        <v>0.0</v>
      </c>
      <c r="AU24" s="8">
        <v>0.0</v>
      </c>
      <c r="AV24" s="8">
        <v>0.0</v>
      </c>
      <c r="AW24" s="8">
        <v>0.0</v>
      </c>
      <c r="AX24" s="9"/>
      <c r="AY24" s="9" t="s">
        <v>1231</v>
      </c>
      <c r="AZ24" s="8">
        <v>0.0</v>
      </c>
      <c r="BA24" s="8">
        <v>0.0</v>
      </c>
      <c r="BB24" s="8">
        <v>0.0</v>
      </c>
      <c r="BC24" s="8">
        <v>1.0</v>
      </c>
      <c r="BD24" s="8">
        <v>0.0</v>
      </c>
      <c r="BE24" s="8">
        <v>0.0</v>
      </c>
      <c r="BF24" s="8">
        <v>0.0</v>
      </c>
      <c r="BG24" s="8">
        <v>0.0</v>
      </c>
      <c r="BH24" s="9"/>
      <c r="BI24" s="9" t="s">
        <v>852</v>
      </c>
      <c r="BJ24" s="8">
        <v>1.0</v>
      </c>
      <c r="BK24" s="8">
        <v>1.0</v>
      </c>
      <c r="BL24" s="8">
        <v>1.0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2023.0</v>
      </c>
      <c r="CN24" s="9" t="s">
        <v>858</v>
      </c>
      <c r="CO24" s="9" t="s">
        <v>859</v>
      </c>
      <c r="CP24" s="9" t="s">
        <v>860</v>
      </c>
      <c r="CQ24" s="8">
        <v>0.0</v>
      </c>
      <c r="CR24" s="8">
        <v>0.0</v>
      </c>
      <c r="CS24" s="8">
        <v>0.0</v>
      </c>
      <c r="CT24" s="8">
        <v>0.0</v>
      </c>
      <c r="CU24" s="10">
        <v>1.0</v>
      </c>
      <c r="CV24" s="10">
        <v>0.0</v>
      </c>
      <c r="CW24" s="10">
        <v>0.0</v>
      </c>
      <c r="CX24" s="8">
        <v>0.0</v>
      </c>
      <c r="CY24" s="9" t="s">
        <v>860</v>
      </c>
      <c r="CZ24" s="8">
        <v>1.0</v>
      </c>
      <c r="DA24" s="8">
        <v>0.0</v>
      </c>
      <c r="DB24" s="8">
        <v>0.0</v>
      </c>
      <c r="DC24" s="9"/>
      <c r="DD24" s="9" t="s">
        <v>937</v>
      </c>
      <c r="DE24" s="8">
        <v>1.0</v>
      </c>
      <c r="DF24" s="8">
        <v>0.0</v>
      </c>
      <c r="DG24" s="8">
        <v>1.0</v>
      </c>
      <c r="DH24" s="8">
        <v>0.0</v>
      </c>
      <c r="DI24" s="9"/>
      <c r="DJ24" s="9" t="s">
        <v>937</v>
      </c>
      <c r="DK24" s="8">
        <v>1.0</v>
      </c>
      <c r="DL24" s="8">
        <v>0.0</v>
      </c>
      <c r="DM24" s="8">
        <v>1.0</v>
      </c>
      <c r="DN24" s="8">
        <v>0.0</v>
      </c>
      <c r="DO24" s="9"/>
      <c r="DP24" s="8">
        <v>1.0</v>
      </c>
      <c r="DQ24" s="8">
        <v>0.0</v>
      </c>
      <c r="DR24" s="8">
        <v>0.0</v>
      </c>
      <c r="DS24" s="9"/>
      <c r="DT24" s="9"/>
      <c r="DU24" s="9"/>
      <c r="DV24" s="9" t="s">
        <v>857</v>
      </c>
      <c r="DW24" s="9"/>
      <c r="DX24" s="9"/>
      <c r="DY24" s="9"/>
      <c r="DZ24" s="9"/>
      <c r="EA24" s="9"/>
      <c r="EB24" s="9"/>
      <c r="EC24" s="9"/>
      <c r="ED24" s="9"/>
      <c r="EE24" s="9"/>
      <c r="EF24" s="9"/>
      <c r="EG24" s="9"/>
      <c r="EH24" s="9"/>
      <c r="EI24" s="9" t="s">
        <v>862</v>
      </c>
      <c r="EJ24" s="8">
        <v>0.0</v>
      </c>
      <c r="EK24" s="8">
        <v>0.0</v>
      </c>
      <c r="EL24" s="8">
        <v>0.0</v>
      </c>
      <c r="EM24" s="8">
        <v>1.0</v>
      </c>
      <c r="EN24" s="8">
        <v>0.0</v>
      </c>
      <c r="EO24" s="11"/>
      <c r="EP24" s="9" t="s">
        <v>863</v>
      </c>
      <c r="EQ24" s="9" t="s">
        <v>864</v>
      </c>
      <c r="ER24" s="9" t="s">
        <v>861</v>
      </c>
      <c r="ES24" s="8">
        <v>1.0</v>
      </c>
      <c r="ET24" s="8">
        <v>0.0</v>
      </c>
      <c r="EU24" s="8">
        <v>0.0</v>
      </c>
      <c r="EV24" s="8">
        <v>0.0</v>
      </c>
      <c r="EW24" s="9"/>
      <c r="EX24" s="9" t="s">
        <v>865</v>
      </c>
      <c r="EY24" s="8">
        <v>1.0</v>
      </c>
      <c r="EZ24" s="8">
        <v>0.0</v>
      </c>
      <c r="FA24" s="8">
        <v>0.0</v>
      </c>
      <c r="FB24" s="9"/>
      <c r="FC24" s="9" t="s">
        <v>1072</v>
      </c>
      <c r="FD24" s="9"/>
      <c r="FE24" s="9" t="s">
        <v>867</v>
      </c>
      <c r="FF24" s="9" t="s">
        <v>868</v>
      </c>
      <c r="FG24" s="9" t="s">
        <v>867</v>
      </c>
      <c r="FH24" s="9" t="s">
        <v>869</v>
      </c>
      <c r="FI24" s="9" t="s">
        <v>867</v>
      </c>
      <c r="FJ24" s="9" t="s">
        <v>869</v>
      </c>
      <c r="FK24" s="9" t="s">
        <v>867</v>
      </c>
      <c r="FL24" s="9" t="s">
        <v>869</v>
      </c>
      <c r="FM24" s="9" t="s">
        <v>867</v>
      </c>
      <c r="FN24" s="9" t="s">
        <v>869</v>
      </c>
      <c r="FO24" s="9" t="s">
        <v>867</v>
      </c>
      <c r="FP24" s="9" t="s">
        <v>869</v>
      </c>
      <c r="FQ24" s="9" t="s">
        <v>867</v>
      </c>
      <c r="FR24" s="9" t="s">
        <v>857</v>
      </c>
      <c r="FS24" s="9" t="s">
        <v>867</v>
      </c>
      <c r="FT24" s="9" t="s">
        <v>871</v>
      </c>
      <c r="FU24" s="9" t="s">
        <v>989</v>
      </c>
      <c r="FV24" s="8">
        <v>1.0</v>
      </c>
      <c r="FW24" s="8">
        <v>1.0</v>
      </c>
      <c r="FX24" s="8">
        <v>0.0</v>
      </c>
      <c r="FY24" s="8">
        <v>0.0</v>
      </c>
      <c r="FZ24" s="9" t="s">
        <v>873</v>
      </c>
      <c r="GA24" s="9" t="s">
        <v>874</v>
      </c>
      <c r="GB24" s="8">
        <v>1.0</v>
      </c>
      <c r="GC24" s="8">
        <v>0.0</v>
      </c>
      <c r="GD24" s="8">
        <v>0.0</v>
      </c>
      <c r="GE24" s="8">
        <v>0.0</v>
      </c>
      <c r="GF24" s="9"/>
      <c r="GG24" s="9" t="s">
        <v>1232</v>
      </c>
      <c r="GH24" s="9" t="s">
        <v>857</v>
      </c>
      <c r="GI24" s="9" t="s">
        <v>876</v>
      </c>
      <c r="GJ24" s="8">
        <v>1.0</v>
      </c>
      <c r="GK24" s="8">
        <v>0.0</v>
      </c>
      <c r="GL24" s="8">
        <v>0.0</v>
      </c>
      <c r="GM24" s="8">
        <v>0.0</v>
      </c>
      <c r="GN24" s="9"/>
      <c r="GO24" s="8">
        <v>9.0</v>
      </c>
      <c r="GP24" s="9" t="s">
        <v>877</v>
      </c>
      <c r="GQ24" s="9" t="s">
        <v>878</v>
      </c>
      <c r="GR24" s="8">
        <v>1.0</v>
      </c>
      <c r="GS24" s="8">
        <v>1.0</v>
      </c>
      <c r="GT24" s="8">
        <v>0.0</v>
      </c>
      <c r="GU24" s="8">
        <v>0.0</v>
      </c>
      <c r="GV24" s="8">
        <v>0.0</v>
      </c>
      <c r="GW24" s="8">
        <v>0.0</v>
      </c>
      <c r="GX24" s="8">
        <v>0.0</v>
      </c>
      <c r="GY24" s="9"/>
      <c r="GZ24" s="9" t="s">
        <v>857</v>
      </c>
      <c r="HA24" s="8">
        <v>15.0</v>
      </c>
      <c r="HB24" s="8">
        <v>150000.0</v>
      </c>
      <c r="HC24" s="8">
        <v>5.0</v>
      </c>
      <c r="HD24" s="8">
        <v>50000.0</v>
      </c>
      <c r="HE24" s="8">
        <v>9.0</v>
      </c>
      <c r="HF24" s="8">
        <v>75000.0</v>
      </c>
      <c r="HG24" s="8">
        <v>3.0</v>
      </c>
      <c r="HH24" s="8">
        <v>25000.0</v>
      </c>
      <c r="HI24" s="9"/>
      <c r="HJ24" s="9"/>
      <c r="HK24" s="9"/>
      <c r="HL24" s="9"/>
      <c r="HM24" s="9"/>
      <c r="HN24" s="9"/>
      <c r="HO24" s="9"/>
      <c r="HP24" s="9"/>
      <c r="HQ24" s="9"/>
      <c r="HR24" s="9"/>
      <c r="HS24" s="9"/>
      <c r="HT24" s="9"/>
      <c r="HU24" s="9"/>
      <c r="HV24" s="9"/>
      <c r="HW24" s="9"/>
      <c r="HX24" s="9"/>
      <c r="HY24" s="8">
        <v>10.0</v>
      </c>
      <c r="HZ24" s="8">
        <v>10000.0</v>
      </c>
      <c r="IA24" s="8">
        <v>6.0</v>
      </c>
      <c r="IB24" s="8">
        <v>50000.0</v>
      </c>
      <c r="IC24" s="9"/>
      <c r="ID24" s="9"/>
      <c r="IE24" s="9"/>
      <c r="IF24" s="9"/>
      <c r="IG24" s="9"/>
      <c r="IH24" s="9"/>
      <c r="II24" s="9"/>
      <c r="IJ24" s="9"/>
      <c r="IK24" s="9" t="s">
        <v>879</v>
      </c>
      <c r="IL24" s="9" t="s">
        <v>880</v>
      </c>
      <c r="IM24" s="9" t="s">
        <v>857</v>
      </c>
      <c r="IN24" s="9" t="s">
        <v>857</v>
      </c>
      <c r="IO24" s="9" t="s">
        <v>1206</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1180</v>
      </c>
      <c r="KT24" s="9" t="s">
        <v>886</v>
      </c>
      <c r="KU24" s="9" t="s">
        <v>886</v>
      </c>
      <c r="KV24" s="9" t="s">
        <v>999</v>
      </c>
      <c r="KW24" s="8">
        <v>0.0</v>
      </c>
      <c r="KX24" s="8">
        <v>0.0</v>
      </c>
      <c r="KY24" s="8">
        <v>0.0</v>
      </c>
      <c r="KZ24" s="8">
        <v>1.0</v>
      </c>
      <c r="LA24" s="9" t="s">
        <v>884</v>
      </c>
      <c r="LB24" s="9" t="s">
        <v>1180</v>
      </c>
      <c r="LC24" s="8">
        <v>0.0</v>
      </c>
      <c r="LD24" s="8">
        <v>3.0</v>
      </c>
      <c r="LE24" s="8">
        <v>0.0</v>
      </c>
      <c r="LF24" s="8">
        <v>3.0</v>
      </c>
      <c r="LG24" s="9" t="s">
        <v>857</v>
      </c>
      <c r="LH24" s="8">
        <v>100000.0</v>
      </c>
      <c r="LI24" s="9"/>
      <c r="LJ24" s="9" t="s">
        <v>887</v>
      </c>
      <c r="LK24" s="8">
        <v>0.0</v>
      </c>
      <c r="LL24" s="8">
        <v>0.0</v>
      </c>
      <c r="LM24" s="8">
        <v>0.0</v>
      </c>
      <c r="LN24" s="8">
        <v>0.0</v>
      </c>
      <c r="LO24" s="8">
        <v>1.0</v>
      </c>
      <c r="LP24" s="8">
        <v>0.0</v>
      </c>
      <c r="LQ24" s="8">
        <v>0.0</v>
      </c>
      <c r="LR24" s="9"/>
      <c r="LS24" s="8">
        <v>15.0</v>
      </c>
      <c r="LT24" s="8">
        <v>15.0</v>
      </c>
      <c r="LU24" s="8">
        <v>0.0</v>
      </c>
      <c r="LV24" s="8">
        <v>5.0</v>
      </c>
      <c r="LW24" s="8">
        <v>5.0</v>
      </c>
      <c r="LX24" s="8">
        <v>0.0</v>
      </c>
      <c r="LY24" s="8">
        <v>5.0</v>
      </c>
      <c r="LZ24" s="8">
        <v>5.0</v>
      </c>
      <c r="MA24" s="8">
        <v>0.0</v>
      </c>
      <c r="MB24" s="9" t="s">
        <v>857</v>
      </c>
      <c r="MC24" s="8">
        <v>30.0</v>
      </c>
      <c r="MD24" s="8">
        <v>15.0</v>
      </c>
      <c r="ME24" s="8">
        <v>30.0</v>
      </c>
      <c r="MF24" s="8">
        <v>15.0</v>
      </c>
      <c r="MG24" s="8">
        <v>0.0</v>
      </c>
      <c r="MH24" s="8">
        <v>0.0</v>
      </c>
      <c r="MI24" s="9" t="s">
        <v>946</v>
      </c>
      <c r="MJ24" s="8">
        <v>0.0</v>
      </c>
      <c r="MK24" s="8">
        <v>0.0</v>
      </c>
      <c r="ML24" s="8">
        <v>1.0</v>
      </c>
      <c r="MM24" s="8">
        <v>0.0</v>
      </c>
      <c r="MN24" s="8">
        <v>0.0</v>
      </c>
      <c r="MO24" s="8">
        <v>0.0</v>
      </c>
      <c r="MP24" s="9"/>
      <c r="MQ24" s="9"/>
      <c r="MR24" s="9" t="s">
        <v>1048</v>
      </c>
      <c r="MS24" s="9"/>
      <c r="MT24" s="9" t="s">
        <v>888</v>
      </c>
      <c r="MU24" s="9" t="s">
        <v>881</v>
      </c>
      <c r="MV24" s="9"/>
      <c r="MW24" s="9"/>
      <c r="MX24" s="9"/>
      <c r="MY24" s="9"/>
      <c r="MZ24" s="9"/>
      <c r="NA24" s="9"/>
      <c r="NB24" s="9"/>
      <c r="NC24" s="9"/>
      <c r="ND24" s="9"/>
      <c r="NE24" s="9"/>
      <c r="NF24" s="9"/>
      <c r="NG24" s="9"/>
      <c r="NH24" s="9"/>
      <c r="NI24" s="9"/>
      <c r="NJ24" s="9"/>
      <c r="NK24" s="9"/>
      <c r="NL24" s="9" t="s">
        <v>857</v>
      </c>
      <c r="NM24" s="9" t="s">
        <v>893</v>
      </c>
      <c r="NN24" s="9" t="s">
        <v>993</v>
      </c>
      <c r="NO24" s="9" t="s">
        <v>994</v>
      </c>
      <c r="NP24" s="9"/>
      <c r="NQ24" s="9"/>
      <c r="NR24" s="9"/>
      <c r="NS24" s="9"/>
      <c r="NT24" s="9"/>
      <c r="NU24" s="9"/>
      <c r="NV24" s="9" t="s">
        <v>896</v>
      </c>
      <c r="NW24" s="9"/>
      <c r="NX24" s="9" t="s">
        <v>1183</v>
      </c>
      <c r="NY24" s="8">
        <v>40.0</v>
      </c>
      <c r="NZ24" s="8">
        <v>15.0</v>
      </c>
      <c r="OA24" s="8">
        <v>0.0</v>
      </c>
      <c r="OB24" s="8">
        <v>5.0</v>
      </c>
      <c r="OC24" s="8">
        <v>5.0</v>
      </c>
      <c r="OD24" s="8">
        <v>0.0</v>
      </c>
      <c r="OE24" s="9" t="s">
        <v>898</v>
      </c>
      <c r="OF24" s="9" t="s">
        <v>1184</v>
      </c>
      <c r="OG24" s="9" t="s">
        <v>857</v>
      </c>
      <c r="OH24" s="8">
        <v>0.0</v>
      </c>
      <c r="OI24" s="8">
        <v>2.0</v>
      </c>
      <c r="OJ24" s="8">
        <v>0.0</v>
      </c>
      <c r="OK24" s="8">
        <v>0.0</v>
      </c>
      <c r="OL24" s="8">
        <v>0.0</v>
      </c>
      <c r="OM24" s="8">
        <v>0.0</v>
      </c>
      <c r="ON24" s="8">
        <v>0.0</v>
      </c>
      <c r="OO24" s="8">
        <v>0.0</v>
      </c>
      <c r="OP24" s="9" t="str">
        <f>VLOOKUP(AG24,'BUS 2'!$G$1:$CU$424,2,0)</f>
        <v>Sapi perah</v>
      </c>
      <c r="OQ24" s="8">
        <f>VLOOKUP(AG24,'BUS 2'!$G$1:$CU$424,3,0)</f>
        <v>0</v>
      </c>
      <c r="OR24" s="8">
        <f>VLOOKUP(AG24,'BUS 2'!$G$1:$CU$424,4,0)</f>
        <v>1</v>
      </c>
      <c r="OS24" s="8">
        <f>VLOOKUP(AG24,'BUS 2'!$G$1:$CU$424,5,0)</f>
        <v>0</v>
      </c>
      <c r="OT24" s="8">
        <f>VLOOKUP(AG24,'BUS 2'!$G$1:$CU$424,6,0)</f>
        <v>0</v>
      </c>
      <c r="OU24" s="8">
        <f>VLOOKUP(AG24,'BUS 2'!$G$1:$CU$424,7,0)</f>
        <v>0</v>
      </c>
      <c r="OV24" s="8">
        <f>VLOOKUP(AG24,'BUS 2'!$G$1:$CU$424,8,0)</f>
        <v>0</v>
      </c>
      <c r="OW24" s="8">
        <f>VLOOKUP(AG24,'BUS 2'!$G$1:$CU$424,9,0)</f>
        <v>0</v>
      </c>
      <c r="OX24" s="8">
        <f>VLOOKUP(AG24,'BUS 2'!$G$1:$CU$424,10,0)</f>
        <v>0</v>
      </c>
      <c r="OY24" s="8">
        <f>VLOOKUP(AG24,'BUS 2'!$G$1:$CU$424,11,0)</f>
        <v>0</v>
      </c>
      <c r="OZ24" s="8" t="str">
        <f>VLOOKUP(AG24,'BUS 2'!$G$1:$CU$424,12,0)</f>
        <v>Sapi perah</v>
      </c>
      <c r="PA24" s="8">
        <f>VLOOKUP(AG24,'BUS 2'!$G$1:$CU$424,13,0)</f>
        <v>0</v>
      </c>
      <c r="PB24" s="8">
        <f>VLOOKUP(AG24,'BUS 2'!$G$1:$CU$424,14,0)</f>
        <v>1</v>
      </c>
      <c r="PC24" s="8">
        <f>VLOOKUP(AG24,'BUS 2'!$G$1:$CU$424,15,0)</f>
        <v>0</v>
      </c>
      <c r="PD24" s="8">
        <f>VLOOKUP(AG24,'BUS 2'!$G$1:$CU$424,16,0)</f>
        <v>0</v>
      </c>
      <c r="PE24" s="8">
        <f>VLOOKUP(AG24,'BUS 2'!$G$1:$CU$424,17,0)</f>
        <v>0</v>
      </c>
      <c r="PF24" s="8">
        <f>VLOOKUP(AG24,'BUS 2'!$G$1:$CU$424,18,0)</f>
        <v>0</v>
      </c>
      <c r="PG24" s="8">
        <f>VLOOKUP(AG24,'BUS 2'!$G$1:$CU$424,19,0)</f>
        <v>0</v>
      </c>
      <c r="PH24" s="8">
        <f>VLOOKUP(AG24,'BUS 2'!$G$1:$CU$424,20,0)</f>
        <v>0</v>
      </c>
      <c r="PI24" s="8">
        <f>VLOOKUP(AG24,'BUS 2'!$G$1:$CU$424,21,0)</f>
        <v>0</v>
      </c>
      <c r="PJ24" s="8" t="str">
        <f>VLOOKUP(AG24,'BUS 2'!$G$1:$CU$424,22,0)</f>
        <v>Tidak ada</v>
      </c>
      <c r="PK24" s="8">
        <f>VLOOKUP(AG24,'BUS 2'!$G$1:$CU$424,23,0)</f>
        <v>0</v>
      </c>
      <c r="PL24" s="8">
        <f>VLOOKUP(AG24,'BUS 2'!$G$1:$CU$424,24,0)</f>
        <v>0</v>
      </c>
      <c r="PM24" s="8">
        <f>VLOOKUP(AG24,'BUS 2'!$G$1:$CU$424,25,0)</f>
        <v>0</v>
      </c>
      <c r="PN24" s="8">
        <f>VLOOKUP(AG24,'BUS 2'!$G$1:$CU$424,26,0)</f>
        <v>0</v>
      </c>
      <c r="PO24" s="8">
        <f>VLOOKUP(AG24,'BUS 2'!$G$1:$CU$424,27,0)</f>
        <v>0</v>
      </c>
      <c r="PP24" s="8">
        <f>VLOOKUP(AG24,'BUS 2'!$G$1:$CU$424,28,0)</f>
        <v>0</v>
      </c>
      <c r="PQ24" s="8">
        <f>VLOOKUP(AG24,'BUS 2'!$G$1:$CU$424,29,0)</f>
        <v>0</v>
      </c>
      <c r="PR24" s="8">
        <f>VLOOKUP(AG24,'BUS 2'!$G$1:$CU$424,30,0)</f>
        <v>0</v>
      </c>
      <c r="PS24" s="8">
        <f>VLOOKUP(AG24,'BUS 2'!$G$1:$CU$424,31,0)</f>
        <v>1</v>
      </c>
      <c r="PT24" s="9"/>
      <c r="PU24" s="9"/>
      <c r="PV24" s="9"/>
      <c r="PW24" s="9"/>
      <c r="PX24" s="9"/>
      <c r="PY24" s="9"/>
      <c r="PZ24" s="9"/>
      <c r="QA24" s="9"/>
      <c r="QB24" s="9"/>
      <c r="QC24" s="9"/>
      <c r="QD24" s="9"/>
      <c r="QE24" s="9" t="s">
        <v>900</v>
      </c>
      <c r="QF24" s="8">
        <v>0.0</v>
      </c>
      <c r="QG24" s="8">
        <v>0.0</v>
      </c>
      <c r="QH24" s="8">
        <v>0.0</v>
      </c>
      <c r="QI24" s="8">
        <v>0.0</v>
      </c>
      <c r="QJ24" s="8">
        <v>0.0</v>
      </c>
      <c r="QK24" s="8">
        <v>1.0</v>
      </c>
      <c r="QL24" s="8">
        <v>0.0</v>
      </c>
      <c r="QM24" s="8">
        <v>0.0</v>
      </c>
      <c r="QN24" s="8">
        <v>0.0</v>
      </c>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8" t="str">
        <f>VLOOKUP(AG24,'BUS 2'!$G$1:$CU$424,33,0)</f>
        <v/>
      </c>
      <c r="SZ24" s="9">
        <f>VLOOKUP(AG24,'BUS 2'!$G$1:$CU$424,34,0)</f>
        <v>2</v>
      </c>
      <c r="TA24" s="9" t="str">
        <f>VLOOKUP(AG24,'BUS 2'!$G$1:$CU$424,35,0)</f>
        <v/>
      </c>
      <c r="TB24" s="9" t="str">
        <f>VLOOKUP(AG24,'BUS 2'!$G$1:$CU$424,36,0)</f>
        <v/>
      </c>
      <c r="TC24" s="9" t="str">
        <f>VLOOKUP(AG24,'BUS 2'!$G$1:$CU$424,37,0)</f>
        <v/>
      </c>
      <c r="TD24" s="9" t="str">
        <f>VLOOKUP(AG24,'BUS 2'!$G$1:$CU$424,38,0)</f>
        <v/>
      </c>
      <c r="TE24" s="9" t="str">
        <f>VLOOKUP(AG24,'BUS 2'!$G$1:$CU$424,39,0)</f>
        <v/>
      </c>
      <c r="TF24" s="9" t="str">
        <f>VLOOKUP(AG24,'BUS 2'!$G$1:$CU$424,40,0)</f>
        <v/>
      </c>
      <c r="TG24" s="8" t="str">
        <f>VLOOKUP(AG24,'BUS 2'!$G$1:$CU$424,42,0)</f>
        <v/>
      </c>
      <c r="TH24" s="8">
        <f>VLOOKUP(AG24,'BUS 2'!$G$1:$CU$424,43,0)</f>
        <v>2</v>
      </c>
      <c r="TI24" s="8" t="str">
        <f>VLOOKUP(AG24,'BUS 2'!$G$1:$CU$424,44,0)</f>
        <v/>
      </c>
      <c r="TJ24" s="8" t="str">
        <f>VLOOKUP(AG24,'BUS 2'!$G$1:$CU$424,45,0)</f>
        <v/>
      </c>
      <c r="TK24" s="8" t="str">
        <f>VLOOKUP(AG24,'BUS 2'!$G$1:$CU$424,46,0)</f>
        <v/>
      </c>
      <c r="TL24" s="8" t="str">
        <f>VLOOKUP(AG24,'BUS 2'!$G$1:$CU$424,47,0)</f>
        <v/>
      </c>
      <c r="TM24" s="8" t="str">
        <f>VLOOKUP(AG24,'BUS 2'!$G$1:$CU$424,48,0)</f>
        <v/>
      </c>
      <c r="TN24" s="8" t="str">
        <f>VLOOKUP(AG24,'BUS 2'!$G$1:$CU$424,49,0)</f>
        <v/>
      </c>
      <c r="TO24" s="8" t="str">
        <f>VLOOKUP(AG24,'BUS 2'!$G$1:$CU$424,50,0)</f>
        <v/>
      </c>
      <c r="TP24" s="8" t="str">
        <f>VLOOKUP(AG24,'BUS 2'!$G$1:$CU$424,51,0)</f>
        <v/>
      </c>
      <c r="TQ24" s="8" t="str">
        <f>VLOOKUP(AG24,'BUS 2'!$G$1:$CU$424,52,0)</f>
        <v/>
      </c>
      <c r="TR24" s="8" t="str">
        <f>VLOOKUP(AG24,'BUS 2'!$G$1:$CU$424,53,0)</f>
        <v/>
      </c>
      <c r="TS24" s="9" t="str">
        <f>VLOOKUP(AG24,'BUS 2'!$G$1:$CU$424,54,0)</f>
        <v/>
      </c>
      <c r="TT24" s="9" t="str">
        <f>VLOOKUP(AG24,'BUS 2'!$G$1:$CU$424,55,0)</f>
        <v/>
      </c>
      <c r="TU24" s="9" t="str">
        <f>VLOOKUP(AG24,'BUS 2'!$G$1:$CU$424,56,0)</f>
        <v/>
      </c>
      <c r="TV24" s="9" t="str">
        <f>VLOOKUP(AG24,'BUS 2'!$G$1:$CU$424,57,0)</f>
        <v/>
      </c>
      <c r="TW24" s="9" t="str">
        <f>VLOOKUP(AG24,'BUS 2'!$G$1:$CU$424,58,0)</f>
        <v/>
      </c>
      <c r="TX24" s="9" t="str">
        <f>VLOOKUP(AG24,'BUS 2'!$G$1:$CU$424,59,0)</f>
        <v/>
      </c>
      <c r="TY24" s="9" t="str">
        <f>VLOOKUP(AG24,'BUS 2'!$G$1:$CU$424,60,0)</f>
        <v/>
      </c>
      <c r="TZ24" s="9" t="str">
        <f>VLOOKUP(AG24,'BUS 2'!$G$1:$CU$424,61,0)</f>
        <v/>
      </c>
      <c r="UA24" s="9" t="str">
        <f>VLOOKUP(AG24,'BUS 2'!$G$1:$CU$424,62,0)</f>
        <v/>
      </c>
      <c r="UB24" s="9" t="str">
        <f>VLOOKUP(AG24,'BUS 2'!$G$1:$CU$424,63,0)</f>
        <v/>
      </c>
      <c r="UC24" s="9" t="str">
        <f>VLOOKUP(AG24,'BUS 2'!$G$1:$CU$424,64,0)</f>
        <v/>
      </c>
      <c r="UD24" s="9" t="str">
        <f>VLOOKUP(AG24,'BUS 2'!$G$1:$CU$424,65,0)</f>
        <v/>
      </c>
      <c r="UE24" s="9" t="str">
        <f>VLOOKUP(AG24,'BUS 2'!$G$1:$CU$424,66,0)</f>
        <v/>
      </c>
      <c r="UF24" s="9" t="str">
        <f>VLOOKUP(AG24,'BUS 2'!$G$1:$CU$424,67,0)</f>
        <v/>
      </c>
      <c r="UG24" s="9" t="str">
        <f>VLOOKUP(AG24,'BUS 2'!$G$1:$CU$424,68,0)</f>
        <v/>
      </c>
      <c r="UH24" s="9" t="str">
        <f>VLOOKUP(AG24,'BUS 2'!$G$1:$CU$424,69,0)</f>
        <v/>
      </c>
      <c r="UI24" s="9" t="str">
        <f>VLOOKUP(AG24,'BUS 2'!$G$1:$CU$424,70,0)</f>
        <v/>
      </c>
      <c r="UJ24" s="9" t="str">
        <f>VLOOKUP(AG24,'BUS 2'!$G$1:$CU$424,71,0)</f>
        <v/>
      </c>
      <c r="UK24" s="9" t="str">
        <f>VLOOKUP(AG24,'BUS 2'!$G$1:$CU$424,72,0)</f>
        <v/>
      </c>
      <c r="UL24" s="9" t="str">
        <f>VLOOKUP(AG24,'BUS 2'!$G$1:$CU$424,73,0)</f>
        <v/>
      </c>
      <c r="UM24" s="9" t="str">
        <f>VLOOKUP(AG24,'BUS 2'!$G$1:$CU$424,74,0)</f>
        <v/>
      </c>
      <c r="UN24" s="9" t="str">
        <f>VLOOKUP(AG24,'BUS 2'!$G$1:$CU$424,75,0)</f>
        <v/>
      </c>
      <c r="UO24" s="9" t="str">
        <f>VLOOKUP(AG24,'BUS 2'!$G$1:$CU$424,76,0)</f>
        <v/>
      </c>
      <c r="UP24" s="9" t="str">
        <f>VLOOKUP(AG24,'BUS 2'!$G$1:$CU$424,77,0)</f>
        <v/>
      </c>
      <c r="UQ24" s="9" t="str">
        <f>VLOOKUP(AG24,'BUS 2'!$G$1:$CU$424,78,0)</f>
        <v/>
      </c>
      <c r="UR24" s="9" t="str">
        <f>VLOOKUP(AG24,'BUS 2'!$G$1:$CU$424,79,0)</f>
        <v/>
      </c>
      <c r="US24" s="9" t="str">
        <f>VLOOKUP(AG24,'BUS 2'!$G$1:$CU$424,80,0)</f>
        <v/>
      </c>
      <c r="UT24" s="9" t="str">
        <f>VLOOKUP(AG24,'BUS 2'!$G$1:$CU$424,81,0)</f>
        <v/>
      </c>
      <c r="UU24" s="9"/>
      <c r="UV24" s="9" t="s">
        <v>901</v>
      </c>
      <c r="UW24" s="9"/>
      <c r="UX24" s="9"/>
      <c r="UY24" s="9"/>
      <c r="UZ24" s="9"/>
      <c r="VA24" s="9"/>
      <c r="VB24" s="9"/>
      <c r="VC24" s="9"/>
      <c r="VD24" s="9" t="s">
        <v>950</v>
      </c>
      <c r="VE24" s="9"/>
      <c r="VF24" s="9"/>
      <c r="VG24" s="9"/>
      <c r="VH24" s="9"/>
      <c r="VI24" s="9"/>
      <c r="VJ24" s="9"/>
      <c r="VK24" s="9"/>
      <c r="VL24" s="9" t="s">
        <v>903</v>
      </c>
      <c r="VM24" s="9"/>
      <c r="VN24" s="9"/>
      <c r="VO24" s="9"/>
      <c r="VP24" s="9"/>
      <c r="VQ24" s="9"/>
      <c r="VR24" s="9"/>
      <c r="VS24" s="9"/>
      <c r="VT24" s="9"/>
      <c r="VU24" s="9"/>
      <c r="VV24" s="9"/>
      <c r="VW24" s="9"/>
      <c r="VX24" s="9"/>
      <c r="VY24" s="9"/>
      <c r="VZ24" s="9"/>
      <c r="WA24" s="9"/>
      <c r="WB24" s="9"/>
      <c r="WC24" s="9"/>
      <c r="WD24" s="9"/>
      <c r="WE24" s="9"/>
      <c r="WF24" s="9" t="s">
        <v>1214</v>
      </c>
      <c r="WG24" s="8">
        <v>0.0</v>
      </c>
      <c r="WH24" s="8">
        <v>0.0</v>
      </c>
      <c r="WI24" s="8">
        <v>1.0</v>
      </c>
      <c r="WJ24" s="8">
        <v>1.0</v>
      </c>
      <c r="WK24" s="8">
        <v>0.0</v>
      </c>
      <c r="WL24" s="8">
        <v>1.0</v>
      </c>
      <c r="WM24" s="8">
        <v>0.0</v>
      </c>
      <c r="WN24" s="8">
        <v>0.0</v>
      </c>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8">
        <v>50.0</v>
      </c>
      <c r="ZP24" s="9"/>
      <c r="ZQ24" s="9"/>
      <c r="ZR24" s="9"/>
      <c r="ZS24" s="9"/>
      <c r="ZT24" s="9"/>
      <c r="ZU24" s="9"/>
      <c r="ZV24" s="9"/>
      <c r="ZW24" s="8">
        <v>2.0</v>
      </c>
      <c r="ZX24" s="9"/>
      <c r="ZY24" s="9"/>
      <c r="ZZ24" s="9"/>
      <c r="AAA24" s="9"/>
      <c r="AAB24" s="9"/>
      <c r="AAC24" s="9"/>
      <c r="AAD24" s="9"/>
      <c r="AAE24" s="9" t="s">
        <v>905</v>
      </c>
      <c r="AAF24" s="9"/>
      <c r="AAG24" s="9"/>
      <c r="AAH24" s="9"/>
      <c r="AAI24" s="9"/>
      <c r="AAJ24" s="9"/>
      <c r="AAK24" s="9"/>
      <c r="AAL24" s="9" t="s">
        <v>857</v>
      </c>
      <c r="AAM24" s="9" t="s">
        <v>1033</v>
      </c>
      <c r="AAN24" s="8">
        <v>1.0</v>
      </c>
      <c r="AAO24" s="8">
        <v>1.0</v>
      </c>
      <c r="AAP24" s="8">
        <v>50.0</v>
      </c>
      <c r="AAQ24" s="8">
        <v>50.0</v>
      </c>
      <c r="AAR24" s="9" t="s">
        <v>857</v>
      </c>
      <c r="AAS24" s="9" t="s">
        <v>867</v>
      </c>
      <c r="AAT24" s="9" t="s">
        <v>1074</v>
      </c>
      <c r="AAU24" s="8">
        <v>1.0</v>
      </c>
      <c r="AAV24" s="8">
        <v>0.0</v>
      </c>
      <c r="AAW24" s="8">
        <v>0.0</v>
      </c>
      <c r="AAX24" s="8">
        <v>1.0</v>
      </c>
      <c r="AAY24" s="8">
        <v>1.0</v>
      </c>
      <c r="AAZ24" s="8">
        <v>0.0</v>
      </c>
      <c r="ABA24" s="8">
        <v>0.0</v>
      </c>
      <c r="ABB24" s="9" t="s">
        <v>907</v>
      </c>
      <c r="ABC24" s="8">
        <v>1.0</v>
      </c>
      <c r="ABD24" s="8">
        <v>0.0</v>
      </c>
      <c r="ABE24" s="8">
        <v>0.0</v>
      </c>
      <c r="ABF24" s="8">
        <v>0.0</v>
      </c>
      <c r="ABG24" s="8">
        <v>0.0</v>
      </c>
      <c r="ABH24" s="9"/>
      <c r="ABI24" s="9"/>
      <c r="ABJ24" s="9"/>
      <c r="ABK24" s="9"/>
      <c r="ABL24" s="9"/>
      <c r="ABM24" s="9"/>
      <c r="ABN24" s="9"/>
      <c r="ABO24" s="9"/>
      <c r="ABP24" s="9"/>
      <c r="ABQ24" s="11" t="s">
        <v>953</v>
      </c>
      <c r="ABR24" s="9" t="s">
        <v>1075</v>
      </c>
      <c r="ABS24" s="8">
        <v>2000.0</v>
      </c>
      <c r="ABT24" s="8">
        <v>200.0</v>
      </c>
      <c r="ABU24" s="8">
        <v>50.0</v>
      </c>
      <c r="ABV24" s="8">
        <v>50.0</v>
      </c>
      <c r="ABW24" s="9" t="s">
        <v>1199</v>
      </c>
      <c r="ABX24" s="9"/>
      <c r="ABY24" s="8">
        <v>30.0</v>
      </c>
      <c r="ABZ24" s="8">
        <v>4000.0</v>
      </c>
      <c r="ACA24" s="8">
        <v>0.0</v>
      </c>
      <c r="ACB24" s="8">
        <v>4000.0</v>
      </c>
      <c r="ACC24" s="8">
        <v>400.0</v>
      </c>
      <c r="ACD24" s="8">
        <v>600.0</v>
      </c>
      <c r="ACE24" s="9" t="s">
        <v>857</v>
      </c>
      <c r="ACF24" s="9" t="s">
        <v>1183</v>
      </c>
      <c r="ACG24" s="9" t="s">
        <v>911</v>
      </c>
      <c r="ACH24" s="9" t="s">
        <v>911</v>
      </c>
      <c r="ACI24" s="9"/>
      <c r="ACJ24" s="9"/>
      <c r="ACK24" s="9" t="s">
        <v>976</v>
      </c>
      <c r="ACL24" s="8">
        <v>0.0</v>
      </c>
      <c r="ACM24" s="8">
        <v>0.0</v>
      </c>
      <c r="ACN24" s="8">
        <v>1.0</v>
      </c>
      <c r="ACO24" s="8">
        <v>1.0</v>
      </c>
      <c r="ACP24" s="8">
        <v>0.0</v>
      </c>
      <c r="ACQ24" s="8">
        <v>0.0</v>
      </c>
      <c r="ACR24" s="8">
        <v>0.0</v>
      </c>
      <c r="ACS24" s="9"/>
      <c r="ACT24" s="9" t="s">
        <v>912</v>
      </c>
      <c r="ACU24" s="9" t="s">
        <v>1050</v>
      </c>
      <c r="ACV24" s="9" t="s">
        <v>957</v>
      </c>
      <c r="ACW24" s="9" t="s">
        <v>915</v>
      </c>
      <c r="ACX24" s="9" t="s">
        <v>916</v>
      </c>
      <c r="ACY24" s="9" t="s">
        <v>1035</v>
      </c>
      <c r="ACZ24" s="8">
        <v>1.0</v>
      </c>
      <c r="ADA24" s="8">
        <v>1.0</v>
      </c>
      <c r="ADB24" s="8">
        <v>0.0</v>
      </c>
      <c r="ADC24" s="8">
        <v>0.0</v>
      </c>
      <c r="ADD24" s="9" t="s">
        <v>917</v>
      </c>
      <c r="ADE24" s="9" t="s">
        <v>917</v>
      </c>
      <c r="ADF24" s="9" t="s">
        <v>917</v>
      </c>
      <c r="ADG24" s="9" t="s">
        <v>917</v>
      </c>
      <c r="ADH24" s="9" t="s">
        <v>881</v>
      </c>
      <c r="ADI24" s="9"/>
      <c r="ADJ24" s="9" t="s">
        <v>917</v>
      </c>
      <c r="ADK24" s="9"/>
      <c r="ADL24" s="9"/>
      <c r="ADM24" s="9"/>
      <c r="ADN24" s="9"/>
      <c r="ADO24" s="9"/>
      <c r="ADP24" s="9"/>
      <c r="ADQ24" s="9"/>
      <c r="ADR24" s="9"/>
      <c r="ADS24" s="9"/>
      <c r="ADT24" s="9"/>
      <c r="ADU24" s="9" t="s">
        <v>919</v>
      </c>
      <c r="ADV24" s="8">
        <v>0.0</v>
      </c>
      <c r="ADW24" s="8">
        <v>0.0</v>
      </c>
      <c r="ADX24" s="8">
        <v>0.0</v>
      </c>
      <c r="ADY24" s="8">
        <v>0.0</v>
      </c>
      <c r="ADZ24" s="8">
        <v>1.0</v>
      </c>
      <c r="AEA24" s="8">
        <v>0.0</v>
      </c>
      <c r="AEB24" s="8">
        <v>0.0</v>
      </c>
      <c r="AEC24" s="8">
        <v>0.0</v>
      </c>
      <c r="AED24" s="12"/>
      <c r="AEE24" s="17" t="s">
        <v>872</v>
      </c>
      <c r="AEF24" s="9"/>
      <c r="AEG24" s="17" t="s">
        <v>920</v>
      </c>
      <c r="AEH24" s="9"/>
      <c r="AEI24" s="11" t="s">
        <v>999</v>
      </c>
      <c r="AEJ24" s="9" t="s">
        <v>871</v>
      </c>
      <c r="AEK24" s="17" t="s">
        <v>1108</v>
      </c>
      <c r="AEL24" s="18">
        <v>1.0</v>
      </c>
      <c r="AEM24" s="18">
        <v>1.0</v>
      </c>
      <c r="AEN24" s="18">
        <v>1.0</v>
      </c>
      <c r="AEO24" s="18">
        <v>1.0</v>
      </c>
      <c r="AEP24" s="18">
        <v>1.0</v>
      </c>
      <c r="AEQ24" s="18">
        <v>1.0</v>
      </c>
      <c r="AER24" s="18">
        <v>1.0</v>
      </c>
      <c r="AES24" s="18">
        <v>1.0</v>
      </c>
      <c r="AET24" s="18">
        <v>1.0</v>
      </c>
      <c r="AEU24" s="18">
        <v>0.0</v>
      </c>
      <c r="AEV24" s="18">
        <v>0.0</v>
      </c>
      <c r="AEW24" s="18">
        <v>0.0</v>
      </c>
      <c r="AEX24" s="9"/>
      <c r="AEY24" s="9" t="s">
        <v>923</v>
      </c>
      <c r="AEZ24" s="9"/>
      <c r="AFA24" s="9" t="s">
        <v>1188</v>
      </c>
      <c r="AFB24" s="9"/>
      <c r="AFC24" s="9" t="s">
        <v>1233</v>
      </c>
      <c r="AFD24" s="16" t="s">
        <v>1234</v>
      </c>
      <c r="AFE24" s="9" t="s">
        <v>1235</v>
      </c>
      <c r="AFF24" s="16" t="s">
        <v>1236</v>
      </c>
      <c r="AFG24" s="9" t="s">
        <v>1137</v>
      </c>
      <c r="AFH24" s="9"/>
      <c r="AFI24" s="9"/>
    </row>
    <row r="25">
      <c r="A25" s="6">
        <v>46059.0</v>
      </c>
      <c r="B25" s="6">
        <v>46059.0</v>
      </c>
      <c r="C25" s="7" t="s">
        <v>837</v>
      </c>
      <c r="D25" s="7" t="s">
        <v>1237</v>
      </c>
      <c r="E25" s="8">
        <v>6.285249535454E12</v>
      </c>
      <c r="F25" s="9"/>
      <c r="G25" s="8">
        <v>-7.2145126</v>
      </c>
      <c r="H25" s="8">
        <v>110.2632742</v>
      </c>
      <c r="I25" s="9"/>
      <c r="J25" s="8">
        <v>2.84</v>
      </c>
      <c r="K25" s="9"/>
      <c r="L25" s="9"/>
      <c r="M25" s="8">
        <v>-7.2144802</v>
      </c>
      <c r="N25" s="8">
        <v>110.2633426</v>
      </c>
      <c r="O25" s="9"/>
      <c r="P25" s="8">
        <v>4.97</v>
      </c>
      <c r="Q25" s="9"/>
      <c r="R25" s="9" t="s">
        <v>839</v>
      </c>
      <c r="S25" s="9"/>
      <c r="T25" s="9"/>
      <c r="U25" s="9"/>
      <c r="V25" s="9"/>
      <c r="W25" s="9"/>
      <c r="X25" s="9"/>
      <c r="Y25" s="9"/>
      <c r="Z25" s="9"/>
      <c r="AA25" s="9"/>
      <c r="AB25" s="9"/>
      <c r="AC25" s="7" t="s">
        <v>1175</v>
      </c>
      <c r="AD25" s="7" t="s">
        <v>1176</v>
      </c>
      <c r="AE25" s="7" t="s">
        <v>1195</v>
      </c>
      <c r="AF25" s="9" t="s">
        <v>1178</v>
      </c>
      <c r="AG25" s="9" t="s">
        <v>1238</v>
      </c>
      <c r="AH25" s="8">
        <v>2.0</v>
      </c>
      <c r="AI25" s="9" t="s">
        <v>845</v>
      </c>
      <c r="AJ25" s="9" t="s">
        <v>846</v>
      </c>
      <c r="AK25" s="8">
        <v>37.0</v>
      </c>
      <c r="AL25" s="9" t="s">
        <v>847</v>
      </c>
      <c r="AM25" s="9" t="s">
        <v>848</v>
      </c>
      <c r="AN25" s="9" t="s">
        <v>1099</v>
      </c>
      <c r="AO25" s="9" t="s">
        <v>935</v>
      </c>
      <c r="AP25" s="8">
        <v>0.0</v>
      </c>
      <c r="AQ25" s="8">
        <v>1.0</v>
      </c>
      <c r="AR25" s="8">
        <v>0.0</v>
      </c>
      <c r="AS25" s="8">
        <v>0.0</v>
      </c>
      <c r="AT25" s="8">
        <v>0.0</v>
      </c>
      <c r="AU25" s="8">
        <v>0.0</v>
      </c>
      <c r="AV25" s="8">
        <v>0.0</v>
      </c>
      <c r="AW25" s="8">
        <v>0.0</v>
      </c>
      <c r="AX25" s="9"/>
      <c r="AY25" s="9" t="s">
        <v>1168</v>
      </c>
      <c r="AZ25" s="8">
        <v>0.0</v>
      </c>
      <c r="BA25" s="8">
        <v>0.0</v>
      </c>
      <c r="BB25" s="8">
        <v>0.0</v>
      </c>
      <c r="BC25" s="8">
        <v>0.0</v>
      </c>
      <c r="BD25" s="8">
        <v>1.0</v>
      </c>
      <c r="BE25" s="8">
        <v>0.0</v>
      </c>
      <c r="BF25" s="8">
        <v>0.0</v>
      </c>
      <c r="BG25" s="8">
        <v>0.0</v>
      </c>
      <c r="BH25" s="9"/>
      <c r="BI25" s="9" t="s">
        <v>852</v>
      </c>
      <c r="BJ25" s="8">
        <v>1.0</v>
      </c>
      <c r="BK25" s="8">
        <v>1.0</v>
      </c>
      <c r="BL25" s="8">
        <v>1.0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2024.0</v>
      </c>
      <c r="CN25" s="9" t="s">
        <v>858</v>
      </c>
      <c r="CO25" s="9" t="s">
        <v>859</v>
      </c>
      <c r="CP25" s="9" t="s">
        <v>860</v>
      </c>
      <c r="CQ25" s="8">
        <v>0.0</v>
      </c>
      <c r="CR25" s="8">
        <v>0.0</v>
      </c>
      <c r="CS25" s="8">
        <v>0.0</v>
      </c>
      <c r="CT25" s="8">
        <v>0.0</v>
      </c>
      <c r="CU25" s="10">
        <v>1.0</v>
      </c>
      <c r="CV25" s="10">
        <v>0.0</v>
      </c>
      <c r="CW25" s="10">
        <v>0.0</v>
      </c>
      <c r="CX25" s="8">
        <v>0.0</v>
      </c>
      <c r="CY25" s="9" t="s">
        <v>860</v>
      </c>
      <c r="CZ25" s="8">
        <v>1.0</v>
      </c>
      <c r="DA25" s="8">
        <v>0.0</v>
      </c>
      <c r="DB25" s="8">
        <v>0.0</v>
      </c>
      <c r="DC25" s="9"/>
      <c r="DD25" s="9" t="s">
        <v>937</v>
      </c>
      <c r="DE25" s="8">
        <v>1.0</v>
      </c>
      <c r="DF25" s="8">
        <v>0.0</v>
      </c>
      <c r="DG25" s="8">
        <v>1.0</v>
      </c>
      <c r="DH25" s="8">
        <v>0.0</v>
      </c>
      <c r="DI25" s="9"/>
      <c r="DJ25" s="9" t="s">
        <v>937</v>
      </c>
      <c r="DK25" s="8">
        <v>1.0</v>
      </c>
      <c r="DL25" s="8">
        <v>0.0</v>
      </c>
      <c r="DM25" s="8">
        <v>1.0</v>
      </c>
      <c r="DN25" s="8">
        <v>0.0</v>
      </c>
      <c r="DO25" s="9"/>
      <c r="DP25" s="8">
        <v>1.0</v>
      </c>
      <c r="DQ25" s="8">
        <v>0.0</v>
      </c>
      <c r="DR25" s="8">
        <v>0.0</v>
      </c>
      <c r="DS25" s="9"/>
      <c r="DT25" s="9"/>
      <c r="DU25" s="9"/>
      <c r="DV25" s="9" t="s">
        <v>857</v>
      </c>
      <c r="DW25" s="9"/>
      <c r="DX25" s="9"/>
      <c r="DY25" s="9"/>
      <c r="DZ25" s="9"/>
      <c r="EA25" s="9"/>
      <c r="EB25" s="9"/>
      <c r="EC25" s="9"/>
      <c r="ED25" s="9"/>
      <c r="EE25" s="9"/>
      <c r="EF25" s="9"/>
      <c r="EG25" s="9"/>
      <c r="EH25" s="9"/>
      <c r="EI25" s="9" t="s">
        <v>862</v>
      </c>
      <c r="EJ25" s="8">
        <v>0.0</v>
      </c>
      <c r="EK25" s="8">
        <v>0.0</v>
      </c>
      <c r="EL25" s="8">
        <v>0.0</v>
      </c>
      <c r="EM25" s="8">
        <v>1.0</v>
      </c>
      <c r="EN25" s="8">
        <v>0.0</v>
      </c>
      <c r="EO25" s="11"/>
      <c r="EP25" s="9" t="s">
        <v>863</v>
      </c>
      <c r="EQ25" s="9" t="s">
        <v>864</v>
      </c>
      <c r="ER25" s="9" t="s">
        <v>861</v>
      </c>
      <c r="ES25" s="8">
        <v>1.0</v>
      </c>
      <c r="ET25" s="8">
        <v>0.0</v>
      </c>
      <c r="EU25" s="8">
        <v>0.0</v>
      </c>
      <c r="EV25" s="8">
        <v>0.0</v>
      </c>
      <c r="EW25" s="9"/>
      <c r="EX25" s="9" t="s">
        <v>865</v>
      </c>
      <c r="EY25" s="8">
        <v>1.0</v>
      </c>
      <c r="EZ25" s="8">
        <v>0.0</v>
      </c>
      <c r="FA25" s="8">
        <v>0.0</v>
      </c>
      <c r="FB25" s="9"/>
      <c r="FC25" s="9" t="s">
        <v>866</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989</v>
      </c>
      <c r="FV25" s="8">
        <v>1.0</v>
      </c>
      <c r="FW25" s="8">
        <v>1.0</v>
      </c>
      <c r="FX25" s="8">
        <v>0.0</v>
      </c>
      <c r="FY25" s="8">
        <v>0.0</v>
      </c>
      <c r="FZ25" s="9" t="s">
        <v>873</v>
      </c>
      <c r="GA25" s="9" t="s">
        <v>874</v>
      </c>
      <c r="GB25" s="8">
        <v>1.0</v>
      </c>
      <c r="GC25" s="8">
        <v>0.0</v>
      </c>
      <c r="GD25" s="8">
        <v>0.0</v>
      </c>
      <c r="GE25" s="8">
        <v>0.0</v>
      </c>
      <c r="GF25" s="9"/>
      <c r="GG25" s="9" t="s">
        <v>875</v>
      </c>
      <c r="GH25" s="9" t="s">
        <v>857</v>
      </c>
      <c r="GI25" s="9" t="s">
        <v>876</v>
      </c>
      <c r="GJ25" s="8">
        <v>1.0</v>
      </c>
      <c r="GK25" s="8">
        <v>0.0</v>
      </c>
      <c r="GL25" s="8">
        <v>0.0</v>
      </c>
      <c r="GM25" s="8">
        <v>0.0</v>
      </c>
      <c r="GN25" s="9"/>
      <c r="GO25" s="8">
        <v>9.0</v>
      </c>
      <c r="GP25" s="9" t="s">
        <v>877</v>
      </c>
      <c r="GQ25" s="9" t="s">
        <v>1102</v>
      </c>
      <c r="GR25" s="8">
        <v>1.0</v>
      </c>
      <c r="GS25" s="8">
        <v>0.0</v>
      </c>
      <c r="GT25" s="8">
        <v>0.0</v>
      </c>
      <c r="GU25" s="8">
        <v>0.0</v>
      </c>
      <c r="GV25" s="8">
        <v>0.0</v>
      </c>
      <c r="GW25" s="8">
        <v>0.0</v>
      </c>
      <c r="GX25" s="8">
        <v>0.0</v>
      </c>
      <c r="GY25" s="9"/>
      <c r="GZ25" s="9" t="s">
        <v>857</v>
      </c>
      <c r="HA25" s="9"/>
      <c r="HB25" s="9"/>
      <c r="HC25" s="9"/>
      <c r="HD25" s="9"/>
      <c r="HE25" s="8">
        <v>15.0</v>
      </c>
      <c r="HF25" s="8">
        <v>125000.0</v>
      </c>
      <c r="HG25" s="8">
        <v>3.0</v>
      </c>
      <c r="HH25" s="8">
        <v>25000.0</v>
      </c>
      <c r="HI25" s="9"/>
      <c r="HJ25" s="9"/>
      <c r="HK25" s="9"/>
      <c r="HL25" s="9"/>
      <c r="HM25" s="9"/>
      <c r="HN25" s="9"/>
      <c r="HO25" s="9"/>
      <c r="HP25" s="9"/>
      <c r="HQ25" s="9"/>
      <c r="HR25" s="9"/>
      <c r="HS25" s="9"/>
      <c r="HT25" s="9"/>
      <c r="HU25" s="9"/>
      <c r="HV25" s="9"/>
      <c r="HW25" s="9"/>
      <c r="HX25" s="9"/>
      <c r="HY25" s="9"/>
      <c r="HZ25" s="9"/>
      <c r="IA25" s="8">
        <v>12.0</v>
      </c>
      <c r="IB25" s="8">
        <v>100000.0</v>
      </c>
      <c r="IC25" s="9"/>
      <c r="ID25" s="9"/>
      <c r="IE25" s="9"/>
      <c r="IF25" s="9"/>
      <c r="IG25" s="9"/>
      <c r="IH25" s="9"/>
      <c r="II25" s="9"/>
      <c r="IJ25" s="9"/>
      <c r="IK25" s="9" t="s">
        <v>879</v>
      </c>
      <c r="IL25" s="9" t="s">
        <v>880</v>
      </c>
      <c r="IM25" s="9" t="s">
        <v>881</v>
      </c>
      <c r="IN25" s="9" t="s">
        <v>881</v>
      </c>
      <c r="IO25" s="9" t="s">
        <v>1206</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1180</v>
      </c>
      <c r="LB25" s="9" t="s">
        <v>1180</v>
      </c>
      <c r="LC25" s="8">
        <v>0.0</v>
      </c>
      <c r="LD25" s="8">
        <v>3.0</v>
      </c>
      <c r="LE25" s="8">
        <v>0.0</v>
      </c>
      <c r="LF25" s="8">
        <v>3.0</v>
      </c>
      <c r="LG25" s="9" t="s">
        <v>857</v>
      </c>
      <c r="LH25" s="8">
        <v>100000.0</v>
      </c>
      <c r="LI25" s="9"/>
      <c r="LJ25" s="9" t="s">
        <v>887</v>
      </c>
      <c r="LK25" s="8">
        <v>0.0</v>
      </c>
      <c r="LL25" s="8">
        <v>0.0</v>
      </c>
      <c r="LM25" s="8">
        <v>0.0</v>
      </c>
      <c r="LN25" s="8">
        <v>0.0</v>
      </c>
      <c r="LO25" s="8">
        <v>1.0</v>
      </c>
      <c r="LP25" s="8">
        <v>0.0</v>
      </c>
      <c r="LQ25" s="8">
        <v>0.0</v>
      </c>
      <c r="LR25" s="9"/>
      <c r="LS25" s="8">
        <v>15.0</v>
      </c>
      <c r="LT25" s="8">
        <v>15.0</v>
      </c>
      <c r="LU25" s="8">
        <v>0.0</v>
      </c>
      <c r="LV25" s="8">
        <v>5.0</v>
      </c>
      <c r="LW25" s="8">
        <v>5.0</v>
      </c>
      <c r="LX25" s="8">
        <v>0.0</v>
      </c>
      <c r="LY25" s="8">
        <v>5.0</v>
      </c>
      <c r="LZ25" s="8">
        <v>5.0</v>
      </c>
      <c r="MA25" s="8">
        <v>0.0</v>
      </c>
      <c r="MB25" s="9" t="s">
        <v>857</v>
      </c>
      <c r="MC25" s="8">
        <v>30.0</v>
      </c>
      <c r="MD25" s="8">
        <v>0.0</v>
      </c>
      <c r="ME25" s="8">
        <v>0.0</v>
      </c>
      <c r="MF25" s="8">
        <v>0.0</v>
      </c>
      <c r="MG25" s="8">
        <v>0.0</v>
      </c>
      <c r="MH25" s="8">
        <v>0.0</v>
      </c>
      <c r="MI25" s="9" t="s">
        <v>946</v>
      </c>
      <c r="MJ25" s="8">
        <v>0.0</v>
      </c>
      <c r="MK25" s="8">
        <v>0.0</v>
      </c>
      <c r="ML25" s="8">
        <v>1.0</v>
      </c>
      <c r="MM25" s="8">
        <v>0.0</v>
      </c>
      <c r="MN25" s="8">
        <v>0.0</v>
      </c>
      <c r="MO25" s="8">
        <v>0.0</v>
      </c>
      <c r="MP25" s="9"/>
      <c r="MQ25" s="9"/>
      <c r="MR25" s="9" t="s">
        <v>1029</v>
      </c>
      <c r="MS25" s="9"/>
      <c r="MT25" s="9" t="s">
        <v>1223</v>
      </c>
      <c r="MU25" s="9" t="s">
        <v>881</v>
      </c>
      <c r="MV25" s="9"/>
      <c r="MW25" s="9"/>
      <c r="MX25" s="9"/>
      <c r="MY25" s="9"/>
      <c r="MZ25" s="9"/>
      <c r="NA25" s="9"/>
      <c r="NB25" s="9"/>
      <c r="NC25" s="9"/>
      <c r="ND25" s="9"/>
      <c r="NE25" s="9"/>
      <c r="NF25" s="9"/>
      <c r="NG25" s="9"/>
      <c r="NH25" s="9"/>
      <c r="NI25" s="9"/>
      <c r="NJ25" s="9"/>
      <c r="NK25" s="9"/>
      <c r="NL25" s="9" t="s">
        <v>857</v>
      </c>
      <c r="NM25" s="9" t="s">
        <v>893</v>
      </c>
      <c r="NN25" s="9" t="s">
        <v>993</v>
      </c>
      <c r="NO25" s="9" t="s">
        <v>994</v>
      </c>
      <c r="NP25" s="9"/>
      <c r="NQ25" s="9"/>
      <c r="NR25" s="9"/>
      <c r="NS25" s="9"/>
      <c r="NT25" s="9"/>
      <c r="NU25" s="9"/>
      <c r="NV25" s="9" t="s">
        <v>896</v>
      </c>
      <c r="NW25" s="9"/>
      <c r="NX25" s="9" t="s">
        <v>1183</v>
      </c>
      <c r="NY25" s="8">
        <v>30.0</v>
      </c>
      <c r="NZ25" s="8">
        <v>0.0</v>
      </c>
      <c r="OA25" s="8">
        <v>0.0</v>
      </c>
      <c r="OB25" s="8">
        <v>5.0</v>
      </c>
      <c r="OC25" s="8">
        <v>5.0</v>
      </c>
      <c r="OD25" s="8">
        <v>0.0</v>
      </c>
      <c r="OE25" s="9" t="s">
        <v>898</v>
      </c>
      <c r="OF25" s="9" t="s">
        <v>1184</v>
      </c>
      <c r="OG25" s="9" t="s">
        <v>857</v>
      </c>
      <c r="OH25" s="8">
        <v>0.0</v>
      </c>
      <c r="OI25" s="8">
        <v>5.0</v>
      </c>
      <c r="OJ25" s="8">
        <v>0.0</v>
      </c>
      <c r="OK25" s="8">
        <v>0.0</v>
      </c>
      <c r="OL25" s="8">
        <v>0.0</v>
      </c>
      <c r="OM25" s="8">
        <v>0.0</v>
      </c>
      <c r="ON25" s="8">
        <v>0.0</v>
      </c>
      <c r="OO25" s="8">
        <v>0.0</v>
      </c>
      <c r="OP25" s="9" t="str">
        <f>VLOOKUP(AG25,'BUS 2'!$G$1:$CU$424,2,0)</f>
        <v>Sapi perah</v>
      </c>
      <c r="OQ25" s="8">
        <f>VLOOKUP(AG25,'BUS 2'!$G$1:$CU$424,3,0)</f>
        <v>0</v>
      </c>
      <c r="OR25" s="8">
        <f>VLOOKUP(AG25,'BUS 2'!$G$1:$CU$424,4,0)</f>
        <v>1</v>
      </c>
      <c r="OS25" s="8">
        <f>VLOOKUP(AG25,'BUS 2'!$G$1:$CU$424,5,0)</f>
        <v>0</v>
      </c>
      <c r="OT25" s="8">
        <f>VLOOKUP(AG25,'BUS 2'!$G$1:$CU$424,6,0)</f>
        <v>0</v>
      </c>
      <c r="OU25" s="8">
        <f>VLOOKUP(AG25,'BUS 2'!$G$1:$CU$424,7,0)</f>
        <v>0</v>
      </c>
      <c r="OV25" s="8">
        <f>VLOOKUP(AG25,'BUS 2'!$G$1:$CU$424,8,0)</f>
        <v>0</v>
      </c>
      <c r="OW25" s="8">
        <f>VLOOKUP(AG25,'BUS 2'!$G$1:$CU$424,9,0)</f>
        <v>0</v>
      </c>
      <c r="OX25" s="8">
        <f>VLOOKUP(AG25,'BUS 2'!$G$1:$CU$424,10,0)</f>
        <v>0</v>
      </c>
      <c r="OY25" s="8">
        <f>VLOOKUP(AG25,'BUS 2'!$G$1:$CU$424,11,0)</f>
        <v>0</v>
      </c>
      <c r="OZ25" s="8" t="str">
        <f>VLOOKUP(AG25,'BUS 2'!$G$1:$CU$424,12,0)</f>
        <v>Sapi perah</v>
      </c>
      <c r="PA25" s="8">
        <f>VLOOKUP(AG25,'BUS 2'!$G$1:$CU$424,13,0)</f>
        <v>0</v>
      </c>
      <c r="PB25" s="8">
        <f>VLOOKUP(AG25,'BUS 2'!$G$1:$CU$424,14,0)</f>
        <v>1</v>
      </c>
      <c r="PC25" s="8">
        <f>VLOOKUP(AG25,'BUS 2'!$G$1:$CU$424,15,0)</f>
        <v>0</v>
      </c>
      <c r="PD25" s="8">
        <f>VLOOKUP(AG25,'BUS 2'!$G$1:$CU$424,16,0)</f>
        <v>0</v>
      </c>
      <c r="PE25" s="8">
        <f>VLOOKUP(AG25,'BUS 2'!$G$1:$CU$424,17,0)</f>
        <v>0</v>
      </c>
      <c r="PF25" s="8">
        <f>VLOOKUP(AG25,'BUS 2'!$G$1:$CU$424,18,0)</f>
        <v>0</v>
      </c>
      <c r="PG25" s="8">
        <f>VLOOKUP(AG25,'BUS 2'!$G$1:$CU$424,19,0)</f>
        <v>0</v>
      </c>
      <c r="PH25" s="8">
        <f>VLOOKUP(AG25,'BUS 2'!$G$1:$CU$424,20,0)</f>
        <v>0</v>
      </c>
      <c r="PI25" s="8">
        <f>VLOOKUP(AG25,'BUS 2'!$G$1:$CU$424,21,0)</f>
        <v>0</v>
      </c>
      <c r="PJ25" s="8" t="str">
        <f>VLOOKUP(AG25,'BUS 2'!$G$1:$CU$424,22,0)</f>
        <v>Tidak ada</v>
      </c>
      <c r="PK25" s="8">
        <f>VLOOKUP(AG25,'BUS 2'!$G$1:$CU$424,23,0)</f>
        <v>0</v>
      </c>
      <c r="PL25" s="8">
        <f>VLOOKUP(AG25,'BUS 2'!$G$1:$CU$424,24,0)</f>
        <v>0</v>
      </c>
      <c r="PM25" s="8">
        <f>VLOOKUP(AG25,'BUS 2'!$G$1:$CU$424,25,0)</f>
        <v>0</v>
      </c>
      <c r="PN25" s="8">
        <f>VLOOKUP(AG25,'BUS 2'!$G$1:$CU$424,26,0)</f>
        <v>0</v>
      </c>
      <c r="PO25" s="8">
        <f>VLOOKUP(AG25,'BUS 2'!$G$1:$CU$424,27,0)</f>
        <v>0</v>
      </c>
      <c r="PP25" s="8">
        <f>VLOOKUP(AG25,'BUS 2'!$G$1:$CU$424,28,0)</f>
        <v>0</v>
      </c>
      <c r="PQ25" s="8">
        <f>VLOOKUP(AG25,'BUS 2'!$G$1:$CU$424,29,0)</f>
        <v>0</v>
      </c>
      <c r="PR25" s="8">
        <f>VLOOKUP(AG25,'BUS 2'!$G$1:$CU$424,30,0)</f>
        <v>0</v>
      </c>
      <c r="PS25" s="8">
        <f>VLOOKUP(AG25,'BUS 2'!$G$1:$CU$424,31,0)</f>
        <v>1</v>
      </c>
      <c r="PT25" s="9"/>
      <c r="PU25" s="9"/>
      <c r="PV25" s="9"/>
      <c r="PW25" s="9"/>
      <c r="PX25" s="9"/>
      <c r="PY25" s="9"/>
      <c r="PZ25" s="9"/>
      <c r="QA25" s="9"/>
      <c r="QB25" s="9"/>
      <c r="QC25" s="9"/>
      <c r="QD25" s="9"/>
      <c r="QE25" s="9" t="s">
        <v>900</v>
      </c>
      <c r="QF25" s="8">
        <v>0.0</v>
      </c>
      <c r="QG25" s="8">
        <v>0.0</v>
      </c>
      <c r="QH25" s="8">
        <v>0.0</v>
      </c>
      <c r="QI25" s="8">
        <v>0.0</v>
      </c>
      <c r="QJ25" s="8">
        <v>0.0</v>
      </c>
      <c r="QK25" s="8">
        <v>1.0</v>
      </c>
      <c r="QL25" s="8">
        <v>0.0</v>
      </c>
      <c r="QM25" s="8">
        <v>0.0</v>
      </c>
      <c r="QN25" s="8">
        <v>0.0</v>
      </c>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8" t="str">
        <f>VLOOKUP(AG25,'BUS 2'!$G$1:$CU$424,33,0)</f>
        <v/>
      </c>
      <c r="SZ25" s="9">
        <f>VLOOKUP(AG25,'BUS 2'!$G$1:$CU$424,34,0)</f>
        <v>5</v>
      </c>
      <c r="TA25" s="9" t="str">
        <f>VLOOKUP(AG25,'BUS 2'!$G$1:$CU$424,35,0)</f>
        <v/>
      </c>
      <c r="TB25" s="9" t="str">
        <f>VLOOKUP(AG25,'BUS 2'!$G$1:$CU$424,36,0)</f>
        <v/>
      </c>
      <c r="TC25" s="9" t="str">
        <f>VLOOKUP(AG25,'BUS 2'!$G$1:$CU$424,37,0)</f>
        <v/>
      </c>
      <c r="TD25" s="9" t="str">
        <f>VLOOKUP(AG25,'BUS 2'!$G$1:$CU$424,38,0)</f>
        <v/>
      </c>
      <c r="TE25" s="9" t="str">
        <f>VLOOKUP(AG25,'BUS 2'!$G$1:$CU$424,39,0)</f>
        <v/>
      </c>
      <c r="TF25" s="9" t="str">
        <f>VLOOKUP(AG25,'BUS 2'!$G$1:$CU$424,40,0)</f>
        <v/>
      </c>
      <c r="TG25" s="8" t="str">
        <f>VLOOKUP(AG25,'BUS 2'!$G$1:$CU$424,42,0)</f>
        <v/>
      </c>
      <c r="TH25" s="8">
        <f>VLOOKUP(AG25,'BUS 2'!$G$1:$CU$424,43,0)</f>
        <v>5</v>
      </c>
      <c r="TI25" s="8" t="str">
        <f>VLOOKUP(AG25,'BUS 2'!$G$1:$CU$424,44,0)</f>
        <v/>
      </c>
      <c r="TJ25" s="8" t="str">
        <f>VLOOKUP(AG25,'BUS 2'!$G$1:$CU$424,45,0)</f>
        <v/>
      </c>
      <c r="TK25" s="8" t="str">
        <f>VLOOKUP(AG25,'BUS 2'!$G$1:$CU$424,46,0)</f>
        <v/>
      </c>
      <c r="TL25" s="8" t="str">
        <f>VLOOKUP(AG25,'BUS 2'!$G$1:$CU$424,47,0)</f>
        <v/>
      </c>
      <c r="TM25" s="8" t="str">
        <f>VLOOKUP(AG25,'BUS 2'!$G$1:$CU$424,48,0)</f>
        <v/>
      </c>
      <c r="TN25" s="8" t="str">
        <f>VLOOKUP(AG25,'BUS 2'!$G$1:$CU$424,49,0)</f>
        <v/>
      </c>
      <c r="TO25" s="8" t="str">
        <f>VLOOKUP(AG25,'BUS 2'!$G$1:$CU$424,50,0)</f>
        <v/>
      </c>
      <c r="TP25" s="8" t="str">
        <f>VLOOKUP(AG25,'BUS 2'!$G$1:$CU$424,51,0)</f>
        <v/>
      </c>
      <c r="TQ25" s="8" t="str">
        <f>VLOOKUP(AG25,'BUS 2'!$G$1:$CU$424,52,0)</f>
        <v/>
      </c>
      <c r="TR25" s="8" t="str">
        <f>VLOOKUP(AG25,'BUS 2'!$G$1:$CU$424,53,0)</f>
        <v/>
      </c>
      <c r="TS25" s="9" t="str">
        <f>VLOOKUP(AG25,'BUS 2'!$G$1:$CU$424,54,0)</f>
        <v/>
      </c>
      <c r="TT25" s="9" t="str">
        <f>VLOOKUP(AG25,'BUS 2'!$G$1:$CU$424,55,0)</f>
        <v/>
      </c>
      <c r="TU25" s="9" t="str">
        <f>VLOOKUP(AG25,'BUS 2'!$G$1:$CU$424,56,0)</f>
        <v/>
      </c>
      <c r="TV25" s="9" t="str">
        <f>VLOOKUP(AG25,'BUS 2'!$G$1:$CU$424,57,0)</f>
        <v/>
      </c>
      <c r="TW25" s="9" t="str">
        <f>VLOOKUP(AG25,'BUS 2'!$G$1:$CU$424,58,0)</f>
        <v/>
      </c>
      <c r="TX25" s="9" t="str">
        <f>VLOOKUP(AG25,'BUS 2'!$G$1:$CU$424,59,0)</f>
        <v/>
      </c>
      <c r="TY25" s="9" t="str">
        <f>VLOOKUP(AG25,'BUS 2'!$G$1:$CU$424,60,0)</f>
        <v/>
      </c>
      <c r="TZ25" s="9" t="str">
        <f>VLOOKUP(AG25,'BUS 2'!$G$1:$CU$424,61,0)</f>
        <v/>
      </c>
      <c r="UA25" s="9" t="str">
        <f>VLOOKUP(AG25,'BUS 2'!$G$1:$CU$424,62,0)</f>
        <v/>
      </c>
      <c r="UB25" s="9" t="str">
        <f>VLOOKUP(AG25,'BUS 2'!$G$1:$CU$424,63,0)</f>
        <v/>
      </c>
      <c r="UC25" s="9" t="str">
        <f>VLOOKUP(AG25,'BUS 2'!$G$1:$CU$424,64,0)</f>
        <v/>
      </c>
      <c r="UD25" s="9" t="str">
        <f>VLOOKUP(AG25,'BUS 2'!$G$1:$CU$424,65,0)</f>
        <v/>
      </c>
      <c r="UE25" s="9" t="str">
        <f>VLOOKUP(AG25,'BUS 2'!$G$1:$CU$424,66,0)</f>
        <v/>
      </c>
      <c r="UF25" s="9" t="str">
        <f>VLOOKUP(AG25,'BUS 2'!$G$1:$CU$424,67,0)</f>
        <v/>
      </c>
      <c r="UG25" s="9" t="str">
        <f>VLOOKUP(AG25,'BUS 2'!$G$1:$CU$424,68,0)</f>
        <v/>
      </c>
      <c r="UH25" s="9" t="str">
        <f>VLOOKUP(AG25,'BUS 2'!$G$1:$CU$424,69,0)</f>
        <v/>
      </c>
      <c r="UI25" s="9" t="str">
        <f>VLOOKUP(AG25,'BUS 2'!$G$1:$CU$424,70,0)</f>
        <v/>
      </c>
      <c r="UJ25" s="9" t="str">
        <f>VLOOKUP(AG25,'BUS 2'!$G$1:$CU$424,71,0)</f>
        <v/>
      </c>
      <c r="UK25" s="9" t="str">
        <f>VLOOKUP(AG25,'BUS 2'!$G$1:$CU$424,72,0)</f>
        <v/>
      </c>
      <c r="UL25" s="9" t="str">
        <f>VLOOKUP(AG25,'BUS 2'!$G$1:$CU$424,73,0)</f>
        <v/>
      </c>
      <c r="UM25" s="9" t="str">
        <f>VLOOKUP(AG25,'BUS 2'!$G$1:$CU$424,74,0)</f>
        <v/>
      </c>
      <c r="UN25" s="9" t="str">
        <f>VLOOKUP(AG25,'BUS 2'!$G$1:$CU$424,75,0)</f>
        <v/>
      </c>
      <c r="UO25" s="9" t="str">
        <f>VLOOKUP(AG25,'BUS 2'!$G$1:$CU$424,76,0)</f>
        <v/>
      </c>
      <c r="UP25" s="9" t="str">
        <f>VLOOKUP(AG25,'BUS 2'!$G$1:$CU$424,77,0)</f>
        <v/>
      </c>
      <c r="UQ25" s="9" t="str">
        <f>VLOOKUP(AG25,'BUS 2'!$G$1:$CU$424,78,0)</f>
        <v/>
      </c>
      <c r="UR25" s="9" t="str">
        <f>VLOOKUP(AG25,'BUS 2'!$G$1:$CU$424,79,0)</f>
        <v/>
      </c>
      <c r="US25" s="9" t="str">
        <f>VLOOKUP(AG25,'BUS 2'!$G$1:$CU$424,80,0)</f>
        <v/>
      </c>
      <c r="UT25" s="9" t="str">
        <f>VLOOKUP(AG25,'BUS 2'!$G$1:$CU$424,81,0)</f>
        <v/>
      </c>
      <c r="UU25" s="9"/>
      <c r="UV25" s="9" t="s">
        <v>901</v>
      </c>
      <c r="UW25" s="9"/>
      <c r="UX25" s="9"/>
      <c r="UY25" s="9"/>
      <c r="UZ25" s="9"/>
      <c r="VA25" s="9"/>
      <c r="VB25" s="9"/>
      <c r="VC25" s="9"/>
      <c r="VD25" s="9" t="s">
        <v>950</v>
      </c>
      <c r="VE25" s="9"/>
      <c r="VF25" s="9"/>
      <c r="VG25" s="9"/>
      <c r="VH25" s="9"/>
      <c r="VI25" s="9"/>
      <c r="VJ25" s="9"/>
      <c r="VK25" s="9"/>
      <c r="VL25" s="9" t="s">
        <v>903</v>
      </c>
      <c r="VM25" s="9"/>
      <c r="VN25" s="9"/>
      <c r="VO25" s="9"/>
      <c r="VP25" s="9"/>
      <c r="VQ25" s="9"/>
      <c r="VR25" s="9"/>
      <c r="VS25" s="9"/>
      <c r="VT25" s="9"/>
      <c r="VU25" s="9"/>
      <c r="VV25" s="9"/>
      <c r="VW25" s="9"/>
      <c r="VX25" s="9"/>
      <c r="VY25" s="9"/>
      <c r="VZ25" s="9"/>
      <c r="WA25" s="9"/>
      <c r="WB25" s="9"/>
      <c r="WC25" s="9"/>
      <c r="WD25" s="9"/>
      <c r="WE25" s="9"/>
      <c r="WF25" s="9" t="s">
        <v>1239</v>
      </c>
      <c r="WG25" s="8">
        <v>0.0</v>
      </c>
      <c r="WH25" s="8">
        <v>1.0</v>
      </c>
      <c r="WI25" s="8">
        <v>1.0</v>
      </c>
      <c r="WJ25" s="8">
        <v>1.0</v>
      </c>
      <c r="WK25" s="8">
        <v>0.0</v>
      </c>
      <c r="WL25" s="8">
        <v>1.0</v>
      </c>
      <c r="WM25" s="8">
        <v>0.0</v>
      </c>
      <c r="WN25" s="8">
        <v>0.0</v>
      </c>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8">
        <v>60.0</v>
      </c>
      <c r="ZP25" s="9"/>
      <c r="ZQ25" s="9"/>
      <c r="ZR25" s="9"/>
      <c r="ZS25" s="9"/>
      <c r="ZT25" s="9"/>
      <c r="ZU25" s="9"/>
      <c r="ZV25" s="9"/>
      <c r="ZW25" s="8">
        <v>2.0</v>
      </c>
      <c r="ZX25" s="9"/>
      <c r="ZY25" s="9"/>
      <c r="ZZ25" s="9"/>
      <c r="AAA25" s="9"/>
      <c r="AAB25" s="9"/>
      <c r="AAC25" s="9"/>
      <c r="AAD25" s="9"/>
      <c r="AAE25" s="9" t="s">
        <v>905</v>
      </c>
      <c r="AAF25" s="9"/>
      <c r="AAG25" s="9"/>
      <c r="AAH25" s="9"/>
      <c r="AAI25" s="9"/>
      <c r="AAJ25" s="9"/>
      <c r="AAK25" s="9"/>
      <c r="AAL25" s="9" t="s">
        <v>857</v>
      </c>
      <c r="AAM25" s="9" t="s">
        <v>1033</v>
      </c>
      <c r="AAN25" s="8">
        <v>1.0</v>
      </c>
      <c r="AAO25" s="8">
        <v>1.0</v>
      </c>
      <c r="AAP25" s="8">
        <v>60.0</v>
      </c>
      <c r="AAQ25" s="8">
        <v>60.0</v>
      </c>
      <c r="AAR25" s="9" t="s">
        <v>857</v>
      </c>
      <c r="AAS25" s="9" t="s">
        <v>867</v>
      </c>
      <c r="AAT25" s="9" t="s">
        <v>1074</v>
      </c>
      <c r="AAU25" s="8">
        <v>1.0</v>
      </c>
      <c r="AAV25" s="8">
        <v>0.0</v>
      </c>
      <c r="AAW25" s="8">
        <v>0.0</v>
      </c>
      <c r="AAX25" s="8">
        <v>1.0</v>
      </c>
      <c r="AAY25" s="8">
        <v>1.0</v>
      </c>
      <c r="AAZ25" s="8">
        <v>0.0</v>
      </c>
      <c r="ABA25" s="8">
        <v>0.0</v>
      </c>
      <c r="ABB25" s="9" t="s">
        <v>907</v>
      </c>
      <c r="ABC25" s="8">
        <v>1.0</v>
      </c>
      <c r="ABD25" s="8">
        <v>0.0</v>
      </c>
      <c r="ABE25" s="8">
        <v>0.0</v>
      </c>
      <c r="ABF25" s="8">
        <v>0.0</v>
      </c>
      <c r="ABG25" s="8">
        <v>0.0</v>
      </c>
      <c r="ABH25" s="9"/>
      <c r="ABI25" s="9"/>
      <c r="ABJ25" s="9"/>
      <c r="ABK25" s="9"/>
      <c r="ABL25" s="9"/>
      <c r="ABM25" s="9"/>
      <c r="ABN25" s="9"/>
      <c r="ABO25" s="9"/>
      <c r="ABP25" s="9"/>
      <c r="ABQ25" s="11" t="s">
        <v>953</v>
      </c>
      <c r="ABR25" s="9" t="s">
        <v>1240</v>
      </c>
      <c r="ABS25" s="8">
        <v>2500.0</v>
      </c>
      <c r="ABT25" s="8">
        <v>500.0</v>
      </c>
      <c r="ABU25" s="8">
        <v>60.0</v>
      </c>
      <c r="ABV25" s="8">
        <v>60.0</v>
      </c>
      <c r="ABW25" s="9" t="s">
        <v>1199</v>
      </c>
      <c r="ABX25" s="9"/>
      <c r="ABY25" s="8">
        <v>40.0</v>
      </c>
      <c r="ABZ25" s="8">
        <v>4000.0</v>
      </c>
      <c r="ACA25" s="8">
        <v>0.0</v>
      </c>
      <c r="ACB25" s="8">
        <v>4000.0</v>
      </c>
      <c r="ACC25" s="8">
        <v>500.0</v>
      </c>
      <c r="ACD25" s="8">
        <v>750.0</v>
      </c>
      <c r="ACE25" s="9" t="s">
        <v>857</v>
      </c>
      <c r="ACF25" s="9" t="s">
        <v>1183</v>
      </c>
      <c r="ACG25" s="9" t="s">
        <v>911</v>
      </c>
      <c r="ACH25" s="9" t="s">
        <v>911</v>
      </c>
      <c r="ACI25" s="9"/>
      <c r="ACJ25" s="9"/>
      <c r="ACK25" s="9" t="s">
        <v>976</v>
      </c>
      <c r="ACL25" s="8">
        <v>0.0</v>
      </c>
      <c r="ACM25" s="8">
        <v>0.0</v>
      </c>
      <c r="ACN25" s="8">
        <v>1.0</v>
      </c>
      <c r="ACO25" s="8">
        <v>1.0</v>
      </c>
      <c r="ACP25" s="8">
        <v>0.0</v>
      </c>
      <c r="ACQ25" s="8">
        <v>0.0</v>
      </c>
      <c r="ACR25" s="8">
        <v>0.0</v>
      </c>
      <c r="ACS25" s="9"/>
      <c r="ACT25" s="9" t="s">
        <v>912</v>
      </c>
      <c r="ACU25" s="9" t="s">
        <v>1050</v>
      </c>
      <c r="ACV25" s="9" t="s">
        <v>957</v>
      </c>
      <c r="ACW25" s="9" t="s">
        <v>915</v>
      </c>
      <c r="ACX25" s="9" t="s">
        <v>916</v>
      </c>
      <c r="ACY25" s="9" t="s">
        <v>1035</v>
      </c>
      <c r="ACZ25" s="8">
        <v>1.0</v>
      </c>
      <c r="ADA25" s="8">
        <v>1.0</v>
      </c>
      <c r="ADB25" s="8">
        <v>0.0</v>
      </c>
      <c r="ADC25" s="8">
        <v>0.0</v>
      </c>
      <c r="ADD25" s="9" t="s">
        <v>917</v>
      </c>
      <c r="ADE25" s="9" t="s">
        <v>917</v>
      </c>
      <c r="ADF25" s="9" t="s">
        <v>917</v>
      </c>
      <c r="ADG25" s="9" t="s">
        <v>917</v>
      </c>
      <c r="ADH25" s="9" t="s">
        <v>881</v>
      </c>
      <c r="ADI25" s="9"/>
      <c r="ADJ25" s="9" t="s">
        <v>1187</v>
      </c>
      <c r="ADK25" s="9"/>
      <c r="ADL25" s="9"/>
      <c r="ADM25" s="9"/>
      <c r="ADN25" s="9"/>
      <c r="ADO25" s="9"/>
      <c r="ADP25" s="9"/>
      <c r="ADQ25" s="9"/>
      <c r="ADR25" s="9"/>
      <c r="ADS25" s="9"/>
      <c r="ADT25" s="9"/>
      <c r="ADU25" s="9" t="s">
        <v>919</v>
      </c>
      <c r="ADV25" s="8">
        <v>0.0</v>
      </c>
      <c r="ADW25" s="8">
        <v>0.0</v>
      </c>
      <c r="ADX25" s="8">
        <v>0.0</v>
      </c>
      <c r="ADY25" s="8">
        <v>0.0</v>
      </c>
      <c r="ADZ25" s="8">
        <v>1.0</v>
      </c>
      <c r="AEA25" s="8">
        <v>0.0</v>
      </c>
      <c r="AEB25" s="8">
        <v>0.0</v>
      </c>
      <c r="AEC25" s="8">
        <v>0.0</v>
      </c>
      <c r="AED25" s="12"/>
      <c r="AEE25" s="17" t="s">
        <v>872</v>
      </c>
      <c r="AEF25" s="9"/>
      <c r="AEG25" s="17" t="s">
        <v>920</v>
      </c>
      <c r="AEH25" s="9"/>
      <c r="AEI25" s="11" t="s">
        <v>999</v>
      </c>
      <c r="AEJ25" s="9" t="s">
        <v>871</v>
      </c>
      <c r="AEK25" s="17" t="s">
        <v>1108</v>
      </c>
      <c r="AEL25" s="18">
        <v>1.0</v>
      </c>
      <c r="AEM25" s="18">
        <v>1.0</v>
      </c>
      <c r="AEN25" s="18">
        <v>1.0</v>
      </c>
      <c r="AEO25" s="18">
        <v>1.0</v>
      </c>
      <c r="AEP25" s="18">
        <v>1.0</v>
      </c>
      <c r="AEQ25" s="18">
        <v>1.0</v>
      </c>
      <c r="AER25" s="18">
        <v>1.0</v>
      </c>
      <c r="AES25" s="18">
        <v>1.0</v>
      </c>
      <c r="AET25" s="18">
        <v>1.0</v>
      </c>
      <c r="AEU25" s="18">
        <v>0.0</v>
      </c>
      <c r="AEV25" s="18">
        <v>0.0</v>
      </c>
      <c r="AEW25" s="18">
        <v>0.0</v>
      </c>
      <c r="AEX25" s="9"/>
      <c r="AEY25" s="9" t="s">
        <v>923</v>
      </c>
      <c r="AEZ25" s="9"/>
      <c r="AFA25" s="9" t="s">
        <v>1188</v>
      </c>
      <c r="AFB25" s="9"/>
      <c r="AFC25" s="9" t="s">
        <v>1241</v>
      </c>
      <c r="AFD25" s="16" t="s">
        <v>1242</v>
      </c>
      <c r="AFE25" s="9" t="s">
        <v>1243</v>
      </c>
      <c r="AFF25" s="16" t="s">
        <v>1244</v>
      </c>
      <c r="AFG25" s="9" t="s">
        <v>1137</v>
      </c>
      <c r="AFH25" s="9"/>
      <c r="AFI25" s="9"/>
    </row>
    <row r="26">
      <c r="A26" s="6">
        <v>46059.0</v>
      </c>
      <c r="B26" s="6">
        <v>46059.0</v>
      </c>
      <c r="C26" s="7" t="s">
        <v>837</v>
      </c>
      <c r="D26" s="7" t="s">
        <v>1245</v>
      </c>
      <c r="E26" s="8">
        <v>6.285601858426E12</v>
      </c>
      <c r="F26" s="9"/>
      <c r="G26" s="8">
        <v>-7.21483541</v>
      </c>
      <c r="H26" s="8">
        <v>110.263039</v>
      </c>
      <c r="I26" s="9"/>
      <c r="J26" s="8">
        <v>4.89</v>
      </c>
      <c r="K26" s="9"/>
      <c r="L26" s="9"/>
      <c r="M26" s="8">
        <v>-7.21481921</v>
      </c>
      <c r="N26" s="8">
        <v>110.263195</v>
      </c>
      <c r="O26" s="9"/>
      <c r="P26" s="8">
        <v>4.97</v>
      </c>
      <c r="Q26" s="9"/>
      <c r="R26" s="9" t="s">
        <v>839</v>
      </c>
      <c r="S26" s="9"/>
      <c r="T26" s="9"/>
      <c r="U26" s="9"/>
      <c r="V26" s="9"/>
      <c r="W26" s="9"/>
      <c r="X26" s="9"/>
      <c r="Y26" s="9"/>
      <c r="Z26" s="9"/>
      <c r="AA26" s="9"/>
      <c r="AB26" s="9"/>
      <c r="AC26" s="7" t="s">
        <v>1175</v>
      </c>
      <c r="AD26" s="7" t="s">
        <v>1176</v>
      </c>
      <c r="AE26" s="7" t="s">
        <v>1195</v>
      </c>
      <c r="AF26" s="9" t="s">
        <v>1178</v>
      </c>
      <c r="AG26" s="9" t="s">
        <v>1246</v>
      </c>
      <c r="AH26" s="8">
        <v>2.0</v>
      </c>
      <c r="AI26" s="9" t="s">
        <v>845</v>
      </c>
      <c r="AJ26" s="9" t="s">
        <v>846</v>
      </c>
      <c r="AK26" s="8">
        <v>51.0</v>
      </c>
      <c r="AL26" s="9" t="s">
        <v>847</v>
      </c>
      <c r="AM26" s="9" t="s">
        <v>848</v>
      </c>
      <c r="AN26" s="9" t="s">
        <v>986</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9"/>
      <c r="BI26" s="9" t="s">
        <v>852</v>
      </c>
      <c r="BJ26" s="8">
        <v>1.0</v>
      </c>
      <c r="BK26" s="8">
        <v>2.0</v>
      </c>
      <c r="BL26" s="8">
        <v>1.0</v>
      </c>
      <c r="BM26" s="8">
        <v>0.0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856</v>
      </c>
      <c r="CD26" s="8">
        <v>0.0</v>
      </c>
      <c r="CE26" s="8">
        <v>0.0</v>
      </c>
      <c r="CF26" s="8">
        <v>0.0</v>
      </c>
      <c r="CG26" s="8">
        <v>0.0</v>
      </c>
      <c r="CH26" s="8">
        <v>0.0</v>
      </c>
      <c r="CI26" s="8">
        <v>1.0</v>
      </c>
      <c r="CJ26" s="8">
        <v>0.0</v>
      </c>
      <c r="CK26" s="9"/>
      <c r="CL26" s="9" t="s">
        <v>857</v>
      </c>
      <c r="CM26" s="8">
        <v>2024.0</v>
      </c>
      <c r="CN26" s="9" t="s">
        <v>858</v>
      </c>
      <c r="CO26" s="9" t="s">
        <v>859</v>
      </c>
      <c r="CP26" s="9" t="s">
        <v>860</v>
      </c>
      <c r="CQ26" s="8">
        <v>0.0</v>
      </c>
      <c r="CR26" s="8">
        <v>0.0</v>
      </c>
      <c r="CS26" s="8">
        <v>0.0</v>
      </c>
      <c r="CT26" s="8">
        <v>0.0</v>
      </c>
      <c r="CU26" s="10">
        <v>1.0</v>
      </c>
      <c r="CV26" s="10">
        <v>0.0</v>
      </c>
      <c r="CW26" s="10">
        <v>0.0</v>
      </c>
      <c r="CX26" s="8">
        <v>0.0</v>
      </c>
      <c r="CY26" s="9" t="s">
        <v>860</v>
      </c>
      <c r="CZ26" s="8">
        <v>1.0</v>
      </c>
      <c r="DA26" s="8">
        <v>0.0</v>
      </c>
      <c r="DB26" s="8">
        <v>0.0</v>
      </c>
      <c r="DC26" s="9"/>
      <c r="DD26" s="9" t="s">
        <v>937</v>
      </c>
      <c r="DE26" s="8">
        <v>1.0</v>
      </c>
      <c r="DF26" s="8">
        <v>0.0</v>
      </c>
      <c r="DG26" s="8">
        <v>1.0</v>
      </c>
      <c r="DH26" s="8">
        <v>0.0</v>
      </c>
      <c r="DI26" s="9"/>
      <c r="DJ26" s="9" t="s">
        <v>937</v>
      </c>
      <c r="DK26" s="8">
        <v>1.0</v>
      </c>
      <c r="DL26" s="8">
        <v>0.0</v>
      </c>
      <c r="DM26" s="8">
        <v>1.0</v>
      </c>
      <c r="DN26" s="8">
        <v>0.0</v>
      </c>
      <c r="DO26" s="9"/>
      <c r="DP26" s="8">
        <v>1.0</v>
      </c>
      <c r="DQ26" s="8">
        <v>0.0</v>
      </c>
      <c r="DR26" s="8">
        <v>0.0</v>
      </c>
      <c r="DS26" s="9"/>
      <c r="DT26" s="9"/>
      <c r="DU26" s="9"/>
      <c r="DV26" s="9" t="s">
        <v>857</v>
      </c>
      <c r="DW26" s="9"/>
      <c r="DX26" s="9"/>
      <c r="DY26" s="9"/>
      <c r="DZ26" s="9"/>
      <c r="EA26" s="9"/>
      <c r="EB26" s="9"/>
      <c r="EC26" s="9"/>
      <c r="ED26" s="9"/>
      <c r="EE26" s="9"/>
      <c r="EF26" s="9"/>
      <c r="EG26" s="9"/>
      <c r="EH26" s="9"/>
      <c r="EI26" s="9" t="s">
        <v>862</v>
      </c>
      <c r="EJ26" s="8">
        <v>0.0</v>
      </c>
      <c r="EK26" s="8">
        <v>0.0</v>
      </c>
      <c r="EL26" s="8">
        <v>0.0</v>
      </c>
      <c r="EM26" s="8">
        <v>1.0</v>
      </c>
      <c r="EN26" s="8">
        <v>0.0</v>
      </c>
      <c r="EO26" s="11"/>
      <c r="EP26" s="9" t="s">
        <v>863</v>
      </c>
      <c r="EQ26" s="9" t="s">
        <v>864</v>
      </c>
      <c r="ER26" s="9" t="s">
        <v>861</v>
      </c>
      <c r="ES26" s="8">
        <v>1.0</v>
      </c>
      <c r="ET26" s="8">
        <v>0.0</v>
      </c>
      <c r="EU26" s="8">
        <v>0.0</v>
      </c>
      <c r="EV26" s="8">
        <v>0.0</v>
      </c>
      <c r="EW26" s="9"/>
      <c r="EX26" s="9" t="s">
        <v>865</v>
      </c>
      <c r="EY26" s="8">
        <v>1.0</v>
      </c>
      <c r="EZ26" s="8">
        <v>0.0</v>
      </c>
      <c r="FA26" s="8">
        <v>0.0</v>
      </c>
      <c r="FB26" s="9"/>
      <c r="FC26" s="9" t="s">
        <v>1072</v>
      </c>
      <c r="FD26" s="9"/>
      <c r="FE26" s="9" t="s">
        <v>867</v>
      </c>
      <c r="FF26" s="9" t="s">
        <v>868</v>
      </c>
      <c r="FG26" s="9" t="s">
        <v>867</v>
      </c>
      <c r="FH26" s="9" t="s">
        <v>868</v>
      </c>
      <c r="FI26" s="9" t="s">
        <v>867</v>
      </c>
      <c r="FJ26" s="9" t="s">
        <v>868</v>
      </c>
      <c r="FK26" s="9" t="s">
        <v>867</v>
      </c>
      <c r="FL26" s="9" t="s">
        <v>943</v>
      </c>
      <c r="FM26" s="9" t="s">
        <v>867</v>
      </c>
      <c r="FN26" s="9" t="s">
        <v>943</v>
      </c>
      <c r="FO26" s="9" t="s">
        <v>867</v>
      </c>
      <c r="FP26" s="9" t="s">
        <v>943</v>
      </c>
      <c r="FQ26" s="9" t="s">
        <v>867</v>
      </c>
      <c r="FR26" s="9" t="s">
        <v>857</v>
      </c>
      <c r="FS26" s="9" t="s">
        <v>867</v>
      </c>
      <c r="FT26" s="9" t="s">
        <v>871</v>
      </c>
      <c r="FU26" s="9" t="s">
        <v>989</v>
      </c>
      <c r="FV26" s="8">
        <v>1.0</v>
      </c>
      <c r="FW26" s="8">
        <v>1.0</v>
      </c>
      <c r="FX26" s="8">
        <v>0.0</v>
      </c>
      <c r="FY26" s="8">
        <v>0.0</v>
      </c>
      <c r="FZ26" s="9" t="s">
        <v>873</v>
      </c>
      <c r="GA26" s="9" t="s">
        <v>874</v>
      </c>
      <c r="GB26" s="8">
        <v>1.0</v>
      </c>
      <c r="GC26" s="8">
        <v>0.0</v>
      </c>
      <c r="GD26" s="8">
        <v>0.0</v>
      </c>
      <c r="GE26" s="8">
        <v>0.0</v>
      </c>
      <c r="GF26" s="9"/>
      <c r="GG26" s="9" t="s">
        <v>875</v>
      </c>
      <c r="GH26" s="9" t="s">
        <v>857</v>
      </c>
      <c r="GI26" s="9" t="s">
        <v>876</v>
      </c>
      <c r="GJ26" s="8">
        <v>1.0</v>
      </c>
      <c r="GK26" s="8">
        <v>0.0</v>
      </c>
      <c r="GL26" s="8">
        <v>0.0</v>
      </c>
      <c r="GM26" s="8">
        <v>0.0</v>
      </c>
      <c r="GN26" s="9"/>
      <c r="GO26" s="8">
        <v>9.0</v>
      </c>
      <c r="GP26" s="9" t="s">
        <v>877</v>
      </c>
      <c r="GQ26" s="9" t="s">
        <v>878</v>
      </c>
      <c r="GR26" s="8">
        <v>1.0</v>
      </c>
      <c r="GS26" s="8">
        <v>1.0</v>
      </c>
      <c r="GT26" s="8">
        <v>0.0</v>
      </c>
      <c r="GU26" s="8">
        <v>0.0</v>
      </c>
      <c r="GV26" s="8">
        <v>0.0</v>
      </c>
      <c r="GW26" s="8">
        <v>0.0</v>
      </c>
      <c r="GX26" s="8">
        <v>0.0</v>
      </c>
      <c r="GY26" s="9"/>
      <c r="GZ26" s="9" t="s">
        <v>857</v>
      </c>
      <c r="HA26" s="8">
        <v>20.0</v>
      </c>
      <c r="HB26" s="8">
        <v>200000.0</v>
      </c>
      <c r="HC26" s="8">
        <v>5.0</v>
      </c>
      <c r="HD26" s="8">
        <v>50000.0</v>
      </c>
      <c r="HE26" s="8">
        <v>9.0</v>
      </c>
      <c r="HF26" s="8">
        <v>75000.0</v>
      </c>
      <c r="HG26" s="8">
        <v>3.0</v>
      </c>
      <c r="HH26" s="8">
        <v>25000.0</v>
      </c>
      <c r="HI26" s="9"/>
      <c r="HJ26" s="9"/>
      <c r="HK26" s="9"/>
      <c r="HL26" s="9"/>
      <c r="HM26" s="9"/>
      <c r="HN26" s="9"/>
      <c r="HO26" s="9"/>
      <c r="HP26" s="9"/>
      <c r="HQ26" s="9"/>
      <c r="HR26" s="9"/>
      <c r="HS26" s="9"/>
      <c r="HT26" s="9"/>
      <c r="HU26" s="9"/>
      <c r="HV26" s="9"/>
      <c r="HW26" s="9"/>
      <c r="HX26" s="9"/>
      <c r="HY26" s="8">
        <v>15.0</v>
      </c>
      <c r="HZ26" s="8">
        <v>150000.0</v>
      </c>
      <c r="IA26" s="8">
        <v>6.0</v>
      </c>
      <c r="IB26" s="8">
        <v>50000.0</v>
      </c>
      <c r="IC26" s="9"/>
      <c r="ID26" s="9"/>
      <c r="IE26" s="9"/>
      <c r="IF26" s="9"/>
      <c r="IG26" s="9"/>
      <c r="IH26" s="9"/>
      <c r="II26" s="9"/>
      <c r="IJ26" s="9"/>
      <c r="IK26" s="9" t="s">
        <v>879</v>
      </c>
      <c r="IL26" s="9" t="s">
        <v>880</v>
      </c>
      <c r="IM26" s="9" t="s">
        <v>857</v>
      </c>
      <c r="IN26" s="9" t="s">
        <v>881</v>
      </c>
      <c r="IO26" s="9" t="s">
        <v>1206</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1180</v>
      </c>
      <c r="KT26" s="9" t="s">
        <v>886</v>
      </c>
      <c r="KU26" s="9" t="s">
        <v>886</v>
      </c>
      <c r="KV26" s="9" t="s">
        <v>999</v>
      </c>
      <c r="KW26" s="8">
        <v>0.0</v>
      </c>
      <c r="KX26" s="8">
        <v>0.0</v>
      </c>
      <c r="KY26" s="8">
        <v>0.0</v>
      </c>
      <c r="KZ26" s="8">
        <v>1.0</v>
      </c>
      <c r="LA26" s="9" t="s">
        <v>1180</v>
      </c>
      <c r="LB26" s="9" t="s">
        <v>1180</v>
      </c>
      <c r="LC26" s="8">
        <v>0.0</v>
      </c>
      <c r="LD26" s="8">
        <v>3.0</v>
      </c>
      <c r="LE26" s="8">
        <v>0.0</v>
      </c>
      <c r="LF26" s="8">
        <v>3.0</v>
      </c>
      <c r="LG26" s="9" t="s">
        <v>857</v>
      </c>
      <c r="LH26" s="8">
        <v>100000.0</v>
      </c>
      <c r="LI26" s="9"/>
      <c r="LJ26" s="9" t="s">
        <v>887</v>
      </c>
      <c r="LK26" s="8">
        <v>0.0</v>
      </c>
      <c r="LL26" s="8">
        <v>0.0</v>
      </c>
      <c r="LM26" s="8">
        <v>0.0</v>
      </c>
      <c r="LN26" s="8">
        <v>0.0</v>
      </c>
      <c r="LO26" s="8">
        <v>1.0</v>
      </c>
      <c r="LP26" s="8">
        <v>0.0</v>
      </c>
      <c r="LQ26" s="8">
        <v>0.0</v>
      </c>
      <c r="LR26" s="9"/>
      <c r="LS26" s="8">
        <v>15.0</v>
      </c>
      <c r="LT26" s="8">
        <v>15.0</v>
      </c>
      <c r="LU26" s="8">
        <v>0.0</v>
      </c>
      <c r="LV26" s="8">
        <v>5.0</v>
      </c>
      <c r="LW26" s="8">
        <v>5.0</v>
      </c>
      <c r="LX26" s="8">
        <v>0.0</v>
      </c>
      <c r="LY26" s="8">
        <v>5.0</v>
      </c>
      <c r="LZ26" s="8">
        <v>5.0</v>
      </c>
      <c r="MA26" s="8">
        <v>0.0</v>
      </c>
      <c r="MB26" s="9" t="s">
        <v>857</v>
      </c>
      <c r="MC26" s="8">
        <v>30.0</v>
      </c>
      <c r="MD26" s="8">
        <v>15.0</v>
      </c>
      <c r="ME26" s="8">
        <v>30.0</v>
      </c>
      <c r="MF26" s="8">
        <v>15.0</v>
      </c>
      <c r="MG26" s="8">
        <v>0.0</v>
      </c>
      <c r="MH26" s="8">
        <v>0.0</v>
      </c>
      <c r="MI26" s="9" t="s">
        <v>946</v>
      </c>
      <c r="MJ26" s="8">
        <v>0.0</v>
      </c>
      <c r="MK26" s="8">
        <v>0.0</v>
      </c>
      <c r="ML26" s="8">
        <v>1.0</v>
      </c>
      <c r="MM26" s="8">
        <v>0.0</v>
      </c>
      <c r="MN26" s="8">
        <v>0.0</v>
      </c>
      <c r="MO26" s="8">
        <v>0.0</v>
      </c>
      <c r="MP26" s="9"/>
      <c r="MQ26" s="9"/>
      <c r="MR26" s="9" t="s">
        <v>972</v>
      </c>
      <c r="MS26" s="9"/>
      <c r="MT26" s="9" t="s">
        <v>888</v>
      </c>
      <c r="MU26" s="9" t="s">
        <v>881</v>
      </c>
      <c r="MV26" s="9"/>
      <c r="MW26" s="9"/>
      <c r="MX26" s="9"/>
      <c r="MY26" s="9"/>
      <c r="MZ26" s="9"/>
      <c r="NA26" s="9"/>
      <c r="NB26" s="9"/>
      <c r="NC26" s="9"/>
      <c r="ND26" s="9"/>
      <c r="NE26" s="9"/>
      <c r="NF26" s="9"/>
      <c r="NG26" s="9"/>
      <c r="NH26" s="9"/>
      <c r="NI26" s="9"/>
      <c r="NJ26" s="9"/>
      <c r="NK26" s="9"/>
      <c r="NL26" s="9" t="s">
        <v>857</v>
      </c>
      <c r="NM26" s="9" t="s">
        <v>893</v>
      </c>
      <c r="NN26" s="9" t="s">
        <v>993</v>
      </c>
      <c r="NO26" s="9" t="s">
        <v>994</v>
      </c>
      <c r="NP26" s="9"/>
      <c r="NQ26" s="9"/>
      <c r="NR26" s="9"/>
      <c r="NS26" s="9"/>
      <c r="NT26" s="9"/>
      <c r="NU26" s="9"/>
      <c r="NV26" s="9" t="s">
        <v>896</v>
      </c>
      <c r="NW26" s="9"/>
      <c r="NX26" s="9" t="s">
        <v>897</v>
      </c>
      <c r="NY26" s="8">
        <v>30.0</v>
      </c>
      <c r="NZ26" s="8">
        <v>10.0</v>
      </c>
      <c r="OA26" s="8">
        <v>0.0</v>
      </c>
      <c r="OB26" s="8">
        <v>5.0</v>
      </c>
      <c r="OC26" s="8">
        <v>5.0</v>
      </c>
      <c r="OD26" s="8">
        <v>0.0</v>
      </c>
      <c r="OE26" s="9" t="s">
        <v>1180</v>
      </c>
      <c r="OF26" s="9" t="s">
        <v>1184</v>
      </c>
      <c r="OG26" s="9" t="s">
        <v>857</v>
      </c>
      <c r="OH26" s="8">
        <v>0.0</v>
      </c>
      <c r="OI26" s="8">
        <v>2.0</v>
      </c>
      <c r="OJ26" s="8">
        <v>0.0</v>
      </c>
      <c r="OK26" s="8">
        <v>0.0</v>
      </c>
      <c r="OL26" s="8">
        <v>0.0</v>
      </c>
      <c r="OM26" s="8">
        <v>0.0</v>
      </c>
      <c r="ON26" s="8">
        <v>0.0</v>
      </c>
      <c r="OO26" s="8">
        <v>0.0</v>
      </c>
      <c r="OP26" s="9" t="str">
        <f>VLOOKUP(AG26,'BUS 2'!$G$1:$CU$424,2,0)</f>
        <v>Sapi perah</v>
      </c>
      <c r="OQ26" s="8">
        <f>VLOOKUP(AG26,'BUS 2'!$G$1:$CU$424,3,0)</f>
        <v>0</v>
      </c>
      <c r="OR26" s="8">
        <f>VLOOKUP(AG26,'BUS 2'!$G$1:$CU$424,4,0)</f>
        <v>1</v>
      </c>
      <c r="OS26" s="8">
        <f>VLOOKUP(AG26,'BUS 2'!$G$1:$CU$424,5,0)</f>
        <v>0</v>
      </c>
      <c r="OT26" s="8">
        <f>VLOOKUP(AG26,'BUS 2'!$G$1:$CU$424,6,0)</f>
        <v>0</v>
      </c>
      <c r="OU26" s="8">
        <f>VLOOKUP(AG26,'BUS 2'!$G$1:$CU$424,7,0)</f>
        <v>0</v>
      </c>
      <c r="OV26" s="8">
        <f>VLOOKUP(AG26,'BUS 2'!$G$1:$CU$424,8,0)</f>
        <v>0</v>
      </c>
      <c r="OW26" s="8">
        <f>VLOOKUP(AG26,'BUS 2'!$G$1:$CU$424,9,0)</f>
        <v>0</v>
      </c>
      <c r="OX26" s="8">
        <f>VLOOKUP(AG26,'BUS 2'!$G$1:$CU$424,10,0)</f>
        <v>0</v>
      </c>
      <c r="OY26" s="8">
        <f>VLOOKUP(AG26,'BUS 2'!$G$1:$CU$424,11,0)</f>
        <v>0</v>
      </c>
      <c r="OZ26" s="8" t="str">
        <f>VLOOKUP(AG26,'BUS 2'!$G$1:$CU$424,12,0)</f>
        <v>Sapi perah</v>
      </c>
      <c r="PA26" s="8">
        <f>VLOOKUP(AG26,'BUS 2'!$G$1:$CU$424,13,0)</f>
        <v>0</v>
      </c>
      <c r="PB26" s="8">
        <f>VLOOKUP(AG26,'BUS 2'!$G$1:$CU$424,14,0)</f>
        <v>1</v>
      </c>
      <c r="PC26" s="8">
        <f>VLOOKUP(AG26,'BUS 2'!$G$1:$CU$424,15,0)</f>
        <v>0</v>
      </c>
      <c r="PD26" s="8">
        <f>VLOOKUP(AG26,'BUS 2'!$G$1:$CU$424,16,0)</f>
        <v>0</v>
      </c>
      <c r="PE26" s="8">
        <f>VLOOKUP(AG26,'BUS 2'!$G$1:$CU$424,17,0)</f>
        <v>0</v>
      </c>
      <c r="PF26" s="8">
        <f>VLOOKUP(AG26,'BUS 2'!$G$1:$CU$424,18,0)</f>
        <v>0</v>
      </c>
      <c r="PG26" s="8">
        <f>VLOOKUP(AG26,'BUS 2'!$G$1:$CU$424,19,0)</f>
        <v>0</v>
      </c>
      <c r="PH26" s="8">
        <f>VLOOKUP(AG26,'BUS 2'!$G$1:$CU$424,20,0)</f>
        <v>0</v>
      </c>
      <c r="PI26" s="8">
        <f>VLOOKUP(AG26,'BUS 2'!$G$1:$CU$424,21,0)</f>
        <v>0</v>
      </c>
      <c r="PJ26" s="8" t="str">
        <f>VLOOKUP(AG26,'BUS 2'!$G$1:$CU$424,22,0)</f>
        <v>Tidak ada</v>
      </c>
      <c r="PK26" s="8">
        <f>VLOOKUP(AG26,'BUS 2'!$G$1:$CU$424,23,0)</f>
        <v>0</v>
      </c>
      <c r="PL26" s="8">
        <f>VLOOKUP(AG26,'BUS 2'!$G$1:$CU$424,24,0)</f>
        <v>0</v>
      </c>
      <c r="PM26" s="8">
        <f>VLOOKUP(AG26,'BUS 2'!$G$1:$CU$424,25,0)</f>
        <v>0</v>
      </c>
      <c r="PN26" s="8">
        <f>VLOOKUP(AG26,'BUS 2'!$G$1:$CU$424,26,0)</f>
        <v>0</v>
      </c>
      <c r="PO26" s="8">
        <f>VLOOKUP(AG26,'BUS 2'!$G$1:$CU$424,27,0)</f>
        <v>0</v>
      </c>
      <c r="PP26" s="8">
        <f>VLOOKUP(AG26,'BUS 2'!$G$1:$CU$424,28,0)</f>
        <v>0</v>
      </c>
      <c r="PQ26" s="8">
        <f>VLOOKUP(AG26,'BUS 2'!$G$1:$CU$424,29,0)</f>
        <v>0</v>
      </c>
      <c r="PR26" s="8">
        <f>VLOOKUP(AG26,'BUS 2'!$G$1:$CU$424,30,0)</f>
        <v>0</v>
      </c>
      <c r="PS26" s="8">
        <f>VLOOKUP(AG26,'BUS 2'!$G$1:$CU$424,31,0)</f>
        <v>1</v>
      </c>
      <c r="PT26" s="9"/>
      <c r="PU26" s="9"/>
      <c r="PV26" s="9"/>
      <c r="PW26" s="9"/>
      <c r="PX26" s="9"/>
      <c r="PY26" s="9"/>
      <c r="PZ26" s="9"/>
      <c r="QA26" s="9"/>
      <c r="QB26" s="9"/>
      <c r="QC26" s="9"/>
      <c r="QD26" s="9"/>
      <c r="QE26" s="9" t="s">
        <v>900</v>
      </c>
      <c r="QF26" s="8">
        <v>0.0</v>
      </c>
      <c r="QG26" s="8">
        <v>0.0</v>
      </c>
      <c r="QH26" s="8">
        <v>0.0</v>
      </c>
      <c r="QI26" s="8">
        <v>0.0</v>
      </c>
      <c r="QJ26" s="8">
        <v>0.0</v>
      </c>
      <c r="QK26" s="8">
        <v>1.0</v>
      </c>
      <c r="QL26" s="8">
        <v>0.0</v>
      </c>
      <c r="QM26" s="8">
        <v>0.0</v>
      </c>
      <c r="QN26" s="8">
        <v>0.0</v>
      </c>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8" t="str">
        <f>VLOOKUP(AG26,'BUS 2'!$G$1:$CU$424,33,0)</f>
        <v/>
      </c>
      <c r="SZ26" s="9">
        <f>VLOOKUP(AG26,'BUS 2'!$G$1:$CU$424,34,0)</f>
        <v>2</v>
      </c>
      <c r="TA26" s="9" t="str">
        <f>VLOOKUP(AG26,'BUS 2'!$G$1:$CU$424,35,0)</f>
        <v/>
      </c>
      <c r="TB26" s="9" t="str">
        <f>VLOOKUP(AG26,'BUS 2'!$G$1:$CU$424,36,0)</f>
        <v/>
      </c>
      <c r="TC26" s="9" t="str">
        <f>VLOOKUP(AG26,'BUS 2'!$G$1:$CU$424,37,0)</f>
        <v/>
      </c>
      <c r="TD26" s="9" t="str">
        <f>VLOOKUP(AG26,'BUS 2'!$G$1:$CU$424,38,0)</f>
        <v/>
      </c>
      <c r="TE26" s="9" t="str">
        <f>VLOOKUP(AG26,'BUS 2'!$G$1:$CU$424,39,0)</f>
        <v/>
      </c>
      <c r="TF26" s="9" t="str">
        <f>VLOOKUP(AG26,'BUS 2'!$G$1:$CU$424,40,0)</f>
        <v/>
      </c>
      <c r="TG26" s="8" t="str">
        <f>VLOOKUP(AG26,'BUS 2'!$G$1:$CU$424,42,0)</f>
        <v/>
      </c>
      <c r="TH26" s="8">
        <f>VLOOKUP(AG26,'BUS 2'!$G$1:$CU$424,43,0)</f>
        <v>2</v>
      </c>
      <c r="TI26" s="8" t="str">
        <f>VLOOKUP(AG26,'BUS 2'!$G$1:$CU$424,44,0)</f>
        <v/>
      </c>
      <c r="TJ26" s="8" t="str">
        <f>VLOOKUP(AG26,'BUS 2'!$G$1:$CU$424,45,0)</f>
        <v/>
      </c>
      <c r="TK26" s="8" t="str">
        <f>VLOOKUP(AG26,'BUS 2'!$G$1:$CU$424,46,0)</f>
        <v/>
      </c>
      <c r="TL26" s="8" t="str">
        <f>VLOOKUP(AG26,'BUS 2'!$G$1:$CU$424,47,0)</f>
        <v/>
      </c>
      <c r="TM26" s="8" t="str">
        <f>VLOOKUP(AG26,'BUS 2'!$G$1:$CU$424,48,0)</f>
        <v/>
      </c>
      <c r="TN26" s="8" t="str">
        <f>VLOOKUP(AG26,'BUS 2'!$G$1:$CU$424,49,0)</f>
        <v/>
      </c>
      <c r="TO26" s="8" t="str">
        <f>VLOOKUP(AG26,'BUS 2'!$G$1:$CU$424,50,0)</f>
        <v/>
      </c>
      <c r="TP26" s="8" t="str">
        <f>VLOOKUP(AG26,'BUS 2'!$G$1:$CU$424,51,0)</f>
        <v/>
      </c>
      <c r="TQ26" s="8" t="str">
        <f>VLOOKUP(AG26,'BUS 2'!$G$1:$CU$424,52,0)</f>
        <v/>
      </c>
      <c r="TR26" s="8" t="str">
        <f>VLOOKUP(AG26,'BUS 2'!$G$1:$CU$424,53,0)</f>
        <v/>
      </c>
      <c r="TS26" s="9" t="str">
        <f>VLOOKUP(AG26,'BUS 2'!$G$1:$CU$424,54,0)</f>
        <v/>
      </c>
      <c r="TT26" s="9" t="str">
        <f>VLOOKUP(AG26,'BUS 2'!$G$1:$CU$424,55,0)</f>
        <v/>
      </c>
      <c r="TU26" s="9" t="str">
        <f>VLOOKUP(AG26,'BUS 2'!$G$1:$CU$424,56,0)</f>
        <v/>
      </c>
      <c r="TV26" s="9" t="str">
        <f>VLOOKUP(AG26,'BUS 2'!$G$1:$CU$424,57,0)</f>
        <v/>
      </c>
      <c r="TW26" s="9" t="str">
        <f>VLOOKUP(AG26,'BUS 2'!$G$1:$CU$424,58,0)</f>
        <v/>
      </c>
      <c r="TX26" s="9" t="str">
        <f>VLOOKUP(AG26,'BUS 2'!$G$1:$CU$424,59,0)</f>
        <v/>
      </c>
      <c r="TY26" s="9" t="str">
        <f>VLOOKUP(AG26,'BUS 2'!$G$1:$CU$424,60,0)</f>
        <v/>
      </c>
      <c r="TZ26" s="9" t="str">
        <f>VLOOKUP(AG26,'BUS 2'!$G$1:$CU$424,61,0)</f>
        <v/>
      </c>
      <c r="UA26" s="9" t="str">
        <f>VLOOKUP(AG26,'BUS 2'!$G$1:$CU$424,62,0)</f>
        <v/>
      </c>
      <c r="UB26" s="9" t="str">
        <f>VLOOKUP(AG26,'BUS 2'!$G$1:$CU$424,63,0)</f>
        <v/>
      </c>
      <c r="UC26" s="9" t="str">
        <f>VLOOKUP(AG26,'BUS 2'!$G$1:$CU$424,64,0)</f>
        <v/>
      </c>
      <c r="UD26" s="9" t="str">
        <f>VLOOKUP(AG26,'BUS 2'!$G$1:$CU$424,65,0)</f>
        <v/>
      </c>
      <c r="UE26" s="9" t="str">
        <f>VLOOKUP(AG26,'BUS 2'!$G$1:$CU$424,66,0)</f>
        <v/>
      </c>
      <c r="UF26" s="9" t="str">
        <f>VLOOKUP(AG26,'BUS 2'!$G$1:$CU$424,67,0)</f>
        <v/>
      </c>
      <c r="UG26" s="9" t="str">
        <f>VLOOKUP(AG26,'BUS 2'!$G$1:$CU$424,68,0)</f>
        <v/>
      </c>
      <c r="UH26" s="9" t="str">
        <f>VLOOKUP(AG26,'BUS 2'!$G$1:$CU$424,69,0)</f>
        <v/>
      </c>
      <c r="UI26" s="9" t="str">
        <f>VLOOKUP(AG26,'BUS 2'!$G$1:$CU$424,70,0)</f>
        <v/>
      </c>
      <c r="UJ26" s="9" t="str">
        <f>VLOOKUP(AG26,'BUS 2'!$G$1:$CU$424,71,0)</f>
        <v/>
      </c>
      <c r="UK26" s="9" t="str">
        <f>VLOOKUP(AG26,'BUS 2'!$G$1:$CU$424,72,0)</f>
        <v/>
      </c>
      <c r="UL26" s="9" t="str">
        <f>VLOOKUP(AG26,'BUS 2'!$G$1:$CU$424,73,0)</f>
        <v/>
      </c>
      <c r="UM26" s="9" t="str">
        <f>VLOOKUP(AG26,'BUS 2'!$G$1:$CU$424,74,0)</f>
        <v/>
      </c>
      <c r="UN26" s="9" t="str">
        <f>VLOOKUP(AG26,'BUS 2'!$G$1:$CU$424,75,0)</f>
        <v/>
      </c>
      <c r="UO26" s="9" t="str">
        <f>VLOOKUP(AG26,'BUS 2'!$G$1:$CU$424,76,0)</f>
        <v/>
      </c>
      <c r="UP26" s="9" t="str">
        <f>VLOOKUP(AG26,'BUS 2'!$G$1:$CU$424,77,0)</f>
        <v/>
      </c>
      <c r="UQ26" s="9" t="str">
        <f>VLOOKUP(AG26,'BUS 2'!$G$1:$CU$424,78,0)</f>
        <v/>
      </c>
      <c r="UR26" s="9" t="str">
        <f>VLOOKUP(AG26,'BUS 2'!$G$1:$CU$424,79,0)</f>
        <v/>
      </c>
      <c r="US26" s="9" t="str">
        <f>VLOOKUP(AG26,'BUS 2'!$G$1:$CU$424,80,0)</f>
        <v/>
      </c>
      <c r="UT26" s="9" t="str">
        <f>VLOOKUP(AG26,'BUS 2'!$G$1:$CU$424,81,0)</f>
        <v/>
      </c>
      <c r="UU26" s="9"/>
      <c r="UV26" s="9" t="s">
        <v>901</v>
      </c>
      <c r="UW26" s="9"/>
      <c r="UX26" s="9"/>
      <c r="UY26" s="9"/>
      <c r="UZ26" s="9"/>
      <c r="VA26" s="9"/>
      <c r="VB26" s="9"/>
      <c r="VC26" s="9"/>
      <c r="VD26" s="9" t="s">
        <v>950</v>
      </c>
      <c r="VE26" s="9"/>
      <c r="VF26" s="9"/>
      <c r="VG26" s="9"/>
      <c r="VH26" s="9"/>
      <c r="VI26" s="9"/>
      <c r="VJ26" s="9"/>
      <c r="VK26" s="9"/>
      <c r="VL26" s="9" t="s">
        <v>903</v>
      </c>
      <c r="VM26" s="9"/>
      <c r="VN26" s="9"/>
      <c r="VO26" s="9"/>
      <c r="VP26" s="9"/>
      <c r="VQ26" s="9"/>
      <c r="VR26" s="9"/>
      <c r="VS26" s="9"/>
      <c r="VT26" s="9"/>
      <c r="VU26" s="9"/>
      <c r="VV26" s="9"/>
      <c r="VW26" s="9"/>
      <c r="VX26" s="9"/>
      <c r="VY26" s="9"/>
      <c r="VZ26" s="9"/>
      <c r="WA26" s="9"/>
      <c r="WB26" s="9"/>
      <c r="WC26" s="9"/>
      <c r="WD26" s="9"/>
      <c r="WE26" s="9"/>
      <c r="WF26" s="9" t="s">
        <v>1239</v>
      </c>
      <c r="WG26" s="8">
        <v>0.0</v>
      </c>
      <c r="WH26" s="8">
        <v>1.0</v>
      </c>
      <c r="WI26" s="8">
        <v>1.0</v>
      </c>
      <c r="WJ26" s="8">
        <v>1.0</v>
      </c>
      <c r="WK26" s="8">
        <v>0.0</v>
      </c>
      <c r="WL26" s="8">
        <v>1.0</v>
      </c>
      <c r="WM26" s="8">
        <v>0.0</v>
      </c>
      <c r="WN26" s="8">
        <v>0.0</v>
      </c>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8">
        <v>50.0</v>
      </c>
      <c r="ZP26" s="9"/>
      <c r="ZQ26" s="9"/>
      <c r="ZR26" s="9"/>
      <c r="ZS26" s="9"/>
      <c r="ZT26" s="9"/>
      <c r="ZU26" s="9"/>
      <c r="ZV26" s="9"/>
      <c r="ZW26" s="8">
        <v>2.0</v>
      </c>
      <c r="ZX26" s="9"/>
      <c r="ZY26" s="9"/>
      <c r="ZZ26" s="9"/>
      <c r="AAA26" s="9"/>
      <c r="AAB26" s="9"/>
      <c r="AAC26" s="9"/>
      <c r="AAD26" s="9"/>
      <c r="AAE26" s="9" t="s">
        <v>1186</v>
      </c>
      <c r="AAF26" s="9"/>
      <c r="AAG26" s="9"/>
      <c r="AAH26" s="9"/>
      <c r="AAI26" s="9"/>
      <c r="AAJ26" s="9"/>
      <c r="AAK26" s="9"/>
      <c r="AAL26" s="9" t="s">
        <v>857</v>
      </c>
      <c r="AAM26" s="9" t="s">
        <v>1033</v>
      </c>
      <c r="AAN26" s="8">
        <v>1.0</v>
      </c>
      <c r="AAO26" s="8">
        <v>1.0</v>
      </c>
      <c r="AAP26" s="8">
        <v>50.0</v>
      </c>
      <c r="AAQ26" s="8">
        <v>50.0</v>
      </c>
      <c r="AAR26" s="9" t="s">
        <v>857</v>
      </c>
      <c r="AAS26" s="9" t="s">
        <v>867</v>
      </c>
      <c r="AAT26" s="9" t="s">
        <v>1074</v>
      </c>
      <c r="AAU26" s="8">
        <v>1.0</v>
      </c>
      <c r="AAV26" s="8">
        <v>0.0</v>
      </c>
      <c r="AAW26" s="8">
        <v>0.0</v>
      </c>
      <c r="AAX26" s="8">
        <v>1.0</v>
      </c>
      <c r="AAY26" s="8">
        <v>1.0</v>
      </c>
      <c r="AAZ26" s="8">
        <v>0.0</v>
      </c>
      <c r="ABA26" s="8">
        <v>0.0</v>
      </c>
      <c r="ABB26" s="9" t="s">
        <v>907</v>
      </c>
      <c r="ABC26" s="8">
        <v>1.0</v>
      </c>
      <c r="ABD26" s="8">
        <v>0.0</v>
      </c>
      <c r="ABE26" s="8">
        <v>0.0</v>
      </c>
      <c r="ABF26" s="8">
        <v>0.0</v>
      </c>
      <c r="ABG26" s="8">
        <v>0.0</v>
      </c>
      <c r="ABH26" s="9"/>
      <c r="ABI26" s="9"/>
      <c r="ABJ26" s="9"/>
      <c r="ABK26" s="9"/>
      <c r="ABL26" s="9"/>
      <c r="ABM26" s="9"/>
      <c r="ABN26" s="9"/>
      <c r="ABO26" s="9"/>
      <c r="ABP26" s="9"/>
      <c r="ABQ26" s="11" t="s">
        <v>953</v>
      </c>
      <c r="ABR26" s="9" t="s">
        <v>909</v>
      </c>
      <c r="ABS26" s="8">
        <v>2500.0</v>
      </c>
      <c r="ABT26" s="8">
        <v>300.0</v>
      </c>
      <c r="ABU26" s="8">
        <v>100.0</v>
      </c>
      <c r="ABV26" s="8">
        <v>100.0</v>
      </c>
      <c r="ABW26" s="9" t="s">
        <v>1199</v>
      </c>
      <c r="ABX26" s="9"/>
      <c r="ABY26" s="8">
        <v>30.0</v>
      </c>
      <c r="ABZ26" s="8">
        <v>4000.0</v>
      </c>
      <c r="ACA26" s="8">
        <v>0.0</v>
      </c>
      <c r="ACB26" s="8">
        <v>4000.0</v>
      </c>
      <c r="ACC26" s="8">
        <v>500.0</v>
      </c>
      <c r="ACD26" s="8">
        <v>650.0</v>
      </c>
      <c r="ACE26" s="9" t="s">
        <v>857</v>
      </c>
      <c r="ACF26" s="9" t="s">
        <v>911</v>
      </c>
      <c r="ACG26" s="9" t="s">
        <v>911</v>
      </c>
      <c r="ACH26" s="9" t="s">
        <v>911</v>
      </c>
      <c r="ACI26" s="9"/>
      <c r="ACJ26" s="9"/>
      <c r="ACK26" s="9" t="s">
        <v>976</v>
      </c>
      <c r="ACL26" s="8">
        <v>0.0</v>
      </c>
      <c r="ACM26" s="8">
        <v>0.0</v>
      </c>
      <c r="ACN26" s="8">
        <v>1.0</v>
      </c>
      <c r="ACO26" s="8">
        <v>1.0</v>
      </c>
      <c r="ACP26" s="8">
        <v>0.0</v>
      </c>
      <c r="ACQ26" s="8">
        <v>0.0</v>
      </c>
      <c r="ACR26" s="8">
        <v>0.0</v>
      </c>
      <c r="ACS26" s="9"/>
      <c r="ACT26" s="9" t="s">
        <v>912</v>
      </c>
      <c r="ACU26" s="9" t="s">
        <v>1050</v>
      </c>
      <c r="ACV26" s="9" t="s">
        <v>957</v>
      </c>
      <c r="ACW26" s="9" t="s">
        <v>915</v>
      </c>
      <c r="ACX26" s="9" t="s">
        <v>916</v>
      </c>
      <c r="ACY26" s="9" t="s">
        <v>1035</v>
      </c>
      <c r="ACZ26" s="8">
        <v>1.0</v>
      </c>
      <c r="ADA26" s="8">
        <v>1.0</v>
      </c>
      <c r="ADB26" s="8">
        <v>0.0</v>
      </c>
      <c r="ADC26" s="8">
        <v>0.0</v>
      </c>
      <c r="ADD26" s="9" t="s">
        <v>917</v>
      </c>
      <c r="ADE26" s="9" t="s">
        <v>917</v>
      </c>
      <c r="ADF26" s="9" t="s">
        <v>917</v>
      </c>
      <c r="ADG26" s="9" t="s">
        <v>917</v>
      </c>
      <c r="ADH26" s="9" t="s">
        <v>881</v>
      </c>
      <c r="ADI26" s="9"/>
      <c r="ADJ26" s="9" t="s">
        <v>1187</v>
      </c>
      <c r="ADK26" s="9"/>
      <c r="ADL26" s="9"/>
      <c r="ADM26" s="9"/>
      <c r="ADN26" s="9"/>
      <c r="ADO26" s="9"/>
      <c r="ADP26" s="9"/>
      <c r="ADQ26" s="9"/>
      <c r="ADR26" s="9"/>
      <c r="ADS26" s="9"/>
      <c r="ADT26" s="9"/>
      <c r="ADU26" s="9" t="s">
        <v>919</v>
      </c>
      <c r="ADV26" s="8">
        <v>0.0</v>
      </c>
      <c r="ADW26" s="8">
        <v>0.0</v>
      </c>
      <c r="ADX26" s="8">
        <v>0.0</v>
      </c>
      <c r="ADY26" s="8">
        <v>0.0</v>
      </c>
      <c r="ADZ26" s="8">
        <v>1.0</v>
      </c>
      <c r="AEA26" s="8">
        <v>0.0</v>
      </c>
      <c r="AEB26" s="8">
        <v>0.0</v>
      </c>
      <c r="AEC26" s="8">
        <v>0.0</v>
      </c>
      <c r="AED26" s="12"/>
      <c r="AEE26" s="17" t="s">
        <v>872</v>
      </c>
      <c r="AEF26" s="9"/>
      <c r="AEG26" s="17" t="s">
        <v>920</v>
      </c>
      <c r="AEH26" s="9"/>
      <c r="AEI26" s="11" t="s">
        <v>999</v>
      </c>
      <c r="AEJ26" s="9" t="s">
        <v>871</v>
      </c>
      <c r="AEK26" s="17" t="s">
        <v>1108</v>
      </c>
      <c r="AEL26" s="18">
        <v>1.0</v>
      </c>
      <c r="AEM26" s="18">
        <v>1.0</v>
      </c>
      <c r="AEN26" s="18">
        <v>1.0</v>
      </c>
      <c r="AEO26" s="18">
        <v>1.0</v>
      </c>
      <c r="AEP26" s="18">
        <v>1.0</v>
      </c>
      <c r="AEQ26" s="18">
        <v>1.0</v>
      </c>
      <c r="AER26" s="18">
        <v>1.0</v>
      </c>
      <c r="AES26" s="18">
        <v>1.0</v>
      </c>
      <c r="AET26" s="18">
        <v>1.0</v>
      </c>
      <c r="AEU26" s="18">
        <v>0.0</v>
      </c>
      <c r="AEV26" s="18">
        <v>0.0</v>
      </c>
      <c r="AEW26" s="18">
        <v>0.0</v>
      </c>
      <c r="AEX26" s="9"/>
      <c r="AEY26" s="9" t="s">
        <v>923</v>
      </c>
      <c r="AEZ26" s="9"/>
      <c r="AFA26" s="9" t="s">
        <v>1188</v>
      </c>
      <c r="AFB26" s="9"/>
      <c r="AFC26" s="9" t="s">
        <v>1247</v>
      </c>
      <c r="AFD26" s="16" t="s">
        <v>1248</v>
      </c>
      <c r="AFE26" s="9" t="s">
        <v>1249</v>
      </c>
      <c r="AFF26" s="16" t="s">
        <v>1250</v>
      </c>
      <c r="AFG26" s="9" t="s">
        <v>1137</v>
      </c>
      <c r="AFH26" s="9"/>
      <c r="AFI26" s="9"/>
    </row>
    <row r="27">
      <c r="A27" s="6">
        <v>46059.0</v>
      </c>
      <c r="B27" s="6">
        <v>46059.0</v>
      </c>
      <c r="C27" s="7" t="s">
        <v>837</v>
      </c>
      <c r="D27" s="7" t="s">
        <v>1251</v>
      </c>
      <c r="E27" s="8">
        <v>6.281391606132E12</v>
      </c>
      <c r="F27" s="9"/>
      <c r="G27" s="8">
        <v>-7.23003732</v>
      </c>
      <c r="H27" s="8">
        <v>110.2829</v>
      </c>
      <c r="I27" s="9"/>
      <c r="J27" s="8">
        <v>4.45</v>
      </c>
      <c r="K27" s="9"/>
      <c r="L27" s="9"/>
      <c r="M27" s="8">
        <v>-7.22598436</v>
      </c>
      <c r="N27" s="8">
        <v>110.2830833</v>
      </c>
      <c r="O27" s="9"/>
      <c r="P27" s="8">
        <v>4.74</v>
      </c>
      <c r="Q27" s="9"/>
      <c r="R27" s="9" t="s">
        <v>839</v>
      </c>
      <c r="S27" s="9"/>
      <c r="T27" s="9"/>
      <c r="U27" s="9"/>
      <c r="V27" s="9"/>
      <c r="W27" s="9"/>
      <c r="X27" s="9"/>
      <c r="Y27" s="9"/>
      <c r="Z27" s="9"/>
      <c r="AA27" s="9"/>
      <c r="AB27" s="9"/>
      <c r="AC27" s="7" t="s">
        <v>1175</v>
      </c>
      <c r="AD27" s="7" t="s">
        <v>1176</v>
      </c>
      <c r="AE27" s="7" t="s">
        <v>1252</v>
      </c>
      <c r="AF27" s="9" t="s">
        <v>1178</v>
      </c>
      <c r="AG27" s="9" t="s">
        <v>1253</v>
      </c>
      <c r="AH27" s="8">
        <v>2.0</v>
      </c>
      <c r="AI27" s="9" t="s">
        <v>845</v>
      </c>
      <c r="AJ27" s="9" t="s">
        <v>846</v>
      </c>
      <c r="AK27" s="8">
        <v>59.0</v>
      </c>
      <c r="AL27" s="9" t="s">
        <v>847</v>
      </c>
      <c r="AM27" s="9" t="s">
        <v>848</v>
      </c>
      <c r="AN27" s="9" t="s">
        <v>849</v>
      </c>
      <c r="AO27" s="9" t="s">
        <v>850</v>
      </c>
      <c r="AP27" s="8">
        <v>1.0</v>
      </c>
      <c r="AQ27" s="8">
        <v>0.0</v>
      </c>
      <c r="AR27" s="8">
        <v>0.0</v>
      </c>
      <c r="AS27" s="8">
        <v>0.0</v>
      </c>
      <c r="AT27" s="8">
        <v>0.0</v>
      </c>
      <c r="AU27" s="8">
        <v>0.0</v>
      </c>
      <c r="AV27" s="8">
        <v>0.0</v>
      </c>
      <c r="AW27" s="8">
        <v>0.0</v>
      </c>
      <c r="AX27" s="9"/>
      <c r="AY27" s="9" t="s">
        <v>935</v>
      </c>
      <c r="AZ27" s="8">
        <v>0.0</v>
      </c>
      <c r="BA27" s="8">
        <v>1.0</v>
      </c>
      <c r="BB27" s="8">
        <v>0.0</v>
      </c>
      <c r="BC27" s="8">
        <v>0.0</v>
      </c>
      <c r="BD27" s="8">
        <v>0.0</v>
      </c>
      <c r="BE27" s="8">
        <v>0.0</v>
      </c>
      <c r="BF27" s="8">
        <v>0.0</v>
      </c>
      <c r="BG27" s="8">
        <v>0.0</v>
      </c>
      <c r="BH27" s="9"/>
      <c r="BI27" s="9" t="s">
        <v>852</v>
      </c>
      <c r="BJ27" s="8">
        <v>3.0</v>
      </c>
      <c r="BK27" s="8">
        <v>3.0</v>
      </c>
      <c r="BL27" s="8">
        <v>0.0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856</v>
      </c>
      <c r="CD27" s="8">
        <v>0.0</v>
      </c>
      <c r="CE27" s="8">
        <v>0.0</v>
      </c>
      <c r="CF27" s="8">
        <v>0.0</v>
      </c>
      <c r="CG27" s="8">
        <v>0.0</v>
      </c>
      <c r="CH27" s="8">
        <v>0.0</v>
      </c>
      <c r="CI27" s="8">
        <v>1.0</v>
      </c>
      <c r="CJ27" s="8">
        <v>0.0</v>
      </c>
      <c r="CK27" s="9"/>
      <c r="CL27" s="9" t="s">
        <v>857</v>
      </c>
      <c r="CM27" s="8">
        <v>2024.0</v>
      </c>
      <c r="CN27" s="9" t="s">
        <v>858</v>
      </c>
      <c r="CO27" s="9" t="s">
        <v>859</v>
      </c>
      <c r="CP27" s="9" t="s">
        <v>860</v>
      </c>
      <c r="CQ27" s="8">
        <v>0.0</v>
      </c>
      <c r="CR27" s="8">
        <v>0.0</v>
      </c>
      <c r="CS27" s="8">
        <v>0.0</v>
      </c>
      <c r="CT27" s="8">
        <v>0.0</v>
      </c>
      <c r="CU27" s="10">
        <v>1.0</v>
      </c>
      <c r="CV27" s="10">
        <v>0.0</v>
      </c>
      <c r="CW27" s="10">
        <v>0.0</v>
      </c>
      <c r="CX27" s="8">
        <v>0.0</v>
      </c>
      <c r="CY27" s="9" t="s">
        <v>860</v>
      </c>
      <c r="CZ27" s="8">
        <v>1.0</v>
      </c>
      <c r="DA27" s="8">
        <v>0.0</v>
      </c>
      <c r="DB27" s="8">
        <v>0.0</v>
      </c>
      <c r="DC27" s="9"/>
      <c r="DD27" s="9" t="s">
        <v>937</v>
      </c>
      <c r="DE27" s="8">
        <v>1.0</v>
      </c>
      <c r="DF27" s="8">
        <v>0.0</v>
      </c>
      <c r="DG27" s="8">
        <v>1.0</v>
      </c>
      <c r="DH27" s="8">
        <v>0.0</v>
      </c>
      <c r="DI27" s="9"/>
      <c r="DJ27" s="9" t="s">
        <v>937</v>
      </c>
      <c r="DK27" s="8">
        <v>1.0</v>
      </c>
      <c r="DL27" s="8">
        <v>0.0</v>
      </c>
      <c r="DM27" s="8">
        <v>1.0</v>
      </c>
      <c r="DN27" s="8">
        <v>0.0</v>
      </c>
      <c r="DO27" s="9"/>
      <c r="DP27" s="8">
        <v>1.0</v>
      </c>
      <c r="DQ27" s="8">
        <v>0.0</v>
      </c>
      <c r="DR27" s="8">
        <v>0.0</v>
      </c>
      <c r="DS27" s="9"/>
      <c r="DT27" s="9"/>
      <c r="DU27" s="9"/>
      <c r="DV27" s="9" t="s">
        <v>857</v>
      </c>
      <c r="DW27" s="9"/>
      <c r="DX27" s="9"/>
      <c r="DY27" s="9"/>
      <c r="DZ27" s="9"/>
      <c r="EA27" s="9"/>
      <c r="EB27" s="9"/>
      <c r="EC27" s="9"/>
      <c r="ED27" s="9"/>
      <c r="EE27" s="9"/>
      <c r="EF27" s="9"/>
      <c r="EG27" s="9"/>
      <c r="EH27" s="9"/>
      <c r="EI27" s="9" t="s">
        <v>862</v>
      </c>
      <c r="EJ27" s="8">
        <v>0.0</v>
      </c>
      <c r="EK27" s="8">
        <v>0.0</v>
      </c>
      <c r="EL27" s="8">
        <v>0.0</v>
      </c>
      <c r="EM27" s="8">
        <v>1.0</v>
      </c>
      <c r="EN27" s="8">
        <v>0.0</v>
      </c>
      <c r="EO27" s="11"/>
      <c r="EP27" s="9" t="s">
        <v>863</v>
      </c>
      <c r="EQ27" s="9" t="s">
        <v>864</v>
      </c>
      <c r="ER27" s="9" t="s">
        <v>861</v>
      </c>
      <c r="ES27" s="8">
        <v>1.0</v>
      </c>
      <c r="ET27" s="8">
        <v>0.0</v>
      </c>
      <c r="EU27" s="8">
        <v>0.0</v>
      </c>
      <c r="EV27" s="8">
        <v>0.0</v>
      </c>
      <c r="EW27" s="9"/>
      <c r="EX27" s="9" t="s">
        <v>865</v>
      </c>
      <c r="EY27" s="8">
        <v>1.0</v>
      </c>
      <c r="EZ27" s="8">
        <v>0.0</v>
      </c>
      <c r="FA27" s="8">
        <v>0.0</v>
      </c>
      <c r="FB27" s="9"/>
      <c r="FC27" s="9" t="s">
        <v>866</v>
      </c>
      <c r="FD27" s="9"/>
      <c r="FE27" s="9" t="s">
        <v>867</v>
      </c>
      <c r="FF27" s="9" t="s">
        <v>868</v>
      </c>
      <c r="FG27" s="9" t="s">
        <v>867</v>
      </c>
      <c r="FH27" s="9" t="s">
        <v>868</v>
      </c>
      <c r="FI27" s="9" t="s">
        <v>867</v>
      </c>
      <c r="FJ27" s="9" t="s">
        <v>868</v>
      </c>
      <c r="FK27" s="9" t="s">
        <v>867</v>
      </c>
      <c r="FL27" s="9" t="s">
        <v>869</v>
      </c>
      <c r="FM27" s="9" t="s">
        <v>867</v>
      </c>
      <c r="FN27" s="9" t="s">
        <v>943</v>
      </c>
      <c r="FO27" s="9" t="s">
        <v>867</v>
      </c>
      <c r="FP27" s="9" t="s">
        <v>943</v>
      </c>
      <c r="FQ27" s="9" t="s">
        <v>867</v>
      </c>
      <c r="FR27" s="9" t="s">
        <v>857</v>
      </c>
      <c r="FS27" s="9" t="s">
        <v>867</v>
      </c>
      <c r="FT27" s="9" t="s">
        <v>871</v>
      </c>
      <c r="FU27" s="9" t="s">
        <v>989</v>
      </c>
      <c r="FV27" s="8">
        <v>1.0</v>
      </c>
      <c r="FW27" s="8">
        <v>1.0</v>
      </c>
      <c r="FX27" s="8">
        <v>0.0</v>
      </c>
      <c r="FY27" s="8">
        <v>0.0</v>
      </c>
      <c r="FZ27" s="9" t="s">
        <v>873</v>
      </c>
      <c r="GA27" s="9" t="s">
        <v>874</v>
      </c>
      <c r="GB27" s="8">
        <v>1.0</v>
      </c>
      <c r="GC27" s="8">
        <v>0.0</v>
      </c>
      <c r="GD27" s="8">
        <v>0.0</v>
      </c>
      <c r="GE27" s="8">
        <v>0.0</v>
      </c>
      <c r="GF27" s="9"/>
      <c r="GG27" s="9" t="s">
        <v>875</v>
      </c>
      <c r="GH27" s="9" t="s">
        <v>857</v>
      </c>
      <c r="GI27" s="9" t="s">
        <v>876</v>
      </c>
      <c r="GJ27" s="8">
        <v>1.0</v>
      </c>
      <c r="GK27" s="8">
        <v>0.0</v>
      </c>
      <c r="GL27" s="8">
        <v>0.0</v>
      </c>
      <c r="GM27" s="8">
        <v>0.0</v>
      </c>
      <c r="GN27" s="9"/>
      <c r="GO27" s="8">
        <v>10.0</v>
      </c>
      <c r="GP27" s="9" t="s">
        <v>877</v>
      </c>
      <c r="GQ27" s="9" t="s">
        <v>878</v>
      </c>
      <c r="GR27" s="8">
        <v>1.0</v>
      </c>
      <c r="GS27" s="8">
        <v>1.0</v>
      </c>
      <c r="GT27" s="8">
        <v>0.0</v>
      </c>
      <c r="GU27" s="8">
        <v>0.0</v>
      </c>
      <c r="GV27" s="8">
        <v>0.0</v>
      </c>
      <c r="GW27" s="8">
        <v>0.0</v>
      </c>
      <c r="GX27" s="8">
        <v>0.0</v>
      </c>
      <c r="GY27" s="9"/>
      <c r="GZ27" s="9" t="s">
        <v>857</v>
      </c>
      <c r="HA27" s="8">
        <v>15.0</v>
      </c>
      <c r="HB27" s="8">
        <v>150.0</v>
      </c>
      <c r="HC27" s="8">
        <v>5.0</v>
      </c>
      <c r="HD27" s="8">
        <v>50000.0</v>
      </c>
      <c r="HE27" s="8">
        <v>9.0</v>
      </c>
      <c r="HF27" s="8">
        <v>75000.0</v>
      </c>
      <c r="HG27" s="8">
        <v>3.0</v>
      </c>
      <c r="HH27" s="8">
        <v>25000.0</v>
      </c>
      <c r="HI27" s="9"/>
      <c r="HJ27" s="9"/>
      <c r="HK27" s="9"/>
      <c r="HL27" s="9"/>
      <c r="HM27" s="9"/>
      <c r="HN27" s="9"/>
      <c r="HO27" s="9"/>
      <c r="HP27" s="9"/>
      <c r="HQ27" s="9"/>
      <c r="HR27" s="9"/>
      <c r="HS27" s="9"/>
      <c r="HT27" s="9"/>
      <c r="HU27" s="9"/>
      <c r="HV27" s="9"/>
      <c r="HW27" s="9"/>
      <c r="HX27" s="9"/>
      <c r="HY27" s="8">
        <v>10.0</v>
      </c>
      <c r="HZ27" s="8">
        <v>100000.0</v>
      </c>
      <c r="IA27" s="8">
        <v>6.0</v>
      </c>
      <c r="IB27" s="8">
        <v>50000.0</v>
      </c>
      <c r="IC27" s="9"/>
      <c r="ID27" s="9"/>
      <c r="IE27" s="9"/>
      <c r="IF27" s="9"/>
      <c r="IG27" s="9"/>
      <c r="IH27" s="9"/>
      <c r="II27" s="9"/>
      <c r="IJ27" s="9"/>
      <c r="IK27" s="9" t="s">
        <v>879</v>
      </c>
      <c r="IL27" s="9" t="s">
        <v>880</v>
      </c>
      <c r="IM27" s="9" t="s">
        <v>857</v>
      </c>
      <c r="IN27" s="9" t="s">
        <v>881</v>
      </c>
      <c r="IO27" s="9" t="s">
        <v>1206</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872</v>
      </c>
      <c r="KW27" s="8">
        <v>1.0</v>
      </c>
      <c r="KX27" s="8">
        <v>0.0</v>
      </c>
      <c r="KY27" s="8">
        <v>0.0</v>
      </c>
      <c r="KZ27" s="8">
        <v>0.0</v>
      </c>
      <c r="LA27" s="9" t="s">
        <v>884</v>
      </c>
      <c r="LB27" s="9" t="s">
        <v>884</v>
      </c>
      <c r="LC27" s="8">
        <v>3.0</v>
      </c>
      <c r="LD27" s="8">
        <v>3.0</v>
      </c>
      <c r="LE27" s="8">
        <v>0.0</v>
      </c>
      <c r="LF27" s="8">
        <v>0.0</v>
      </c>
      <c r="LG27" s="9" t="s">
        <v>857</v>
      </c>
      <c r="LH27" s="8">
        <v>100000.0</v>
      </c>
      <c r="LI27" s="9"/>
      <c r="LJ27" s="9" t="s">
        <v>887</v>
      </c>
      <c r="LK27" s="8">
        <v>0.0</v>
      </c>
      <c r="LL27" s="8">
        <v>0.0</v>
      </c>
      <c r="LM27" s="8">
        <v>0.0</v>
      </c>
      <c r="LN27" s="8">
        <v>0.0</v>
      </c>
      <c r="LO27" s="8">
        <v>1.0</v>
      </c>
      <c r="LP27" s="8">
        <v>0.0</v>
      </c>
      <c r="LQ27" s="8">
        <v>0.0</v>
      </c>
      <c r="LR27" s="9"/>
      <c r="LS27" s="8">
        <v>15.0</v>
      </c>
      <c r="LT27" s="8">
        <v>15.0</v>
      </c>
      <c r="LU27" s="8">
        <v>0.0</v>
      </c>
      <c r="LV27" s="8">
        <v>5.0</v>
      </c>
      <c r="LW27" s="8">
        <v>5.0</v>
      </c>
      <c r="LX27" s="8">
        <v>0.0</v>
      </c>
      <c r="LY27" s="8">
        <v>5.0</v>
      </c>
      <c r="LZ27" s="8">
        <v>5.0</v>
      </c>
      <c r="MA27" s="8">
        <v>0.0</v>
      </c>
      <c r="MB27" s="9" t="s">
        <v>857</v>
      </c>
      <c r="MC27" s="8">
        <v>30.0</v>
      </c>
      <c r="MD27" s="8">
        <v>15.0</v>
      </c>
      <c r="ME27" s="8">
        <v>30.0</v>
      </c>
      <c r="MF27" s="8">
        <v>15.0</v>
      </c>
      <c r="MG27" s="8">
        <v>0.0</v>
      </c>
      <c r="MH27" s="8">
        <v>0.0</v>
      </c>
      <c r="MI27" s="9" t="s">
        <v>946</v>
      </c>
      <c r="MJ27" s="8">
        <v>0.0</v>
      </c>
      <c r="MK27" s="8">
        <v>0.0</v>
      </c>
      <c r="ML27" s="8">
        <v>1.0</v>
      </c>
      <c r="MM27" s="8">
        <v>0.0</v>
      </c>
      <c r="MN27" s="8">
        <v>0.0</v>
      </c>
      <c r="MO27" s="8">
        <v>0.0</v>
      </c>
      <c r="MP27" s="9"/>
      <c r="MQ27" s="9"/>
      <c r="MR27" s="9" t="s">
        <v>991</v>
      </c>
      <c r="MS27" s="9"/>
      <c r="MT27" s="9" t="s">
        <v>1255</v>
      </c>
      <c r="MU27" s="9" t="s">
        <v>881</v>
      </c>
      <c r="MV27" s="9"/>
      <c r="MW27" s="9"/>
      <c r="MX27" s="9"/>
      <c r="MY27" s="9"/>
      <c r="MZ27" s="9"/>
      <c r="NA27" s="9"/>
      <c r="NB27" s="9"/>
      <c r="NC27" s="9"/>
      <c r="ND27" s="9"/>
      <c r="NE27" s="9"/>
      <c r="NF27" s="9"/>
      <c r="NG27" s="9"/>
      <c r="NH27" s="9"/>
      <c r="NI27" s="9"/>
      <c r="NJ27" s="9"/>
      <c r="NK27" s="9"/>
      <c r="NL27" s="9" t="s">
        <v>857</v>
      </c>
      <c r="NM27" s="9" t="s">
        <v>893</v>
      </c>
      <c r="NN27" s="9" t="s">
        <v>993</v>
      </c>
      <c r="NO27" s="9" t="s">
        <v>994</v>
      </c>
      <c r="NP27" s="9"/>
      <c r="NQ27" s="9"/>
      <c r="NR27" s="9"/>
      <c r="NS27" s="9"/>
      <c r="NT27" s="9"/>
      <c r="NU27" s="9"/>
      <c r="NV27" s="9" t="s">
        <v>896</v>
      </c>
      <c r="NW27" s="9"/>
      <c r="NX27" s="9" t="s">
        <v>897</v>
      </c>
      <c r="NY27" s="8">
        <v>45.0</v>
      </c>
      <c r="NZ27" s="8">
        <v>10.0</v>
      </c>
      <c r="OA27" s="8">
        <v>0.0</v>
      </c>
      <c r="OB27" s="8">
        <v>5.0</v>
      </c>
      <c r="OC27" s="8">
        <v>5.0</v>
      </c>
      <c r="OD27" s="8">
        <v>0.0</v>
      </c>
      <c r="OE27" s="9" t="s">
        <v>898</v>
      </c>
      <c r="OF27" s="9" t="s">
        <v>1184</v>
      </c>
      <c r="OG27" s="9" t="s">
        <v>857</v>
      </c>
      <c r="OH27" s="8">
        <v>0.0</v>
      </c>
      <c r="OI27" s="8">
        <v>2.0</v>
      </c>
      <c r="OJ27" s="8">
        <v>0.0</v>
      </c>
      <c r="OK27" s="8">
        <v>0.0</v>
      </c>
      <c r="OL27" s="8">
        <v>0.0</v>
      </c>
      <c r="OM27" s="8">
        <v>0.0</v>
      </c>
      <c r="ON27" s="8">
        <v>0.0</v>
      </c>
      <c r="OO27" s="8">
        <v>0.0</v>
      </c>
      <c r="OP27" s="9" t="str">
        <f>VLOOKUP(AG27,'BUS 2'!$G$1:$CU$424,2,0)</f>
        <v>Sapi perah</v>
      </c>
      <c r="OQ27" s="8">
        <f>VLOOKUP(AG27,'BUS 2'!$G$1:$CU$424,3,0)</f>
        <v>0</v>
      </c>
      <c r="OR27" s="8">
        <f>VLOOKUP(AG27,'BUS 2'!$G$1:$CU$424,4,0)</f>
        <v>1</v>
      </c>
      <c r="OS27" s="8">
        <f>VLOOKUP(AG27,'BUS 2'!$G$1:$CU$424,5,0)</f>
        <v>0</v>
      </c>
      <c r="OT27" s="8">
        <f>VLOOKUP(AG27,'BUS 2'!$G$1:$CU$424,6,0)</f>
        <v>0</v>
      </c>
      <c r="OU27" s="8">
        <f>VLOOKUP(AG27,'BUS 2'!$G$1:$CU$424,7,0)</f>
        <v>0</v>
      </c>
      <c r="OV27" s="8">
        <f>VLOOKUP(AG27,'BUS 2'!$G$1:$CU$424,8,0)</f>
        <v>0</v>
      </c>
      <c r="OW27" s="8">
        <f>VLOOKUP(AG27,'BUS 2'!$G$1:$CU$424,9,0)</f>
        <v>0</v>
      </c>
      <c r="OX27" s="8">
        <f>VLOOKUP(AG27,'BUS 2'!$G$1:$CU$424,10,0)</f>
        <v>0</v>
      </c>
      <c r="OY27" s="8">
        <f>VLOOKUP(AG27,'BUS 2'!$G$1:$CU$424,11,0)</f>
        <v>0</v>
      </c>
      <c r="OZ27" s="8" t="str">
        <f>VLOOKUP(AG27,'BUS 2'!$G$1:$CU$424,12,0)</f>
        <v>Sapi perah</v>
      </c>
      <c r="PA27" s="8">
        <f>VLOOKUP(AG27,'BUS 2'!$G$1:$CU$424,13,0)</f>
        <v>0</v>
      </c>
      <c r="PB27" s="8">
        <f>VLOOKUP(AG27,'BUS 2'!$G$1:$CU$424,14,0)</f>
        <v>1</v>
      </c>
      <c r="PC27" s="8">
        <f>VLOOKUP(AG27,'BUS 2'!$G$1:$CU$424,15,0)</f>
        <v>0</v>
      </c>
      <c r="PD27" s="8">
        <f>VLOOKUP(AG27,'BUS 2'!$G$1:$CU$424,16,0)</f>
        <v>0</v>
      </c>
      <c r="PE27" s="8">
        <f>VLOOKUP(AG27,'BUS 2'!$G$1:$CU$424,17,0)</f>
        <v>0</v>
      </c>
      <c r="PF27" s="8">
        <f>VLOOKUP(AG27,'BUS 2'!$G$1:$CU$424,18,0)</f>
        <v>0</v>
      </c>
      <c r="PG27" s="8">
        <f>VLOOKUP(AG27,'BUS 2'!$G$1:$CU$424,19,0)</f>
        <v>0</v>
      </c>
      <c r="PH27" s="8">
        <f>VLOOKUP(AG27,'BUS 2'!$G$1:$CU$424,20,0)</f>
        <v>0</v>
      </c>
      <c r="PI27" s="8">
        <f>VLOOKUP(AG27,'BUS 2'!$G$1:$CU$424,21,0)</f>
        <v>0</v>
      </c>
      <c r="PJ27" s="8" t="str">
        <f>VLOOKUP(AG27,'BUS 2'!$G$1:$CU$424,22,0)</f>
        <v>Tidak ada</v>
      </c>
      <c r="PK27" s="8">
        <f>VLOOKUP(AG27,'BUS 2'!$G$1:$CU$424,23,0)</f>
        <v>0</v>
      </c>
      <c r="PL27" s="8">
        <f>VLOOKUP(AG27,'BUS 2'!$G$1:$CU$424,24,0)</f>
        <v>0</v>
      </c>
      <c r="PM27" s="8">
        <f>VLOOKUP(AG27,'BUS 2'!$G$1:$CU$424,25,0)</f>
        <v>0</v>
      </c>
      <c r="PN27" s="8">
        <f>VLOOKUP(AG27,'BUS 2'!$G$1:$CU$424,26,0)</f>
        <v>0</v>
      </c>
      <c r="PO27" s="8">
        <f>VLOOKUP(AG27,'BUS 2'!$G$1:$CU$424,27,0)</f>
        <v>0</v>
      </c>
      <c r="PP27" s="8">
        <f>VLOOKUP(AG27,'BUS 2'!$G$1:$CU$424,28,0)</f>
        <v>0</v>
      </c>
      <c r="PQ27" s="8">
        <f>VLOOKUP(AG27,'BUS 2'!$G$1:$CU$424,29,0)</f>
        <v>0</v>
      </c>
      <c r="PR27" s="8">
        <f>VLOOKUP(AG27,'BUS 2'!$G$1:$CU$424,30,0)</f>
        <v>0</v>
      </c>
      <c r="PS27" s="8">
        <f>VLOOKUP(AG27,'BUS 2'!$G$1:$CU$424,31,0)</f>
        <v>1</v>
      </c>
      <c r="PT27" s="9"/>
      <c r="PU27" s="9"/>
      <c r="PV27" s="9"/>
      <c r="PW27" s="9"/>
      <c r="PX27" s="9"/>
      <c r="PY27" s="9"/>
      <c r="PZ27" s="9"/>
      <c r="QA27" s="9"/>
      <c r="QB27" s="9"/>
      <c r="QC27" s="9"/>
      <c r="QD27" s="9"/>
      <c r="QE27" s="9" t="s">
        <v>900</v>
      </c>
      <c r="QF27" s="8">
        <v>0.0</v>
      </c>
      <c r="QG27" s="8">
        <v>0.0</v>
      </c>
      <c r="QH27" s="8">
        <v>0.0</v>
      </c>
      <c r="QI27" s="8">
        <v>0.0</v>
      </c>
      <c r="QJ27" s="8">
        <v>0.0</v>
      </c>
      <c r="QK27" s="8">
        <v>1.0</v>
      </c>
      <c r="QL27" s="8">
        <v>0.0</v>
      </c>
      <c r="QM27" s="8">
        <v>0.0</v>
      </c>
      <c r="QN27" s="8">
        <v>0.0</v>
      </c>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8" t="str">
        <f>VLOOKUP(AG27,'BUS 2'!$G$1:$CU$424,33,0)</f>
        <v/>
      </c>
      <c r="SZ27" s="9">
        <f>VLOOKUP(AG27,'BUS 2'!$G$1:$CU$424,34,0)</f>
        <v>2</v>
      </c>
      <c r="TA27" s="9" t="str">
        <f>VLOOKUP(AG27,'BUS 2'!$G$1:$CU$424,35,0)</f>
        <v/>
      </c>
      <c r="TB27" s="9" t="str">
        <f>VLOOKUP(AG27,'BUS 2'!$G$1:$CU$424,36,0)</f>
        <v/>
      </c>
      <c r="TC27" s="9" t="str">
        <f>VLOOKUP(AG27,'BUS 2'!$G$1:$CU$424,37,0)</f>
        <v/>
      </c>
      <c r="TD27" s="9" t="str">
        <f>VLOOKUP(AG27,'BUS 2'!$G$1:$CU$424,38,0)</f>
        <v/>
      </c>
      <c r="TE27" s="9" t="str">
        <f>VLOOKUP(AG27,'BUS 2'!$G$1:$CU$424,39,0)</f>
        <v/>
      </c>
      <c r="TF27" s="9" t="str">
        <f>VLOOKUP(AG27,'BUS 2'!$G$1:$CU$424,40,0)</f>
        <v/>
      </c>
      <c r="TG27" s="8" t="str">
        <f>VLOOKUP(AG27,'BUS 2'!$G$1:$CU$424,42,0)</f>
        <v/>
      </c>
      <c r="TH27" s="8">
        <f>VLOOKUP(AG27,'BUS 2'!$G$1:$CU$424,43,0)</f>
        <v>2</v>
      </c>
      <c r="TI27" s="8" t="str">
        <f>VLOOKUP(AG27,'BUS 2'!$G$1:$CU$424,44,0)</f>
        <v/>
      </c>
      <c r="TJ27" s="8" t="str">
        <f>VLOOKUP(AG27,'BUS 2'!$G$1:$CU$424,45,0)</f>
        <v/>
      </c>
      <c r="TK27" s="8" t="str">
        <f>VLOOKUP(AG27,'BUS 2'!$G$1:$CU$424,46,0)</f>
        <v/>
      </c>
      <c r="TL27" s="8" t="str">
        <f>VLOOKUP(AG27,'BUS 2'!$G$1:$CU$424,47,0)</f>
        <v/>
      </c>
      <c r="TM27" s="8" t="str">
        <f>VLOOKUP(AG27,'BUS 2'!$G$1:$CU$424,48,0)</f>
        <v/>
      </c>
      <c r="TN27" s="8" t="str">
        <f>VLOOKUP(AG27,'BUS 2'!$G$1:$CU$424,49,0)</f>
        <v/>
      </c>
      <c r="TO27" s="8" t="str">
        <f>VLOOKUP(AG27,'BUS 2'!$G$1:$CU$424,50,0)</f>
        <v/>
      </c>
      <c r="TP27" s="8" t="str">
        <f>VLOOKUP(AG27,'BUS 2'!$G$1:$CU$424,51,0)</f>
        <v/>
      </c>
      <c r="TQ27" s="8" t="str">
        <f>VLOOKUP(AG27,'BUS 2'!$G$1:$CU$424,52,0)</f>
        <v/>
      </c>
      <c r="TR27" s="8" t="str">
        <f>VLOOKUP(AG27,'BUS 2'!$G$1:$CU$424,53,0)</f>
        <v/>
      </c>
      <c r="TS27" s="9" t="str">
        <f>VLOOKUP(AG27,'BUS 2'!$G$1:$CU$424,54,0)</f>
        <v/>
      </c>
      <c r="TT27" s="9" t="str">
        <f>VLOOKUP(AG27,'BUS 2'!$G$1:$CU$424,55,0)</f>
        <v/>
      </c>
      <c r="TU27" s="9" t="str">
        <f>VLOOKUP(AG27,'BUS 2'!$G$1:$CU$424,56,0)</f>
        <v/>
      </c>
      <c r="TV27" s="9" t="str">
        <f>VLOOKUP(AG27,'BUS 2'!$G$1:$CU$424,57,0)</f>
        <v/>
      </c>
      <c r="TW27" s="9" t="str">
        <f>VLOOKUP(AG27,'BUS 2'!$G$1:$CU$424,58,0)</f>
        <v/>
      </c>
      <c r="TX27" s="9" t="str">
        <f>VLOOKUP(AG27,'BUS 2'!$G$1:$CU$424,59,0)</f>
        <v/>
      </c>
      <c r="TY27" s="9" t="str">
        <f>VLOOKUP(AG27,'BUS 2'!$G$1:$CU$424,60,0)</f>
        <v/>
      </c>
      <c r="TZ27" s="9" t="str">
        <f>VLOOKUP(AG27,'BUS 2'!$G$1:$CU$424,61,0)</f>
        <v/>
      </c>
      <c r="UA27" s="9" t="str">
        <f>VLOOKUP(AG27,'BUS 2'!$G$1:$CU$424,62,0)</f>
        <v/>
      </c>
      <c r="UB27" s="9" t="str">
        <f>VLOOKUP(AG27,'BUS 2'!$G$1:$CU$424,63,0)</f>
        <v/>
      </c>
      <c r="UC27" s="9" t="str">
        <f>VLOOKUP(AG27,'BUS 2'!$G$1:$CU$424,64,0)</f>
        <v/>
      </c>
      <c r="UD27" s="9" t="str">
        <f>VLOOKUP(AG27,'BUS 2'!$G$1:$CU$424,65,0)</f>
        <v/>
      </c>
      <c r="UE27" s="9" t="str">
        <f>VLOOKUP(AG27,'BUS 2'!$G$1:$CU$424,66,0)</f>
        <v/>
      </c>
      <c r="UF27" s="9" t="str">
        <f>VLOOKUP(AG27,'BUS 2'!$G$1:$CU$424,67,0)</f>
        <v/>
      </c>
      <c r="UG27" s="9" t="str">
        <f>VLOOKUP(AG27,'BUS 2'!$G$1:$CU$424,68,0)</f>
        <v/>
      </c>
      <c r="UH27" s="9" t="str">
        <f>VLOOKUP(AG27,'BUS 2'!$G$1:$CU$424,69,0)</f>
        <v/>
      </c>
      <c r="UI27" s="9" t="str">
        <f>VLOOKUP(AG27,'BUS 2'!$G$1:$CU$424,70,0)</f>
        <v/>
      </c>
      <c r="UJ27" s="9" t="str">
        <f>VLOOKUP(AG27,'BUS 2'!$G$1:$CU$424,71,0)</f>
        <v/>
      </c>
      <c r="UK27" s="9" t="str">
        <f>VLOOKUP(AG27,'BUS 2'!$G$1:$CU$424,72,0)</f>
        <v/>
      </c>
      <c r="UL27" s="9" t="str">
        <f>VLOOKUP(AG27,'BUS 2'!$G$1:$CU$424,73,0)</f>
        <v/>
      </c>
      <c r="UM27" s="9" t="str">
        <f>VLOOKUP(AG27,'BUS 2'!$G$1:$CU$424,74,0)</f>
        <v/>
      </c>
      <c r="UN27" s="9" t="str">
        <f>VLOOKUP(AG27,'BUS 2'!$G$1:$CU$424,75,0)</f>
        <v/>
      </c>
      <c r="UO27" s="9" t="str">
        <f>VLOOKUP(AG27,'BUS 2'!$G$1:$CU$424,76,0)</f>
        <v/>
      </c>
      <c r="UP27" s="9" t="str">
        <f>VLOOKUP(AG27,'BUS 2'!$G$1:$CU$424,77,0)</f>
        <v/>
      </c>
      <c r="UQ27" s="9" t="str">
        <f>VLOOKUP(AG27,'BUS 2'!$G$1:$CU$424,78,0)</f>
        <v/>
      </c>
      <c r="UR27" s="9" t="str">
        <f>VLOOKUP(AG27,'BUS 2'!$G$1:$CU$424,79,0)</f>
        <v/>
      </c>
      <c r="US27" s="9" t="str">
        <f>VLOOKUP(AG27,'BUS 2'!$G$1:$CU$424,80,0)</f>
        <v/>
      </c>
      <c r="UT27" s="9" t="str">
        <f>VLOOKUP(AG27,'BUS 2'!$G$1:$CU$424,81,0)</f>
        <v/>
      </c>
      <c r="UU27" s="9"/>
      <c r="UV27" s="9" t="s">
        <v>901</v>
      </c>
      <c r="UW27" s="9"/>
      <c r="UX27" s="9"/>
      <c r="UY27" s="9"/>
      <c r="UZ27" s="9"/>
      <c r="VA27" s="9"/>
      <c r="VB27" s="9"/>
      <c r="VC27" s="9"/>
      <c r="VD27" s="9" t="s">
        <v>950</v>
      </c>
      <c r="VE27" s="9"/>
      <c r="VF27" s="9"/>
      <c r="VG27" s="9"/>
      <c r="VH27" s="9"/>
      <c r="VI27" s="9"/>
      <c r="VJ27" s="9"/>
      <c r="VK27" s="9"/>
      <c r="VL27" s="9" t="s">
        <v>1158</v>
      </c>
      <c r="VM27" s="9"/>
      <c r="VN27" s="9"/>
      <c r="VO27" s="9"/>
      <c r="VP27" s="9"/>
      <c r="VQ27" s="9"/>
      <c r="VR27" s="9"/>
      <c r="VS27" s="9"/>
      <c r="VT27" s="9"/>
      <c r="VU27" s="9"/>
      <c r="VV27" s="9"/>
      <c r="VW27" s="9"/>
      <c r="VX27" s="9"/>
      <c r="VY27" s="9"/>
      <c r="VZ27" s="9"/>
      <c r="WA27" s="9"/>
      <c r="WB27" s="9"/>
      <c r="WC27" s="9"/>
      <c r="WD27" s="9"/>
      <c r="WE27" s="9"/>
      <c r="WF27" s="9" t="s">
        <v>1214</v>
      </c>
      <c r="WG27" s="8">
        <v>0.0</v>
      </c>
      <c r="WH27" s="8">
        <v>0.0</v>
      </c>
      <c r="WI27" s="8">
        <v>1.0</v>
      </c>
      <c r="WJ27" s="8">
        <v>1.0</v>
      </c>
      <c r="WK27" s="8">
        <v>0.0</v>
      </c>
      <c r="WL27" s="8">
        <v>1.0</v>
      </c>
      <c r="WM27" s="8">
        <v>0.0</v>
      </c>
      <c r="WN27" s="8">
        <v>0.0</v>
      </c>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8">
        <v>50.0</v>
      </c>
      <c r="ZP27" s="9"/>
      <c r="ZQ27" s="9"/>
      <c r="ZR27" s="9"/>
      <c r="ZS27" s="9"/>
      <c r="ZT27" s="9"/>
      <c r="ZU27" s="9"/>
      <c r="ZV27" s="9"/>
      <c r="ZW27" s="8">
        <v>2.0</v>
      </c>
      <c r="ZX27" s="9"/>
      <c r="ZY27" s="9"/>
      <c r="ZZ27" s="9"/>
      <c r="AAA27" s="9"/>
      <c r="AAB27" s="9"/>
      <c r="AAC27" s="9"/>
      <c r="AAD27" s="9"/>
      <c r="AAE27" s="9" t="s">
        <v>1186</v>
      </c>
      <c r="AAF27" s="9"/>
      <c r="AAG27" s="9"/>
      <c r="AAH27" s="9"/>
      <c r="AAI27" s="9"/>
      <c r="AAJ27" s="9"/>
      <c r="AAK27" s="9"/>
      <c r="AAL27" s="9" t="s">
        <v>857</v>
      </c>
      <c r="AAM27" s="9" t="s">
        <v>1033</v>
      </c>
      <c r="AAN27" s="8">
        <v>1.0</v>
      </c>
      <c r="AAO27" s="8">
        <v>1.0</v>
      </c>
      <c r="AAP27" s="8">
        <v>50.0</v>
      </c>
      <c r="AAQ27" s="8">
        <v>50.0</v>
      </c>
      <c r="AAR27" s="9" t="s">
        <v>857</v>
      </c>
      <c r="AAS27" s="9" t="s">
        <v>867</v>
      </c>
      <c r="AAT27" s="9" t="s">
        <v>1074</v>
      </c>
      <c r="AAU27" s="8">
        <v>1.0</v>
      </c>
      <c r="AAV27" s="8">
        <v>0.0</v>
      </c>
      <c r="AAW27" s="8">
        <v>0.0</v>
      </c>
      <c r="AAX27" s="8">
        <v>1.0</v>
      </c>
      <c r="AAY27" s="8">
        <v>1.0</v>
      </c>
      <c r="AAZ27" s="8">
        <v>0.0</v>
      </c>
      <c r="ABA27" s="8">
        <v>0.0</v>
      </c>
      <c r="ABB27" s="9" t="s">
        <v>907</v>
      </c>
      <c r="ABC27" s="8">
        <v>1.0</v>
      </c>
      <c r="ABD27" s="8">
        <v>0.0</v>
      </c>
      <c r="ABE27" s="8">
        <v>0.0</v>
      </c>
      <c r="ABF27" s="8">
        <v>0.0</v>
      </c>
      <c r="ABG27" s="8">
        <v>0.0</v>
      </c>
      <c r="ABH27" s="9"/>
      <c r="ABI27" s="9"/>
      <c r="ABJ27" s="9"/>
      <c r="ABK27" s="9"/>
      <c r="ABL27" s="9"/>
      <c r="ABM27" s="9"/>
      <c r="ABN27" s="9"/>
      <c r="ABO27" s="9"/>
      <c r="ABP27" s="9"/>
      <c r="ABQ27" s="11" t="s">
        <v>953</v>
      </c>
      <c r="ABR27" s="9" t="s">
        <v>1075</v>
      </c>
      <c r="ABS27" s="8">
        <v>2000.0</v>
      </c>
      <c r="ABT27" s="8">
        <v>300.0</v>
      </c>
      <c r="ABU27" s="8">
        <v>50.0</v>
      </c>
      <c r="ABV27" s="8">
        <v>50.0</v>
      </c>
      <c r="ABW27" s="9" t="s">
        <v>1199</v>
      </c>
      <c r="ABX27" s="9"/>
      <c r="ABY27" s="8">
        <v>30.0</v>
      </c>
      <c r="ABZ27" s="8">
        <v>4000.0</v>
      </c>
      <c r="ACA27" s="8">
        <v>0.0</v>
      </c>
      <c r="ACB27" s="8">
        <v>4000.0</v>
      </c>
      <c r="ACC27" s="8">
        <v>500.0</v>
      </c>
      <c r="ACD27" s="8">
        <v>600.0</v>
      </c>
      <c r="ACE27" s="9" t="s">
        <v>857</v>
      </c>
      <c r="ACF27" s="9" t="s">
        <v>911</v>
      </c>
      <c r="ACG27" s="9" t="s">
        <v>911</v>
      </c>
      <c r="ACH27" s="9" t="s">
        <v>911</v>
      </c>
      <c r="ACI27" s="9"/>
      <c r="ACJ27" s="9"/>
      <c r="ACK27" s="9" t="s">
        <v>976</v>
      </c>
      <c r="ACL27" s="8">
        <v>0.0</v>
      </c>
      <c r="ACM27" s="8">
        <v>0.0</v>
      </c>
      <c r="ACN27" s="8">
        <v>1.0</v>
      </c>
      <c r="ACO27" s="8">
        <v>1.0</v>
      </c>
      <c r="ACP27" s="8">
        <v>0.0</v>
      </c>
      <c r="ACQ27" s="8">
        <v>0.0</v>
      </c>
      <c r="ACR27" s="8">
        <v>0.0</v>
      </c>
      <c r="ACS27" s="9"/>
      <c r="ACT27" s="9" t="s">
        <v>1256</v>
      </c>
      <c r="ACU27" s="9" t="s">
        <v>1050</v>
      </c>
      <c r="ACV27" s="9" t="s">
        <v>957</v>
      </c>
      <c r="ACW27" s="9" t="s">
        <v>915</v>
      </c>
      <c r="ACX27" s="9" t="s">
        <v>916</v>
      </c>
      <c r="ACY27" s="9" t="s">
        <v>1035</v>
      </c>
      <c r="ACZ27" s="8">
        <v>1.0</v>
      </c>
      <c r="ADA27" s="8">
        <v>1.0</v>
      </c>
      <c r="ADB27" s="8">
        <v>0.0</v>
      </c>
      <c r="ADC27" s="8">
        <v>0.0</v>
      </c>
      <c r="ADD27" s="9" t="s">
        <v>917</v>
      </c>
      <c r="ADE27" s="9" t="s">
        <v>917</v>
      </c>
      <c r="ADF27" s="9" t="s">
        <v>917</v>
      </c>
      <c r="ADG27" s="9" t="s">
        <v>917</v>
      </c>
      <c r="ADH27" s="9" t="s">
        <v>881</v>
      </c>
      <c r="ADI27" s="9"/>
      <c r="ADJ27" s="9" t="s">
        <v>917</v>
      </c>
      <c r="ADK27" s="9"/>
      <c r="ADL27" s="9"/>
      <c r="ADM27" s="9"/>
      <c r="ADN27" s="9"/>
      <c r="ADO27" s="9"/>
      <c r="ADP27" s="9"/>
      <c r="ADQ27" s="9"/>
      <c r="ADR27" s="9"/>
      <c r="ADS27" s="9"/>
      <c r="ADT27" s="9"/>
      <c r="ADU27" s="9" t="s">
        <v>919</v>
      </c>
      <c r="ADV27" s="8">
        <v>0.0</v>
      </c>
      <c r="ADW27" s="8">
        <v>0.0</v>
      </c>
      <c r="ADX27" s="8">
        <v>0.0</v>
      </c>
      <c r="ADY27" s="8">
        <v>0.0</v>
      </c>
      <c r="ADZ27" s="8">
        <v>1.0</v>
      </c>
      <c r="AEA27" s="8">
        <v>0.0</v>
      </c>
      <c r="AEB27" s="8">
        <v>0.0</v>
      </c>
      <c r="AEC27" s="8">
        <v>0.0</v>
      </c>
      <c r="AED27" s="12"/>
      <c r="AEE27" s="17" t="s">
        <v>872</v>
      </c>
      <c r="AEF27" s="9"/>
      <c r="AEG27" s="17" t="s">
        <v>920</v>
      </c>
      <c r="AEH27" s="9"/>
      <c r="AEI27" s="11" t="s">
        <v>999</v>
      </c>
      <c r="AEJ27" s="9" t="s">
        <v>871</v>
      </c>
      <c r="AEK27" s="17" t="s">
        <v>1108</v>
      </c>
      <c r="AEL27" s="18">
        <v>1.0</v>
      </c>
      <c r="AEM27" s="18">
        <v>1.0</v>
      </c>
      <c r="AEN27" s="18">
        <v>1.0</v>
      </c>
      <c r="AEO27" s="18">
        <v>1.0</v>
      </c>
      <c r="AEP27" s="18">
        <v>1.0</v>
      </c>
      <c r="AEQ27" s="18">
        <v>1.0</v>
      </c>
      <c r="AER27" s="18">
        <v>1.0</v>
      </c>
      <c r="AES27" s="18">
        <v>1.0</v>
      </c>
      <c r="AET27" s="18">
        <v>1.0</v>
      </c>
      <c r="AEU27" s="18">
        <v>0.0</v>
      </c>
      <c r="AEV27" s="18">
        <v>0.0</v>
      </c>
      <c r="AEW27" s="18">
        <v>0.0</v>
      </c>
      <c r="AEX27" s="9"/>
      <c r="AEY27" s="9" t="s">
        <v>923</v>
      </c>
      <c r="AEZ27" s="9"/>
      <c r="AFA27" s="9" t="s">
        <v>1188</v>
      </c>
      <c r="AFB27" s="9"/>
      <c r="AFC27" s="9" t="s">
        <v>1257</v>
      </c>
      <c r="AFD27" s="16" t="s">
        <v>1258</v>
      </c>
      <c r="AFE27" s="9" t="s">
        <v>1259</v>
      </c>
      <c r="AFF27" s="16" t="s">
        <v>1260</v>
      </c>
      <c r="AFG27" s="9" t="s">
        <v>1137</v>
      </c>
      <c r="AFH27" s="9"/>
      <c r="AFI27" s="9"/>
    </row>
    <row r="28">
      <c r="A28" s="6">
        <v>46059.0</v>
      </c>
      <c r="B28" s="6">
        <v>46059.0</v>
      </c>
      <c r="C28" s="7" t="s">
        <v>837</v>
      </c>
      <c r="D28" s="7" t="s">
        <v>1261</v>
      </c>
      <c r="E28" s="8">
        <v>6.282313180505E12</v>
      </c>
      <c r="F28" s="9"/>
      <c r="G28" s="8">
        <v>-7.22403079</v>
      </c>
      <c r="H28" s="8">
        <v>110.2519176</v>
      </c>
      <c r="I28" s="9"/>
      <c r="J28" s="8">
        <v>4.8</v>
      </c>
      <c r="K28" s="9"/>
      <c r="L28" s="9"/>
      <c r="M28" s="8">
        <v>-7.2240962</v>
      </c>
      <c r="N28" s="8">
        <v>110.2519806</v>
      </c>
      <c r="O28" s="9"/>
      <c r="P28" s="8">
        <v>4.38</v>
      </c>
      <c r="Q28" s="9"/>
      <c r="R28" s="9" t="s">
        <v>839</v>
      </c>
      <c r="S28" s="9"/>
      <c r="T28" s="9"/>
      <c r="U28" s="9"/>
      <c r="V28" s="9"/>
      <c r="W28" s="9"/>
      <c r="X28" s="9"/>
      <c r="Y28" s="9"/>
      <c r="Z28" s="9"/>
      <c r="AA28" s="9"/>
      <c r="AB28" s="9"/>
      <c r="AC28" s="7" t="s">
        <v>1175</v>
      </c>
      <c r="AD28" s="7" t="s">
        <v>1176</v>
      </c>
      <c r="AE28" s="7" t="s">
        <v>1262</v>
      </c>
      <c r="AF28" s="9" t="s">
        <v>1178</v>
      </c>
      <c r="AG28" s="9" t="s">
        <v>1263</v>
      </c>
      <c r="AH28" s="8">
        <v>2.0</v>
      </c>
      <c r="AI28" s="9" t="s">
        <v>845</v>
      </c>
      <c r="AJ28" s="9" t="s">
        <v>846</v>
      </c>
      <c r="AK28" s="8">
        <v>44.0</v>
      </c>
      <c r="AL28" s="9" t="s">
        <v>847</v>
      </c>
      <c r="AM28" s="9" t="s">
        <v>848</v>
      </c>
      <c r="AN28" s="9" t="s">
        <v>1009</v>
      </c>
      <c r="AO28" s="9" t="s">
        <v>850</v>
      </c>
      <c r="AP28" s="8">
        <v>1.0</v>
      </c>
      <c r="AQ28" s="8">
        <v>0.0</v>
      </c>
      <c r="AR28" s="8">
        <v>0.0</v>
      </c>
      <c r="AS28" s="8">
        <v>0.0</v>
      </c>
      <c r="AT28" s="8">
        <v>0.0</v>
      </c>
      <c r="AU28" s="8">
        <v>0.0</v>
      </c>
      <c r="AV28" s="8">
        <v>0.0</v>
      </c>
      <c r="AW28" s="8">
        <v>0.0</v>
      </c>
      <c r="AX28" s="9"/>
      <c r="AY28" s="9" t="s">
        <v>935</v>
      </c>
      <c r="AZ28" s="8">
        <v>0.0</v>
      </c>
      <c r="BA28" s="8">
        <v>1.0</v>
      </c>
      <c r="BB28" s="8">
        <v>0.0</v>
      </c>
      <c r="BC28" s="8">
        <v>0.0</v>
      </c>
      <c r="BD28" s="8">
        <v>0.0</v>
      </c>
      <c r="BE28" s="8">
        <v>0.0</v>
      </c>
      <c r="BF28" s="8">
        <v>0.0</v>
      </c>
      <c r="BG28" s="8">
        <v>0.0</v>
      </c>
      <c r="BH28" s="9"/>
      <c r="BI28" s="9" t="s">
        <v>852</v>
      </c>
      <c r="BJ28" s="8">
        <v>2.0</v>
      </c>
      <c r="BK28" s="8">
        <v>2.0</v>
      </c>
      <c r="BL28" s="8">
        <v>0.0</v>
      </c>
      <c r="BM28" s="8">
        <v>0.0</v>
      </c>
      <c r="BN28" s="9" t="s">
        <v>853</v>
      </c>
      <c r="BO28" s="9" t="s">
        <v>854</v>
      </c>
      <c r="BP28" s="8">
        <v>1.0</v>
      </c>
      <c r="BQ28" s="8">
        <v>0.0</v>
      </c>
      <c r="BR28" s="8">
        <v>0.0</v>
      </c>
      <c r="BS28" s="8">
        <v>0.0</v>
      </c>
      <c r="BT28" s="8">
        <v>0.0</v>
      </c>
      <c r="BU28" s="9"/>
      <c r="BV28" s="9" t="s">
        <v>1254</v>
      </c>
      <c r="BW28" s="8">
        <v>0.0</v>
      </c>
      <c r="BX28" s="8">
        <v>1.0</v>
      </c>
      <c r="BY28" s="8">
        <v>0.0</v>
      </c>
      <c r="BZ28" s="8">
        <v>0.0</v>
      </c>
      <c r="CA28" s="8">
        <v>0.0</v>
      </c>
      <c r="CB28" s="9"/>
      <c r="CC28" s="9" t="s">
        <v>856</v>
      </c>
      <c r="CD28" s="8">
        <v>0.0</v>
      </c>
      <c r="CE28" s="8">
        <v>0.0</v>
      </c>
      <c r="CF28" s="8">
        <v>0.0</v>
      </c>
      <c r="CG28" s="8">
        <v>0.0</v>
      </c>
      <c r="CH28" s="8">
        <v>0.0</v>
      </c>
      <c r="CI28" s="8">
        <v>1.0</v>
      </c>
      <c r="CJ28" s="8">
        <v>0.0</v>
      </c>
      <c r="CK28" s="9"/>
      <c r="CL28" s="9" t="s">
        <v>857</v>
      </c>
      <c r="CM28" s="8">
        <v>2024.0</v>
      </c>
      <c r="CN28" s="9" t="s">
        <v>858</v>
      </c>
      <c r="CO28" s="9" t="s">
        <v>859</v>
      </c>
      <c r="CP28" s="9" t="s">
        <v>860</v>
      </c>
      <c r="CQ28" s="8">
        <v>0.0</v>
      </c>
      <c r="CR28" s="8">
        <v>0.0</v>
      </c>
      <c r="CS28" s="8">
        <v>0.0</v>
      </c>
      <c r="CT28" s="8">
        <v>0.0</v>
      </c>
      <c r="CU28" s="10">
        <v>1.0</v>
      </c>
      <c r="CV28" s="10">
        <v>0.0</v>
      </c>
      <c r="CW28" s="10">
        <v>0.0</v>
      </c>
      <c r="CX28" s="8">
        <v>0.0</v>
      </c>
      <c r="CY28" s="9" t="s">
        <v>860</v>
      </c>
      <c r="CZ28" s="8">
        <v>1.0</v>
      </c>
      <c r="DA28" s="8">
        <v>0.0</v>
      </c>
      <c r="DB28" s="8">
        <v>0.0</v>
      </c>
      <c r="DC28" s="9"/>
      <c r="DD28" s="9" t="s">
        <v>937</v>
      </c>
      <c r="DE28" s="8">
        <v>1.0</v>
      </c>
      <c r="DF28" s="8">
        <v>0.0</v>
      </c>
      <c r="DG28" s="8">
        <v>1.0</v>
      </c>
      <c r="DH28" s="8">
        <v>0.0</v>
      </c>
      <c r="DI28" s="9"/>
      <c r="DJ28" s="9" t="s">
        <v>937</v>
      </c>
      <c r="DK28" s="8">
        <v>1.0</v>
      </c>
      <c r="DL28" s="8">
        <v>0.0</v>
      </c>
      <c r="DM28" s="8">
        <v>1.0</v>
      </c>
      <c r="DN28" s="8">
        <v>0.0</v>
      </c>
      <c r="DO28" s="9"/>
      <c r="DP28" s="8">
        <v>1.0</v>
      </c>
      <c r="DQ28" s="8">
        <v>0.0</v>
      </c>
      <c r="DR28" s="8">
        <v>0.0</v>
      </c>
      <c r="DS28" s="9"/>
      <c r="DT28" s="9"/>
      <c r="DU28" s="9"/>
      <c r="DV28" s="9" t="s">
        <v>857</v>
      </c>
      <c r="DW28" s="9"/>
      <c r="DX28" s="9"/>
      <c r="DY28" s="9"/>
      <c r="DZ28" s="9"/>
      <c r="EA28" s="9"/>
      <c r="EB28" s="9"/>
      <c r="EC28" s="9"/>
      <c r="ED28" s="9"/>
      <c r="EE28" s="9"/>
      <c r="EF28" s="9"/>
      <c r="EG28" s="9"/>
      <c r="EH28" s="9"/>
      <c r="EI28" s="9" t="s">
        <v>862</v>
      </c>
      <c r="EJ28" s="8">
        <v>0.0</v>
      </c>
      <c r="EK28" s="8">
        <v>0.0</v>
      </c>
      <c r="EL28" s="8">
        <v>0.0</v>
      </c>
      <c r="EM28" s="8">
        <v>1.0</v>
      </c>
      <c r="EN28" s="8">
        <v>0.0</v>
      </c>
      <c r="EO28" s="11"/>
      <c r="EP28" s="9" t="s">
        <v>863</v>
      </c>
      <c r="EQ28" s="9" t="s">
        <v>864</v>
      </c>
      <c r="ER28" s="9" t="s">
        <v>861</v>
      </c>
      <c r="ES28" s="8">
        <v>1.0</v>
      </c>
      <c r="ET28" s="8">
        <v>0.0</v>
      </c>
      <c r="EU28" s="8">
        <v>0.0</v>
      </c>
      <c r="EV28" s="8">
        <v>0.0</v>
      </c>
      <c r="EW28" s="9"/>
      <c r="EX28" s="9" t="s">
        <v>1013</v>
      </c>
      <c r="EY28" s="8">
        <v>1.0</v>
      </c>
      <c r="EZ28" s="8">
        <v>1.0</v>
      </c>
      <c r="FA28" s="8">
        <v>0.0</v>
      </c>
      <c r="FB28" s="9"/>
      <c r="FC28" s="9" t="s">
        <v>1072</v>
      </c>
      <c r="FD28" s="9"/>
      <c r="FE28" s="9" t="s">
        <v>867</v>
      </c>
      <c r="FF28" s="9" t="s">
        <v>868</v>
      </c>
      <c r="FG28" s="9" t="s">
        <v>867</v>
      </c>
      <c r="FH28" s="9" t="s">
        <v>869</v>
      </c>
      <c r="FI28" s="9" t="s">
        <v>867</v>
      </c>
      <c r="FJ28" s="9" t="s">
        <v>868</v>
      </c>
      <c r="FK28" s="9" t="s">
        <v>867</v>
      </c>
      <c r="FL28" s="9" t="s">
        <v>943</v>
      </c>
      <c r="FM28" s="9" t="s">
        <v>867</v>
      </c>
      <c r="FN28" s="9" t="s">
        <v>943</v>
      </c>
      <c r="FO28" s="9" t="s">
        <v>867</v>
      </c>
      <c r="FP28" s="9" t="s">
        <v>870</v>
      </c>
      <c r="FQ28" s="9" t="s">
        <v>867</v>
      </c>
      <c r="FR28" s="9" t="s">
        <v>857</v>
      </c>
      <c r="FS28" s="9" t="s">
        <v>867</v>
      </c>
      <c r="FT28" s="9" t="s">
        <v>871</v>
      </c>
      <c r="FU28" s="9" t="s">
        <v>989</v>
      </c>
      <c r="FV28" s="8">
        <v>1.0</v>
      </c>
      <c r="FW28" s="8">
        <v>1.0</v>
      </c>
      <c r="FX28" s="8">
        <v>0.0</v>
      </c>
      <c r="FY28" s="8">
        <v>0.0</v>
      </c>
      <c r="FZ28" s="9" t="s">
        <v>1197</v>
      </c>
      <c r="GA28" s="9" t="s">
        <v>874</v>
      </c>
      <c r="GB28" s="8">
        <v>1.0</v>
      </c>
      <c r="GC28" s="8">
        <v>0.0</v>
      </c>
      <c r="GD28" s="8">
        <v>0.0</v>
      </c>
      <c r="GE28" s="8">
        <v>0.0</v>
      </c>
      <c r="GF28" s="9"/>
      <c r="GG28" s="9" t="s">
        <v>875</v>
      </c>
      <c r="GH28" s="9" t="s">
        <v>857</v>
      </c>
      <c r="GI28" s="9" t="s">
        <v>1264</v>
      </c>
      <c r="GJ28" s="8">
        <v>0.0</v>
      </c>
      <c r="GK28" s="8">
        <v>1.0</v>
      </c>
      <c r="GL28" s="8">
        <v>0.0</v>
      </c>
      <c r="GM28" s="8">
        <v>0.0</v>
      </c>
      <c r="GN28" s="9"/>
      <c r="GO28" s="8">
        <v>10.0</v>
      </c>
      <c r="GP28" s="9" t="s">
        <v>877</v>
      </c>
      <c r="GQ28" s="9" t="s">
        <v>878</v>
      </c>
      <c r="GR28" s="8">
        <v>1.0</v>
      </c>
      <c r="GS28" s="8">
        <v>1.0</v>
      </c>
      <c r="GT28" s="8">
        <v>0.0</v>
      </c>
      <c r="GU28" s="8">
        <v>0.0</v>
      </c>
      <c r="GV28" s="8">
        <v>0.0</v>
      </c>
      <c r="GW28" s="8">
        <v>0.0</v>
      </c>
      <c r="GX28" s="8">
        <v>0.0</v>
      </c>
      <c r="GY28" s="9"/>
      <c r="GZ28" s="9" t="s">
        <v>857</v>
      </c>
      <c r="HA28" s="8">
        <v>20.0</v>
      </c>
      <c r="HB28" s="8">
        <v>200000.0</v>
      </c>
      <c r="HC28" s="8">
        <v>5.0</v>
      </c>
      <c r="HD28" s="8">
        <v>50000.0</v>
      </c>
      <c r="HE28" s="8">
        <v>9.0</v>
      </c>
      <c r="HF28" s="8">
        <v>75000.0</v>
      </c>
      <c r="HG28" s="8">
        <v>3.0</v>
      </c>
      <c r="HH28" s="8">
        <v>25000.0</v>
      </c>
      <c r="HI28" s="9"/>
      <c r="HJ28" s="9"/>
      <c r="HK28" s="9"/>
      <c r="HL28" s="9"/>
      <c r="HM28" s="9"/>
      <c r="HN28" s="9"/>
      <c r="HO28" s="9"/>
      <c r="HP28" s="9"/>
      <c r="HQ28" s="9"/>
      <c r="HR28" s="9"/>
      <c r="HS28" s="9"/>
      <c r="HT28" s="9"/>
      <c r="HU28" s="9"/>
      <c r="HV28" s="9"/>
      <c r="HW28" s="9"/>
      <c r="HX28" s="9"/>
      <c r="HY28" s="8">
        <v>15.0</v>
      </c>
      <c r="HZ28" s="8">
        <v>150000.0</v>
      </c>
      <c r="IA28" s="8">
        <v>6.0</v>
      </c>
      <c r="IB28" s="8">
        <v>50000.0</v>
      </c>
      <c r="IC28" s="9"/>
      <c r="ID28" s="9"/>
      <c r="IE28" s="9"/>
      <c r="IF28" s="9"/>
      <c r="IG28" s="9"/>
      <c r="IH28" s="9"/>
      <c r="II28" s="9"/>
      <c r="IJ28" s="9"/>
      <c r="IK28" s="9" t="s">
        <v>879</v>
      </c>
      <c r="IL28" s="9" t="s">
        <v>880</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1180</v>
      </c>
      <c r="KT28" s="9" t="s">
        <v>886</v>
      </c>
      <c r="KU28" s="9" t="s">
        <v>886</v>
      </c>
      <c r="KV28" s="9" t="s">
        <v>999</v>
      </c>
      <c r="KW28" s="8">
        <v>0.0</v>
      </c>
      <c r="KX28" s="8">
        <v>0.0</v>
      </c>
      <c r="KY28" s="8">
        <v>0.0</v>
      </c>
      <c r="KZ28" s="8">
        <v>1.0</v>
      </c>
      <c r="LA28" s="9" t="s">
        <v>1180</v>
      </c>
      <c r="LB28" s="9" t="s">
        <v>884</v>
      </c>
      <c r="LC28" s="8">
        <v>3.0</v>
      </c>
      <c r="LD28" s="8">
        <v>3.0</v>
      </c>
      <c r="LE28" s="8">
        <v>0.0</v>
      </c>
      <c r="LF28" s="8">
        <v>0.0</v>
      </c>
      <c r="LG28" s="9" t="s">
        <v>857</v>
      </c>
      <c r="LH28" s="8">
        <v>125000.0</v>
      </c>
      <c r="LI28" s="9"/>
      <c r="LJ28" s="9" t="s">
        <v>887</v>
      </c>
      <c r="LK28" s="8">
        <v>0.0</v>
      </c>
      <c r="LL28" s="8">
        <v>0.0</v>
      </c>
      <c r="LM28" s="8">
        <v>0.0</v>
      </c>
      <c r="LN28" s="8">
        <v>0.0</v>
      </c>
      <c r="LO28" s="8">
        <v>1.0</v>
      </c>
      <c r="LP28" s="8">
        <v>0.0</v>
      </c>
      <c r="LQ28" s="8">
        <v>0.0</v>
      </c>
      <c r="LR28" s="9"/>
      <c r="LS28" s="8">
        <v>15.0</v>
      </c>
      <c r="LT28" s="8">
        <v>15.0</v>
      </c>
      <c r="LU28" s="8">
        <v>0.0</v>
      </c>
      <c r="LV28" s="8">
        <v>5.0</v>
      </c>
      <c r="LW28" s="8">
        <v>5.0</v>
      </c>
      <c r="LX28" s="8">
        <v>0.0</v>
      </c>
      <c r="LY28" s="8">
        <v>5.0</v>
      </c>
      <c r="LZ28" s="8">
        <v>5.0</v>
      </c>
      <c r="MA28" s="8">
        <v>0.0</v>
      </c>
      <c r="MB28" s="9" t="s">
        <v>857</v>
      </c>
      <c r="MC28" s="8">
        <v>30.0</v>
      </c>
      <c r="MD28" s="8">
        <v>15.0</v>
      </c>
      <c r="ME28" s="8">
        <v>30.0</v>
      </c>
      <c r="MF28" s="8">
        <v>15.0</v>
      </c>
      <c r="MG28" s="8">
        <v>0.0</v>
      </c>
      <c r="MH28" s="8">
        <v>0.0</v>
      </c>
      <c r="MI28" s="9" t="s">
        <v>946</v>
      </c>
      <c r="MJ28" s="8">
        <v>0.0</v>
      </c>
      <c r="MK28" s="8">
        <v>0.0</v>
      </c>
      <c r="ML28" s="8">
        <v>1.0</v>
      </c>
      <c r="MM28" s="8">
        <v>0.0</v>
      </c>
      <c r="MN28" s="8">
        <v>0.0</v>
      </c>
      <c r="MO28" s="8">
        <v>0.0</v>
      </c>
      <c r="MP28" s="9"/>
      <c r="MQ28" s="9"/>
      <c r="MR28" s="9" t="s">
        <v>1029</v>
      </c>
      <c r="MS28" s="9"/>
      <c r="MT28" s="9" t="s">
        <v>888</v>
      </c>
      <c r="MU28" s="9" t="s">
        <v>881</v>
      </c>
      <c r="MV28" s="9"/>
      <c r="MW28" s="9"/>
      <c r="MX28" s="9"/>
      <c r="MY28" s="9"/>
      <c r="MZ28" s="9"/>
      <c r="NA28" s="9"/>
      <c r="NB28" s="9"/>
      <c r="NC28" s="9"/>
      <c r="ND28" s="9"/>
      <c r="NE28" s="9"/>
      <c r="NF28" s="9"/>
      <c r="NG28" s="9"/>
      <c r="NH28" s="9"/>
      <c r="NI28" s="9"/>
      <c r="NJ28" s="9"/>
      <c r="NK28" s="9"/>
      <c r="NL28" s="9" t="s">
        <v>857</v>
      </c>
      <c r="NM28" s="9" t="s">
        <v>893</v>
      </c>
      <c r="NN28" s="9" t="s">
        <v>993</v>
      </c>
      <c r="NO28" s="9" t="s">
        <v>994</v>
      </c>
      <c r="NP28" s="9"/>
      <c r="NQ28" s="9"/>
      <c r="NR28" s="9"/>
      <c r="NS28" s="9"/>
      <c r="NT28" s="9"/>
      <c r="NU28" s="9"/>
      <c r="NV28" s="9" t="s">
        <v>896</v>
      </c>
      <c r="NW28" s="9"/>
      <c r="NX28" s="9" t="s">
        <v>897</v>
      </c>
      <c r="NY28" s="8">
        <v>30.0</v>
      </c>
      <c r="NZ28" s="8">
        <v>15.0</v>
      </c>
      <c r="OA28" s="8">
        <v>0.0</v>
      </c>
      <c r="OB28" s="8">
        <v>5.0</v>
      </c>
      <c r="OC28" s="8">
        <v>5.0</v>
      </c>
      <c r="OD28" s="8">
        <v>0.0</v>
      </c>
      <c r="OE28" s="9" t="s">
        <v>898</v>
      </c>
      <c r="OF28" s="9" t="s">
        <v>1184</v>
      </c>
      <c r="OG28" s="9" t="s">
        <v>857</v>
      </c>
      <c r="OH28" s="8">
        <v>0.0</v>
      </c>
      <c r="OI28" s="8">
        <v>9.0</v>
      </c>
      <c r="OJ28" s="8">
        <v>0.0</v>
      </c>
      <c r="OK28" s="8">
        <v>0.0</v>
      </c>
      <c r="OL28" s="8">
        <v>0.0</v>
      </c>
      <c r="OM28" s="8">
        <v>0.0</v>
      </c>
      <c r="ON28" s="8">
        <v>0.0</v>
      </c>
      <c r="OO28" s="8">
        <v>0.0</v>
      </c>
      <c r="OP28" s="9" t="str">
        <f>VLOOKUP(AG28,'BUS 2'!$G$1:$CU$424,2,0)</f>
        <v>Sapi perah</v>
      </c>
      <c r="OQ28" s="8">
        <f>VLOOKUP(AG28,'BUS 2'!$G$1:$CU$424,3,0)</f>
        <v>0</v>
      </c>
      <c r="OR28" s="8">
        <f>VLOOKUP(AG28,'BUS 2'!$G$1:$CU$424,4,0)</f>
        <v>1</v>
      </c>
      <c r="OS28" s="8">
        <f>VLOOKUP(AG28,'BUS 2'!$G$1:$CU$424,5,0)</f>
        <v>0</v>
      </c>
      <c r="OT28" s="8">
        <f>VLOOKUP(AG28,'BUS 2'!$G$1:$CU$424,6,0)</f>
        <v>0</v>
      </c>
      <c r="OU28" s="8">
        <f>VLOOKUP(AG28,'BUS 2'!$G$1:$CU$424,7,0)</f>
        <v>0</v>
      </c>
      <c r="OV28" s="8">
        <f>VLOOKUP(AG28,'BUS 2'!$G$1:$CU$424,8,0)</f>
        <v>0</v>
      </c>
      <c r="OW28" s="8">
        <f>VLOOKUP(AG28,'BUS 2'!$G$1:$CU$424,9,0)</f>
        <v>0</v>
      </c>
      <c r="OX28" s="8">
        <f>VLOOKUP(AG28,'BUS 2'!$G$1:$CU$424,10,0)</f>
        <v>0</v>
      </c>
      <c r="OY28" s="8">
        <f>VLOOKUP(AG28,'BUS 2'!$G$1:$CU$424,11,0)</f>
        <v>0</v>
      </c>
      <c r="OZ28" s="8" t="str">
        <f>VLOOKUP(AG28,'BUS 2'!$G$1:$CU$424,12,0)</f>
        <v>Sapi perah</v>
      </c>
      <c r="PA28" s="8">
        <f>VLOOKUP(AG28,'BUS 2'!$G$1:$CU$424,13,0)</f>
        <v>0</v>
      </c>
      <c r="PB28" s="8">
        <f>VLOOKUP(AG28,'BUS 2'!$G$1:$CU$424,14,0)</f>
        <v>1</v>
      </c>
      <c r="PC28" s="8">
        <f>VLOOKUP(AG28,'BUS 2'!$G$1:$CU$424,15,0)</f>
        <v>0</v>
      </c>
      <c r="PD28" s="8">
        <f>VLOOKUP(AG28,'BUS 2'!$G$1:$CU$424,16,0)</f>
        <v>0</v>
      </c>
      <c r="PE28" s="8">
        <f>VLOOKUP(AG28,'BUS 2'!$G$1:$CU$424,17,0)</f>
        <v>0</v>
      </c>
      <c r="PF28" s="8">
        <f>VLOOKUP(AG28,'BUS 2'!$G$1:$CU$424,18,0)</f>
        <v>0</v>
      </c>
      <c r="PG28" s="8">
        <f>VLOOKUP(AG28,'BUS 2'!$G$1:$CU$424,19,0)</f>
        <v>0</v>
      </c>
      <c r="PH28" s="8">
        <f>VLOOKUP(AG28,'BUS 2'!$G$1:$CU$424,20,0)</f>
        <v>0</v>
      </c>
      <c r="PI28" s="8">
        <f>VLOOKUP(AG28,'BUS 2'!$G$1:$CU$424,21,0)</f>
        <v>0</v>
      </c>
      <c r="PJ28" s="8" t="str">
        <f>VLOOKUP(AG28,'BUS 2'!$G$1:$CU$424,22,0)</f>
        <v>Tidak ada</v>
      </c>
      <c r="PK28" s="8">
        <f>VLOOKUP(AG28,'BUS 2'!$G$1:$CU$424,23,0)</f>
        <v>0</v>
      </c>
      <c r="PL28" s="8">
        <f>VLOOKUP(AG28,'BUS 2'!$G$1:$CU$424,24,0)</f>
        <v>0</v>
      </c>
      <c r="PM28" s="8">
        <f>VLOOKUP(AG28,'BUS 2'!$G$1:$CU$424,25,0)</f>
        <v>0</v>
      </c>
      <c r="PN28" s="8">
        <f>VLOOKUP(AG28,'BUS 2'!$G$1:$CU$424,26,0)</f>
        <v>0</v>
      </c>
      <c r="PO28" s="8">
        <f>VLOOKUP(AG28,'BUS 2'!$G$1:$CU$424,27,0)</f>
        <v>0</v>
      </c>
      <c r="PP28" s="8">
        <f>VLOOKUP(AG28,'BUS 2'!$G$1:$CU$424,28,0)</f>
        <v>0</v>
      </c>
      <c r="PQ28" s="8">
        <f>VLOOKUP(AG28,'BUS 2'!$G$1:$CU$424,29,0)</f>
        <v>0</v>
      </c>
      <c r="PR28" s="8">
        <f>VLOOKUP(AG28,'BUS 2'!$G$1:$CU$424,30,0)</f>
        <v>0</v>
      </c>
      <c r="PS28" s="8">
        <f>VLOOKUP(AG28,'BUS 2'!$G$1:$CU$424,31,0)</f>
        <v>1</v>
      </c>
      <c r="PT28" s="9"/>
      <c r="PU28" s="9"/>
      <c r="PV28" s="9"/>
      <c r="PW28" s="9"/>
      <c r="PX28" s="9"/>
      <c r="PY28" s="9"/>
      <c r="PZ28" s="9"/>
      <c r="QA28" s="9"/>
      <c r="QB28" s="9"/>
      <c r="QC28" s="9"/>
      <c r="QD28" s="9"/>
      <c r="QE28" s="9" t="s">
        <v>900</v>
      </c>
      <c r="QF28" s="8">
        <v>0.0</v>
      </c>
      <c r="QG28" s="8">
        <v>0.0</v>
      </c>
      <c r="QH28" s="8">
        <v>0.0</v>
      </c>
      <c r="QI28" s="8">
        <v>0.0</v>
      </c>
      <c r="QJ28" s="8">
        <v>0.0</v>
      </c>
      <c r="QK28" s="8">
        <v>1.0</v>
      </c>
      <c r="QL28" s="8">
        <v>0.0</v>
      </c>
      <c r="QM28" s="8">
        <v>0.0</v>
      </c>
      <c r="QN28" s="8">
        <v>0.0</v>
      </c>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8" t="str">
        <f>VLOOKUP(AG28,'BUS 2'!$G$1:$CU$424,33,0)</f>
        <v/>
      </c>
      <c r="SZ28" s="9">
        <f>VLOOKUP(AG28,'BUS 2'!$G$1:$CU$424,34,0)</f>
        <v>9</v>
      </c>
      <c r="TA28" s="9" t="str">
        <f>VLOOKUP(AG28,'BUS 2'!$G$1:$CU$424,35,0)</f>
        <v/>
      </c>
      <c r="TB28" s="9" t="str">
        <f>VLOOKUP(AG28,'BUS 2'!$G$1:$CU$424,36,0)</f>
        <v/>
      </c>
      <c r="TC28" s="9" t="str">
        <f>VLOOKUP(AG28,'BUS 2'!$G$1:$CU$424,37,0)</f>
        <v/>
      </c>
      <c r="TD28" s="9" t="str">
        <f>VLOOKUP(AG28,'BUS 2'!$G$1:$CU$424,38,0)</f>
        <v/>
      </c>
      <c r="TE28" s="9" t="str">
        <f>VLOOKUP(AG28,'BUS 2'!$G$1:$CU$424,39,0)</f>
        <v/>
      </c>
      <c r="TF28" s="9" t="str">
        <f>VLOOKUP(AG28,'BUS 2'!$G$1:$CU$424,40,0)</f>
        <v/>
      </c>
      <c r="TG28" s="8" t="str">
        <f>VLOOKUP(AG28,'BUS 2'!$G$1:$CU$424,42,0)</f>
        <v/>
      </c>
      <c r="TH28" s="8">
        <f>VLOOKUP(AG28,'BUS 2'!$G$1:$CU$424,43,0)</f>
        <v>9</v>
      </c>
      <c r="TI28" s="8" t="str">
        <f>VLOOKUP(AG28,'BUS 2'!$G$1:$CU$424,44,0)</f>
        <v/>
      </c>
      <c r="TJ28" s="8" t="str">
        <f>VLOOKUP(AG28,'BUS 2'!$G$1:$CU$424,45,0)</f>
        <v/>
      </c>
      <c r="TK28" s="8" t="str">
        <f>VLOOKUP(AG28,'BUS 2'!$G$1:$CU$424,46,0)</f>
        <v/>
      </c>
      <c r="TL28" s="8" t="str">
        <f>VLOOKUP(AG28,'BUS 2'!$G$1:$CU$424,47,0)</f>
        <v/>
      </c>
      <c r="TM28" s="8" t="str">
        <f>VLOOKUP(AG28,'BUS 2'!$G$1:$CU$424,48,0)</f>
        <v/>
      </c>
      <c r="TN28" s="8" t="str">
        <f>VLOOKUP(AG28,'BUS 2'!$G$1:$CU$424,49,0)</f>
        <v/>
      </c>
      <c r="TO28" s="8" t="str">
        <f>VLOOKUP(AG28,'BUS 2'!$G$1:$CU$424,50,0)</f>
        <v/>
      </c>
      <c r="TP28" s="8" t="str">
        <f>VLOOKUP(AG28,'BUS 2'!$G$1:$CU$424,51,0)</f>
        <v/>
      </c>
      <c r="TQ28" s="8" t="str">
        <f>VLOOKUP(AG28,'BUS 2'!$G$1:$CU$424,52,0)</f>
        <v/>
      </c>
      <c r="TR28" s="8" t="str">
        <f>VLOOKUP(AG28,'BUS 2'!$G$1:$CU$424,53,0)</f>
        <v/>
      </c>
      <c r="TS28" s="9" t="str">
        <f>VLOOKUP(AG28,'BUS 2'!$G$1:$CU$424,54,0)</f>
        <v/>
      </c>
      <c r="TT28" s="9" t="str">
        <f>VLOOKUP(AG28,'BUS 2'!$G$1:$CU$424,55,0)</f>
        <v/>
      </c>
      <c r="TU28" s="9" t="str">
        <f>VLOOKUP(AG28,'BUS 2'!$G$1:$CU$424,56,0)</f>
        <v/>
      </c>
      <c r="TV28" s="9" t="str">
        <f>VLOOKUP(AG28,'BUS 2'!$G$1:$CU$424,57,0)</f>
        <v/>
      </c>
      <c r="TW28" s="9" t="str">
        <f>VLOOKUP(AG28,'BUS 2'!$G$1:$CU$424,58,0)</f>
        <v/>
      </c>
      <c r="TX28" s="9" t="str">
        <f>VLOOKUP(AG28,'BUS 2'!$G$1:$CU$424,59,0)</f>
        <v/>
      </c>
      <c r="TY28" s="9" t="str">
        <f>VLOOKUP(AG28,'BUS 2'!$G$1:$CU$424,60,0)</f>
        <v/>
      </c>
      <c r="TZ28" s="9" t="str">
        <f>VLOOKUP(AG28,'BUS 2'!$G$1:$CU$424,61,0)</f>
        <v/>
      </c>
      <c r="UA28" s="9" t="str">
        <f>VLOOKUP(AG28,'BUS 2'!$G$1:$CU$424,62,0)</f>
        <v/>
      </c>
      <c r="UB28" s="9" t="str">
        <f>VLOOKUP(AG28,'BUS 2'!$G$1:$CU$424,63,0)</f>
        <v/>
      </c>
      <c r="UC28" s="9" t="str">
        <f>VLOOKUP(AG28,'BUS 2'!$G$1:$CU$424,64,0)</f>
        <v/>
      </c>
      <c r="UD28" s="9" t="str">
        <f>VLOOKUP(AG28,'BUS 2'!$G$1:$CU$424,65,0)</f>
        <v/>
      </c>
      <c r="UE28" s="9" t="str">
        <f>VLOOKUP(AG28,'BUS 2'!$G$1:$CU$424,66,0)</f>
        <v/>
      </c>
      <c r="UF28" s="9" t="str">
        <f>VLOOKUP(AG28,'BUS 2'!$G$1:$CU$424,67,0)</f>
        <v/>
      </c>
      <c r="UG28" s="9" t="str">
        <f>VLOOKUP(AG28,'BUS 2'!$G$1:$CU$424,68,0)</f>
        <v/>
      </c>
      <c r="UH28" s="9" t="str">
        <f>VLOOKUP(AG28,'BUS 2'!$G$1:$CU$424,69,0)</f>
        <v/>
      </c>
      <c r="UI28" s="9" t="str">
        <f>VLOOKUP(AG28,'BUS 2'!$G$1:$CU$424,70,0)</f>
        <v/>
      </c>
      <c r="UJ28" s="9" t="str">
        <f>VLOOKUP(AG28,'BUS 2'!$G$1:$CU$424,71,0)</f>
        <v/>
      </c>
      <c r="UK28" s="9" t="str">
        <f>VLOOKUP(AG28,'BUS 2'!$G$1:$CU$424,72,0)</f>
        <v/>
      </c>
      <c r="UL28" s="9" t="str">
        <f>VLOOKUP(AG28,'BUS 2'!$G$1:$CU$424,73,0)</f>
        <v/>
      </c>
      <c r="UM28" s="9" t="str">
        <f>VLOOKUP(AG28,'BUS 2'!$G$1:$CU$424,74,0)</f>
        <v/>
      </c>
      <c r="UN28" s="9" t="str">
        <f>VLOOKUP(AG28,'BUS 2'!$G$1:$CU$424,75,0)</f>
        <v/>
      </c>
      <c r="UO28" s="9" t="str">
        <f>VLOOKUP(AG28,'BUS 2'!$G$1:$CU$424,76,0)</f>
        <v/>
      </c>
      <c r="UP28" s="9" t="str">
        <f>VLOOKUP(AG28,'BUS 2'!$G$1:$CU$424,77,0)</f>
        <v/>
      </c>
      <c r="UQ28" s="9" t="str">
        <f>VLOOKUP(AG28,'BUS 2'!$G$1:$CU$424,78,0)</f>
        <v/>
      </c>
      <c r="UR28" s="9" t="str">
        <f>VLOOKUP(AG28,'BUS 2'!$G$1:$CU$424,79,0)</f>
        <v/>
      </c>
      <c r="US28" s="9" t="str">
        <f>VLOOKUP(AG28,'BUS 2'!$G$1:$CU$424,80,0)</f>
        <v/>
      </c>
      <c r="UT28" s="9" t="str">
        <f>VLOOKUP(AG28,'BUS 2'!$G$1:$CU$424,81,0)</f>
        <v/>
      </c>
      <c r="UU28" s="9"/>
      <c r="UV28" s="9" t="s">
        <v>901</v>
      </c>
      <c r="UW28" s="9"/>
      <c r="UX28" s="9"/>
      <c r="UY28" s="9"/>
      <c r="UZ28" s="9"/>
      <c r="VA28" s="9"/>
      <c r="VB28" s="9"/>
      <c r="VC28" s="9"/>
      <c r="VD28" s="9" t="s">
        <v>950</v>
      </c>
      <c r="VE28" s="9"/>
      <c r="VF28" s="9"/>
      <c r="VG28" s="9"/>
      <c r="VH28" s="9"/>
      <c r="VI28" s="9"/>
      <c r="VJ28" s="9"/>
      <c r="VK28" s="9"/>
      <c r="VL28" s="9" t="s">
        <v>1158</v>
      </c>
      <c r="VM28" s="9"/>
      <c r="VN28" s="9"/>
      <c r="VO28" s="9"/>
      <c r="VP28" s="9"/>
      <c r="VQ28" s="9"/>
      <c r="VR28" s="9"/>
      <c r="VS28" s="9"/>
      <c r="VT28" s="9"/>
      <c r="VU28" s="9"/>
      <c r="VV28" s="9"/>
      <c r="VW28" s="9"/>
      <c r="VX28" s="9"/>
      <c r="VY28" s="9"/>
      <c r="VZ28" s="9"/>
      <c r="WA28" s="9"/>
      <c r="WB28" s="9"/>
      <c r="WC28" s="9"/>
      <c r="WD28" s="9"/>
      <c r="WE28" s="9"/>
      <c r="WF28" s="9" t="s">
        <v>1265</v>
      </c>
      <c r="WG28" s="8">
        <v>0.0</v>
      </c>
      <c r="WH28" s="8">
        <v>0.0</v>
      </c>
      <c r="WI28" s="8">
        <v>1.0</v>
      </c>
      <c r="WJ28" s="8">
        <v>0.0</v>
      </c>
      <c r="WK28" s="8">
        <v>1.0</v>
      </c>
      <c r="WL28" s="8">
        <v>1.0</v>
      </c>
      <c r="WM28" s="8">
        <v>0.0</v>
      </c>
      <c r="WN28" s="8">
        <v>0.0</v>
      </c>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8">
        <v>60.0</v>
      </c>
      <c r="ZP28" s="9"/>
      <c r="ZQ28" s="9"/>
      <c r="ZR28" s="9"/>
      <c r="ZS28" s="9"/>
      <c r="ZT28" s="9"/>
      <c r="ZU28" s="9"/>
      <c r="ZV28" s="9"/>
      <c r="ZW28" s="8">
        <v>2.0</v>
      </c>
      <c r="ZX28" s="9"/>
      <c r="ZY28" s="9"/>
      <c r="ZZ28" s="9"/>
      <c r="AAA28" s="9"/>
      <c r="AAB28" s="9"/>
      <c r="AAC28" s="9"/>
      <c r="AAD28" s="9"/>
      <c r="AAE28" s="9" t="s">
        <v>905</v>
      </c>
      <c r="AAF28" s="9"/>
      <c r="AAG28" s="9"/>
      <c r="AAH28" s="9"/>
      <c r="AAI28" s="9"/>
      <c r="AAJ28" s="9"/>
      <c r="AAK28" s="9"/>
      <c r="AAL28" s="9" t="s">
        <v>857</v>
      </c>
      <c r="AAM28" s="9" t="s">
        <v>1033</v>
      </c>
      <c r="AAN28" s="8">
        <v>1.0</v>
      </c>
      <c r="AAO28" s="8">
        <v>1.0</v>
      </c>
      <c r="AAP28" s="8">
        <v>50.0</v>
      </c>
      <c r="AAQ28" s="8">
        <v>50.0</v>
      </c>
      <c r="AAR28" s="9" t="s">
        <v>857</v>
      </c>
      <c r="AAS28" s="9" t="s">
        <v>867</v>
      </c>
      <c r="AAT28" s="9" t="s">
        <v>1074</v>
      </c>
      <c r="AAU28" s="8">
        <v>1.0</v>
      </c>
      <c r="AAV28" s="8">
        <v>0.0</v>
      </c>
      <c r="AAW28" s="8">
        <v>0.0</v>
      </c>
      <c r="AAX28" s="8">
        <v>1.0</v>
      </c>
      <c r="AAY28" s="8">
        <v>1.0</v>
      </c>
      <c r="AAZ28" s="8">
        <v>0.0</v>
      </c>
      <c r="ABA28" s="8">
        <v>0.0</v>
      </c>
      <c r="ABB28" s="9" t="s">
        <v>907</v>
      </c>
      <c r="ABC28" s="8">
        <v>1.0</v>
      </c>
      <c r="ABD28" s="8">
        <v>0.0</v>
      </c>
      <c r="ABE28" s="8">
        <v>0.0</v>
      </c>
      <c r="ABF28" s="8">
        <v>0.0</v>
      </c>
      <c r="ABG28" s="8">
        <v>0.0</v>
      </c>
      <c r="ABH28" s="9"/>
      <c r="ABI28" s="9"/>
      <c r="ABJ28" s="9"/>
      <c r="ABK28" s="9"/>
      <c r="ABL28" s="9"/>
      <c r="ABM28" s="9"/>
      <c r="ABN28" s="9"/>
      <c r="ABO28" s="9"/>
      <c r="ABP28" s="9"/>
      <c r="ABQ28" s="11" t="s">
        <v>953</v>
      </c>
      <c r="ABR28" s="9" t="s">
        <v>1075</v>
      </c>
      <c r="ABS28" s="8">
        <v>3000.0</v>
      </c>
      <c r="ABT28" s="8">
        <v>300.0</v>
      </c>
      <c r="ABU28" s="8">
        <v>50.0</v>
      </c>
      <c r="ABV28" s="8">
        <v>50.0</v>
      </c>
      <c r="ABW28" s="9" t="s">
        <v>1199</v>
      </c>
      <c r="ABX28" s="9"/>
      <c r="ABY28" s="8">
        <v>50.0</v>
      </c>
      <c r="ABZ28" s="8">
        <v>4000.0</v>
      </c>
      <c r="ACA28" s="8">
        <v>0.0</v>
      </c>
      <c r="ACB28" s="8">
        <v>4000.0</v>
      </c>
      <c r="ACC28" s="8">
        <v>600.0</v>
      </c>
      <c r="ACD28" s="8">
        <v>700.0</v>
      </c>
      <c r="ACE28" s="9" t="s">
        <v>857</v>
      </c>
      <c r="ACF28" s="9" t="s">
        <v>911</v>
      </c>
      <c r="ACG28" s="9" t="s">
        <v>1034</v>
      </c>
      <c r="ACH28" s="9" t="s">
        <v>911</v>
      </c>
      <c r="ACI28" s="9"/>
      <c r="ACJ28" s="9"/>
      <c r="ACK28" s="9" t="s">
        <v>1215</v>
      </c>
      <c r="ACL28" s="8">
        <v>0.0</v>
      </c>
      <c r="ACM28" s="8">
        <v>1.0</v>
      </c>
      <c r="ACN28" s="8">
        <v>0.0</v>
      </c>
      <c r="ACO28" s="8">
        <v>1.0</v>
      </c>
      <c r="ACP28" s="8">
        <v>0.0</v>
      </c>
      <c r="ACQ28" s="8">
        <v>0.0</v>
      </c>
      <c r="ACR28" s="8">
        <v>0.0</v>
      </c>
      <c r="ACS28" s="9"/>
      <c r="ACT28" s="9" t="s">
        <v>912</v>
      </c>
      <c r="ACU28" s="9" t="s">
        <v>1050</v>
      </c>
      <c r="ACV28" s="9" t="s">
        <v>957</v>
      </c>
      <c r="ACW28" s="9" t="s">
        <v>915</v>
      </c>
      <c r="ACX28" s="9" t="s">
        <v>916</v>
      </c>
      <c r="ACY28" s="9" t="s">
        <v>1017</v>
      </c>
      <c r="ACZ28" s="8">
        <v>1.0</v>
      </c>
      <c r="ADA28" s="8">
        <v>1.0</v>
      </c>
      <c r="ADB28" s="8">
        <v>1.0</v>
      </c>
      <c r="ADC28" s="8">
        <v>0.0</v>
      </c>
      <c r="ADD28" s="9" t="s">
        <v>1187</v>
      </c>
      <c r="ADE28" s="9" t="s">
        <v>1187</v>
      </c>
      <c r="ADF28" s="9" t="s">
        <v>1187</v>
      </c>
      <c r="ADG28" s="9" t="s">
        <v>1187</v>
      </c>
      <c r="ADH28" s="9" t="s">
        <v>881</v>
      </c>
      <c r="ADI28" s="9"/>
      <c r="ADJ28" s="9" t="s">
        <v>1187</v>
      </c>
      <c r="ADK28" s="9"/>
      <c r="ADL28" s="9"/>
      <c r="ADM28" s="9"/>
      <c r="ADN28" s="9"/>
      <c r="ADO28" s="9"/>
      <c r="ADP28" s="9"/>
      <c r="ADQ28" s="9"/>
      <c r="ADR28" s="9"/>
      <c r="ADS28" s="9"/>
      <c r="ADT28" s="9"/>
      <c r="ADU28" s="9" t="s">
        <v>919</v>
      </c>
      <c r="ADV28" s="8">
        <v>0.0</v>
      </c>
      <c r="ADW28" s="8">
        <v>0.0</v>
      </c>
      <c r="ADX28" s="8">
        <v>0.0</v>
      </c>
      <c r="ADY28" s="8">
        <v>0.0</v>
      </c>
      <c r="ADZ28" s="8">
        <v>1.0</v>
      </c>
      <c r="AEA28" s="8">
        <v>0.0</v>
      </c>
      <c r="AEB28" s="8">
        <v>0.0</v>
      </c>
      <c r="AEC28" s="8">
        <v>0.0</v>
      </c>
      <c r="AED28" s="12"/>
      <c r="AEE28" s="17" t="s">
        <v>872</v>
      </c>
      <c r="AEF28" s="9"/>
      <c r="AEG28" s="17" t="s">
        <v>920</v>
      </c>
      <c r="AEH28" s="9"/>
      <c r="AEI28" s="11" t="s">
        <v>999</v>
      </c>
      <c r="AEJ28" s="9" t="s">
        <v>871</v>
      </c>
      <c r="AEK28" s="17" t="s">
        <v>1108</v>
      </c>
      <c r="AEL28" s="18">
        <v>1.0</v>
      </c>
      <c r="AEM28" s="18">
        <v>1.0</v>
      </c>
      <c r="AEN28" s="18">
        <v>1.0</v>
      </c>
      <c r="AEO28" s="18">
        <v>1.0</v>
      </c>
      <c r="AEP28" s="18">
        <v>1.0</v>
      </c>
      <c r="AEQ28" s="18">
        <v>1.0</v>
      </c>
      <c r="AER28" s="18">
        <v>1.0</v>
      </c>
      <c r="AES28" s="18">
        <v>1.0</v>
      </c>
      <c r="AET28" s="18">
        <v>1.0</v>
      </c>
      <c r="AEU28" s="18">
        <v>0.0</v>
      </c>
      <c r="AEV28" s="18">
        <v>0.0</v>
      </c>
      <c r="AEW28" s="18">
        <v>0.0</v>
      </c>
      <c r="AEX28" s="9"/>
      <c r="AEY28" s="9" t="s">
        <v>923</v>
      </c>
      <c r="AEZ28" s="9"/>
      <c r="AFA28" s="9" t="s">
        <v>1188</v>
      </c>
      <c r="AFB28" s="9"/>
      <c r="AFC28" s="9" t="s">
        <v>1266</v>
      </c>
      <c r="AFD28" s="16" t="s">
        <v>1267</v>
      </c>
      <c r="AFE28" s="9" t="s">
        <v>1268</v>
      </c>
      <c r="AFF28" s="16" t="s">
        <v>1269</v>
      </c>
      <c r="AFG28" s="9" t="s">
        <v>1137</v>
      </c>
      <c r="AFH28" s="9"/>
      <c r="AFI28" s="9"/>
    </row>
    <row r="29">
      <c r="A29" s="6">
        <v>46059.0</v>
      </c>
      <c r="B29" s="6">
        <v>46059.0</v>
      </c>
      <c r="C29" s="7" t="s">
        <v>837</v>
      </c>
      <c r="D29" s="7" t="s">
        <v>1270</v>
      </c>
      <c r="E29" s="8">
        <v>6.282297397357E12</v>
      </c>
      <c r="F29" s="9"/>
      <c r="G29" s="8">
        <v>-7.22318086</v>
      </c>
      <c r="H29" s="8">
        <v>110.2521516</v>
      </c>
      <c r="I29" s="9"/>
      <c r="J29" s="8">
        <v>4.95</v>
      </c>
      <c r="K29" s="9"/>
      <c r="L29" s="9"/>
      <c r="M29" s="8">
        <v>-7.22324714</v>
      </c>
      <c r="N29" s="8">
        <v>110.2521</v>
      </c>
      <c r="O29" s="9"/>
      <c r="P29" s="8">
        <v>4.27</v>
      </c>
      <c r="Q29" s="9"/>
      <c r="R29" s="9" t="s">
        <v>839</v>
      </c>
      <c r="S29" s="9"/>
      <c r="T29" s="9"/>
      <c r="U29" s="9"/>
      <c r="V29" s="9"/>
      <c r="W29" s="9"/>
      <c r="X29" s="9"/>
      <c r="Y29" s="9"/>
      <c r="Z29" s="9"/>
      <c r="AA29" s="9"/>
      <c r="AB29" s="9"/>
      <c r="AC29" s="7" t="s">
        <v>1175</v>
      </c>
      <c r="AD29" s="7" t="s">
        <v>1176</v>
      </c>
      <c r="AE29" s="7" t="s">
        <v>1262</v>
      </c>
      <c r="AF29" s="9" t="s">
        <v>1178</v>
      </c>
      <c r="AG29" s="9" t="s">
        <v>1271</v>
      </c>
      <c r="AH29" s="8">
        <v>2.0</v>
      </c>
      <c r="AI29" s="9" t="s">
        <v>845</v>
      </c>
      <c r="AJ29" s="9" t="s">
        <v>846</v>
      </c>
      <c r="AK29" s="8">
        <v>58.0</v>
      </c>
      <c r="AL29" s="9" t="s">
        <v>847</v>
      </c>
      <c r="AM29" s="9" t="s">
        <v>848</v>
      </c>
      <c r="AN29" s="9" t="s">
        <v>849</v>
      </c>
      <c r="AO29" s="9" t="s">
        <v>850</v>
      </c>
      <c r="AP29" s="8">
        <v>1.0</v>
      </c>
      <c r="AQ29" s="8">
        <v>0.0</v>
      </c>
      <c r="AR29" s="8">
        <v>0.0</v>
      </c>
      <c r="AS29" s="8">
        <v>0.0</v>
      </c>
      <c r="AT29" s="8">
        <v>0.0</v>
      </c>
      <c r="AU29" s="8">
        <v>0.0</v>
      </c>
      <c r="AV29" s="8">
        <v>0.0</v>
      </c>
      <c r="AW29" s="8">
        <v>0.0</v>
      </c>
      <c r="AX29" s="9"/>
      <c r="AY29" s="9" t="s">
        <v>935</v>
      </c>
      <c r="AZ29" s="8">
        <v>0.0</v>
      </c>
      <c r="BA29" s="8">
        <v>1.0</v>
      </c>
      <c r="BB29" s="8">
        <v>0.0</v>
      </c>
      <c r="BC29" s="8">
        <v>0.0</v>
      </c>
      <c r="BD29" s="8">
        <v>0.0</v>
      </c>
      <c r="BE29" s="8">
        <v>0.0</v>
      </c>
      <c r="BF29" s="8">
        <v>0.0</v>
      </c>
      <c r="BG29" s="8">
        <v>0.0</v>
      </c>
      <c r="BH29" s="9"/>
      <c r="BI29" s="9" t="s">
        <v>852</v>
      </c>
      <c r="BJ29" s="8">
        <v>2.0</v>
      </c>
      <c r="BK29" s="8">
        <v>2.0</v>
      </c>
      <c r="BL29" s="8">
        <v>2.0</v>
      </c>
      <c r="BM29" s="8">
        <v>0.0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856</v>
      </c>
      <c r="CD29" s="8">
        <v>0.0</v>
      </c>
      <c r="CE29" s="8">
        <v>0.0</v>
      </c>
      <c r="CF29" s="8">
        <v>0.0</v>
      </c>
      <c r="CG29" s="8">
        <v>0.0</v>
      </c>
      <c r="CH29" s="8">
        <v>0.0</v>
      </c>
      <c r="CI29" s="8">
        <v>1.0</v>
      </c>
      <c r="CJ29" s="8">
        <v>0.0</v>
      </c>
      <c r="CK29" s="9"/>
      <c r="CL29" s="9" t="s">
        <v>857</v>
      </c>
      <c r="CM29" s="8">
        <v>2024.0</v>
      </c>
      <c r="CN29" s="9" t="s">
        <v>858</v>
      </c>
      <c r="CO29" s="9" t="s">
        <v>859</v>
      </c>
      <c r="CP29" s="9" t="s">
        <v>860</v>
      </c>
      <c r="CQ29" s="8">
        <v>0.0</v>
      </c>
      <c r="CR29" s="8">
        <v>0.0</v>
      </c>
      <c r="CS29" s="8">
        <v>0.0</v>
      </c>
      <c r="CT29" s="8">
        <v>0.0</v>
      </c>
      <c r="CU29" s="10">
        <v>1.0</v>
      </c>
      <c r="CV29" s="10">
        <v>0.0</v>
      </c>
      <c r="CW29" s="10">
        <v>0.0</v>
      </c>
      <c r="CX29" s="8">
        <v>0.0</v>
      </c>
      <c r="CY29" s="9" t="s">
        <v>860</v>
      </c>
      <c r="CZ29" s="8">
        <v>1.0</v>
      </c>
      <c r="DA29" s="8">
        <v>0.0</v>
      </c>
      <c r="DB29" s="8">
        <v>0.0</v>
      </c>
      <c r="DC29" s="9"/>
      <c r="DD29" s="9" t="s">
        <v>937</v>
      </c>
      <c r="DE29" s="8">
        <v>1.0</v>
      </c>
      <c r="DF29" s="8">
        <v>0.0</v>
      </c>
      <c r="DG29" s="8">
        <v>1.0</v>
      </c>
      <c r="DH29" s="8">
        <v>0.0</v>
      </c>
      <c r="DI29" s="9"/>
      <c r="DJ29" s="9" t="s">
        <v>937</v>
      </c>
      <c r="DK29" s="8">
        <v>1.0</v>
      </c>
      <c r="DL29" s="8">
        <v>0.0</v>
      </c>
      <c r="DM29" s="8">
        <v>1.0</v>
      </c>
      <c r="DN29" s="8">
        <v>0.0</v>
      </c>
      <c r="DO29" s="9"/>
      <c r="DP29" s="8">
        <v>1.0</v>
      </c>
      <c r="DQ29" s="8">
        <v>0.0</v>
      </c>
      <c r="DR29" s="8">
        <v>0.0</v>
      </c>
      <c r="DS29" s="9"/>
      <c r="DT29" s="9"/>
      <c r="DU29" s="9"/>
      <c r="DV29" s="9" t="s">
        <v>857</v>
      </c>
      <c r="DW29" s="9"/>
      <c r="DX29" s="9"/>
      <c r="DY29" s="9"/>
      <c r="DZ29" s="9"/>
      <c r="EA29" s="9"/>
      <c r="EB29" s="9"/>
      <c r="EC29" s="9"/>
      <c r="ED29" s="9"/>
      <c r="EE29" s="9"/>
      <c r="EF29" s="9"/>
      <c r="EG29" s="9"/>
      <c r="EH29" s="9"/>
      <c r="EI29" s="9" t="s">
        <v>862</v>
      </c>
      <c r="EJ29" s="8">
        <v>0.0</v>
      </c>
      <c r="EK29" s="8">
        <v>0.0</v>
      </c>
      <c r="EL29" s="8">
        <v>0.0</v>
      </c>
      <c r="EM29" s="8">
        <v>1.0</v>
      </c>
      <c r="EN29" s="8">
        <v>0.0</v>
      </c>
      <c r="EO29" s="11"/>
      <c r="EP29" s="9" t="s">
        <v>863</v>
      </c>
      <c r="EQ29" s="9" t="s">
        <v>864</v>
      </c>
      <c r="ER29" s="9" t="s">
        <v>861</v>
      </c>
      <c r="ES29" s="8">
        <v>1.0</v>
      </c>
      <c r="ET29" s="8">
        <v>0.0</v>
      </c>
      <c r="EU29" s="8">
        <v>0.0</v>
      </c>
      <c r="EV29" s="8">
        <v>0.0</v>
      </c>
      <c r="EW29" s="9"/>
      <c r="EX29" s="9" t="s">
        <v>865</v>
      </c>
      <c r="EY29" s="8">
        <v>1.0</v>
      </c>
      <c r="EZ29" s="8">
        <v>0.0</v>
      </c>
      <c r="FA29" s="8">
        <v>0.0</v>
      </c>
      <c r="FB29" s="9"/>
      <c r="FC29" s="9" t="s">
        <v>866</v>
      </c>
      <c r="FD29" s="9"/>
      <c r="FE29" s="9" t="s">
        <v>867</v>
      </c>
      <c r="FF29" s="9" t="s">
        <v>868</v>
      </c>
      <c r="FG29" s="9" t="s">
        <v>867</v>
      </c>
      <c r="FH29" s="9" t="s">
        <v>868</v>
      </c>
      <c r="FI29" s="9" t="s">
        <v>867</v>
      </c>
      <c r="FJ29" s="9" t="s">
        <v>868</v>
      </c>
      <c r="FK29" s="9" t="s">
        <v>867</v>
      </c>
      <c r="FL29" s="9" t="s">
        <v>869</v>
      </c>
      <c r="FM29" s="9" t="s">
        <v>867</v>
      </c>
      <c r="FN29" s="9" t="s">
        <v>868</v>
      </c>
      <c r="FO29" s="9" t="s">
        <v>867</v>
      </c>
      <c r="FP29" s="9" t="s">
        <v>870</v>
      </c>
      <c r="FQ29" s="9" t="s">
        <v>867</v>
      </c>
      <c r="FR29" s="9" t="s">
        <v>857</v>
      </c>
      <c r="FS29" s="9" t="s">
        <v>867</v>
      </c>
      <c r="FT29" s="9" t="s">
        <v>871</v>
      </c>
      <c r="FU29" s="9" t="s">
        <v>989</v>
      </c>
      <c r="FV29" s="8">
        <v>1.0</v>
      </c>
      <c r="FW29" s="8">
        <v>1.0</v>
      </c>
      <c r="FX29" s="8">
        <v>0.0</v>
      </c>
      <c r="FY29" s="8">
        <v>0.0</v>
      </c>
      <c r="FZ29" s="9" t="s">
        <v>1197</v>
      </c>
      <c r="GA29" s="9" t="s">
        <v>874</v>
      </c>
      <c r="GB29" s="8">
        <v>1.0</v>
      </c>
      <c r="GC29" s="8">
        <v>0.0</v>
      </c>
      <c r="GD29" s="8">
        <v>0.0</v>
      </c>
      <c r="GE29" s="8">
        <v>0.0</v>
      </c>
      <c r="GF29" s="9"/>
      <c r="GG29" s="9" t="s">
        <v>875</v>
      </c>
      <c r="GH29" s="9" t="s">
        <v>857</v>
      </c>
      <c r="GI29" s="9" t="s">
        <v>876</v>
      </c>
      <c r="GJ29" s="8">
        <v>1.0</v>
      </c>
      <c r="GK29" s="8">
        <v>0.0</v>
      </c>
      <c r="GL29" s="8">
        <v>0.0</v>
      </c>
      <c r="GM29" s="8">
        <v>0.0</v>
      </c>
      <c r="GN29" s="9"/>
      <c r="GO29" s="8">
        <v>9.0</v>
      </c>
      <c r="GP29" s="9" t="s">
        <v>877</v>
      </c>
      <c r="GQ29" s="9" t="s">
        <v>878</v>
      </c>
      <c r="GR29" s="8">
        <v>1.0</v>
      </c>
      <c r="GS29" s="8">
        <v>1.0</v>
      </c>
      <c r="GT29" s="8">
        <v>0.0</v>
      </c>
      <c r="GU29" s="8">
        <v>0.0</v>
      </c>
      <c r="GV29" s="8">
        <v>0.0</v>
      </c>
      <c r="GW29" s="8">
        <v>0.0</v>
      </c>
      <c r="GX29" s="8">
        <v>0.0</v>
      </c>
      <c r="GY29" s="9"/>
      <c r="GZ29" s="9" t="s">
        <v>857</v>
      </c>
      <c r="HA29" s="8">
        <v>40.0</v>
      </c>
      <c r="HB29" s="8">
        <v>400000.0</v>
      </c>
      <c r="HC29" s="8">
        <v>5.0</v>
      </c>
      <c r="HD29" s="8">
        <v>50000.0</v>
      </c>
      <c r="HE29" s="8">
        <v>12.0</v>
      </c>
      <c r="HF29" s="8">
        <v>100000.0</v>
      </c>
      <c r="HG29" s="8">
        <v>3.0</v>
      </c>
      <c r="HH29" s="8">
        <v>25000.0</v>
      </c>
      <c r="HI29" s="9"/>
      <c r="HJ29" s="9"/>
      <c r="HK29" s="9"/>
      <c r="HL29" s="9"/>
      <c r="HM29" s="9"/>
      <c r="HN29" s="9"/>
      <c r="HO29" s="9"/>
      <c r="HP29" s="9"/>
      <c r="HQ29" s="9"/>
      <c r="HR29" s="9"/>
      <c r="HS29" s="9"/>
      <c r="HT29" s="9"/>
      <c r="HU29" s="9"/>
      <c r="HV29" s="9"/>
      <c r="HW29" s="9"/>
      <c r="HX29" s="9"/>
      <c r="HY29" s="8">
        <v>35.0</v>
      </c>
      <c r="HZ29" s="8">
        <v>350000.0</v>
      </c>
      <c r="IA29" s="8">
        <v>9.0</v>
      </c>
      <c r="IB29" s="8">
        <v>75000.0</v>
      </c>
      <c r="IC29" s="9"/>
      <c r="ID29" s="9"/>
      <c r="IE29" s="9"/>
      <c r="IF29" s="9"/>
      <c r="IG29" s="9"/>
      <c r="IH29" s="9"/>
      <c r="II29" s="9"/>
      <c r="IJ29" s="9"/>
      <c r="IK29" s="9" t="s">
        <v>879</v>
      </c>
      <c r="IL29" s="9" t="s">
        <v>880</v>
      </c>
      <c r="IM29" s="9" t="s">
        <v>857</v>
      </c>
      <c r="IN29" s="9" t="s">
        <v>881</v>
      </c>
      <c r="IO29" s="9" t="s">
        <v>1206</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1180</v>
      </c>
      <c r="KT29" s="9" t="s">
        <v>886</v>
      </c>
      <c r="KU29" s="9" t="s">
        <v>886</v>
      </c>
      <c r="KV29" s="9" t="s">
        <v>999</v>
      </c>
      <c r="KW29" s="8">
        <v>0.0</v>
      </c>
      <c r="KX29" s="8">
        <v>0.0</v>
      </c>
      <c r="KY29" s="8">
        <v>0.0</v>
      </c>
      <c r="KZ29" s="8">
        <v>1.0</v>
      </c>
      <c r="LA29" s="9" t="s">
        <v>884</v>
      </c>
      <c r="LB29" s="9" t="s">
        <v>884</v>
      </c>
      <c r="LC29" s="8">
        <v>3.0</v>
      </c>
      <c r="LD29" s="8">
        <v>3.0</v>
      </c>
      <c r="LE29" s="8">
        <v>0.0</v>
      </c>
      <c r="LF29" s="8">
        <v>0.0</v>
      </c>
      <c r="LG29" s="9" t="s">
        <v>857</v>
      </c>
      <c r="LH29" s="8">
        <v>250000.0</v>
      </c>
      <c r="LI29" s="9"/>
      <c r="LJ29" s="9" t="s">
        <v>887</v>
      </c>
      <c r="LK29" s="8">
        <v>0.0</v>
      </c>
      <c r="LL29" s="8">
        <v>0.0</v>
      </c>
      <c r="LM29" s="8">
        <v>0.0</v>
      </c>
      <c r="LN29" s="8">
        <v>0.0</v>
      </c>
      <c r="LO29" s="8">
        <v>1.0</v>
      </c>
      <c r="LP29" s="8">
        <v>0.0</v>
      </c>
      <c r="LQ29" s="8">
        <v>0.0</v>
      </c>
      <c r="LR29" s="9"/>
      <c r="LS29" s="8">
        <v>15.0</v>
      </c>
      <c r="LT29" s="8">
        <v>15.0</v>
      </c>
      <c r="LU29" s="8">
        <v>0.0</v>
      </c>
      <c r="LV29" s="8">
        <v>5.0</v>
      </c>
      <c r="LW29" s="8">
        <v>5.0</v>
      </c>
      <c r="LX29" s="8">
        <v>0.0</v>
      </c>
      <c r="LY29" s="8">
        <v>5.0</v>
      </c>
      <c r="LZ29" s="8">
        <v>5.0</v>
      </c>
      <c r="MA29" s="8">
        <v>0.0</v>
      </c>
      <c r="MB29" s="9" t="s">
        <v>857</v>
      </c>
      <c r="MC29" s="8">
        <v>30.0</v>
      </c>
      <c r="MD29" s="8">
        <v>10.0</v>
      </c>
      <c r="ME29" s="8">
        <v>30.0</v>
      </c>
      <c r="MF29" s="8">
        <v>10.0</v>
      </c>
      <c r="MG29" s="8">
        <v>0.0</v>
      </c>
      <c r="MH29" s="8">
        <v>0.0</v>
      </c>
      <c r="MI29" s="9" t="s">
        <v>946</v>
      </c>
      <c r="MJ29" s="8">
        <v>0.0</v>
      </c>
      <c r="MK29" s="8">
        <v>0.0</v>
      </c>
      <c r="ML29" s="8">
        <v>1.0</v>
      </c>
      <c r="MM29" s="8">
        <v>0.0</v>
      </c>
      <c r="MN29" s="8">
        <v>0.0</v>
      </c>
      <c r="MO29" s="8">
        <v>0.0</v>
      </c>
      <c r="MP29" s="9"/>
      <c r="MQ29" s="9"/>
      <c r="MR29" s="9" t="s">
        <v>1048</v>
      </c>
      <c r="MS29" s="9"/>
      <c r="MT29" s="9" t="s">
        <v>991</v>
      </c>
      <c r="MU29" s="9" t="s">
        <v>881</v>
      </c>
      <c r="MV29" s="9"/>
      <c r="MW29" s="9"/>
      <c r="MX29" s="9"/>
      <c r="MY29" s="9"/>
      <c r="MZ29" s="9"/>
      <c r="NA29" s="9"/>
      <c r="NB29" s="9"/>
      <c r="NC29" s="9"/>
      <c r="ND29" s="9"/>
      <c r="NE29" s="9"/>
      <c r="NF29" s="9"/>
      <c r="NG29" s="9"/>
      <c r="NH29" s="9"/>
      <c r="NI29" s="9"/>
      <c r="NJ29" s="9"/>
      <c r="NK29" s="9"/>
      <c r="NL29" s="9" t="s">
        <v>857</v>
      </c>
      <c r="NM29" s="9" t="s">
        <v>893</v>
      </c>
      <c r="NN29" s="9" t="s">
        <v>993</v>
      </c>
      <c r="NO29" s="9" t="s">
        <v>994</v>
      </c>
      <c r="NP29" s="9"/>
      <c r="NQ29" s="9"/>
      <c r="NR29" s="9"/>
      <c r="NS29" s="9"/>
      <c r="NT29" s="9"/>
      <c r="NU29" s="9"/>
      <c r="NV29" s="9" t="s">
        <v>896</v>
      </c>
      <c r="NW29" s="9"/>
      <c r="NX29" s="9" t="s">
        <v>897</v>
      </c>
      <c r="NY29" s="8">
        <v>60.0</v>
      </c>
      <c r="NZ29" s="8">
        <v>20.0</v>
      </c>
      <c r="OA29" s="8">
        <v>0.0</v>
      </c>
      <c r="OB29" s="8">
        <v>5.0</v>
      </c>
      <c r="OC29" s="8">
        <v>5.0</v>
      </c>
      <c r="OD29" s="8">
        <v>0.0</v>
      </c>
      <c r="OE29" s="9" t="s">
        <v>1180</v>
      </c>
      <c r="OF29" s="9" t="s">
        <v>1184</v>
      </c>
      <c r="OG29" s="9" t="s">
        <v>857</v>
      </c>
      <c r="OH29" s="8">
        <v>0.0</v>
      </c>
      <c r="OI29" s="8">
        <v>8.0</v>
      </c>
      <c r="OJ29" s="8">
        <v>0.0</v>
      </c>
      <c r="OK29" s="8">
        <v>0.0</v>
      </c>
      <c r="OL29" s="8">
        <v>0.0</v>
      </c>
      <c r="OM29" s="8">
        <v>0.0</v>
      </c>
      <c r="ON29" s="8">
        <v>0.0</v>
      </c>
      <c r="OO29" s="8">
        <v>0.0</v>
      </c>
      <c r="OP29" s="9" t="str">
        <f>VLOOKUP(AG29,'BUS 2'!$G$1:$CU$424,2,0)</f>
        <v>Sapi perah</v>
      </c>
      <c r="OQ29" s="8">
        <f>VLOOKUP(AG29,'BUS 2'!$G$1:$CU$424,3,0)</f>
        <v>0</v>
      </c>
      <c r="OR29" s="8">
        <f>VLOOKUP(AG29,'BUS 2'!$G$1:$CU$424,4,0)</f>
        <v>1</v>
      </c>
      <c r="OS29" s="8">
        <f>VLOOKUP(AG29,'BUS 2'!$G$1:$CU$424,5,0)</f>
        <v>0</v>
      </c>
      <c r="OT29" s="8">
        <f>VLOOKUP(AG29,'BUS 2'!$G$1:$CU$424,6,0)</f>
        <v>0</v>
      </c>
      <c r="OU29" s="8">
        <f>VLOOKUP(AG29,'BUS 2'!$G$1:$CU$424,7,0)</f>
        <v>0</v>
      </c>
      <c r="OV29" s="8">
        <f>VLOOKUP(AG29,'BUS 2'!$G$1:$CU$424,8,0)</f>
        <v>0</v>
      </c>
      <c r="OW29" s="8">
        <f>VLOOKUP(AG29,'BUS 2'!$G$1:$CU$424,9,0)</f>
        <v>0</v>
      </c>
      <c r="OX29" s="8">
        <f>VLOOKUP(AG29,'BUS 2'!$G$1:$CU$424,10,0)</f>
        <v>0</v>
      </c>
      <c r="OY29" s="8">
        <f>VLOOKUP(AG29,'BUS 2'!$G$1:$CU$424,11,0)</f>
        <v>0</v>
      </c>
      <c r="OZ29" s="8" t="str">
        <f>VLOOKUP(AG29,'BUS 2'!$G$1:$CU$424,12,0)</f>
        <v>Sapi perah</v>
      </c>
      <c r="PA29" s="8">
        <f>VLOOKUP(AG29,'BUS 2'!$G$1:$CU$424,13,0)</f>
        <v>0</v>
      </c>
      <c r="PB29" s="8">
        <f>VLOOKUP(AG29,'BUS 2'!$G$1:$CU$424,14,0)</f>
        <v>1</v>
      </c>
      <c r="PC29" s="8">
        <f>VLOOKUP(AG29,'BUS 2'!$G$1:$CU$424,15,0)</f>
        <v>0</v>
      </c>
      <c r="PD29" s="8">
        <f>VLOOKUP(AG29,'BUS 2'!$G$1:$CU$424,16,0)</f>
        <v>0</v>
      </c>
      <c r="PE29" s="8">
        <f>VLOOKUP(AG29,'BUS 2'!$G$1:$CU$424,17,0)</f>
        <v>0</v>
      </c>
      <c r="PF29" s="8">
        <f>VLOOKUP(AG29,'BUS 2'!$G$1:$CU$424,18,0)</f>
        <v>0</v>
      </c>
      <c r="PG29" s="8">
        <f>VLOOKUP(AG29,'BUS 2'!$G$1:$CU$424,19,0)</f>
        <v>0</v>
      </c>
      <c r="PH29" s="8">
        <f>VLOOKUP(AG29,'BUS 2'!$G$1:$CU$424,20,0)</f>
        <v>0</v>
      </c>
      <c r="PI29" s="8">
        <f>VLOOKUP(AG29,'BUS 2'!$G$1:$CU$424,21,0)</f>
        <v>0</v>
      </c>
      <c r="PJ29" s="8" t="str">
        <f>VLOOKUP(AG29,'BUS 2'!$G$1:$CU$424,22,0)</f>
        <v>Tidak ada</v>
      </c>
      <c r="PK29" s="8">
        <f>VLOOKUP(AG29,'BUS 2'!$G$1:$CU$424,23,0)</f>
        <v>0</v>
      </c>
      <c r="PL29" s="8">
        <f>VLOOKUP(AG29,'BUS 2'!$G$1:$CU$424,24,0)</f>
        <v>0</v>
      </c>
      <c r="PM29" s="8">
        <f>VLOOKUP(AG29,'BUS 2'!$G$1:$CU$424,25,0)</f>
        <v>0</v>
      </c>
      <c r="PN29" s="8">
        <f>VLOOKUP(AG29,'BUS 2'!$G$1:$CU$424,26,0)</f>
        <v>0</v>
      </c>
      <c r="PO29" s="8">
        <f>VLOOKUP(AG29,'BUS 2'!$G$1:$CU$424,27,0)</f>
        <v>0</v>
      </c>
      <c r="PP29" s="8">
        <f>VLOOKUP(AG29,'BUS 2'!$G$1:$CU$424,28,0)</f>
        <v>0</v>
      </c>
      <c r="PQ29" s="8">
        <f>VLOOKUP(AG29,'BUS 2'!$G$1:$CU$424,29,0)</f>
        <v>0</v>
      </c>
      <c r="PR29" s="8">
        <f>VLOOKUP(AG29,'BUS 2'!$G$1:$CU$424,30,0)</f>
        <v>0</v>
      </c>
      <c r="PS29" s="8">
        <f>VLOOKUP(AG29,'BUS 2'!$G$1:$CU$424,31,0)</f>
        <v>1</v>
      </c>
      <c r="PT29" s="9"/>
      <c r="PU29" s="9"/>
      <c r="PV29" s="9"/>
      <c r="PW29" s="9"/>
      <c r="PX29" s="9"/>
      <c r="PY29" s="9"/>
      <c r="PZ29" s="9"/>
      <c r="QA29" s="9"/>
      <c r="QB29" s="9"/>
      <c r="QC29" s="9"/>
      <c r="QD29" s="9"/>
      <c r="QE29" s="9" t="s">
        <v>900</v>
      </c>
      <c r="QF29" s="8">
        <v>0.0</v>
      </c>
      <c r="QG29" s="8">
        <v>0.0</v>
      </c>
      <c r="QH29" s="8">
        <v>0.0</v>
      </c>
      <c r="QI29" s="8">
        <v>0.0</v>
      </c>
      <c r="QJ29" s="8">
        <v>0.0</v>
      </c>
      <c r="QK29" s="8">
        <v>1.0</v>
      </c>
      <c r="QL29" s="8">
        <v>0.0</v>
      </c>
      <c r="QM29" s="8">
        <v>0.0</v>
      </c>
      <c r="QN29" s="8">
        <v>0.0</v>
      </c>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8" t="str">
        <f>VLOOKUP(AG29,'BUS 2'!$G$1:$CU$424,33,0)</f>
        <v/>
      </c>
      <c r="SZ29" s="9">
        <f>VLOOKUP(AG29,'BUS 2'!$G$1:$CU$424,34,0)</f>
        <v>8</v>
      </c>
      <c r="TA29" s="9" t="str">
        <f>VLOOKUP(AG29,'BUS 2'!$G$1:$CU$424,35,0)</f>
        <v/>
      </c>
      <c r="TB29" s="9" t="str">
        <f>VLOOKUP(AG29,'BUS 2'!$G$1:$CU$424,36,0)</f>
        <v/>
      </c>
      <c r="TC29" s="9" t="str">
        <f>VLOOKUP(AG29,'BUS 2'!$G$1:$CU$424,37,0)</f>
        <v/>
      </c>
      <c r="TD29" s="9" t="str">
        <f>VLOOKUP(AG29,'BUS 2'!$G$1:$CU$424,38,0)</f>
        <v/>
      </c>
      <c r="TE29" s="9" t="str">
        <f>VLOOKUP(AG29,'BUS 2'!$G$1:$CU$424,39,0)</f>
        <v/>
      </c>
      <c r="TF29" s="9" t="str">
        <f>VLOOKUP(AG29,'BUS 2'!$G$1:$CU$424,40,0)</f>
        <v/>
      </c>
      <c r="TG29" s="8" t="str">
        <f>VLOOKUP(AG29,'BUS 2'!$G$1:$CU$424,42,0)</f>
        <v/>
      </c>
      <c r="TH29" s="8">
        <f>VLOOKUP(AG29,'BUS 2'!$G$1:$CU$424,43,0)</f>
        <v>8</v>
      </c>
      <c r="TI29" s="8" t="str">
        <f>VLOOKUP(AG29,'BUS 2'!$G$1:$CU$424,44,0)</f>
        <v/>
      </c>
      <c r="TJ29" s="8" t="str">
        <f>VLOOKUP(AG29,'BUS 2'!$G$1:$CU$424,45,0)</f>
        <v/>
      </c>
      <c r="TK29" s="8" t="str">
        <f>VLOOKUP(AG29,'BUS 2'!$G$1:$CU$424,46,0)</f>
        <v/>
      </c>
      <c r="TL29" s="8" t="str">
        <f>VLOOKUP(AG29,'BUS 2'!$G$1:$CU$424,47,0)</f>
        <v/>
      </c>
      <c r="TM29" s="8" t="str">
        <f>VLOOKUP(AG29,'BUS 2'!$G$1:$CU$424,48,0)</f>
        <v/>
      </c>
      <c r="TN29" s="8" t="str">
        <f>VLOOKUP(AG29,'BUS 2'!$G$1:$CU$424,49,0)</f>
        <v/>
      </c>
      <c r="TO29" s="8" t="str">
        <f>VLOOKUP(AG29,'BUS 2'!$G$1:$CU$424,50,0)</f>
        <v/>
      </c>
      <c r="TP29" s="8" t="str">
        <f>VLOOKUP(AG29,'BUS 2'!$G$1:$CU$424,51,0)</f>
        <v/>
      </c>
      <c r="TQ29" s="8" t="str">
        <f>VLOOKUP(AG29,'BUS 2'!$G$1:$CU$424,52,0)</f>
        <v/>
      </c>
      <c r="TR29" s="8" t="str">
        <f>VLOOKUP(AG29,'BUS 2'!$G$1:$CU$424,53,0)</f>
        <v/>
      </c>
      <c r="TS29" s="9" t="str">
        <f>VLOOKUP(AG29,'BUS 2'!$G$1:$CU$424,54,0)</f>
        <v/>
      </c>
      <c r="TT29" s="9" t="str">
        <f>VLOOKUP(AG29,'BUS 2'!$G$1:$CU$424,55,0)</f>
        <v/>
      </c>
      <c r="TU29" s="9" t="str">
        <f>VLOOKUP(AG29,'BUS 2'!$G$1:$CU$424,56,0)</f>
        <v/>
      </c>
      <c r="TV29" s="9" t="str">
        <f>VLOOKUP(AG29,'BUS 2'!$G$1:$CU$424,57,0)</f>
        <v/>
      </c>
      <c r="TW29" s="9" t="str">
        <f>VLOOKUP(AG29,'BUS 2'!$G$1:$CU$424,58,0)</f>
        <v/>
      </c>
      <c r="TX29" s="9" t="str">
        <f>VLOOKUP(AG29,'BUS 2'!$G$1:$CU$424,59,0)</f>
        <v/>
      </c>
      <c r="TY29" s="9" t="str">
        <f>VLOOKUP(AG29,'BUS 2'!$G$1:$CU$424,60,0)</f>
        <v/>
      </c>
      <c r="TZ29" s="9" t="str">
        <f>VLOOKUP(AG29,'BUS 2'!$G$1:$CU$424,61,0)</f>
        <v/>
      </c>
      <c r="UA29" s="9" t="str">
        <f>VLOOKUP(AG29,'BUS 2'!$G$1:$CU$424,62,0)</f>
        <v/>
      </c>
      <c r="UB29" s="9" t="str">
        <f>VLOOKUP(AG29,'BUS 2'!$G$1:$CU$424,63,0)</f>
        <v/>
      </c>
      <c r="UC29" s="9" t="str">
        <f>VLOOKUP(AG29,'BUS 2'!$G$1:$CU$424,64,0)</f>
        <v/>
      </c>
      <c r="UD29" s="9" t="str">
        <f>VLOOKUP(AG29,'BUS 2'!$G$1:$CU$424,65,0)</f>
        <v/>
      </c>
      <c r="UE29" s="9" t="str">
        <f>VLOOKUP(AG29,'BUS 2'!$G$1:$CU$424,66,0)</f>
        <v/>
      </c>
      <c r="UF29" s="9" t="str">
        <f>VLOOKUP(AG29,'BUS 2'!$G$1:$CU$424,67,0)</f>
        <v/>
      </c>
      <c r="UG29" s="9" t="str">
        <f>VLOOKUP(AG29,'BUS 2'!$G$1:$CU$424,68,0)</f>
        <v/>
      </c>
      <c r="UH29" s="9" t="str">
        <f>VLOOKUP(AG29,'BUS 2'!$G$1:$CU$424,69,0)</f>
        <v/>
      </c>
      <c r="UI29" s="9" t="str">
        <f>VLOOKUP(AG29,'BUS 2'!$G$1:$CU$424,70,0)</f>
        <v/>
      </c>
      <c r="UJ29" s="9" t="str">
        <f>VLOOKUP(AG29,'BUS 2'!$G$1:$CU$424,71,0)</f>
        <v/>
      </c>
      <c r="UK29" s="9" t="str">
        <f>VLOOKUP(AG29,'BUS 2'!$G$1:$CU$424,72,0)</f>
        <v/>
      </c>
      <c r="UL29" s="9" t="str">
        <f>VLOOKUP(AG29,'BUS 2'!$G$1:$CU$424,73,0)</f>
        <v/>
      </c>
      <c r="UM29" s="9" t="str">
        <f>VLOOKUP(AG29,'BUS 2'!$G$1:$CU$424,74,0)</f>
        <v/>
      </c>
      <c r="UN29" s="9" t="str">
        <f>VLOOKUP(AG29,'BUS 2'!$G$1:$CU$424,75,0)</f>
        <v/>
      </c>
      <c r="UO29" s="9" t="str">
        <f>VLOOKUP(AG29,'BUS 2'!$G$1:$CU$424,76,0)</f>
        <v/>
      </c>
      <c r="UP29" s="9" t="str">
        <f>VLOOKUP(AG29,'BUS 2'!$G$1:$CU$424,77,0)</f>
        <v/>
      </c>
      <c r="UQ29" s="9" t="str">
        <f>VLOOKUP(AG29,'BUS 2'!$G$1:$CU$424,78,0)</f>
        <v/>
      </c>
      <c r="UR29" s="9" t="str">
        <f>VLOOKUP(AG29,'BUS 2'!$G$1:$CU$424,79,0)</f>
        <v/>
      </c>
      <c r="US29" s="9" t="str">
        <f>VLOOKUP(AG29,'BUS 2'!$G$1:$CU$424,80,0)</f>
        <v/>
      </c>
      <c r="UT29" s="9" t="str">
        <f>VLOOKUP(AG29,'BUS 2'!$G$1:$CU$424,81,0)</f>
        <v/>
      </c>
      <c r="UU29" s="9"/>
      <c r="UV29" s="9" t="s">
        <v>901</v>
      </c>
      <c r="UW29" s="9"/>
      <c r="UX29" s="9"/>
      <c r="UY29" s="9"/>
      <c r="UZ29" s="9"/>
      <c r="VA29" s="9"/>
      <c r="VB29" s="9"/>
      <c r="VC29" s="9"/>
      <c r="VD29" s="9" t="s">
        <v>950</v>
      </c>
      <c r="VE29" s="9"/>
      <c r="VF29" s="9"/>
      <c r="VG29" s="9"/>
      <c r="VH29" s="9"/>
      <c r="VI29" s="9"/>
      <c r="VJ29" s="9"/>
      <c r="VK29" s="9"/>
      <c r="VL29" s="9" t="s">
        <v>1158</v>
      </c>
      <c r="VM29" s="9"/>
      <c r="VN29" s="9"/>
      <c r="VO29" s="9"/>
      <c r="VP29" s="9"/>
      <c r="VQ29" s="9"/>
      <c r="VR29" s="9"/>
      <c r="VS29" s="9"/>
      <c r="VT29" s="9"/>
      <c r="VU29" s="9"/>
      <c r="VV29" s="9"/>
      <c r="VW29" s="9"/>
      <c r="VX29" s="9"/>
      <c r="VY29" s="9"/>
      <c r="VZ29" s="9"/>
      <c r="WA29" s="9"/>
      <c r="WB29" s="9"/>
      <c r="WC29" s="9"/>
      <c r="WD29" s="9"/>
      <c r="WE29" s="9"/>
      <c r="WF29" s="9" t="s">
        <v>1272</v>
      </c>
      <c r="WG29" s="8">
        <v>0.0</v>
      </c>
      <c r="WH29" s="8">
        <v>0.0</v>
      </c>
      <c r="WI29" s="8">
        <v>1.0</v>
      </c>
      <c r="WJ29" s="8">
        <v>1.0</v>
      </c>
      <c r="WK29" s="8">
        <v>1.0</v>
      </c>
      <c r="WL29" s="8">
        <v>1.0</v>
      </c>
      <c r="WM29" s="8">
        <v>0.0</v>
      </c>
      <c r="WN29" s="8">
        <v>0.0</v>
      </c>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8">
        <v>60.0</v>
      </c>
      <c r="ZP29" s="9"/>
      <c r="ZQ29" s="9"/>
      <c r="ZR29" s="9"/>
      <c r="ZS29" s="9"/>
      <c r="ZT29" s="9"/>
      <c r="ZU29" s="9"/>
      <c r="ZV29" s="9"/>
      <c r="ZW29" s="8">
        <v>2.0</v>
      </c>
      <c r="ZX29" s="9"/>
      <c r="ZY29" s="9"/>
      <c r="ZZ29" s="9"/>
      <c r="AAA29" s="9"/>
      <c r="AAB29" s="9"/>
      <c r="AAC29" s="9"/>
      <c r="AAD29" s="9"/>
      <c r="AAE29" s="9" t="s">
        <v>1186</v>
      </c>
      <c r="AAF29" s="9"/>
      <c r="AAG29" s="9"/>
      <c r="AAH29" s="9"/>
      <c r="AAI29" s="9"/>
      <c r="AAJ29" s="9"/>
      <c r="AAK29" s="9"/>
      <c r="AAL29" s="9" t="s">
        <v>857</v>
      </c>
      <c r="AAM29" s="9" t="s">
        <v>1033</v>
      </c>
      <c r="AAN29" s="8">
        <v>1.0</v>
      </c>
      <c r="AAO29" s="8">
        <v>1.0</v>
      </c>
      <c r="AAP29" s="8">
        <v>50.0</v>
      </c>
      <c r="AAQ29" s="8">
        <v>50.0</v>
      </c>
      <c r="AAR29" s="9" t="s">
        <v>857</v>
      </c>
      <c r="AAS29" s="9" t="s">
        <v>867</v>
      </c>
      <c r="AAT29" s="9" t="s">
        <v>1074</v>
      </c>
      <c r="AAU29" s="8">
        <v>1.0</v>
      </c>
      <c r="AAV29" s="8">
        <v>0.0</v>
      </c>
      <c r="AAW29" s="8">
        <v>0.0</v>
      </c>
      <c r="AAX29" s="8">
        <v>1.0</v>
      </c>
      <c r="AAY29" s="8">
        <v>1.0</v>
      </c>
      <c r="AAZ29" s="8">
        <v>0.0</v>
      </c>
      <c r="ABA29" s="8">
        <v>0.0</v>
      </c>
      <c r="ABB29" s="9" t="s">
        <v>907</v>
      </c>
      <c r="ABC29" s="8">
        <v>1.0</v>
      </c>
      <c r="ABD29" s="8">
        <v>0.0</v>
      </c>
      <c r="ABE29" s="8">
        <v>0.0</v>
      </c>
      <c r="ABF29" s="8">
        <v>0.0</v>
      </c>
      <c r="ABG29" s="8">
        <v>0.0</v>
      </c>
      <c r="ABH29" s="9"/>
      <c r="ABI29" s="9"/>
      <c r="ABJ29" s="9"/>
      <c r="ABK29" s="9"/>
      <c r="ABL29" s="9"/>
      <c r="ABM29" s="9"/>
      <c r="ABN29" s="9"/>
      <c r="ABO29" s="9"/>
      <c r="ABP29" s="9"/>
      <c r="ABQ29" s="11" t="s">
        <v>953</v>
      </c>
      <c r="ABR29" s="9" t="s">
        <v>1075</v>
      </c>
      <c r="ABS29" s="8">
        <v>3000.0</v>
      </c>
      <c r="ABT29" s="8">
        <v>300.0</v>
      </c>
      <c r="ABU29" s="8">
        <v>50.0</v>
      </c>
      <c r="ABV29" s="8">
        <v>50.0</v>
      </c>
      <c r="ABW29" s="9" t="s">
        <v>1199</v>
      </c>
      <c r="ABX29" s="9"/>
      <c r="ABY29" s="8">
        <v>30.0</v>
      </c>
      <c r="ABZ29" s="8">
        <v>4000.0</v>
      </c>
      <c r="ACA29" s="8">
        <v>0.0</v>
      </c>
      <c r="ACB29" s="8">
        <v>4000.0</v>
      </c>
      <c r="ACC29" s="8">
        <v>600.0</v>
      </c>
      <c r="ACD29" s="8">
        <v>750.0</v>
      </c>
      <c r="ACE29" s="9" t="s">
        <v>857</v>
      </c>
      <c r="ACF29" s="9" t="s">
        <v>911</v>
      </c>
      <c r="ACG29" s="9" t="s">
        <v>911</v>
      </c>
      <c r="ACH29" s="9" t="s">
        <v>911</v>
      </c>
      <c r="ACI29" s="9"/>
      <c r="ACJ29" s="9"/>
      <c r="ACK29" s="9" t="s">
        <v>976</v>
      </c>
      <c r="ACL29" s="8">
        <v>0.0</v>
      </c>
      <c r="ACM29" s="8">
        <v>0.0</v>
      </c>
      <c r="ACN29" s="8">
        <v>1.0</v>
      </c>
      <c r="ACO29" s="8">
        <v>1.0</v>
      </c>
      <c r="ACP29" s="8">
        <v>0.0</v>
      </c>
      <c r="ACQ29" s="8">
        <v>0.0</v>
      </c>
      <c r="ACR29" s="8">
        <v>0.0</v>
      </c>
      <c r="ACS29" s="9"/>
      <c r="ACT29" s="9" t="s">
        <v>912</v>
      </c>
      <c r="ACU29" s="9" t="s">
        <v>1050</v>
      </c>
      <c r="ACV29" s="9" t="s">
        <v>957</v>
      </c>
      <c r="ACW29" s="9" t="s">
        <v>915</v>
      </c>
      <c r="ACX29" s="9" t="s">
        <v>916</v>
      </c>
      <c r="ACY29" s="9" t="s">
        <v>1017</v>
      </c>
      <c r="ACZ29" s="8">
        <v>1.0</v>
      </c>
      <c r="ADA29" s="8">
        <v>1.0</v>
      </c>
      <c r="ADB29" s="8">
        <v>1.0</v>
      </c>
      <c r="ADC29" s="8">
        <v>0.0</v>
      </c>
      <c r="ADD29" s="9" t="s">
        <v>1187</v>
      </c>
      <c r="ADE29" s="9" t="s">
        <v>1187</v>
      </c>
      <c r="ADF29" s="9" t="s">
        <v>1187</v>
      </c>
      <c r="ADG29" s="9" t="s">
        <v>1187</v>
      </c>
      <c r="ADH29" s="9" t="s">
        <v>881</v>
      </c>
      <c r="ADI29" s="9"/>
      <c r="ADJ29" s="9" t="s">
        <v>1187</v>
      </c>
      <c r="ADK29" s="9"/>
      <c r="ADL29" s="9"/>
      <c r="ADM29" s="9"/>
      <c r="ADN29" s="9"/>
      <c r="ADO29" s="9"/>
      <c r="ADP29" s="9"/>
      <c r="ADQ29" s="9"/>
      <c r="ADR29" s="9"/>
      <c r="ADS29" s="9"/>
      <c r="ADT29" s="9"/>
      <c r="ADU29" s="9" t="s">
        <v>919</v>
      </c>
      <c r="ADV29" s="8">
        <v>0.0</v>
      </c>
      <c r="ADW29" s="8">
        <v>0.0</v>
      </c>
      <c r="ADX29" s="8">
        <v>0.0</v>
      </c>
      <c r="ADY29" s="8">
        <v>0.0</v>
      </c>
      <c r="ADZ29" s="8">
        <v>1.0</v>
      </c>
      <c r="AEA29" s="8">
        <v>0.0</v>
      </c>
      <c r="AEB29" s="8">
        <v>0.0</v>
      </c>
      <c r="AEC29" s="8">
        <v>0.0</v>
      </c>
      <c r="AED29" s="12"/>
      <c r="AEE29" s="17" t="s">
        <v>872</v>
      </c>
      <c r="AEF29" s="9"/>
      <c r="AEG29" s="17" t="s">
        <v>920</v>
      </c>
      <c r="AEH29" s="9"/>
      <c r="AEI29" s="11" t="s">
        <v>917</v>
      </c>
      <c r="AEJ29" s="9" t="s">
        <v>871</v>
      </c>
      <c r="AEK29" s="17" t="s">
        <v>1108</v>
      </c>
      <c r="AEL29" s="18">
        <v>1.0</v>
      </c>
      <c r="AEM29" s="18">
        <v>1.0</v>
      </c>
      <c r="AEN29" s="18">
        <v>1.0</v>
      </c>
      <c r="AEO29" s="18">
        <v>1.0</v>
      </c>
      <c r="AEP29" s="18">
        <v>1.0</v>
      </c>
      <c r="AEQ29" s="18">
        <v>1.0</v>
      </c>
      <c r="AER29" s="18">
        <v>1.0</v>
      </c>
      <c r="AES29" s="18">
        <v>1.0</v>
      </c>
      <c r="AET29" s="18">
        <v>1.0</v>
      </c>
      <c r="AEU29" s="18">
        <v>0.0</v>
      </c>
      <c r="AEV29" s="18">
        <v>0.0</v>
      </c>
      <c r="AEW29" s="18">
        <v>0.0</v>
      </c>
      <c r="AEX29" s="9"/>
      <c r="AEY29" s="9" t="s">
        <v>1273</v>
      </c>
      <c r="AEZ29" s="9"/>
      <c r="AFA29" s="9" t="s">
        <v>1188</v>
      </c>
      <c r="AFB29" s="9"/>
      <c r="AFC29" s="9" t="s">
        <v>1274</v>
      </c>
      <c r="AFD29" s="16" t="s">
        <v>1275</v>
      </c>
      <c r="AFE29" s="9" t="s">
        <v>1276</v>
      </c>
      <c r="AFF29" s="16" t="s">
        <v>1277</v>
      </c>
      <c r="AFG29" s="9" t="s">
        <v>1137</v>
      </c>
      <c r="AFH29" s="9"/>
      <c r="AFI29" s="9"/>
    </row>
    <row r="30">
      <c r="A30" s="6">
        <v>46059.0</v>
      </c>
      <c r="B30" s="6">
        <v>46059.0</v>
      </c>
      <c r="C30" s="7" t="s">
        <v>837</v>
      </c>
      <c r="D30" s="7" t="s">
        <v>1278</v>
      </c>
      <c r="E30" s="8">
        <v>6.285641171282E12</v>
      </c>
      <c r="F30" s="9"/>
      <c r="G30" s="8">
        <v>-7.213795</v>
      </c>
      <c r="H30" s="8">
        <v>110.245088</v>
      </c>
      <c r="I30" s="9"/>
      <c r="J30" s="8">
        <v>1.85</v>
      </c>
      <c r="K30" s="9"/>
      <c r="L30" s="9"/>
      <c r="M30" s="8">
        <v>-7.213798</v>
      </c>
      <c r="N30" s="8">
        <v>110.2452248</v>
      </c>
      <c r="O30" s="9"/>
      <c r="P30" s="8">
        <v>4.31</v>
      </c>
      <c r="Q30" s="9"/>
      <c r="R30" s="9" t="s">
        <v>839</v>
      </c>
      <c r="S30" s="9"/>
      <c r="T30" s="9"/>
      <c r="U30" s="9"/>
      <c r="V30" s="9"/>
      <c r="W30" s="9"/>
      <c r="X30" s="9"/>
      <c r="Y30" s="9"/>
      <c r="Z30" s="9"/>
      <c r="AA30" s="9"/>
      <c r="AB30" s="9"/>
      <c r="AC30" s="7" t="s">
        <v>1175</v>
      </c>
      <c r="AD30" s="7" t="s">
        <v>1176</v>
      </c>
      <c r="AE30" s="7" t="s">
        <v>1279</v>
      </c>
      <c r="AF30" s="9" t="s">
        <v>1178</v>
      </c>
      <c r="AG30" s="9" t="s">
        <v>1280</v>
      </c>
      <c r="AH30" s="8">
        <v>1.0</v>
      </c>
      <c r="AI30" s="9" t="s">
        <v>845</v>
      </c>
      <c r="AJ30" s="9" t="s">
        <v>846</v>
      </c>
      <c r="AK30" s="8">
        <v>38.0</v>
      </c>
      <c r="AL30" s="9" t="s">
        <v>847</v>
      </c>
      <c r="AM30" s="9" t="s">
        <v>848</v>
      </c>
      <c r="AN30" s="9" t="s">
        <v>986</v>
      </c>
      <c r="AO30" s="9" t="s">
        <v>935</v>
      </c>
      <c r="AP30" s="8">
        <v>0.0</v>
      </c>
      <c r="AQ30" s="8">
        <v>1.0</v>
      </c>
      <c r="AR30" s="8">
        <v>0.0</v>
      </c>
      <c r="AS30" s="8">
        <v>0.0</v>
      </c>
      <c r="AT30" s="8">
        <v>0.0</v>
      </c>
      <c r="AU30" s="8">
        <v>0.0</v>
      </c>
      <c r="AV30" s="8">
        <v>0.0</v>
      </c>
      <c r="AW30" s="8">
        <v>0.0</v>
      </c>
      <c r="AX30" s="9"/>
      <c r="AY30" s="9" t="s">
        <v>850</v>
      </c>
      <c r="AZ30" s="8">
        <v>1.0</v>
      </c>
      <c r="BA30" s="8">
        <v>0.0</v>
      </c>
      <c r="BB30" s="8">
        <v>0.0</v>
      </c>
      <c r="BC30" s="8">
        <v>0.0</v>
      </c>
      <c r="BD30" s="8">
        <v>0.0</v>
      </c>
      <c r="BE30" s="8">
        <v>0.0</v>
      </c>
      <c r="BF30" s="8">
        <v>0.0</v>
      </c>
      <c r="BG30" s="8">
        <v>0.0</v>
      </c>
      <c r="BH30" s="9"/>
      <c r="BI30" s="9" t="s">
        <v>1101</v>
      </c>
      <c r="BJ30" s="8">
        <v>1.0</v>
      </c>
      <c r="BK30" s="8">
        <v>1.0</v>
      </c>
      <c r="BL30" s="8">
        <v>1.0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2025.0</v>
      </c>
      <c r="CN30" s="9" t="s">
        <v>858</v>
      </c>
      <c r="CO30" s="9" t="s">
        <v>859</v>
      </c>
      <c r="CP30" s="9" t="s">
        <v>860</v>
      </c>
      <c r="CQ30" s="8">
        <v>0.0</v>
      </c>
      <c r="CR30" s="8">
        <v>0.0</v>
      </c>
      <c r="CS30" s="8">
        <v>0.0</v>
      </c>
      <c r="CT30" s="8">
        <v>0.0</v>
      </c>
      <c r="CU30" s="10">
        <v>1.0</v>
      </c>
      <c r="CV30" s="10">
        <v>0.0</v>
      </c>
      <c r="CW30" s="10">
        <v>0.0</v>
      </c>
      <c r="CX30" s="8">
        <v>0.0</v>
      </c>
      <c r="CY30" s="9" t="s">
        <v>1060</v>
      </c>
      <c r="CZ30" s="8">
        <v>1.0</v>
      </c>
      <c r="DA30" s="8">
        <v>1.0</v>
      </c>
      <c r="DB30" s="8">
        <v>0.0</v>
      </c>
      <c r="DC30" s="9"/>
      <c r="DD30" s="9" t="s">
        <v>937</v>
      </c>
      <c r="DE30" s="8">
        <v>1.0</v>
      </c>
      <c r="DF30" s="8">
        <v>0.0</v>
      </c>
      <c r="DG30" s="8">
        <v>1.0</v>
      </c>
      <c r="DH30" s="8">
        <v>0.0</v>
      </c>
      <c r="DI30" s="9"/>
      <c r="DJ30" s="9" t="s">
        <v>937</v>
      </c>
      <c r="DK30" s="8">
        <v>1.0</v>
      </c>
      <c r="DL30" s="8">
        <v>0.0</v>
      </c>
      <c r="DM30" s="8">
        <v>1.0</v>
      </c>
      <c r="DN30" s="8">
        <v>0.0</v>
      </c>
      <c r="DO30" s="9"/>
      <c r="DP30" s="8">
        <v>1.0</v>
      </c>
      <c r="DQ30" s="8">
        <v>1.0</v>
      </c>
      <c r="DR30" s="8">
        <v>0.0</v>
      </c>
      <c r="DS30" s="9"/>
      <c r="DT30" s="9"/>
      <c r="DU30" s="9"/>
      <c r="DV30" s="9" t="s">
        <v>857</v>
      </c>
      <c r="DW30" s="9"/>
      <c r="DX30" s="9"/>
      <c r="DY30" s="9"/>
      <c r="DZ30" s="9"/>
      <c r="EA30" s="9"/>
      <c r="EB30" s="9"/>
      <c r="EC30" s="9"/>
      <c r="ED30" s="9"/>
      <c r="EE30" s="9"/>
      <c r="EF30" s="9"/>
      <c r="EG30" s="9"/>
      <c r="EH30" s="9"/>
      <c r="EI30" s="9" t="s">
        <v>862</v>
      </c>
      <c r="EJ30" s="8">
        <v>0.0</v>
      </c>
      <c r="EK30" s="8">
        <v>0.0</v>
      </c>
      <c r="EL30" s="8">
        <v>0.0</v>
      </c>
      <c r="EM30" s="8">
        <v>1.0</v>
      </c>
      <c r="EN30" s="8">
        <v>0.0</v>
      </c>
      <c r="EO30" s="11"/>
      <c r="EP30" s="9" t="s">
        <v>863</v>
      </c>
      <c r="EQ30" s="9" t="s">
        <v>864</v>
      </c>
      <c r="ER30" s="9" t="s">
        <v>861</v>
      </c>
      <c r="ES30" s="8">
        <v>1.0</v>
      </c>
      <c r="ET30" s="8">
        <v>0.0</v>
      </c>
      <c r="EU30" s="8">
        <v>0.0</v>
      </c>
      <c r="EV30" s="8">
        <v>0.0</v>
      </c>
      <c r="EW30" s="9"/>
      <c r="EX30" s="9" t="s">
        <v>1013</v>
      </c>
      <c r="EY30" s="8">
        <v>1.0</v>
      </c>
      <c r="EZ30" s="8">
        <v>1.0</v>
      </c>
      <c r="FA30" s="8">
        <v>0.0</v>
      </c>
      <c r="FB30" s="9"/>
      <c r="FC30" s="9" t="s">
        <v>1072</v>
      </c>
      <c r="FD30" s="9"/>
      <c r="FE30" s="9" t="s">
        <v>867</v>
      </c>
      <c r="FF30" s="9" t="s">
        <v>868</v>
      </c>
      <c r="FG30" s="9" t="s">
        <v>867</v>
      </c>
      <c r="FH30" s="9" t="s">
        <v>869</v>
      </c>
      <c r="FI30" s="9" t="s">
        <v>867</v>
      </c>
      <c r="FJ30" s="9" t="s">
        <v>869</v>
      </c>
      <c r="FK30" s="9" t="s">
        <v>867</v>
      </c>
      <c r="FL30" s="9" t="s">
        <v>943</v>
      </c>
      <c r="FM30" s="9" t="s">
        <v>867</v>
      </c>
      <c r="FN30" s="9" t="s">
        <v>943</v>
      </c>
      <c r="FO30" s="9" t="s">
        <v>867</v>
      </c>
      <c r="FP30" s="9" t="s">
        <v>943</v>
      </c>
      <c r="FQ30" s="9" t="s">
        <v>867</v>
      </c>
      <c r="FR30" s="9" t="s">
        <v>857</v>
      </c>
      <c r="FS30" s="9" t="s">
        <v>867</v>
      </c>
      <c r="FT30" s="9" t="s">
        <v>871</v>
      </c>
      <c r="FU30" s="9" t="s">
        <v>872</v>
      </c>
      <c r="FV30" s="8">
        <v>1.0</v>
      </c>
      <c r="FW30" s="8">
        <v>0.0</v>
      </c>
      <c r="FX30" s="8">
        <v>0.0</v>
      </c>
      <c r="FY30" s="8">
        <v>0.0</v>
      </c>
      <c r="FZ30" s="9" t="s">
        <v>1197</v>
      </c>
      <c r="GA30" s="9" t="s">
        <v>874</v>
      </c>
      <c r="GB30" s="8">
        <v>1.0</v>
      </c>
      <c r="GC30" s="8">
        <v>0.0</v>
      </c>
      <c r="GD30" s="8">
        <v>0.0</v>
      </c>
      <c r="GE30" s="8">
        <v>0.0</v>
      </c>
      <c r="GF30" s="9"/>
      <c r="GG30" s="9" t="s">
        <v>875</v>
      </c>
      <c r="GH30" s="9" t="s">
        <v>857</v>
      </c>
      <c r="GI30" s="9" t="s">
        <v>876</v>
      </c>
      <c r="GJ30" s="8">
        <v>1.0</v>
      </c>
      <c r="GK30" s="8">
        <v>0.0</v>
      </c>
      <c r="GL30" s="8">
        <v>0.0</v>
      </c>
      <c r="GM30" s="8">
        <v>0.0</v>
      </c>
      <c r="GN30" s="9"/>
      <c r="GO30" s="8">
        <v>9.0</v>
      </c>
      <c r="GP30" s="9" t="s">
        <v>877</v>
      </c>
      <c r="GQ30" s="9" t="s">
        <v>878</v>
      </c>
      <c r="GR30" s="8">
        <v>1.0</v>
      </c>
      <c r="GS30" s="8">
        <v>1.0</v>
      </c>
      <c r="GT30" s="8">
        <v>0.0</v>
      </c>
      <c r="GU30" s="8">
        <v>0.0</v>
      </c>
      <c r="GV30" s="8">
        <v>0.0</v>
      </c>
      <c r="GW30" s="8">
        <v>0.0</v>
      </c>
      <c r="GX30" s="8">
        <v>0.0</v>
      </c>
      <c r="GY30" s="9"/>
      <c r="GZ30" s="9" t="s">
        <v>857</v>
      </c>
      <c r="HA30" s="8">
        <v>20.0</v>
      </c>
      <c r="HB30" s="8">
        <v>200000.0</v>
      </c>
      <c r="HC30" s="8">
        <v>5.0</v>
      </c>
      <c r="HD30" s="8">
        <v>50000.0</v>
      </c>
      <c r="HE30" s="8">
        <v>9.0</v>
      </c>
      <c r="HF30" s="8">
        <v>75000.0</v>
      </c>
      <c r="HG30" s="8">
        <v>3.0</v>
      </c>
      <c r="HH30" s="8">
        <v>25000.0</v>
      </c>
      <c r="HI30" s="9"/>
      <c r="HJ30" s="9"/>
      <c r="HK30" s="9"/>
      <c r="HL30" s="9"/>
      <c r="HM30" s="9"/>
      <c r="HN30" s="9"/>
      <c r="HO30" s="9"/>
      <c r="HP30" s="9"/>
      <c r="HQ30" s="9"/>
      <c r="HR30" s="9"/>
      <c r="HS30" s="9"/>
      <c r="HT30" s="9"/>
      <c r="HU30" s="9"/>
      <c r="HV30" s="9"/>
      <c r="HW30" s="9"/>
      <c r="HX30" s="9"/>
      <c r="HY30" s="8">
        <v>15.0</v>
      </c>
      <c r="HZ30" s="8">
        <v>150000.0</v>
      </c>
      <c r="IA30" s="8">
        <v>6.0</v>
      </c>
      <c r="IB30" s="8">
        <v>50000.0</v>
      </c>
      <c r="IC30" s="9"/>
      <c r="ID30" s="9"/>
      <c r="IE30" s="9"/>
      <c r="IF30" s="9"/>
      <c r="IG30" s="9"/>
      <c r="IH30" s="9"/>
      <c r="II30" s="9"/>
      <c r="IJ30" s="9"/>
      <c r="IK30" s="9" t="s">
        <v>879</v>
      </c>
      <c r="IL30" s="9" t="s">
        <v>880</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1180</v>
      </c>
      <c r="LC30" s="8">
        <v>0.0</v>
      </c>
      <c r="LD30" s="8">
        <v>3.0</v>
      </c>
      <c r="LE30" s="8">
        <v>0.0</v>
      </c>
      <c r="LF30" s="8">
        <v>0.0</v>
      </c>
      <c r="LG30" s="9" t="s">
        <v>857</v>
      </c>
      <c r="LH30" s="8">
        <v>100000.0</v>
      </c>
      <c r="LI30" s="9"/>
      <c r="LJ30" s="9" t="s">
        <v>887</v>
      </c>
      <c r="LK30" s="8">
        <v>0.0</v>
      </c>
      <c r="LL30" s="8">
        <v>0.0</v>
      </c>
      <c r="LM30" s="8">
        <v>0.0</v>
      </c>
      <c r="LN30" s="8">
        <v>0.0</v>
      </c>
      <c r="LO30" s="8">
        <v>1.0</v>
      </c>
      <c r="LP30" s="8">
        <v>0.0</v>
      </c>
      <c r="LQ30" s="8">
        <v>0.0</v>
      </c>
      <c r="LR30" s="9"/>
      <c r="LS30" s="8">
        <v>15.0</v>
      </c>
      <c r="LT30" s="8">
        <v>0.0</v>
      </c>
      <c r="LU30" s="8">
        <v>0.0</v>
      </c>
      <c r="LV30" s="8">
        <v>5.0</v>
      </c>
      <c r="LW30" s="8">
        <v>0.0</v>
      </c>
      <c r="LX30" s="8">
        <v>0.0</v>
      </c>
      <c r="LY30" s="8">
        <v>5.0</v>
      </c>
      <c r="LZ30" s="8">
        <v>0.0</v>
      </c>
      <c r="MA30" s="8">
        <v>0.0</v>
      </c>
      <c r="MB30" s="9" t="s">
        <v>857</v>
      </c>
      <c r="MC30" s="8">
        <v>30.0</v>
      </c>
      <c r="MD30" s="8">
        <v>15.0</v>
      </c>
      <c r="ME30" s="8">
        <v>30.0</v>
      </c>
      <c r="MF30" s="8">
        <v>15.0</v>
      </c>
      <c r="MG30" s="8">
        <v>0.0</v>
      </c>
      <c r="MH30" s="8">
        <v>0.0</v>
      </c>
      <c r="MI30" s="9" t="s">
        <v>946</v>
      </c>
      <c r="MJ30" s="8">
        <v>0.0</v>
      </c>
      <c r="MK30" s="8">
        <v>0.0</v>
      </c>
      <c r="ML30" s="8">
        <v>1.0</v>
      </c>
      <c r="MM30" s="8">
        <v>0.0</v>
      </c>
      <c r="MN30" s="8">
        <v>0.0</v>
      </c>
      <c r="MO30" s="8">
        <v>0.0</v>
      </c>
      <c r="MP30" s="9"/>
      <c r="MQ30" s="9"/>
      <c r="MR30" s="9" t="s">
        <v>1048</v>
      </c>
      <c r="MS30" s="9"/>
      <c r="MT30" s="9" t="s">
        <v>972</v>
      </c>
      <c r="MU30" s="9" t="s">
        <v>881</v>
      </c>
      <c r="MV30" s="9"/>
      <c r="MW30" s="9"/>
      <c r="MX30" s="9"/>
      <c r="MY30" s="9"/>
      <c r="MZ30" s="9"/>
      <c r="NA30" s="9"/>
      <c r="NB30" s="9"/>
      <c r="NC30" s="9"/>
      <c r="ND30" s="9"/>
      <c r="NE30" s="9"/>
      <c r="NF30" s="9"/>
      <c r="NG30" s="9"/>
      <c r="NH30" s="9"/>
      <c r="NI30" s="9"/>
      <c r="NJ30" s="9"/>
      <c r="NK30" s="9"/>
      <c r="NL30" s="9" t="s">
        <v>857</v>
      </c>
      <c r="NM30" s="9" t="s">
        <v>893</v>
      </c>
      <c r="NN30" s="9" t="s">
        <v>993</v>
      </c>
      <c r="NO30" s="9" t="s">
        <v>994</v>
      </c>
      <c r="NP30" s="9"/>
      <c r="NQ30" s="9"/>
      <c r="NR30" s="9"/>
      <c r="NS30" s="9"/>
      <c r="NT30" s="9"/>
      <c r="NU30" s="9"/>
      <c r="NV30" s="9" t="s">
        <v>896</v>
      </c>
      <c r="NW30" s="9"/>
      <c r="NX30" s="9" t="s">
        <v>1183</v>
      </c>
      <c r="NY30" s="8">
        <v>30.0</v>
      </c>
      <c r="NZ30" s="8">
        <v>10.0</v>
      </c>
      <c r="OA30" s="8">
        <v>0.0</v>
      </c>
      <c r="OB30" s="8">
        <v>5.0</v>
      </c>
      <c r="OC30" s="8">
        <v>5.0</v>
      </c>
      <c r="OD30" s="8">
        <v>0.0</v>
      </c>
      <c r="OE30" s="9" t="s">
        <v>898</v>
      </c>
      <c r="OF30" s="9" t="s">
        <v>1184</v>
      </c>
      <c r="OG30" s="9" t="s">
        <v>857</v>
      </c>
      <c r="OH30" s="8">
        <v>0.0</v>
      </c>
      <c r="OI30" s="8">
        <v>6.0</v>
      </c>
      <c r="OJ30" s="8">
        <v>0.0</v>
      </c>
      <c r="OK30" s="8">
        <v>0.0</v>
      </c>
      <c r="OL30" s="8">
        <v>0.0</v>
      </c>
      <c r="OM30" s="8">
        <v>0.0</v>
      </c>
      <c r="ON30" s="8">
        <v>0.0</v>
      </c>
      <c r="OO30" s="8">
        <v>0.0</v>
      </c>
      <c r="OP30" s="9" t="str">
        <f>VLOOKUP(AG30,'BUS 2'!$G$1:$CU$424,2,0)</f>
        <v>Sapi perah</v>
      </c>
      <c r="OQ30" s="8">
        <f>VLOOKUP(AG30,'BUS 2'!$G$1:$CU$424,3,0)</f>
        <v>0</v>
      </c>
      <c r="OR30" s="8">
        <f>VLOOKUP(AG30,'BUS 2'!$G$1:$CU$424,4,0)</f>
        <v>1</v>
      </c>
      <c r="OS30" s="8">
        <f>VLOOKUP(AG30,'BUS 2'!$G$1:$CU$424,5,0)</f>
        <v>0</v>
      </c>
      <c r="OT30" s="8">
        <f>VLOOKUP(AG30,'BUS 2'!$G$1:$CU$424,6,0)</f>
        <v>0</v>
      </c>
      <c r="OU30" s="8">
        <f>VLOOKUP(AG30,'BUS 2'!$G$1:$CU$424,7,0)</f>
        <v>0</v>
      </c>
      <c r="OV30" s="8">
        <f>VLOOKUP(AG30,'BUS 2'!$G$1:$CU$424,8,0)</f>
        <v>0</v>
      </c>
      <c r="OW30" s="8">
        <f>VLOOKUP(AG30,'BUS 2'!$G$1:$CU$424,9,0)</f>
        <v>0</v>
      </c>
      <c r="OX30" s="8">
        <f>VLOOKUP(AG30,'BUS 2'!$G$1:$CU$424,10,0)</f>
        <v>0</v>
      </c>
      <c r="OY30" s="8">
        <f>VLOOKUP(AG30,'BUS 2'!$G$1:$CU$424,11,0)</f>
        <v>0</v>
      </c>
      <c r="OZ30" s="8" t="str">
        <f>VLOOKUP(AG30,'BUS 2'!$G$1:$CU$424,12,0)</f>
        <v>Sapi perah</v>
      </c>
      <c r="PA30" s="8">
        <f>VLOOKUP(AG30,'BUS 2'!$G$1:$CU$424,13,0)</f>
        <v>0</v>
      </c>
      <c r="PB30" s="8">
        <f>VLOOKUP(AG30,'BUS 2'!$G$1:$CU$424,14,0)</f>
        <v>1</v>
      </c>
      <c r="PC30" s="8">
        <f>VLOOKUP(AG30,'BUS 2'!$G$1:$CU$424,15,0)</f>
        <v>0</v>
      </c>
      <c r="PD30" s="8">
        <f>VLOOKUP(AG30,'BUS 2'!$G$1:$CU$424,16,0)</f>
        <v>0</v>
      </c>
      <c r="PE30" s="8">
        <f>VLOOKUP(AG30,'BUS 2'!$G$1:$CU$424,17,0)</f>
        <v>0</v>
      </c>
      <c r="PF30" s="8">
        <f>VLOOKUP(AG30,'BUS 2'!$G$1:$CU$424,18,0)</f>
        <v>0</v>
      </c>
      <c r="PG30" s="8">
        <f>VLOOKUP(AG30,'BUS 2'!$G$1:$CU$424,19,0)</f>
        <v>0</v>
      </c>
      <c r="PH30" s="8">
        <f>VLOOKUP(AG30,'BUS 2'!$G$1:$CU$424,20,0)</f>
        <v>0</v>
      </c>
      <c r="PI30" s="8">
        <f>VLOOKUP(AG30,'BUS 2'!$G$1:$CU$424,21,0)</f>
        <v>0</v>
      </c>
      <c r="PJ30" s="8" t="str">
        <f>VLOOKUP(AG30,'BUS 2'!$G$1:$CU$424,22,0)</f>
        <v>Tidak ada</v>
      </c>
      <c r="PK30" s="8">
        <f>VLOOKUP(AG30,'BUS 2'!$G$1:$CU$424,23,0)</f>
        <v>0</v>
      </c>
      <c r="PL30" s="8">
        <f>VLOOKUP(AG30,'BUS 2'!$G$1:$CU$424,24,0)</f>
        <v>0</v>
      </c>
      <c r="PM30" s="8">
        <f>VLOOKUP(AG30,'BUS 2'!$G$1:$CU$424,25,0)</f>
        <v>0</v>
      </c>
      <c r="PN30" s="8">
        <f>VLOOKUP(AG30,'BUS 2'!$G$1:$CU$424,26,0)</f>
        <v>0</v>
      </c>
      <c r="PO30" s="8">
        <f>VLOOKUP(AG30,'BUS 2'!$G$1:$CU$424,27,0)</f>
        <v>0</v>
      </c>
      <c r="PP30" s="8">
        <f>VLOOKUP(AG30,'BUS 2'!$G$1:$CU$424,28,0)</f>
        <v>0</v>
      </c>
      <c r="PQ30" s="8">
        <f>VLOOKUP(AG30,'BUS 2'!$G$1:$CU$424,29,0)</f>
        <v>0</v>
      </c>
      <c r="PR30" s="8">
        <f>VLOOKUP(AG30,'BUS 2'!$G$1:$CU$424,30,0)</f>
        <v>0</v>
      </c>
      <c r="PS30" s="8">
        <f>VLOOKUP(AG30,'BUS 2'!$G$1:$CU$424,31,0)</f>
        <v>1</v>
      </c>
      <c r="PT30" s="9"/>
      <c r="PU30" s="9"/>
      <c r="PV30" s="9"/>
      <c r="PW30" s="9"/>
      <c r="PX30" s="9"/>
      <c r="PY30" s="9"/>
      <c r="PZ30" s="9"/>
      <c r="QA30" s="9"/>
      <c r="QB30" s="9"/>
      <c r="QC30" s="9"/>
      <c r="QD30" s="9"/>
      <c r="QE30" s="9" t="s">
        <v>900</v>
      </c>
      <c r="QF30" s="8">
        <v>0.0</v>
      </c>
      <c r="QG30" s="8">
        <v>0.0</v>
      </c>
      <c r="QH30" s="8">
        <v>0.0</v>
      </c>
      <c r="QI30" s="8">
        <v>0.0</v>
      </c>
      <c r="QJ30" s="8">
        <v>0.0</v>
      </c>
      <c r="QK30" s="8">
        <v>1.0</v>
      </c>
      <c r="QL30" s="8">
        <v>0.0</v>
      </c>
      <c r="QM30" s="8">
        <v>0.0</v>
      </c>
      <c r="QN30" s="8">
        <v>0.0</v>
      </c>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8" t="str">
        <f>VLOOKUP(AG30,'BUS 2'!$G$1:$CU$424,33,0)</f>
        <v/>
      </c>
      <c r="SZ30" s="9">
        <f>VLOOKUP(AG30,'BUS 2'!$G$1:$CU$424,34,0)</f>
        <v>6</v>
      </c>
      <c r="TA30" s="9" t="str">
        <f>VLOOKUP(AG30,'BUS 2'!$G$1:$CU$424,35,0)</f>
        <v/>
      </c>
      <c r="TB30" s="9" t="str">
        <f>VLOOKUP(AG30,'BUS 2'!$G$1:$CU$424,36,0)</f>
        <v/>
      </c>
      <c r="TC30" s="9" t="str">
        <f>VLOOKUP(AG30,'BUS 2'!$G$1:$CU$424,37,0)</f>
        <v/>
      </c>
      <c r="TD30" s="9" t="str">
        <f>VLOOKUP(AG30,'BUS 2'!$G$1:$CU$424,38,0)</f>
        <v/>
      </c>
      <c r="TE30" s="9" t="str">
        <f>VLOOKUP(AG30,'BUS 2'!$G$1:$CU$424,39,0)</f>
        <v/>
      </c>
      <c r="TF30" s="9" t="str">
        <f>VLOOKUP(AG30,'BUS 2'!$G$1:$CU$424,40,0)</f>
        <v/>
      </c>
      <c r="TG30" s="8" t="str">
        <f>VLOOKUP(AG30,'BUS 2'!$G$1:$CU$424,42,0)</f>
        <v/>
      </c>
      <c r="TH30" s="8">
        <f>VLOOKUP(AG30,'BUS 2'!$G$1:$CU$424,43,0)</f>
        <v>6</v>
      </c>
      <c r="TI30" s="8" t="str">
        <f>VLOOKUP(AG30,'BUS 2'!$G$1:$CU$424,44,0)</f>
        <v/>
      </c>
      <c r="TJ30" s="8" t="str">
        <f>VLOOKUP(AG30,'BUS 2'!$G$1:$CU$424,45,0)</f>
        <v/>
      </c>
      <c r="TK30" s="8" t="str">
        <f>VLOOKUP(AG30,'BUS 2'!$G$1:$CU$424,46,0)</f>
        <v/>
      </c>
      <c r="TL30" s="8" t="str">
        <f>VLOOKUP(AG30,'BUS 2'!$G$1:$CU$424,47,0)</f>
        <v/>
      </c>
      <c r="TM30" s="8" t="str">
        <f>VLOOKUP(AG30,'BUS 2'!$G$1:$CU$424,48,0)</f>
        <v/>
      </c>
      <c r="TN30" s="8" t="str">
        <f>VLOOKUP(AG30,'BUS 2'!$G$1:$CU$424,49,0)</f>
        <v/>
      </c>
      <c r="TO30" s="8" t="str">
        <f>VLOOKUP(AG30,'BUS 2'!$G$1:$CU$424,50,0)</f>
        <v/>
      </c>
      <c r="TP30" s="8" t="str">
        <f>VLOOKUP(AG30,'BUS 2'!$G$1:$CU$424,51,0)</f>
        <v/>
      </c>
      <c r="TQ30" s="8" t="str">
        <f>VLOOKUP(AG30,'BUS 2'!$G$1:$CU$424,52,0)</f>
        <v/>
      </c>
      <c r="TR30" s="8" t="str">
        <f>VLOOKUP(AG30,'BUS 2'!$G$1:$CU$424,53,0)</f>
        <v/>
      </c>
      <c r="TS30" s="9" t="str">
        <f>VLOOKUP(AG30,'BUS 2'!$G$1:$CU$424,54,0)</f>
        <v/>
      </c>
      <c r="TT30" s="9" t="str">
        <f>VLOOKUP(AG30,'BUS 2'!$G$1:$CU$424,55,0)</f>
        <v/>
      </c>
      <c r="TU30" s="9" t="str">
        <f>VLOOKUP(AG30,'BUS 2'!$G$1:$CU$424,56,0)</f>
        <v/>
      </c>
      <c r="TV30" s="9" t="str">
        <f>VLOOKUP(AG30,'BUS 2'!$G$1:$CU$424,57,0)</f>
        <v/>
      </c>
      <c r="TW30" s="9" t="str">
        <f>VLOOKUP(AG30,'BUS 2'!$G$1:$CU$424,58,0)</f>
        <v/>
      </c>
      <c r="TX30" s="9" t="str">
        <f>VLOOKUP(AG30,'BUS 2'!$G$1:$CU$424,59,0)</f>
        <v/>
      </c>
      <c r="TY30" s="9" t="str">
        <f>VLOOKUP(AG30,'BUS 2'!$G$1:$CU$424,60,0)</f>
        <v/>
      </c>
      <c r="TZ30" s="9" t="str">
        <f>VLOOKUP(AG30,'BUS 2'!$G$1:$CU$424,61,0)</f>
        <v/>
      </c>
      <c r="UA30" s="9" t="str">
        <f>VLOOKUP(AG30,'BUS 2'!$G$1:$CU$424,62,0)</f>
        <v/>
      </c>
      <c r="UB30" s="9" t="str">
        <f>VLOOKUP(AG30,'BUS 2'!$G$1:$CU$424,63,0)</f>
        <v/>
      </c>
      <c r="UC30" s="9" t="str">
        <f>VLOOKUP(AG30,'BUS 2'!$G$1:$CU$424,64,0)</f>
        <v/>
      </c>
      <c r="UD30" s="9" t="str">
        <f>VLOOKUP(AG30,'BUS 2'!$G$1:$CU$424,65,0)</f>
        <v/>
      </c>
      <c r="UE30" s="9" t="str">
        <f>VLOOKUP(AG30,'BUS 2'!$G$1:$CU$424,66,0)</f>
        <v/>
      </c>
      <c r="UF30" s="9" t="str">
        <f>VLOOKUP(AG30,'BUS 2'!$G$1:$CU$424,67,0)</f>
        <v/>
      </c>
      <c r="UG30" s="9" t="str">
        <f>VLOOKUP(AG30,'BUS 2'!$G$1:$CU$424,68,0)</f>
        <v/>
      </c>
      <c r="UH30" s="9" t="str">
        <f>VLOOKUP(AG30,'BUS 2'!$G$1:$CU$424,69,0)</f>
        <v/>
      </c>
      <c r="UI30" s="9" t="str">
        <f>VLOOKUP(AG30,'BUS 2'!$G$1:$CU$424,70,0)</f>
        <v/>
      </c>
      <c r="UJ30" s="9" t="str">
        <f>VLOOKUP(AG30,'BUS 2'!$G$1:$CU$424,71,0)</f>
        <v/>
      </c>
      <c r="UK30" s="9" t="str">
        <f>VLOOKUP(AG30,'BUS 2'!$G$1:$CU$424,72,0)</f>
        <v/>
      </c>
      <c r="UL30" s="9" t="str">
        <f>VLOOKUP(AG30,'BUS 2'!$G$1:$CU$424,73,0)</f>
        <v/>
      </c>
      <c r="UM30" s="9" t="str">
        <f>VLOOKUP(AG30,'BUS 2'!$G$1:$CU$424,74,0)</f>
        <v/>
      </c>
      <c r="UN30" s="9" t="str">
        <f>VLOOKUP(AG30,'BUS 2'!$G$1:$CU$424,75,0)</f>
        <v/>
      </c>
      <c r="UO30" s="9" t="str">
        <f>VLOOKUP(AG30,'BUS 2'!$G$1:$CU$424,76,0)</f>
        <v/>
      </c>
      <c r="UP30" s="9" t="str">
        <f>VLOOKUP(AG30,'BUS 2'!$G$1:$CU$424,77,0)</f>
        <v/>
      </c>
      <c r="UQ30" s="9" t="str">
        <f>VLOOKUP(AG30,'BUS 2'!$G$1:$CU$424,78,0)</f>
        <v/>
      </c>
      <c r="UR30" s="9" t="str">
        <f>VLOOKUP(AG30,'BUS 2'!$G$1:$CU$424,79,0)</f>
        <v/>
      </c>
      <c r="US30" s="9" t="str">
        <f>VLOOKUP(AG30,'BUS 2'!$G$1:$CU$424,80,0)</f>
        <v/>
      </c>
      <c r="UT30" s="9" t="str">
        <f>VLOOKUP(AG30,'BUS 2'!$G$1:$CU$424,81,0)</f>
        <v/>
      </c>
      <c r="UU30" s="9"/>
      <c r="UV30" s="9" t="s">
        <v>901</v>
      </c>
      <c r="UW30" s="9"/>
      <c r="UX30" s="9"/>
      <c r="UY30" s="9"/>
      <c r="UZ30" s="9"/>
      <c r="VA30" s="9"/>
      <c r="VB30" s="9"/>
      <c r="VC30" s="9"/>
      <c r="VD30" s="9" t="s">
        <v>950</v>
      </c>
      <c r="VE30" s="9"/>
      <c r="VF30" s="9"/>
      <c r="VG30" s="9"/>
      <c r="VH30" s="9"/>
      <c r="VI30" s="9"/>
      <c r="VJ30" s="9"/>
      <c r="VK30" s="9"/>
      <c r="VL30" s="9" t="s">
        <v>1158</v>
      </c>
      <c r="VM30" s="9"/>
      <c r="VN30" s="9"/>
      <c r="VO30" s="9"/>
      <c r="VP30" s="9"/>
      <c r="VQ30" s="9"/>
      <c r="VR30" s="9"/>
      <c r="VS30" s="9"/>
      <c r="VT30" s="9"/>
      <c r="VU30" s="9"/>
      <c r="VV30" s="9"/>
      <c r="VW30" s="9"/>
      <c r="VX30" s="9"/>
      <c r="VY30" s="9"/>
      <c r="VZ30" s="9"/>
      <c r="WA30" s="9"/>
      <c r="WB30" s="9"/>
      <c r="WC30" s="9"/>
      <c r="WD30" s="9"/>
      <c r="WE30" s="9"/>
      <c r="WF30" s="9" t="s">
        <v>1089</v>
      </c>
      <c r="WG30" s="8">
        <v>0.0</v>
      </c>
      <c r="WH30" s="8">
        <v>0.0</v>
      </c>
      <c r="WI30" s="8">
        <v>1.0</v>
      </c>
      <c r="WJ30" s="8">
        <v>1.0</v>
      </c>
      <c r="WK30" s="8">
        <v>1.0</v>
      </c>
      <c r="WL30" s="8">
        <v>0.0</v>
      </c>
      <c r="WM30" s="8">
        <v>0.0</v>
      </c>
      <c r="WN30" s="8">
        <v>0.0</v>
      </c>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8">
        <v>2.0</v>
      </c>
      <c r="ZX30" s="9"/>
      <c r="ZY30" s="9"/>
      <c r="ZZ30" s="9"/>
      <c r="AAA30" s="9"/>
      <c r="AAB30" s="9"/>
      <c r="AAC30" s="9"/>
      <c r="AAD30" s="9"/>
      <c r="AAE30" s="9" t="s">
        <v>1186</v>
      </c>
      <c r="AAF30" s="9"/>
      <c r="AAG30" s="9"/>
      <c r="AAH30" s="9"/>
      <c r="AAI30" s="9"/>
      <c r="AAJ30" s="9"/>
      <c r="AAK30" s="9"/>
      <c r="AAL30" s="9" t="s">
        <v>857</v>
      </c>
      <c r="AAM30" s="9" t="s">
        <v>1033</v>
      </c>
      <c r="AAN30" s="8">
        <v>1.0</v>
      </c>
      <c r="AAO30" s="8">
        <v>1.0</v>
      </c>
      <c r="AAP30" s="8">
        <v>60.0</v>
      </c>
      <c r="AAQ30" s="8">
        <v>60.0</v>
      </c>
      <c r="AAR30" s="9" t="s">
        <v>857</v>
      </c>
      <c r="AAS30" s="9" t="s">
        <v>867</v>
      </c>
      <c r="AAT30" s="9" t="s">
        <v>1074</v>
      </c>
      <c r="AAU30" s="8">
        <v>1.0</v>
      </c>
      <c r="AAV30" s="8">
        <v>0.0</v>
      </c>
      <c r="AAW30" s="8">
        <v>0.0</v>
      </c>
      <c r="AAX30" s="8">
        <v>1.0</v>
      </c>
      <c r="AAY30" s="8">
        <v>1.0</v>
      </c>
      <c r="AAZ30" s="8">
        <v>0.0</v>
      </c>
      <c r="ABA30" s="8">
        <v>0.0</v>
      </c>
      <c r="ABB30" s="9" t="s">
        <v>907</v>
      </c>
      <c r="ABC30" s="8">
        <v>1.0</v>
      </c>
      <c r="ABD30" s="8">
        <v>0.0</v>
      </c>
      <c r="ABE30" s="8">
        <v>0.0</v>
      </c>
      <c r="ABF30" s="8">
        <v>0.0</v>
      </c>
      <c r="ABG30" s="8">
        <v>0.0</v>
      </c>
      <c r="ABH30" s="9"/>
      <c r="ABI30" s="9"/>
      <c r="ABJ30" s="9"/>
      <c r="ABK30" s="9"/>
      <c r="ABL30" s="9"/>
      <c r="ABM30" s="9"/>
      <c r="ABN30" s="9"/>
      <c r="ABO30" s="9"/>
      <c r="ABP30" s="9"/>
      <c r="ABQ30" s="11" t="s">
        <v>953</v>
      </c>
      <c r="ABR30" s="9" t="s">
        <v>1075</v>
      </c>
      <c r="ABS30" s="8">
        <v>2500.0</v>
      </c>
      <c r="ABT30" s="8">
        <v>200.0</v>
      </c>
      <c r="ABU30" s="8">
        <v>50.0</v>
      </c>
      <c r="ABV30" s="8">
        <v>50.0</v>
      </c>
      <c r="ABW30" s="9" t="s">
        <v>1199</v>
      </c>
      <c r="ABX30" s="9"/>
      <c r="ABY30" s="8">
        <v>20.0</v>
      </c>
      <c r="ABZ30" s="8">
        <v>4000.0</v>
      </c>
      <c r="ACA30" s="8">
        <v>0.0</v>
      </c>
      <c r="ACB30" s="8">
        <v>4000.0</v>
      </c>
      <c r="ACC30" s="8">
        <v>500.0</v>
      </c>
      <c r="ACD30" s="8">
        <v>600.0</v>
      </c>
      <c r="ACE30" s="9" t="s">
        <v>857</v>
      </c>
      <c r="ACF30" s="9" t="s">
        <v>911</v>
      </c>
      <c r="ACG30" s="9" t="s">
        <v>911</v>
      </c>
      <c r="ACH30" s="9" t="s">
        <v>911</v>
      </c>
      <c r="ACI30" s="9"/>
      <c r="ACJ30" s="9"/>
      <c r="ACK30" s="9" t="s">
        <v>955</v>
      </c>
      <c r="ACL30" s="8">
        <v>0.0</v>
      </c>
      <c r="ACM30" s="8">
        <v>0.0</v>
      </c>
      <c r="ACN30" s="8">
        <v>0.0</v>
      </c>
      <c r="ACO30" s="8">
        <v>1.0</v>
      </c>
      <c r="ACP30" s="8">
        <v>0.0</v>
      </c>
      <c r="ACQ30" s="8">
        <v>0.0</v>
      </c>
      <c r="ACR30" s="8">
        <v>0.0</v>
      </c>
      <c r="ACS30" s="9"/>
      <c r="ACT30" s="9" t="s">
        <v>912</v>
      </c>
      <c r="ACU30" s="9" t="s">
        <v>1050</v>
      </c>
      <c r="ACV30" s="9" t="s">
        <v>957</v>
      </c>
      <c r="ACW30" s="9" t="s">
        <v>915</v>
      </c>
      <c r="ACX30" s="9" t="s">
        <v>916</v>
      </c>
      <c r="ACY30" s="9" t="s">
        <v>1035</v>
      </c>
      <c r="ACZ30" s="8">
        <v>1.0</v>
      </c>
      <c r="ADA30" s="8">
        <v>1.0</v>
      </c>
      <c r="ADB30" s="8">
        <v>0.0</v>
      </c>
      <c r="ADC30" s="8">
        <v>0.0</v>
      </c>
      <c r="ADD30" s="9" t="s">
        <v>1187</v>
      </c>
      <c r="ADE30" s="9" t="s">
        <v>1187</v>
      </c>
      <c r="ADF30" s="9" t="s">
        <v>1187</v>
      </c>
      <c r="ADG30" s="9" t="s">
        <v>1187</v>
      </c>
      <c r="ADH30" s="9" t="s">
        <v>881</v>
      </c>
      <c r="ADI30" s="9"/>
      <c r="ADJ30" s="9" t="s">
        <v>1187</v>
      </c>
      <c r="ADK30" s="9"/>
      <c r="ADL30" s="9"/>
      <c r="ADM30" s="9"/>
      <c r="ADN30" s="9"/>
      <c r="ADO30" s="9"/>
      <c r="ADP30" s="9"/>
      <c r="ADQ30" s="9"/>
      <c r="ADR30" s="9"/>
      <c r="ADS30" s="9"/>
      <c r="ADT30" s="9"/>
      <c r="ADU30" s="9" t="s">
        <v>919</v>
      </c>
      <c r="ADV30" s="8">
        <v>0.0</v>
      </c>
      <c r="ADW30" s="8">
        <v>0.0</v>
      </c>
      <c r="ADX30" s="8">
        <v>0.0</v>
      </c>
      <c r="ADY30" s="8">
        <v>0.0</v>
      </c>
      <c r="ADZ30" s="8">
        <v>1.0</v>
      </c>
      <c r="AEA30" s="8">
        <v>0.0</v>
      </c>
      <c r="AEB30" s="8">
        <v>0.0</v>
      </c>
      <c r="AEC30" s="8">
        <v>0.0</v>
      </c>
      <c r="AED30" s="12"/>
      <c r="AEE30" s="17" t="s">
        <v>872</v>
      </c>
      <c r="AEF30" s="9"/>
      <c r="AEG30" s="17" t="s">
        <v>920</v>
      </c>
      <c r="AEH30" s="9"/>
      <c r="AEI30" s="11" t="s">
        <v>917</v>
      </c>
      <c r="AEJ30" s="9" t="s">
        <v>871</v>
      </c>
      <c r="AEK30" s="17" t="s">
        <v>1108</v>
      </c>
      <c r="AEL30" s="18">
        <v>1.0</v>
      </c>
      <c r="AEM30" s="18">
        <v>1.0</v>
      </c>
      <c r="AEN30" s="18">
        <v>1.0</v>
      </c>
      <c r="AEO30" s="18">
        <v>1.0</v>
      </c>
      <c r="AEP30" s="18">
        <v>1.0</v>
      </c>
      <c r="AEQ30" s="18">
        <v>1.0</v>
      </c>
      <c r="AER30" s="18">
        <v>1.0</v>
      </c>
      <c r="AES30" s="18">
        <v>1.0</v>
      </c>
      <c r="AET30" s="18">
        <v>1.0</v>
      </c>
      <c r="AEU30" s="18">
        <v>0.0</v>
      </c>
      <c r="AEV30" s="18">
        <v>0.0</v>
      </c>
      <c r="AEW30" s="18">
        <v>0.0</v>
      </c>
      <c r="AEX30" s="9"/>
      <c r="AEY30" s="9" t="s">
        <v>1273</v>
      </c>
      <c r="AEZ30" s="9"/>
      <c r="AFA30" s="9" t="s">
        <v>1188</v>
      </c>
      <c r="AFB30" s="9"/>
      <c r="AFC30" s="9" t="s">
        <v>1281</v>
      </c>
      <c r="AFD30" s="16" t="s">
        <v>1282</v>
      </c>
      <c r="AFE30" s="9" t="s">
        <v>1283</v>
      </c>
      <c r="AFF30" s="16" t="s">
        <v>1284</v>
      </c>
      <c r="AFG30" s="9" t="s">
        <v>1137</v>
      </c>
      <c r="AFH30" s="9"/>
      <c r="AFI30" s="9"/>
    </row>
    <row r="31">
      <c r="A31" s="6">
        <v>46059.0</v>
      </c>
      <c r="B31" s="6">
        <v>46059.0</v>
      </c>
      <c r="C31" s="7" t="s">
        <v>837</v>
      </c>
      <c r="D31" s="7" t="s">
        <v>1285</v>
      </c>
      <c r="E31" s="8">
        <v>6.285795855837E12</v>
      </c>
      <c r="F31" s="9"/>
      <c r="G31" s="8">
        <v>-7.21489121</v>
      </c>
      <c r="H31" s="8">
        <v>110.2515966</v>
      </c>
      <c r="I31" s="9"/>
      <c r="J31" s="8">
        <v>4.45</v>
      </c>
      <c r="K31" s="9"/>
      <c r="L31" s="9"/>
      <c r="M31" s="8">
        <v>-7.21480301</v>
      </c>
      <c r="N31" s="8">
        <v>110.2516</v>
      </c>
      <c r="O31" s="9"/>
      <c r="P31" s="8">
        <v>4.32</v>
      </c>
      <c r="Q31" s="9"/>
      <c r="R31" s="9" t="s">
        <v>839</v>
      </c>
      <c r="S31" s="9"/>
      <c r="T31" s="9"/>
      <c r="U31" s="9"/>
      <c r="V31" s="9"/>
      <c r="W31" s="9"/>
      <c r="X31" s="9"/>
      <c r="Y31" s="9"/>
      <c r="Z31" s="9"/>
      <c r="AA31" s="9"/>
      <c r="AB31" s="9"/>
      <c r="AC31" s="7" t="s">
        <v>1175</v>
      </c>
      <c r="AD31" s="7" t="s">
        <v>1176</v>
      </c>
      <c r="AE31" s="7" t="s">
        <v>1279</v>
      </c>
      <c r="AF31" s="9" t="s">
        <v>1178</v>
      </c>
      <c r="AG31" s="9" t="s">
        <v>1286</v>
      </c>
      <c r="AH31" s="8">
        <v>1.0</v>
      </c>
      <c r="AI31" s="9" t="s">
        <v>845</v>
      </c>
      <c r="AJ31" s="9" t="s">
        <v>846</v>
      </c>
      <c r="AK31" s="8">
        <v>57.0</v>
      </c>
      <c r="AL31" s="9" t="s">
        <v>847</v>
      </c>
      <c r="AM31" s="9" t="s">
        <v>848</v>
      </c>
      <c r="AN31" s="9" t="s">
        <v>849</v>
      </c>
      <c r="AO31" s="9" t="s">
        <v>850</v>
      </c>
      <c r="AP31" s="8">
        <v>1.0</v>
      </c>
      <c r="AQ31" s="8">
        <v>0.0</v>
      </c>
      <c r="AR31" s="8">
        <v>0.0</v>
      </c>
      <c r="AS31" s="8">
        <v>0.0</v>
      </c>
      <c r="AT31" s="8">
        <v>0.0</v>
      </c>
      <c r="AU31" s="8">
        <v>0.0</v>
      </c>
      <c r="AV31" s="8">
        <v>0.0</v>
      </c>
      <c r="AW31" s="8">
        <v>0.0</v>
      </c>
      <c r="AX31" s="9"/>
      <c r="AY31" s="9" t="s">
        <v>935</v>
      </c>
      <c r="AZ31" s="8">
        <v>0.0</v>
      </c>
      <c r="BA31" s="8">
        <v>1.0</v>
      </c>
      <c r="BB31" s="8">
        <v>0.0</v>
      </c>
      <c r="BC31" s="8">
        <v>0.0</v>
      </c>
      <c r="BD31" s="8">
        <v>0.0</v>
      </c>
      <c r="BE31" s="8">
        <v>0.0</v>
      </c>
      <c r="BF31" s="8">
        <v>0.0</v>
      </c>
      <c r="BG31" s="8">
        <v>0.0</v>
      </c>
      <c r="BH31" s="9"/>
      <c r="BI31" s="9" t="s">
        <v>936</v>
      </c>
      <c r="BJ31" s="8">
        <v>4.0</v>
      </c>
      <c r="BK31" s="8">
        <v>2.0</v>
      </c>
      <c r="BL31" s="8">
        <v>2.0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2025.0</v>
      </c>
      <c r="CN31" s="9" t="s">
        <v>858</v>
      </c>
      <c r="CO31" s="9" t="s">
        <v>859</v>
      </c>
      <c r="CP31" s="9" t="s">
        <v>860</v>
      </c>
      <c r="CQ31" s="8">
        <v>0.0</v>
      </c>
      <c r="CR31" s="8">
        <v>0.0</v>
      </c>
      <c r="CS31" s="8">
        <v>0.0</v>
      </c>
      <c r="CT31" s="8">
        <v>0.0</v>
      </c>
      <c r="CU31" s="10">
        <v>1.0</v>
      </c>
      <c r="CV31" s="10">
        <v>0.0</v>
      </c>
      <c r="CW31" s="10">
        <v>0.0</v>
      </c>
      <c r="CX31" s="8">
        <v>0.0</v>
      </c>
      <c r="CY31" s="9" t="s">
        <v>860</v>
      </c>
      <c r="CZ31" s="8">
        <v>1.0</v>
      </c>
      <c r="DA31" s="8">
        <v>0.0</v>
      </c>
      <c r="DB31" s="8">
        <v>0.0</v>
      </c>
      <c r="DC31" s="9"/>
      <c r="DD31" s="9" t="s">
        <v>937</v>
      </c>
      <c r="DE31" s="8">
        <v>1.0</v>
      </c>
      <c r="DF31" s="8">
        <v>0.0</v>
      </c>
      <c r="DG31" s="8">
        <v>1.0</v>
      </c>
      <c r="DH31" s="8">
        <v>0.0</v>
      </c>
      <c r="DI31" s="9"/>
      <c r="DJ31" s="9" t="s">
        <v>937</v>
      </c>
      <c r="DK31" s="8">
        <v>1.0</v>
      </c>
      <c r="DL31" s="8">
        <v>0.0</v>
      </c>
      <c r="DM31" s="8">
        <v>1.0</v>
      </c>
      <c r="DN31" s="8">
        <v>0.0</v>
      </c>
      <c r="DO31" s="9"/>
      <c r="DP31" s="8">
        <v>1.0</v>
      </c>
      <c r="DQ31" s="8">
        <v>0.0</v>
      </c>
      <c r="DR31" s="8">
        <v>0.0</v>
      </c>
      <c r="DS31" s="9"/>
      <c r="DT31" s="9"/>
      <c r="DU31" s="9"/>
      <c r="DV31" s="9" t="s">
        <v>857</v>
      </c>
      <c r="DW31" s="9"/>
      <c r="DX31" s="9"/>
      <c r="DY31" s="9"/>
      <c r="DZ31" s="9"/>
      <c r="EA31" s="9"/>
      <c r="EB31" s="9"/>
      <c r="EC31" s="9"/>
      <c r="ED31" s="9"/>
      <c r="EE31" s="9"/>
      <c r="EF31" s="9"/>
      <c r="EG31" s="9"/>
      <c r="EH31" s="9"/>
      <c r="EI31" s="9" t="s">
        <v>862</v>
      </c>
      <c r="EJ31" s="8">
        <v>0.0</v>
      </c>
      <c r="EK31" s="8">
        <v>0.0</v>
      </c>
      <c r="EL31" s="8">
        <v>0.0</v>
      </c>
      <c r="EM31" s="8">
        <v>1.0</v>
      </c>
      <c r="EN31" s="8">
        <v>0.0</v>
      </c>
      <c r="EO31" s="11"/>
      <c r="EP31" s="9" t="s">
        <v>863</v>
      </c>
      <c r="EQ31" s="9" t="s">
        <v>864</v>
      </c>
      <c r="ER31" s="9" t="s">
        <v>861</v>
      </c>
      <c r="ES31" s="8">
        <v>1.0</v>
      </c>
      <c r="ET31" s="8">
        <v>0.0</v>
      </c>
      <c r="EU31" s="8">
        <v>0.0</v>
      </c>
      <c r="EV31" s="8">
        <v>0.0</v>
      </c>
      <c r="EW31" s="9"/>
      <c r="EX31" s="9" t="s">
        <v>865</v>
      </c>
      <c r="EY31" s="8">
        <v>1.0</v>
      </c>
      <c r="EZ31" s="8">
        <v>0.0</v>
      </c>
      <c r="FA31" s="8">
        <v>0.0</v>
      </c>
      <c r="FB31" s="9"/>
      <c r="FC31" s="9" t="s">
        <v>866</v>
      </c>
      <c r="FD31" s="9"/>
      <c r="FE31" s="9" t="s">
        <v>867</v>
      </c>
      <c r="FF31" s="9" t="s">
        <v>868</v>
      </c>
      <c r="FG31" s="9" t="s">
        <v>867</v>
      </c>
      <c r="FH31" s="9" t="s">
        <v>869</v>
      </c>
      <c r="FI31" s="9" t="s">
        <v>867</v>
      </c>
      <c r="FJ31" s="9" t="s">
        <v>868</v>
      </c>
      <c r="FK31" s="9" t="s">
        <v>867</v>
      </c>
      <c r="FL31" s="9" t="s">
        <v>943</v>
      </c>
      <c r="FM31" s="9" t="s">
        <v>867</v>
      </c>
      <c r="FN31" s="9" t="s">
        <v>943</v>
      </c>
      <c r="FO31" s="9" t="s">
        <v>867</v>
      </c>
      <c r="FP31" s="9" t="s">
        <v>943</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1264</v>
      </c>
      <c r="GJ31" s="8">
        <v>0.0</v>
      </c>
      <c r="GK31" s="8">
        <v>1.0</v>
      </c>
      <c r="GL31" s="8">
        <v>0.0</v>
      </c>
      <c r="GM31" s="8">
        <v>0.0</v>
      </c>
      <c r="GN31" s="9"/>
      <c r="GO31" s="8">
        <v>9.0</v>
      </c>
      <c r="GP31" s="9" t="s">
        <v>877</v>
      </c>
      <c r="GQ31" s="9" t="s">
        <v>878</v>
      </c>
      <c r="GR31" s="8">
        <v>1.0</v>
      </c>
      <c r="GS31" s="8">
        <v>1.0</v>
      </c>
      <c r="GT31" s="8">
        <v>0.0</v>
      </c>
      <c r="GU31" s="8">
        <v>0.0</v>
      </c>
      <c r="GV31" s="8">
        <v>0.0</v>
      </c>
      <c r="GW31" s="8">
        <v>0.0</v>
      </c>
      <c r="GX31" s="8">
        <v>0.0</v>
      </c>
      <c r="GY31" s="9"/>
      <c r="GZ31" s="9" t="s">
        <v>857</v>
      </c>
      <c r="HA31" s="8">
        <v>20.0</v>
      </c>
      <c r="HB31" s="8">
        <v>200000.0</v>
      </c>
      <c r="HC31" s="8">
        <v>5.0</v>
      </c>
      <c r="HD31" s="8">
        <v>50000.0</v>
      </c>
      <c r="HE31" s="8">
        <v>9.0</v>
      </c>
      <c r="HF31" s="8">
        <v>75000.0</v>
      </c>
      <c r="HG31" s="8">
        <v>3.0</v>
      </c>
      <c r="HH31" s="8">
        <v>25000.0</v>
      </c>
      <c r="HI31" s="9"/>
      <c r="HJ31" s="9"/>
      <c r="HK31" s="9"/>
      <c r="HL31" s="9"/>
      <c r="HM31" s="9"/>
      <c r="HN31" s="9"/>
      <c r="HO31" s="9"/>
      <c r="HP31" s="9"/>
      <c r="HQ31" s="9"/>
      <c r="HR31" s="9"/>
      <c r="HS31" s="9"/>
      <c r="HT31" s="9"/>
      <c r="HU31" s="9"/>
      <c r="HV31" s="9"/>
      <c r="HW31" s="9"/>
      <c r="HX31" s="9"/>
      <c r="HY31" s="8">
        <v>15.0</v>
      </c>
      <c r="HZ31" s="8">
        <v>150000.0</v>
      </c>
      <c r="IA31" s="8">
        <v>6.0</v>
      </c>
      <c r="IB31" s="8">
        <v>50000.0</v>
      </c>
      <c r="IC31" s="9"/>
      <c r="ID31" s="9"/>
      <c r="IE31" s="9"/>
      <c r="IF31" s="9"/>
      <c r="IG31" s="9"/>
      <c r="IH31" s="9"/>
      <c r="II31" s="9"/>
      <c r="IJ31" s="9"/>
      <c r="IK31" s="9" t="s">
        <v>879</v>
      </c>
      <c r="IL31" s="9" t="s">
        <v>880</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872</v>
      </c>
      <c r="KW31" s="8">
        <v>1.0</v>
      </c>
      <c r="KX31" s="8">
        <v>0.0</v>
      </c>
      <c r="KY31" s="8">
        <v>0.0</v>
      </c>
      <c r="KZ31" s="8">
        <v>0.0</v>
      </c>
      <c r="LA31" s="9" t="s">
        <v>884</v>
      </c>
      <c r="LB31" s="9" t="s">
        <v>884</v>
      </c>
      <c r="LC31" s="8">
        <v>3.0</v>
      </c>
      <c r="LD31" s="8">
        <v>3.0</v>
      </c>
      <c r="LE31" s="8">
        <v>0.0</v>
      </c>
      <c r="LF31" s="8">
        <v>0.0</v>
      </c>
      <c r="LG31" s="9" t="s">
        <v>857</v>
      </c>
      <c r="LH31" s="8">
        <v>100000.0</v>
      </c>
      <c r="LI31" s="9"/>
      <c r="LJ31" s="9" t="s">
        <v>887</v>
      </c>
      <c r="LK31" s="8">
        <v>0.0</v>
      </c>
      <c r="LL31" s="8">
        <v>0.0</v>
      </c>
      <c r="LM31" s="8">
        <v>0.0</v>
      </c>
      <c r="LN31" s="8">
        <v>0.0</v>
      </c>
      <c r="LO31" s="8">
        <v>1.0</v>
      </c>
      <c r="LP31" s="8">
        <v>0.0</v>
      </c>
      <c r="LQ31" s="8">
        <v>0.0</v>
      </c>
      <c r="LR31" s="9"/>
      <c r="LS31" s="8">
        <v>15.0</v>
      </c>
      <c r="LT31" s="8">
        <v>15.0</v>
      </c>
      <c r="LU31" s="8">
        <v>0.0</v>
      </c>
      <c r="LV31" s="8">
        <v>5.0</v>
      </c>
      <c r="LW31" s="8">
        <v>5.0</v>
      </c>
      <c r="LX31" s="8">
        <v>0.0</v>
      </c>
      <c r="LY31" s="8">
        <v>5.0</v>
      </c>
      <c r="LZ31" s="8">
        <v>5.0</v>
      </c>
      <c r="MA31" s="8">
        <v>0.0</v>
      </c>
      <c r="MB31" s="9" t="s">
        <v>857</v>
      </c>
      <c r="MC31" s="8">
        <v>30.0</v>
      </c>
      <c r="MD31" s="8">
        <v>15.0</v>
      </c>
      <c r="ME31" s="8">
        <v>30.0</v>
      </c>
      <c r="MF31" s="8">
        <v>15.0</v>
      </c>
      <c r="MG31" s="8">
        <v>0.0</v>
      </c>
      <c r="MH31" s="8">
        <v>0.0</v>
      </c>
      <c r="MI31" s="9" t="s">
        <v>946</v>
      </c>
      <c r="MJ31" s="8">
        <v>0.0</v>
      </c>
      <c r="MK31" s="8">
        <v>0.0</v>
      </c>
      <c r="ML31" s="8">
        <v>1.0</v>
      </c>
      <c r="MM31" s="8">
        <v>0.0</v>
      </c>
      <c r="MN31" s="8">
        <v>0.0</v>
      </c>
      <c r="MO31" s="8">
        <v>0.0</v>
      </c>
      <c r="MP31" s="9"/>
      <c r="MQ31" s="9"/>
      <c r="MR31" s="9" t="s">
        <v>1048</v>
      </c>
      <c r="MS31" s="9"/>
      <c r="MT31" s="9" t="s">
        <v>972</v>
      </c>
      <c r="MU31" s="9" t="s">
        <v>881</v>
      </c>
      <c r="MV31" s="9"/>
      <c r="MW31" s="9"/>
      <c r="MX31" s="9"/>
      <c r="MY31" s="9"/>
      <c r="MZ31" s="9"/>
      <c r="NA31" s="9"/>
      <c r="NB31" s="9"/>
      <c r="NC31" s="9"/>
      <c r="ND31" s="9"/>
      <c r="NE31" s="9"/>
      <c r="NF31" s="9"/>
      <c r="NG31" s="9"/>
      <c r="NH31" s="9"/>
      <c r="NI31" s="9"/>
      <c r="NJ31" s="9"/>
      <c r="NK31" s="9"/>
      <c r="NL31" s="9" t="s">
        <v>857</v>
      </c>
      <c r="NM31" s="9" t="s">
        <v>893</v>
      </c>
      <c r="NN31" s="9" t="s">
        <v>993</v>
      </c>
      <c r="NO31" s="9" t="s">
        <v>994</v>
      </c>
      <c r="NP31" s="9"/>
      <c r="NQ31" s="9"/>
      <c r="NR31" s="9"/>
      <c r="NS31" s="9"/>
      <c r="NT31" s="9"/>
      <c r="NU31" s="9"/>
      <c r="NV31" s="9" t="s">
        <v>896</v>
      </c>
      <c r="NW31" s="9"/>
      <c r="NX31" s="9" t="s">
        <v>897</v>
      </c>
      <c r="NY31" s="8">
        <v>30.0</v>
      </c>
      <c r="NZ31" s="8">
        <v>20.0</v>
      </c>
      <c r="OA31" s="8">
        <v>0.0</v>
      </c>
      <c r="OB31" s="8">
        <v>5.0</v>
      </c>
      <c r="OC31" s="8">
        <v>5.0</v>
      </c>
      <c r="OD31" s="8">
        <v>0.0</v>
      </c>
      <c r="OE31" s="9" t="s">
        <v>898</v>
      </c>
      <c r="OF31" s="9" t="s">
        <v>1184</v>
      </c>
      <c r="OG31" s="9" t="s">
        <v>857</v>
      </c>
      <c r="OH31" s="8">
        <v>0.0</v>
      </c>
      <c r="OI31" s="8">
        <v>2.0</v>
      </c>
      <c r="OJ31" s="8">
        <v>0.0</v>
      </c>
      <c r="OK31" s="8">
        <v>0.0</v>
      </c>
      <c r="OL31" s="8">
        <v>0.0</v>
      </c>
      <c r="OM31" s="8">
        <v>0.0</v>
      </c>
      <c r="ON31" s="8">
        <v>0.0</v>
      </c>
      <c r="OO31" s="8">
        <v>0.0</v>
      </c>
      <c r="OP31" s="9" t="str">
        <f>VLOOKUP(AG31,'BUS 2'!$G$1:$CU$424,2,0)</f>
        <v>Sapi perah</v>
      </c>
      <c r="OQ31" s="8">
        <f>VLOOKUP(AG31,'BUS 2'!$G$1:$CU$424,3,0)</f>
        <v>0</v>
      </c>
      <c r="OR31" s="8">
        <f>VLOOKUP(AG31,'BUS 2'!$G$1:$CU$424,4,0)</f>
        <v>1</v>
      </c>
      <c r="OS31" s="8">
        <f>VLOOKUP(AG31,'BUS 2'!$G$1:$CU$424,5,0)</f>
        <v>0</v>
      </c>
      <c r="OT31" s="8">
        <f>VLOOKUP(AG31,'BUS 2'!$G$1:$CU$424,6,0)</f>
        <v>0</v>
      </c>
      <c r="OU31" s="8">
        <f>VLOOKUP(AG31,'BUS 2'!$G$1:$CU$424,7,0)</f>
        <v>0</v>
      </c>
      <c r="OV31" s="8">
        <f>VLOOKUP(AG31,'BUS 2'!$G$1:$CU$424,8,0)</f>
        <v>0</v>
      </c>
      <c r="OW31" s="8">
        <f>VLOOKUP(AG31,'BUS 2'!$G$1:$CU$424,9,0)</f>
        <v>0</v>
      </c>
      <c r="OX31" s="8">
        <f>VLOOKUP(AG31,'BUS 2'!$G$1:$CU$424,10,0)</f>
        <v>0</v>
      </c>
      <c r="OY31" s="8">
        <f>VLOOKUP(AG31,'BUS 2'!$G$1:$CU$424,11,0)</f>
        <v>0</v>
      </c>
      <c r="OZ31" s="8" t="str">
        <f>VLOOKUP(AG31,'BUS 2'!$G$1:$CU$424,12,0)</f>
        <v>Sapi perah</v>
      </c>
      <c r="PA31" s="8">
        <f>VLOOKUP(AG31,'BUS 2'!$G$1:$CU$424,13,0)</f>
        <v>0</v>
      </c>
      <c r="PB31" s="8">
        <f>VLOOKUP(AG31,'BUS 2'!$G$1:$CU$424,14,0)</f>
        <v>1</v>
      </c>
      <c r="PC31" s="8">
        <f>VLOOKUP(AG31,'BUS 2'!$G$1:$CU$424,15,0)</f>
        <v>0</v>
      </c>
      <c r="PD31" s="8">
        <f>VLOOKUP(AG31,'BUS 2'!$G$1:$CU$424,16,0)</f>
        <v>0</v>
      </c>
      <c r="PE31" s="8">
        <f>VLOOKUP(AG31,'BUS 2'!$G$1:$CU$424,17,0)</f>
        <v>0</v>
      </c>
      <c r="PF31" s="8">
        <f>VLOOKUP(AG31,'BUS 2'!$G$1:$CU$424,18,0)</f>
        <v>0</v>
      </c>
      <c r="PG31" s="8">
        <f>VLOOKUP(AG31,'BUS 2'!$G$1:$CU$424,19,0)</f>
        <v>0</v>
      </c>
      <c r="PH31" s="8">
        <f>VLOOKUP(AG31,'BUS 2'!$G$1:$CU$424,20,0)</f>
        <v>0</v>
      </c>
      <c r="PI31" s="8">
        <f>VLOOKUP(AG31,'BUS 2'!$G$1:$CU$424,21,0)</f>
        <v>0</v>
      </c>
      <c r="PJ31" s="8" t="str">
        <f>VLOOKUP(AG31,'BUS 2'!$G$1:$CU$424,22,0)</f>
        <v>Tidak ada</v>
      </c>
      <c r="PK31" s="8">
        <f>VLOOKUP(AG31,'BUS 2'!$G$1:$CU$424,23,0)</f>
        <v>0</v>
      </c>
      <c r="PL31" s="8">
        <f>VLOOKUP(AG31,'BUS 2'!$G$1:$CU$424,24,0)</f>
        <v>0</v>
      </c>
      <c r="PM31" s="8">
        <f>VLOOKUP(AG31,'BUS 2'!$G$1:$CU$424,25,0)</f>
        <v>0</v>
      </c>
      <c r="PN31" s="8">
        <f>VLOOKUP(AG31,'BUS 2'!$G$1:$CU$424,26,0)</f>
        <v>0</v>
      </c>
      <c r="PO31" s="8">
        <f>VLOOKUP(AG31,'BUS 2'!$G$1:$CU$424,27,0)</f>
        <v>0</v>
      </c>
      <c r="PP31" s="8">
        <f>VLOOKUP(AG31,'BUS 2'!$G$1:$CU$424,28,0)</f>
        <v>0</v>
      </c>
      <c r="PQ31" s="8">
        <f>VLOOKUP(AG31,'BUS 2'!$G$1:$CU$424,29,0)</f>
        <v>0</v>
      </c>
      <c r="PR31" s="8">
        <f>VLOOKUP(AG31,'BUS 2'!$G$1:$CU$424,30,0)</f>
        <v>0</v>
      </c>
      <c r="PS31" s="8">
        <f>VLOOKUP(AG31,'BUS 2'!$G$1:$CU$424,31,0)</f>
        <v>1</v>
      </c>
      <c r="PT31" s="9"/>
      <c r="PU31" s="9"/>
      <c r="PV31" s="9"/>
      <c r="PW31" s="9"/>
      <c r="PX31" s="9"/>
      <c r="PY31" s="9"/>
      <c r="PZ31" s="9"/>
      <c r="QA31" s="9"/>
      <c r="QB31" s="9"/>
      <c r="QC31" s="9"/>
      <c r="QD31" s="9"/>
      <c r="QE31" s="9" t="s">
        <v>900</v>
      </c>
      <c r="QF31" s="8">
        <v>0.0</v>
      </c>
      <c r="QG31" s="8">
        <v>0.0</v>
      </c>
      <c r="QH31" s="8">
        <v>0.0</v>
      </c>
      <c r="QI31" s="8">
        <v>0.0</v>
      </c>
      <c r="QJ31" s="8">
        <v>0.0</v>
      </c>
      <c r="QK31" s="8">
        <v>1.0</v>
      </c>
      <c r="QL31" s="8">
        <v>0.0</v>
      </c>
      <c r="QM31" s="8">
        <v>0.0</v>
      </c>
      <c r="QN31" s="8">
        <v>0.0</v>
      </c>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8" t="str">
        <f>VLOOKUP(AG31,'BUS 2'!$G$1:$CU$424,33,0)</f>
        <v/>
      </c>
      <c r="SZ31" s="9">
        <f>VLOOKUP(AG31,'BUS 2'!$G$1:$CU$424,34,0)</f>
        <v>1</v>
      </c>
      <c r="TA31" s="9" t="str">
        <f>VLOOKUP(AG31,'BUS 2'!$G$1:$CU$424,35,0)</f>
        <v/>
      </c>
      <c r="TB31" s="9" t="str">
        <f>VLOOKUP(AG31,'BUS 2'!$G$1:$CU$424,36,0)</f>
        <v/>
      </c>
      <c r="TC31" s="9" t="str">
        <f>VLOOKUP(AG31,'BUS 2'!$G$1:$CU$424,37,0)</f>
        <v/>
      </c>
      <c r="TD31" s="9" t="str">
        <f>VLOOKUP(AG31,'BUS 2'!$G$1:$CU$424,38,0)</f>
        <v/>
      </c>
      <c r="TE31" s="9" t="str">
        <f>VLOOKUP(AG31,'BUS 2'!$G$1:$CU$424,39,0)</f>
        <v/>
      </c>
      <c r="TF31" s="9" t="str">
        <f>VLOOKUP(AG31,'BUS 2'!$G$1:$CU$424,40,0)</f>
        <v/>
      </c>
      <c r="TG31" s="8" t="str">
        <f>VLOOKUP(AG31,'BUS 2'!$G$1:$CU$424,42,0)</f>
        <v/>
      </c>
      <c r="TH31" s="8">
        <f>VLOOKUP(AG31,'BUS 2'!$G$1:$CU$424,43,0)</f>
        <v>1</v>
      </c>
      <c r="TI31" s="8" t="str">
        <f>VLOOKUP(AG31,'BUS 2'!$G$1:$CU$424,44,0)</f>
        <v/>
      </c>
      <c r="TJ31" s="8" t="str">
        <f>VLOOKUP(AG31,'BUS 2'!$G$1:$CU$424,45,0)</f>
        <v/>
      </c>
      <c r="TK31" s="8" t="str">
        <f>VLOOKUP(AG31,'BUS 2'!$G$1:$CU$424,46,0)</f>
        <v/>
      </c>
      <c r="TL31" s="8" t="str">
        <f>VLOOKUP(AG31,'BUS 2'!$G$1:$CU$424,47,0)</f>
        <v/>
      </c>
      <c r="TM31" s="8" t="str">
        <f>VLOOKUP(AG31,'BUS 2'!$G$1:$CU$424,48,0)</f>
        <v/>
      </c>
      <c r="TN31" s="8" t="str">
        <f>VLOOKUP(AG31,'BUS 2'!$G$1:$CU$424,49,0)</f>
        <v/>
      </c>
      <c r="TO31" s="8" t="str">
        <f>VLOOKUP(AG31,'BUS 2'!$G$1:$CU$424,50,0)</f>
        <v/>
      </c>
      <c r="TP31" s="8" t="str">
        <f>VLOOKUP(AG31,'BUS 2'!$G$1:$CU$424,51,0)</f>
        <v/>
      </c>
      <c r="TQ31" s="8" t="str">
        <f>VLOOKUP(AG31,'BUS 2'!$G$1:$CU$424,52,0)</f>
        <v/>
      </c>
      <c r="TR31" s="8" t="str">
        <f>VLOOKUP(AG31,'BUS 2'!$G$1:$CU$424,53,0)</f>
        <v/>
      </c>
      <c r="TS31" s="9" t="str">
        <f>VLOOKUP(AG31,'BUS 2'!$G$1:$CU$424,54,0)</f>
        <v/>
      </c>
      <c r="TT31" s="9" t="str">
        <f>VLOOKUP(AG31,'BUS 2'!$G$1:$CU$424,55,0)</f>
        <v/>
      </c>
      <c r="TU31" s="9" t="str">
        <f>VLOOKUP(AG31,'BUS 2'!$G$1:$CU$424,56,0)</f>
        <v/>
      </c>
      <c r="TV31" s="9" t="str">
        <f>VLOOKUP(AG31,'BUS 2'!$G$1:$CU$424,57,0)</f>
        <v/>
      </c>
      <c r="TW31" s="9" t="str">
        <f>VLOOKUP(AG31,'BUS 2'!$G$1:$CU$424,58,0)</f>
        <v/>
      </c>
      <c r="TX31" s="9" t="str">
        <f>VLOOKUP(AG31,'BUS 2'!$G$1:$CU$424,59,0)</f>
        <v/>
      </c>
      <c r="TY31" s="9" t="str">
        <f>VLOOKUP(AG31,'BUS 2'!$G$1:$CU$424,60,0)</f>
        <v/>
      </c>
      <c r="TZ31" s="9" t="str">
        <f>VLOOKUP(AG31,'BUS 2'!$G$1:$CU$424,61,0)</f>
        <v/>
      </c>
      <c r="UA31" s="9" t="str">
        <f>VLOOKUP(AG31,'BUS 2'!$G$1:$CU$424,62,0)</f>
        <v/>
      </c>
      <c r="UB31" s="9" t="str">
        <f>VLOOKUP(AG31,'BUS 2'!$G$1:$CU$424,63,0)</f>
        <v/>
      </c>
      <c r="UC31" s="9" t="str">
        <f>VLOOKUP(AG31,'BUS 2'!$G$1:$CU$424,64,0)</f>
        <v/>
      </c>
      <c r="UD31" s="9" t="str">
        <f>VLOOKUP(AG31,'BUS 2'!$G$1:$CU$424,65,0)</f>
        <v/>
      </c>
      <c r="UE31" s="9" t="str">
        <f>VLOOKUP(AG31,'BUS 2'!$G$1:$CU$424,66,0)</f>
        <v/>
      </c>
      <c r="UF31" s="9" t="str">
        <f>VLOOKUP(AG31,'BUS 2'!$G$1:$CU$424,67,0)</f>
        <v/>
      </c>
      <c r="UG31" s="9" t="str">
        <f>VLOOKUP(AG31,'BUS 2'!$G$1:$CU$424,68,0)</f>
        <v/>
      </c>
      <c r="UH31" s="9" t="str">
        <f>VLOOKUP(AG31,'BUS 2'!$G$1:$CU$424,69,0)</f>
        <v/>
      </c>
      <c r="UI31" s="9" t="str">
        <f>VLOOKUP(AG31,'BUS 2'!$G$1:$CU$424,70,0)</f>
        <v/>
      </c>
      <c r="UJ31" s="9" t="str">
        <f>VLOOKUP(AG31,'BUS 2'!$G$1:$CU$424,71,0)</f>
        <v/>
      </c>
      <c r="UK31" s="9" t="str">
        <f>VLOOKUP(AG31,'BUS 2'!$G$1:$CU$424,72,0)</f>
        <v/>
      </c>
      <c r="UL31" s="9" t="str">
        <f>VLOOKUP(AG31,'BUS 2'!$G$1:$CU$424,73,0)</f>
        <v/>
      </c>
      <c r="UM31" s="9" t="str">
        <f>VLOOKUP(AG31,'BUS 2'!$G$1:$CU$424,74,0)</f>
        <v/>
      </c>
      <c r="UN31" s="9" t="str">
        <f>VLOOKUP(AG31,'BUS 2'!$G$1:$CU$424,75,0)</f>
        <v/>
      </c>
      <c r="UO31" s="9" t="str">
        <f>VLOOKUP(AG31,'BUS 2'!$G$1:$CU$424,76,0)</f>
        <v/>
      </c>
      <c r="UP31" s="9" t="str">
        <f>VLOOKUP(AG31,'BUS 2'!$G$1:$CU$424,77,0)</f>
        <v/>
      </c>
      <c r="UQ31" s="9" t="str">
        <f>VLOOKUP(AG31,'BUS 2'!$G$1:$CU$424,78,0)</f>
        <v/>
      </c>
      <c r="UR31" s="9" t="str">
        <f>VLOOKUP(AG31,'BUS 2'!$G$1:$CU$424,79,0)</f>
        <v/>
      </c>
      <c r="US31" s="9" t="str">
        <f>VLOOKUP(AG31,'BUS 2'!$G$1:$CU$424,80,0)</f>
        <v/>
      </c>
      <c r="UT31" s="9" t="str">
        <f>VLOOKUP(AG31,'BUS 2'!$G$1:$CU$424,81,0)</f>
        <v/>
      </c>
      <c r="UU31" s="9"/>
      <c r="UV31" s="9" t="s">
        <v>901</v>
      </c>
      <c r="UW31" s="9"/>
      <c r="UX31" s="9"/>
      <c r="UY31" s="9"/>
      <c r="UZ31" s="9"/>
      <c r="VA31" s="9"/>
      <c r="VB31" s="9"/>
      <c r="VC31" s="9"/>
      <c r="VD31" s="9" t="s">
        <v>950</v>
      </c>
      <c r="VE31" s="9"/>
      <c r="VF31" s="9"/>
      <c r="VG31" s="9"/>
      <c r="VH31" s="9"/>
      <c r="VI31" s="9"/>
      <c r="VJ31" s="9"/>
      <c r="VK31" s="9"/>
      <c r="VL31" s="9" t="s">
        <v>903</v>
      </c>
      <c r="VM31" s="9"/>
      <c r="VN31" s="9"/>
      <c r="VO31" s="9"/>
      <c r="VP31" s="9"/>
      <c r="VQ31" s="9"/>
      <c r="VR31" s="9"/>
      <c r="VS31" s="9"/>
      <c r="VT31" s="9"/>
      <c r="VU31" s="9"/>
      <c r="VV31" s="9"/>
      <c r="VW31" s="9"/>
      <c r="VX31" s="9"/>
      <c r="VY31" s="9"/>
      <c r="VZ31" s="9"/>
      <c r="WA31" s="9"/>
      <c r="WB31" s="9"/>
      <c r="WC31" s="9"/>
      <c r="WD31" s="9"/>
      <c r="WE31" s="9"/>
      <c r="WF31" s="9" t="s">
        <v>904</v>
      </c>
      <c r="WG31" s="8">
        <v>0.0</v>
      </c>
      <c r="WH31" s="8">
        <v>0.0</v>
      </c>
      <c r="WI31" s="8">
        <v>0.0</v>
      </c>
      <c r="WJ31" s="8">
        <v>1.0</v>
      </c>
      <c r="WK31" s="8">
        <v>0.0</v>
      </c>
      <c r="WL31" s="8">
        <v>0.0</v>
      </c>
      <c r="WM31" s="8">
        <v>0.0</v>
      </c>
      <c r="WN31" s="8">
        <v>0.0</v>
      </c>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8">
        <v>2.0</v>
      </c>
      <c r="ZX31" s="9"/>
      <c r="ZY31" s="9"/>
      <c r="ZZ31" s="9"/>
      <c r="AAA31" s="9"/>
      <c r="AAB31" s="9"/>
      <c r="AAC31" s="9"/>
      <c r="AAD31" s="9"/>
      <c r="AAE31" s="9" t="s">
        <v>1186</v>
      </c>
      <c r="AAF31" s="9"/>
      <c r="AAG31" s="9"/>
      <c r="AAH31" s="9"/>
      <c r="AAI31" s="9"/>
      <c r="AAJ31" s="9"/>
      <c r="AAK31" s="9"/>
      <c r="AAL31" s="9" t="s">
        <v>857</v>
      </c>
      <c r="AAM31" s="9" t="s">
        <v>1033</v>
      </c>
      <c r="AAN31" s="8">
        <v>1.0</v>
      </c>
      <c r="AAO31" s="8">
        <v>1.0</v>
      </c>
      <c r="AAP31" s="8">
        <v>30.0</v>
      </c>
      <c r="AAQ31" s="8">
        <v>30.0</v>
      </c>
      <c r="AAR31" s="9" t="s">
        <v>857</v>
      </c>
      <c r="AAS31" s="9" t="s">
        <v>867</v>
      </c>
      <c r="AAT31" s="9" t="s">
        <v>1287</v>
      </c>
      <c r="AAU31" s="8">
        <v>1.0</v>
      </c>
      <c r="AAV31" s="8">
        <v>0.0</v>
      </c>
      <c r="AAW31" s="8">
        <v>0.0</v>
      </c>
      <c r="AAX31" s="8">
        <v>1.0</v>
      </c>
      <c r="AAY31" s="8">
        <v>0.0</v>
      </c>
      <c r="AAZ31" s="8">
        <v>0.0</v>
      </c>
      <c r="ABA31" s="8">
        <v>0.0</v>
      </c>
      <c r="ABB31" s="9" t="s">
        <v>907</v>
      </c>
      <c r="ABC31" s="8">
        <v>1.0</v>
      </c>
      <c r="ABD31" s="8">
        <v>0.0</v>
      </c>
      <c r="ABE31" s="8">
        <v>0.0</v>
      </c>
      <c r="ABF31" s="8">
        <v>0.0</v>
      </c>
      <c r="ABG31" s="8">
        <v>0.0</v>
      </c>
      <c r="ABH31" s="9"/>
      <c r="ABI31" s="9"/>
      <c r="ABJ31" s="9"/>
      <c r="ABK31" s="9"/>
      <c r="ABL31" s="9"/>
      <c r="ABM31" s="9"/>
      <c r="ABN31" s="9"/>
      <c r="ABO31" s="9"/>
      <c r="ABP31" s="9"/>
      <c r="ABQ31" s="11" t="s">
        <v>953</v>
      </c>
      <c r="ABR31" s="9" t="s">
        <v>1075</v>
      </c>
      <c r="ABS31" s="8">
        <v>2500.0</v>
      </c>
      <c r="ABT31" s="8">
        <v>100.0</v>
      </c>
      <c r="ABU31" s="8">
        <v>30.0</v>
      </c>
      <c r="ABV31" s="8">
        <v>30.0</v>
      </c>
      <c r="ABW31" s="9" t="s">
        <v>1199</v>
      </c>
      <c r="ABX31" s="9"/>
      <c r="ABY31" s="8">
        <v>10.0</v>
      </c>
      <c r="ABZ31" s="8">
        <v>4000.0</v>
      </c>
      <c r="ACA31" s="8">
        <v>0.0</v>
      </c>
      <c r="ACB31" s="8">
        <v>4000.0</v>
      </c>
      <c r="ACC31" s="8">
        <v>300.0</v>
      </c>
      <c r="ACD31" s="8">
        <v>350.0</v>
      </c>
      <c r="ACE31" s="9" t="s">
        <v>857</v>
      </c>
      <c r="ACF31" s="9" t="s">
        <v>911</v>
      </c>
      <c r="ACG31" s="9" t="s">
        <v>911</v>
      </c>
      <c r="ACH31" s="9" t="s">
        <v>911</v>
      </c>
      <c r="ACI31" s="9"/>
      <c r="ACJ31" s="9"/>
      <c r="ACK31" s="9" t="s">
        <v>955</v>
      </c>
      <c r="ACL31" s="8">
        <v>0.0</v>
      </c>
      <c r="ACM31" s="8">
        <v>0.0</v>
      </c>
      <c r="ACN31" s="8">
        <v>0.0</v>
      </c>
      <c r="ACO31" s="8">
        <v>1.0</v>
      </c>
      <c r="ACP31" s="8">
        <v>0.0</v>
      </c>
      <c r="ACQ31" s="8">
        <v>0.0</v>
      </c>
      <c r="ACR31" s="8">
        <v>0.0</v>
      </c>
      <c r="ACS31" s="9"/>
      <c r="ACT31" s="9" t="s">
        <v>912</v>
      </c>
      <c r="ACU31" s="9" t="s">
        <v>1050</v>
      </c>
      <c r="ACV31" s="9" t="s">
        <v>957</v>
      </c>
      <c r="ACW31" s="9" t="s">
        <v>915</v>
      </c>
      <c r="ACX31" s="9" t="s">
        <v>916</v>
      </c>
      <c r="ACY31" s="9" t="s">
        <v>1035</v>
      </c>
      <c r="ACZ31" s="8">
        <v>1.0</v>
      </c>
      <c r="ADA31" s="8">
        <v>1.0</v>
      </c>
      <c r="ADB31" s="8">
        <v>0.0</v>
      </c>
      <c r="ADC31" s="8">
        <v>0.0</v>
      </c>
      <c r="ADD31" s="9" t="s">
        <v>1187</v>
      </c>
      <c r="ADE31" s="9" t="s">
        <v>1187</v>
      </c>
      <c r="ADF31" s="9" t="s">
        <v>1187</v>
      </c>
      <c r="ADG31" s="9" t="s">
        <v>1187</v>
      </c>
      <c r="ADH31" s="9" t="s">
        <v>881</v>
      </c>
      <c r="ADI31" s="9"/>
      <c r="ADJ31" s="9" t="s">
        <v>1187</v>
      </c>
      <c r="ADK31" s="9"/>
      <c r="ADL31" s="9"/>
      <c r="ADM31" s="9"/>
      <c r="ADN31" s="9"/>
      <c r="ADO31" s="9"/>
      <c r="ADP31" s="9"/>
      <c r="ADQ31" s="9"/>
      <c r="ADR31" s="9"/>
      <c r="ADS31" s="9"/>
      <c r="ADT31" s="9"/>
      <c r="ADU31" s="9" t="s">
        <v>919</v>
      </c>
      <c r="ADV31" s="8">
        <v>0.0</v>
      </c>
      <c r="ADW31" s="8">
        <v>0.0</v>
      </c>
      <c r="ADX31" s="8">
        <v>0.0</v>
      </c>
      <c r="ADY31" s="8">
        <v>0.0</v>
      </c>
      <c r="ADZ31" s="8">
        <v>1.0</v>
      </c>
      <c r="AEA31" s="8">
        <v>0.0</v>
      </c>
      <c r="AEB31" s="8">
        <v>0.0</v>
      </c>
      <c r="AEC31" s="8">
        <v>0.0</v>
      </c>
      <c r="AED31" s="12"/>
      <c r="AEE31" s="17" t="s">
        <v>872</v>
      </c>
      <c r="AEF31" s="9"/>
      <c r="AEG31" s="17" t="s">
        <v>920</v>
      </c>
      <c r="AEH31" s="9"/>
      <c r="AEI31" s="11" t="s">
        <v>917</v>
      </c>
      <c r="AEJ31" s="9" t="s">
        <v>871</v>
      </c>
      <c r="AEK31" s="17" t="s">
        <v>978</v>
      </c>
      <c r="AEL31" s="18">
        <v>1.0</v>
      </c>
      <c r="AEM31" s="18">
        <v>1.0</v>
      </c>
      <c r="AEN31" s="18">
        <v>1.0</v>
      </c>
      <c r="AEO31" s="18">
        <v>1.0</v>
      </c>
      <c r="AEP31" s="18">
        <v>1.0</v>
      </c>
      <c r="AEQ31" s="18">
        <v>1.0</v>
      </c>
      <c r="AER31" s="18">
        <v>1.0</v>
      </c>
      <c r="AES31" s="18">
        <v>0.0</v>
      </c>
      <c r="AET31" s="18">
        <v>0.0</v>
      </c>
      <c r="AEU31" s="18">
        <v>0.0</v>
      </c>
      <c r="AEV31" s="18">
        <v>0.0</v>
      </c>
      <c r="AEW31" s="18">
        <v>0.0</v>
      </c>
      <c r="AEX31" s="9"/>
      <c r="AEY31" s="9" t="s">
        <v>923</v>
      </c>
      <c r="AEZ31" s="9"/>
      <c r="AFA31" s="9" t="s">
        <v>1188</v>
      </c>
      <c r="AFB31" s="9"/>
      <c r="AFC31" s="9" t="s">
        <v>1288</v>
      </c>
      <c r="AFD31" s="16" t="s">
        <v>1289</v>
      </c>
      <c r="AFE31" s="9" t="s">
        <v>1290</v>
      </c>
      <c r="AFF31" s="16" t="s">
        <v>1291</v>
      </c>
      <c r="AFG31" s="9" t="s">
        <v>1137</v>
      </c>
      <c r="AFH31" s="9"/>
      <c r="AFI31" s="9"/>
    </row>
    <row r="32">
      <c r="A32" s="6">
        <v>46059.0</v>
      </c>
      <c r="B32" s="6">
        <v>46060.0</v>
      </c>
      <c r="C32" s="7" t="s">
        <v>837</v>
      </c>
      <c r="D32" s="7" t="s">
        <v>1292</v>
      </c>
      <c r="E32" s="8">
        <v>6.28132658715E12</v>
      </c>
      <c r="F32" s="9"/>
      <c r="G32" s="8">
        <v>-7.2145447</v>
      </c>
      <c r="H32" s="8">
        <v>110.2526463</v>
      </c>
      <c r="I32" s="9"/>
      <c r="J32" s="8">
        <v>2.38</v>
      </c>
      <c r="K32" s="9"/>
      <c r="L32" s="9"/>
      <c r="M32" s="8">
        <v>-7.21452448</v>
      </c>
      <c r="N32" s="8">
        <v>110.2527</v>
      </c>
      <c r="O32" s="9"/>
      <c r="P32" s="8">
        <v>1.94</v>
      </c>
      <c r="Q32" s="9"/>
      <c r="R32" s="9" t="s">
        <v>839</v>
      </c>
      <c r="S32" s="9"/>
      <c r="T32" s="9"/>
      <c r="U32" s="9"/>
      <c r="V32" s="9"/>
      <c r="W32" s="9"/>
      <c r="X32" s="9"/>
      <c r="Y32" s="9"/>
      <c r="Z32" s="9"/>
      <c r="AA32" s="9"/>
      <c r="AB32" s="9"/>
      <c r="AC32" s="7" t="s">
        <v>1175</v>
      </c>
      <c r="AD32" s="7" t="s">
        <v>1176</v>
      </c>
      <c r="AE32" s="7" t="s">
        <v>1195</v>
      </c>
      <c r="AF32" s="9" t="s">
        <v>1178</v>
      </c>
      <c r="AG32" s="9" t="s">
        <v>1293</v>
      </c>
      <c r="AH32" s="8">
        <v>1.0</v>
      </c>
      <c r="AI32" s="9" t="s">
        <v>845</v>
      </c>
      <c r="AJ32" s="9" t="s">
        <v>846</v>
      </c>
      <c r="AK32" s="8">
        <v>57.0</v>
      </c>
      <c r="AL32" s="9" t="s">
        <v>847</v>
      </c>
      <c r="AM32" s="9" t="s">
        <v>848</v>
      </c>
      <c r="AN32" s="9" t="s">
        <v>1099</v>
      </c>
      <c r="AO32" s="9" t="s">
        <v>1168</v>
      </c>
      <c r="AP32" s="8">
        <v>0.0</v>
      </c>
      <c r="AQ32" s="8">
        <v>0.0</v>
      </c>
      <c r="AR32" s="8">
        <v>0.0</v>
      </c>
      <c r="AS32" s="8">
        <v>0.0</v>
      </c>
      <c r="AT32" s="8">
        <v>1.0</v>
      </c>
      <c r="AU32" s="8">
        <v>0.0</v>
      </c>
      <c r="AV32" s="8">
        <v>0.0</v>
      </c>
      <c r="AW32" s="8">
        <v>0.0</v>
      </c>
      <c r="AX32" s="9"/>
      <c r="AY32" s="9" t="s">
        <v>935</v>
      </c>
      <c r="AZ32" s="8">
        <v>0.0</v>
      </c>
      <c r="BA32" s="8">
        <v>1.0</v>
      </c>
      <c r="BB32" s="8">
        <v>0.0</v>
      </c>
      <c r="BC32" s="8">
        <v>0.0</v>
      </c>
      <c r="BD32" s="8">
        <v>0.0</v>
      </c>
      <c r="BE32" s="8">
        <v>0.0</v>
      </c>
      <c r="BF32" s="8">
        <v>0.0</v>
      </c>
      <c r="BG32" s="8">
        <v>0.0</v>
      </c>
      <c r="BH32" s="9"/>
      <c r="BI32" s="9" t="s">
        <v>1101</v>
      </c>
      <c r="BJ32" s="8">
        <v>3.0</v>
      </c>
      <c r="BK32" s="8">
        <v>2.0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2025.0</v>
      </c>
      <c r="CN32" s="9" t="s">
        <v>858</v>
      </c>
      <c r="CO32" s="9" t="s">
        <v>859</v>
      </c>
      <c r="CP32" s="9" t="s">
        <v>1060</v>
      </c>
      <c r="CQ32" s="8">
        <v>0.0</v>
      </c>
      <c r="CR32" s="8">
        <v>0.0</v>
      </c>
      <c r="CS32" s="8">
        <v>0.0</v>
      </c>
      <c r="CT32" s="8">
        <v>0.0</v>
      </c>
      <c r="CU32" s="10">
        <v>1.0</v>
      </c>
      <c r="CV32" s="10">
        <v>1.0</v>
      </c>
      <c r="CW32" s="10">
        <v>0.0</v>
      </c>
      <c r="CX32" s="8">
        <v>0.0</v>
      </c>
      <c r="CY32" s="9" t="s">
        <v>1060</v>
      </c>
      <c r="CZ32" s="8">
        <v>1.0</v>
      </c>
      <c r="DA32" s="8">
        <v>1.0</v>
      </c>
      <c r="DB32" s="8">
        <v>0.0</v>
      </c>
      <c r="DC32" s="9"/>
      <c r="DD32" s="9" t="s">
        <v>937</v>
      </c>
      <c r="DE32" s="8">
        <v>1.0</v>
      </c>
      <c r="DF32" s="8">
        <v>0.0</v>
      </c>
      <c r="DG32" s="8">
        <v>1.0</v>
      </c>
      <c r="DH32" s="8">
        <v>0.0</v>
      </c>
      <c r="DI32" s="9"/>
      <c r="DJ32" s="9" t="s">
        <v>1294</v>
      </c>
      <c r="DK32" s="8">
        <v>1.0</v>
      </c>
      <c r="DL32" s="8">
        <v>1.0</v>
      </c>
      <c r="DM32" s="8">
        <v>1.0</v>
      </c>
      <c r="DN32" s="8">
        <v>0.0</v>
      </c>
      <c r="DO32" s="9"/>
      <c r="DP32" s="8">
        <v>1.0</v>
      </c>
      <c r="DQ32" s="8">
        <v>1.0</v>
      </c>
      <c r="DR32" s="8">
        <v>0.0</v>
      </c>
      <c r="DS32" s="9"/>
      <c r="DT32" s="9"/>
      <c r="DU32" s="9"/>
      <c r="DV32" s="9" t="s">
        <v>857</v>
      </c>
      <c r="DW32" s="9"/>
      <c r="DX32" s="9"/>
      <c r="DY32" s="9"/>
      <c r="DZ32" s="9"/>
      <c r="EA32" s="9"/>
      <c r="EB32" s="9"/>
      <c r="EC32" s="9"/>
      <c r="ED32" s="9"/>
      <c r="EE32" s="9"/>
      <c r="EF32" s="9"/>
      <c r="EG32" s="9"/>
      <c r="EH32" s="9"/>
      <c r="EI32" s="9" t="s">
        <v>862</v>
      </c>
      <c r="EJ32" s="8">
        <v>0.0</v>
      </c>
      <c r="EK32" s="8">
        <v>0.0</v>
      </c>
      <c r="EL32" s="8">
        <v>0.0</v>
      </c>
      <c r="EM32" s="8">
        <v>1.0</v>
      </c>
      <c r="EN32" s="8">
        <v>0.0</v>
      </c>
      <c r="EO32" s="11"/>
      <c r="EP32" s="9" t="s">
        <v>863</v>
      </c>
      <c r="EQ32" s="9" t="s">
        <v>864</v>
      </c>
      <c r="ER32" s="9" t="s">
        <v>861</v>
      </c>
      <c r="ES32" s="8">
        <v>1.0</v>
      </c>
      <c r="ET32" s="8">
        <v>0.0</v>
      </c>
      <c r="EU32" s="8">
        <v>0.0</v>
      </c>
      <c r="EV32" s="8">
        <v>0.0</v>
      </c>
      <c r="EW32" s="9"/>
      <c r="EX32" s="9" t="s">
        <v>865</v>
      </c>
      <c r="EY32" s="8">
        <v>1.0</v>
      </c>
      <c r="EZ32" s="8">
        <v>0.0</v>
      </c>
      <c r="FA32" s="8">
        <v>0.0</v>
      </c>
      <c r="FB32" s="9"/>
      <c r="FC32" s="9" t="s">
        <v>1072</v>
      </c>
      <c r="FD32" s="9"/>
      <c r="FE32" s="9" t="s">
        <v>867</v>
      </c>
      <c r="FF32" s="9" t="s">
        <v>868</v>
      </c>
      <c r="FG32" s="9" t="s">
        <v>867</v>
      </c>
      <c r="FH32" s="9" t="s">
        <v>869</v>
      </c>
      <c r="FI32" s="9" t="s">
        <v>867</v>
      </c>
      <c r="FJ32" s="9" t="s">
        <v>868</v>
      </c>
      <c r="FK32" s="9" t="s">
        <v>867</v>
      </c>
      <c r="FL32" s="9" t="s">
        <v>943</v>
      </c>
      <c r="FM32" s="9" t="s">
        <v>867</v>
      </c>
      <c r="FN32" s="9" t="s">
        <v>943</v>
      </c>
      <c r="FO32" s="9" t="s">
        <v>867</v>
      </c>
      <c r="FP32" s="9" t="s">
        <v>943</v>
      </c>
      <c r="FQ32" s="9" t="s">
        <v>867</v>
      </c>
      <c r="FR32" s="9" t="s">
        <v>857</v>
      </c>
      <c r="FS32" s="9" t="s">
        <v>867</v>
      </c>
      <c r="FT32" s="9" t="s">
        <v>871</v>
      </c>
      <c r="FU32" s="9" t="s">
        <v>989</v>
      </c>
      <c r="FV32" s="8">
        <v>1.0</v>
      </c>
      <c r="FW32" s="8">
        <v>1.0</v>
      </c>
      <c r="FX32" s="8">
        <v>0.0</v>
      </c>
      <c r="FY32" s="8">
        <v>0.0</v>
      </c>
      <c r="FZ32" s="9" t="s">
        <v>873</v>
      </c>
      <c r="GA32" s="9" t="s">
        <v>874</v>
      </c>
      <c r="GB32" s="8">
        <v>1.0</v>
      </c>
      <c r="GC32" s="8">
        <v>0.0</v>
      </c>
      <c r="GD32" s="8">
        <v>0.0</v>
      </c>
      <c r="GE32" s="8">
        <v>0.0</v>
      </c>
      <c r="GF32" s="9"/>
      <c r="GG32" s="9" t="s">
        <v>875</v>
      </c>
      <c r="GH32" s="9" t="s">
        <v>857</v>
      </c>
      <c r="GI32" s="9" t="s">
        <v>1264</v>
      </c>
      <c r="GJ32" s="8">
        <v>0.0</v>
      </c>
      <c r="GK32" s="8">
        <v>1.0</v>
      </c>
      <c r="GL32" s="8">
        <v>0.0</v>
      </c>
      <c r="GM32" s="8">
        <v>0.0</v>
      </c>
      <c r="GN32" s="9"/>
      <c r="GO32" s="8">
        <v>9.0</v>
      </c>
      <c r="GP32" s="9" t="s">
        <v>877</v>
      </c>
      <c r="GQ32" s="9" t="s">
        <v>878</v>
      </c>
      <c r="GR32" s="8">
        <v>1.0</v>
      </c>
      <c r="GS32" s="8">
        <v>1.0</v>
      </c>
      <c r="GT32" s="8">
        <v>0.0</v>
      </c>
      <c r="GU32" s="8">
        <v>0.0</v>
      </c>
      <c r="GV32" s="8">
        <v>0.0</v>
      </c>
      <c r="GW32" s="8">
        <v>0.0</v>
      </c>
      <c r="GX32" s="8">
        <v>0.0</v>
      </c>
      <c r="GY32" s="9"/>
      <c r="GZ32" s="9" t="s">
        <v>857</v>
      </c>
      <c r="HA32" s="8">
        <v>15.0</v>
      </c>
      <c r="HB32" s="8">
        <v>150000.0</v>
      </c>
      <c r="HC32" s="8">
        <v>5.0</v>
      </c>
      <c r="HD32" s="8">
        <v>50000.0</v>
      </c>
      <c r="HE32" s="8">
        <v>12.0</v>
      </c>
      <c r="HF32" s="8">
        <v>100000.0</v>
      </c>
      <c r="HG32" s="8">
        <v>3.0</v>
      </c>
      <c r="HH32" s="8">
        <v>25000.0</v>
      </c>
      <c r="HI32" s="9"/>
      <c r="HJ32" s="9"/>
      <c r="HK32" s="9"/>
      <c r="HL32" s="9"/>
      <c r="HM32" s="9"/>
      <c r="HN32" s="9"/>
      <c r="HO32" s="9"/>
      <c r="HP32" s="9"/>
      <c r="HQ32" s="9"/>
      <c r="HR32" s="9"/>
      <c r="HS32" s="9"/>
      <c r="HT32" s="9"/>
      <c r="HU32" s="9"/>
      <c r="HV32" s="9"/>
      <c r="HW32" s="9"/>
      <c r="HX32" s="9"/>
      <c r="HY32" s="8">
        <v>10.0</v>
      </c>
      <c r="HZ32" s="8">
        <v>100000.0</v>
      </c>
      <c r="IA32" s="8">
        <v>9.0</v>
      </c>
      <c r="IB32" s="8">
        <v>75000.0</v>
      </c>
      <c r="IC32" s="9"/>
      <c r="ID32" s="9"/>
      <c r="IE32" s="9"/>
      <c r="IF32" s="9"/>
      <c r="IG32" s="9"/>
      <c r="IH32" s="9"/>
      <c r="II32" s="9"/>
      <c r="IJ32" s="9"/>
      <c r="IK32" s="9" t="s">
        <v>879</v>
      </c>
      <c r="IL32" s="9" t="s">
        <v>880</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0.0</v>
      </c>
      <c r="LD32" s="8">
        <v>3.0</v>
      </c>
      <c r="LE32" s="8">
        <v>0.0</v>
      </c>
      <c r="LF32" s="8">
        <v>0.0</v>
      </c>
      <c r="LG32" s="9" t="s">
        <v>857</v>
      </c>
      <c r="LH32" s="8">
        <v>150000.0</v>
      </c>
      <c r="LI32" s="9"/>
      <c r="LJ32" s="9" t="s">
        <v>887</v>
      </c>
      <c r="LK32" s="8">
        <v>0.0</v>
      </c>
      <c r="LL32" s="8">
        <v>0.0</v>
      </c>
      <c r="LM32" s="8">
        <v>0.0</v>
      </c>
      <c r="LN32" s="8">
        <v>0.0</v>
      </c>
      <c r="LO32" s="8">
        <v>1.0</v>
      </c>
      <c r="LP32" s="8">
        <v>0.0</v>
      </c>
      <c r="LQ32" s="8">
        <v>0.0</v>
      </c>
      <c r="LR32" s="9"/>
      <c r="LS32" s="8">
        <v>15.0</v>
      </c>
      <c r="LT32" s="8">
        <v>15.0</v>
      </c>
      <c r="LU32" s="8">
        <v>0.0</v>
      </c>
      <c r="LV32" s="8">
        <v>5.0</v>
      </c>
      <c r="LW32" s="8">
        <v>5.0</v>
      </c>
      <c r="LX32" s="8">
        <v>0.0</v>
      </c>
      <c r="LY32" s="8">
        <v>5.0</v>
      </c>
      <c r="LZ32" s="8">
        <v>5.0</v>
      </c>
      <c r="MA32" s="8">
        <v>0.0</v>
      </c>
      <c r="MB32" s="9" t="s">
        <v>857</v>
      </c>
      <c r="MC32" s="8">
        <v>30.0</v>
      </c>
      <c r="MD32" s="8">
        <v>15.0</v>
      </c>
      <c r="ME32" s="8">
        <v>30.0</v>
      </c>
      <c r="MF32" s="8">
        <v>15.0</v>
      </c>
      <c r="MG32" s="8">
        <v>0.0</v>
      </c>
      <c r="MH32" s="8">
        <v>0.0</v>
      </c>
      <c r="MI32" s="9" t="s">
        <v>946</v>
      </c>
      <c r="MJ32" s="8">
        <v>0.0</v>
      </c>
      <c r="MK32" s="8">
        <v>0.0</v>
      </c>
      <c r="ML32" s="8">
        <v>1.0</v>
      </c>
      <c r="MM32" s="8">
        <v>0.0</v>
      </c>
      <c r="MN32" s="8">
        <v>0.0</v>
      </c>
      <c r="MO32" s="8">
        <v>0.0</v>
      </c>
      <c r="MP32" s="9"/>
      <c r="MQ32" s="9"/>
      <c r="MR32" s="9" t="s">
        <v>1048</v>
      </c>
      <c r="MS32" s="9"/>
      <c r="MT32" s="9" t="s">
        <v>991</v>
      </c>
      <c r="MU32" s="9" t="s">
        <v>881</v>
      </c>
      <c r="MV32" s="9"/>
      <c r="MW32" s="9"/>
      <c r="MX32" s="9"/>
      <c r="MY32" s="9"/>
      <c r="MZ32" s="9"/>
      <c r="NA32" s="9"/>
      <c r="NB32" s="9"/>
      <c r="NC32" s="9"/>
      <c r="ND32" s="9"/>
      <c r="NE32" s="9"/>
      <c r="NF32" s="9"/>
      <c r="NG32" s="9"/>
      <c r="NH32" s="9"/>
      <c r="NI32" s="9"/>
      <c r="NJ32" s="9"/>
      <c r="NK32" s="9"/>
      <c r="NL32" s="9" t="s">
        <v>857</v>
      </c>
      <c r="NM32" s="9" t="s">
        <v>893</v>
      </c>
      <c r="NN32" s="9" t="s">
        <v>993</v>
      </c>
      <c r="NO32" s="9" t="s">
        <v>994</v>
      </c>
      <c r="NP32" s="9"/>
      <c r="NQ32" s="9"/>
      <c r="NR32" s="9"/>
      <c r="NS32" s="9"/>
      <c r="NT32" s="9"/>
      <c r="NU32" s="9"/>
      <c r="NV32" s="9" t="s">
        <v>896</v>
      </c>
      <c r="NW32" s="9"/>
      <c r="NX32" s="9" t="s">
        <v>897</v>
      </c>
      <c r="NY32" s="8">
        <v>45.0</v>
      </c>
      <c r="NZ32" s="8">
        <v>30.0</v>
      </c>
      <c r="OA32" s="8">
        <v>0.0</v>
      </c>
      <c r="OB32" s="8">
        <v>5.0</v>
      </c>
      <c r="OC32" s="8">
        <v>5.0</v>
      </c>
      <c r="OD32" s="8">
        <v>0.0</v>
      </c>
      <c r="OE32" s="9" t="s">
        <v>898</v>
      </c>
      <c r="OF32" s="9" t="s">
        <v>1184</v>
      </c>
      <c r="OG32" s="9" t="s">
        <v>857</v>
      </c>
      <c r="OH32" s="8">
        <v>0.0</v>
      </c>
      <c r="OI32" s="8">
        <v>3.0</v>
      </c>
      <c r="OJ32" s="8">
        <v>0.0</v>
      </c>
      <c r="OK32" s="8">
        <v>0.0</v>
      </c>
      <c r="OL32" s="8">
        <v>0.0</v>
      </c>
      <c r="OM32" s="8">
        <v>0.0</v>
      </c>
      <c r="ON32" s="8">
        <v>0.0</v>
      </c>
      <c r="OO32" s="8">
        <v>0.0</v>
      </c>
      <c r="OP32" s="9" t="str">
        <f>VLOOKUP(AG32,'BUS 2'!$G$1:$CU$424,2,0)</f>
        <v>Sapi perah</v>
      </c>
      <c r="OQ32" s="8">
        <f>VLOOKUP(AG32,'BUS 2'!$G$1:$CU$424,3,0)</f>
        <v>0</v>
      </c>
      <c r="OR32" s="8">
        <f>VLOOKUP(AG32,'BUS 2'!$G$1:$CU$424,4,0)</f>
        <v>1</v>
      </c>
      <c r="OS32" s="8">
        <f>VLOOKUP(AG32,'BUS 2'!$G$1:$CU$424,5,0)</f>
        <v>0</v>
      </c>
      <c r="OT32" s="8">
        <f>VLOOKUP(AG32,'BUS 2'!$G$1:$CU$424,6,0)</f>
        <v>0</v>
      </c>
      <c r="OU32" s="8">
        <f>VLOOKUP(AG32,'BUS 2'!$G$1:$CU$424,7,0)</f>
        <v>0</v>
      </c>
      <c r="OV32" s="8">
        <f>VLOOKUP(AG32,'BUS 2'!$G$1:$CU$424,8,0)</f>
        <v>0</v>
      </c>
      <c r="OW32" s="8">
        <f>VLOOKUP(AG32,'BUS 2'!$G$1:$CU$424,9,0)</f>
        <v>0</v>
      </c>
      <c r="OX32" s="8">
        <f>VLOOKUP(AG32,'BUS 2'!$G$1:$CU$424,10,0)</f>
        <v>0</v>
      </c>
      <c r="OY32" s="8">
        <f>VLOOKUP(AG32,'BUS 2'!$G$1:$CU$424,11,0)</f>
        <v>0</v>
      </c>
      <c r="OZ32" s="8" t="str">
        <f>VLOOKUP(AG32,'BUS 2'!$G$1:$CU$424,12,0)</f>
        <v>Sapi perah</v>
      </c>
      <c r="PA32" s="8">
        <f>VLOOKUP(AG32,'BUS 2'!$G$1:$CU$424,13,0)</f>
        <v>0</v>
      </c>
      <c r="PB32" s="8">
        <f>VLOOKUP(AG32,'BUS 2'!$G$1:$CU$424,14,0)</f>
        <v>1</v>
      </c>
      <c r="PC32" s="8">
        <f>VLOOKUP(AG32,'BUS 2'!$G$1:$CU$424,15,0)</f>
        <v>0</v>
      </c>
      <c r="PD32" s="8">
        <f>VLOOKUP(AG32,'BUS 2'!$G$1:$CU$424,16,0)</f>
        <v>0</v>
      </c>
      <c r="PE32" s="8">
        <f>VLOOKUP(AG32,'BUS 2'!$G$1:$CU$424,17,0)</f>
        <v>0</v>
      </c>
      <c r="PF32" s="8">
        <f>VLOOKUP(AG32,'BUS 2'!$G$1:$CU$424,18,0)</f>
        <v>0</v>
      </c>
      <c r="PG32" s="8">
        <f>VLOOKUP(AG32,'BUS 2'!$G$1:$CU$424,19,0)</f>
        <v>0</v>
      </c>
      <c r="PH32" s="8">
        <f>VLOOKUP(AG32,'BUS 2'!$G$1:$CU$424,20,0)</f>
        <v>0</v>
      </c>
      <c r="PI32" s="8">
        <f>VLOOKUP(AG32,'BUS 2'!$G$1:$CU$424,21,0)</f>
        <v>0</v>
      </c>
      <c r="PJ32" s="8" t="str">
        <f>VLOOKUP(AG32,'BUS 2'!$G$1:$CU$424,22,0)</f>
        <v>Tidak ada</v>
      </c>
      <c r="PK32" s="8">
        <f>VLOOKUP(AG32,'BUS 2'!$G$1:$CU$424,23,0)</f>
        <v>0</v>
      </c>
      <c r="PL32" s="8">
        <f>VLOOKUP(AG32,'BUS 2'!$G$1:$CU$424,24,0)</f>
        <v>0</v>
      </c>
      <c r="PM32" s="8">
        <f>VLOOKUP(AG32,'BUS 2'!$G$1:$CU$424,25,0)</f>
        <v>0</v>
      </c>
      <c r="PN32" s="8">
        <f>VLOOKUP(AG32,'BUS 2'!$G$1:$CU$424,26,0)</f>
        <v>0</v>
      </c>
      <c r="PO32" s="8">
        <f>VLOOKUP(AG32,'BUS 2'!$G$1:$CU$424,27,0)</f>
        <v>0</v>
      </c>
      <c r="PP32" s="8">
        <f>VLOOKUP(AG32,'BUS 2'!$G$1:$CU$424,28,0)</f>
        <v>0</v>
      </c>
      <c r="PQ32" s="8">
        <f>VLOOKUP(AG32,'BUS 2'!$G$1:$CU$424,29,0)</f>
        <v>0</v>
      </c>
      <c r="PR32" s="8">
        <f>VLOOKUP(AG32,'BUS 2'!$G$1:$CU$424,30,0)</f>
        <v>0</v>
      </c>
      <c r="PS32" s="8">
        <f>VLOOKUP(AG32,'BUS 2'!$G$1:$CU$424,31,0)</f>
        <v>1</v>
      </c>
      <c r="PT32" s="9"/>
      <c r="PU32" s="9"/>
      <c r="PV32" s="9"/>
      <c r="PW32" s="9"/>
      <c r="PX32" s="9"/>
      <c r="PY32" s="9"/>
      <c r="PZ32" s="9"/>
      <c r="QA32" s="9"/>
      <c r="QB32" s="9"/>
      <c r="QC32" s="9"/>
      <c r="QD32" s="9"/>
      <c r="QE32" s="9" t="s">
        <v>900</v>
      </c>
      <c r="QF32" s="8">
        <v>0.0</v>
      </c>
      <c r="QG32" s="8">
        <v>0.0</v>
      </c>
      <c r="QH32" s="8">
        <v>0.0</v>
      </c>
      <c r="QI32" s="8">
        <v>0.0</v>
      </c>
      <c r="QJ32" s="8">
        <v>0.0</v>
      </c>
      <c r="QK32" s="8">
        <v>1.0</v>
      </c>
      <c r="QL32" s="8">
        <v>0.0</v>
      </c>
      <c r="QM32" s="8">
        <v>0.0</v>
      </c>
      <c r="QN32" s="8">
        <v>0.0</v>
      </c>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8" t="str">
        <f>VLOOKUP(AG32,'BUS 2'!$G$1:$CU$424,33,0)</f>
        <v/>
      </c>
      <c r="SZ32" s="9">
        <f>VLOOKUP(AG32,'BUS 2'!$G$1:$CU$424,34,0)</f>
        <v>3</v>
      </c>
      <c r="TA32" s="9" t="str">
        <f>VLOOKUP(AG32,'BUS 2'!$G$1:$CU$424,35,0)</f>
        <v/>
      </c>
      <c r="TB32" s="9" t="str">
        <f>VLOOKUP(AG32,'BUS 2'!$G$1:$CU$424,36,0)</f>
        <v/>
      </c>
      <c r="TC32" s="9" t="str">
        <f>VLOOKUP(AG32,'BUS 2'!$G$1:$CU$424,37,0)</f>
        <v/>
      </c>
      <c r="TD32" s="9" t="str">
        <f>VLOOKUP(AG32,'BUS 2'!$G$1:$CU$424,38,0)</f>
        <v/>
      </c>
      <c r="TE32" s="9" t="str">
        <f>VLOOKUP(AG32,'BUS 2'!$G$1:$CU$424,39,0)</f>
        <v/>
      </c>
      <c r="TF32" s="9" t="str">
        <f>VLOOKUP(AG32,'BUS 2'!$G$1:$CU$424,40,0)</f>
        <v/>
      </c>
      <c r="TG32" s="8" t="str">
        <f>VLOOKUP(AG32,'BUS 2'!$G$1:$CU$424,42,0)</f>
        <v/>
      </c>
      <c r="TH32" s="8">
        <f>VLOOKUP(AG32,'BUS 2'!$G$1:$CU$424,43,0)</f>
        <v>3</v>
      </c>
      <c r="TI32" s="8" t="str">
        <f>VLOOKUP(AG32,'BUS 2'!$G$1:$CU$424,44,0)</f>
        <v/>
      </c>
      <c r="TJ32" s="8" t="str">
        <f>VLOOKUP(AG32,'BUS 2'!$G$1:$CU$424,45,0)</f>
        <v/>
      </c>
      <c r="TK32" s="8" t="str">
        <f>VLOOKUP(AG32,'BUS 2'!$G$1:$CU$424,46,0)</f>
        <v/>
      </c>
      <c r="TL32" s="8" t="str">
        <f>VLOOKUP(AG32,'BUS 2'!$G$1:$CU$424,47,0)</f>
        <v/>
      </c>
      <c r="TM32" s="8" t="str">
        <f>VLOOKUP(AG32,'BUS 2'!$G$1:$CU$424,48,0)</f>
        <v/>
      </c>
      <c r="TN32" s="8" t="str">
        <f>VLOOKUP(AG32,'BUS 2'!$G$1:$CU$424,49,0)</f>
        <v/>
      </c>
      <c r="TO32" s="8" t="str">
        <f>VLOOKUP(AG32,'BUS 2'!$G$1:$CU$424,50,0)</f>
        <v/>
      </c>
      <c r="TP32" s="8" t="str">
        <f>VLOOKUP(AG32,'BUS 2'!$G$1:$CU$424,51,0)</f>
        <v/>
      </c>
      <c r="TQ32" s="8" t="str">
        <f>VLOOKUP(AG32,'BUS 2'!$G$1:$CU$424,52,0)</f>
        <v/>
      </c>
      <c r="TR32" s="8" t="str">
        <f>VLOOKUP(AG32,'BUS 2'!$G$1:$CU$424,53,0)</f>
        <v/>
      </c>
      <c r="TS32" s="9" t="str">
        <f>VLOOKUP(AG32,'BUS 2'!$G$1:$CU$424,54,0)</f>
        <v/>
      </c>
      <c r="TT32" s="9" t="str">
        <f>VLOOKUP(AG32,'BUS 2'!$G$1:$CU$424,55,0)</f>
        <v/>
      </c>
      <c r="TU32" s="9" t="str">
        <f>VLOOKUP(AG32,'BUS 2'!$G$1:$CU$424,56,0)</f>
        <v/>
      </c>
      <c r="TV32" s="9" t="str">
        <f>VLOOKUP(AG32,'BUS 2'!$G$1:$CU$424,57,0)</f>
        <v/>
      </c>
      <c r="TW32" s="9" t="str">
        <f>VLOOKUP(AG32,'BUS 2'!$G$1:$CU$424,58,0)</f>
        <v/>
      </c>
      <c r="TX32" s="9" t="str">
        <f>VLOOKUP(AG32,'BUS 2'!$G$1:$CU$424,59,0)</f>
        <v/>
      </c>
      <c r="TY32" s="9" t="str">
        <f>VLOOKUP(AG32,'BUS 2'!$G$1:$CU$424,60,0)</f>
        <v/>
      </c>
      <c r="TZ32" s="9" t="str">
        <f>VLOOKUP(AG32,'BUS 2'!$G$1:$CU$424,61,0)</f>
        <v/>
      </c>
      <c r="UA32" s="9" t="str">
        <f>VLOOKUP(AG32,'BUS 2'!$G$1:$CU$424,62,0)</f>
        <v/>
      </c>
      <c r="UB32" s="9" t="str">
        <f>VLOOKUP(AG32,'BUS 2'!$G$1:$CU$424,63,0)</f>
        <v/>
      </c>
      <c r="UC32" s="9" t="str">
        <f>VLOOKUP(AG32,'BUS 2'!$G$1:$CU$424,64,0)</f>
        <v/>
      </c>
      <c r="UD32" s="9" t="str">
        <f>VLOOKUP(AG32,'BUS 2'!$G$1:$CU$424,65,0)</f>
        <v/>
      </c>
      <c r="UE32" s="9" t="str">
        <f>VLOOKUP(AG32,'BUS 2'!$G$1:$CU$424,66,0)</f>
        <v/>
      </c>
      <c r="UF32" s="9" t="str">
        <f>VLOOKUP(AG32,'BUS 2'!$G$1:$CU$424,67,0)</f>
        <v/>
      </c>
      <c r="UG32" s="9" t="str">
        <f>VLOOKUP(AG32,'BUS 2'!$G$1:$CU$424,68,0)</f>
        <v/>
      </c>
      <c r="UH32" s="9" t="str">
        <f>VLOOKUP(AG32,'BUS 2'!$G$1:$CU$424,69,0)</f>
        <v/>
      </c>
      <c r="UI32" s="9" t="str">
        <f>VLOOKUP(AG32,'BUS 2'!$G$1:$CU$424,70,0)</f>
        <v/>
      </c>
      <c r="UJ32" s="9" t="str">
        <f>VLOOKUP(AG32,'BUS 2'!$G$1:$CU$424,71,0)</f>
        <v/>
      </c>
      <c r="UK32" s="9" t="str">
        <f>VLOOKUP(AG32,'BUS 2'!$G$1:$CU$424,72,0)</f>
        <v/>
      </c>
      <c r="UL32" s="9" t="str">
        <f>VLOOKUP(AG32,'BUS 2'!$G$1:$CU$424,73,0)</f>
        <v/>
      </c>
      <c r="UM32" s="9" t="str">
        <f>VLOOKUP(AG32,'BUS 2'!$G$1:$CU$424,74,0)</f>
        <v/>
      </c>
      <c r="UN32" s="9" t="str">
        <f>VLOOKUP(AG32,'BUS 2'!$G$1:$CU$424,75,0)</f>
        <v/>
      </c>
      <c r="UO32" s="9" t="str">
        <f>VLOOKUP(AG32,'BUS 2'!$G$1:$CU$424,76,0)</f>
        <v/>
      </c>
      <c r="UP32" s="9" t="str">
        <f>VLOOKUP(AG32,'BUS 2'!$G$1:$CU$424,77,0)</f>
        <v/>
      </c>
      <c r="UQ32" s="9" t="str">
        <f>VLOOKUP(AG32,'BUS 2'!$G$1:$CU$424,78,0)</f>
        <v/>
      </c>
      <c r="UR32" s="9" t="str">
        <f>VLOOKUP(AG32,'BUS 2'!$G$1:$CU$424,79,0)</f>
        <v/>
      </c>
      <c r="US32" s="9" t="str">
        <f>VLOOKUP(AG32,'BUS 2'!$G$1:$CU$424,80,0)</f>
        <v/>
      </c>
      <c r="UT32" s="9" t="str">
        <f>VLOOKUP(AG32,'BUS 2'!$G$1:$CU$424,81,0)</f>
        <v/>
      </c>
      <c r="UU32" s="9"/>
      <c r="UV32" s="9" t="s">
        <v>901</v>
      </c>
      <c r="UW32" s="9"/>
      <c r="UX32" s="9"/>
      <c r="UY32" s="9"/>
      <c r="UZ32" s="9"/>
      <c r="VA32" s="9"/>
      <c r="VB32" s="9"/>
      <c r="VC32" s="9"/>
      <c r="VD32" s="9" t="s">
        <v>950</v>
      </c>
      <c r="VE32" s="9"/>
      <c r="VF32" s="9"/>
      <c r="VG32" s="9"/>
      <c r="VH32" s="9"/>
      <c r="VI32" s="9"/>
      <c r="VJ32" s="9"/>
      <c r="VK32" s="9"/>
      <c r="VL32" s="9" t="s">
        <v>1158</v>
      </c>
      <c r="VM32" s="9"/>
      <c r="VN32" s="9"/>
      <c r="VO32" s="9"/>
      <c r="VP32" s="9"/>
      <c r="VQ32" s="9"/>
      <c r="VR32" s="9"/>
      <c r="VS32" s="9"/>
      <c r="VT32" s="9"/>
      <c r="VU32" s="9"/>
      <c r="VV32" s="9"/>
      <c r="VW32" s="9"/>
      <c r="VX32" s="9"/>
      <c r="VY32" s="9"/>
      <c r="VZ32" s="9"/>
      <c r="WA32" s="9"/>
      <c r="WB32" s="9"/>
      <c r="WC32" s="9"/>
      <c r="WD32" s="9"/>
      <c r="WE32" s="9"/>
      <c r="WF32" s="9" t="s">
        <v>1214</v>
      </c>
      <c r="WG32" s="8">
        <v>0.0</v>
      </c>
      <c r="WH32" s="8">
        <v>0.0</v>
      </c>
      <c r="WI32" s="8">
        <v>1.0</v>
      </c>
      <c r="WJ32" s="8">
        <v>1.0</v>
      </c>
      <c r="WK32" s="8">
        <v>0.0</v>
      </c>
      <c r="WL32" s="8">
        <v>1.0</v>
      </c>
      <c r="WM32" s="8">
        <v>0.0</v>
      </c>
      <c r="WN32" s="8">
        <v>0.0</v>
      </c>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8">
        <v>50.0</v>
      </c>
      <c r="ZP32" s="9"/>
      <c r="ZQ32" s="9"/>
      <c r="ZR32" s="9"/>
      <c r="ZS32" s="9"/>
      <c r="ZT32" s="9"/>
      <c r="ZU32" s="9"/>
      <c r="ZV32" s="9"/>
      <c r="ZW32" s="8">
        <v>2.0</v>
      </c>
      <c r="ZX32" s="9"/>
      <c r="ZY32" s="9"/>
      <c r="ZZ32" s="9"/>
      <c r="AAA32" s="9"/>
      <c r="AAB32" s="9"/>
      <c r="AAC32" s="9"/>
      <c r="AAD32" s="9"/>
      <c r="AAE32" s="9" t="s">
        <v>1186</v>
      </c>
      <c r="AAF32" s="9"/>
      <c r="AAG32" s="9"/>
      <c r="AAH32" s="9"/>
      <c r="AAI32" s="9"/>
      <c r="AAJ32" s="9"/>
      <c r="AAK32" s="9"/>
      <c r="AAL32" s="9" t="s">
        <v>857</v>
      </c>
      <c r="AAM32" s="9" t="s">
        <v>1033</v>
      </c>
      <c r="AAN32" s="8">
        <v>1.0</v>
      </c>
      <c r="AAO32" s="8">
        <v>1.0</v>
      </c>
      <c r="AAP32" s="8">
        <v>50.0</v>
      </c>
      <c r="AAQ32" s="8">
        <v>50.0</v>
      </c>
      <c r="AAR32" s="9" t="s">
        <v>857</v>
      </c>
      <c r="AAS32" s="9" t="s">
        <v>867</v>
      </c>
      <c r="AAT32" s="9" t="s">
        <v>1074</v>
      </c>
      <c r="AAU32" s="8">
        <v>1.0</v>
      </c>
      <c r="AAV32" s="8">
        <v>0.0</v>
      </c>
      <c r="AAW32" s="8">
        <v>0.0</v>
      </c>
      <c r="AAX32" s="8">
        <v>1.0</v>
      </c>
      <c r="AAY32" s="8">
        <v>1.0</v>
      </c>
      <c r="AAZ32" s="8">
        <v>0.0</v>
      </c>
      <c r="ABA32" s="8">
        <v>0.0</v>
      </c>
      <c r="ABB32" s="9" t="s">
        <v>907</v>
      </c>
      <c r="ABC32" s="8">
        <v>1.0</v>
      </c>
      <c r="ABD32" s="8">
        <v>0.0</v>
      </c>
      <c r="ABE32" s="8">
        <v>0.0</v>
      </c>
      <c r="ABF32" s="8">
        <v>0.0</v>
      </c>
      <c r="ABG32" s="8">
        <v>0.0</v>
      </c>
      <c r="ABH32" s="9"/>
      <c r="ABI32" s="9"/>
      <c r="ABJ32" s="9"/>
      <c r="ABK32" s="9"/>
      <c r="ABL32" s="9"/>
      <c r="ABM32" s="9"/>
      <c r="ABN32" s="9"/>
      <c r="ABO32" s="9"/>
      <c r="ABP32" s="9"/>
      <c r="ABQ32" s="11" t="s">
        <v>953</v>
      </c>
      <c r="ABR32" s="9" t="s">
        <v>1075</v>
      </c>
      <c r="ABS32" s="8">
        <v>2500.0</v>
      </c>
      <c r="ABT32" s="8">
        <v>50.0</v>
      </c>
      <c r="ABU32" s="8">
        <v>50.0</v>
      </c>
      <c r="ABV32" s="8">
        <v>50.0</v>
      </c>
      <c r="ABW32" s="9" t="s">
        <v>1199</v>
      </c>
      <c r="ABX32" s="9"/>
      <c r="ABY32" s="8">
        <v>40.0</v>
      </c>
      <c r="ABZ32" s="8">
        <v>4000.0</v>
      </c>
      <c r="ACA32" s="8">
        <v>0.0</v>
      </c>
      <c r="ACB32" s="8">
        <v>4000.0</v>
      </c>
      <c r="ACC32" s="8">
        <v>500.0</v>
      </c>
      <c r="ACD32" s="8">
        <v>650.0</v>
      </c>
      <c r="ACE32" s="9" t="s">
        <v>857</v>
      </c>
      <c r="ACF32" s="9" t="s">
        <v>911</v>
      </c>
      <c r="ACG32" s="9" t="s">
        <v>911</v>
      </c>
      <c r="ACH32" s="9" t="s">
        <v>911</v>
      </c>
      <c r="ACI32" s="9"/>
      <c r="ACJ32" s="9"/>
      <c r="ACK32" s="9" t="s">
        <v>976</v>
      </c>
      <c r="ACL32" s="8">
        <v>0.0</v>
      </c>
      <c r="ACM32" s="8">
        <v>0.0</v>
      </c>
      <c r="ACN32" s="8">
        <v>1.0</v>
      </c>
      <c r="ACO32" s="8">
        <v>1.0</v>
      </c>
      <c r="ACP32" s="8">
        <v>0.0</v>
      </c>
      <c r="ACQ32" s="8">
        <v>0.0</v>
      </c>
      <c r="ACR32" s="8">
        <v>0.0</v>
      </c>
      <c r="ACS32" s="9"/>
      <c r="ACT32" s="9" t="s">
        <v>912</v>
      </c>
      <c r="ACU32" s="9" t="s">
        <v>1050</v>
      </c>
      <c r="ACV32" s="9" t="s">
        <v>996</v>
      </c>
      <c r="ACW32" s="9" t="s">
        <v>915</v>
      </c>
      <c r="ACX32" s="9" t="s">
        <v>916</v>
      </c>
      <c r="ACY32" s="9" t="s">
        <v>1035</v>
      </c>
      <c r="ACZ32" s="8">
        <v>1.0</v>
      </c>
      <c r="ADA32" s="8">
        <v>1.0</v>
      </c>
      <c r="ADB32" s="8">
        <v>0.0</v>
      </c>
      <c r="ADC32" s="8">
        <v>0.0</v>
      </c>
      <c r="ADD32" s="9" t="s">
        <v>917</v>
      </c>
      <c r="ADE32" s="9" t="s">
        <v>1187</v>
      </c>
      <c r="ADF32" s="9" t="s">
        <v>1187</v>
      </c>
      <c r="ADG32" s="9" t="s">
        <v>1187</v>
      </c>
      <c r="ADH32" s="9" t="s">
        <v>881</v>
      </c>
      <c r="ADI32" s="9"/>
      <c r="ADJ32" s="9" t="s">
        <v>1187</v>
      </c>
      <c r="ADK32" s="9"/>
      <c r="ADL32" s="9"/>
      <c r="ADM32" s="9"/>
      <c r="ADN32" s="9"/>
      <c r="ADO32" s="9"/>
      <c r="ADP32" s="9"/>
      <c r="ADQ32" s="9"/>
      <c r="ADR32" s="9"/>
      <c r="ADS32" s="9"/>
      <c r="ADT32" s="9"/>
      <c r="ADU32" s="9" t="s">
        <v>919</v>
      </c>
      <c r="ADV32" s="8">
        <v>0.0</v>
      </c>
      <c r="ADW32" s="8">
        <v>0.0</v>
      </c>
      <c r="ADX32" s="8">
        <v>0.0</v>
      </c>
      <c r="ADY32" s="8">
        <v>0.0</v>
      </c>
      <c r="ADZ32" s="8">
        <v>1.0</v>
      </c>
      <c r="AEA32" s="8">
        <v>0.0</v>
      </c>
      <c r="AEB32" s="8">
        <v>0.0</v>
      </c>
      <c r="AEC32" s="8">
        <v>0.0</v>
      </c>
      <c r="AED32" s="12"/>
      <c r="AEE32" s="17" t="s">
        <v>872</v>
      </c>
      <c r="AEF32" s="9"/>
      <c r="AEG32" s="17" t="s">
        <v>920</v>
      </c>
      <c r="AEH32" s="9"/>
      <c r="AEI32" s="11" t="s">
        <v>921</v>
      </c>
      <c r="AEJ32" s="9" t="s">
        <v>871</v>
      </c>
      <c r="AEK32" s="17" t="s">
        <v>1108</v>
      </c>
      <c r="AEL32" s="18">
        <v>1.0</v>
      </c>
      <c r="AEM32" s="18">
        <v>1.0</v>
      </c>
      <c r="AEN32" s="18">
        <v>1.0</v>
      </c>
      <c r="AEO32" s="18">
        <v>1.0</v>
      </c>
      <c r="AEP32" s="18">
        <v>1.0</v>
      </c>
      <c r="AEQ32" s="18">
        <v>1.0</v>
      </c>
      <c r="AER32" s="18">
        <v>1.0</v>
      </c>
      <c r="AES32" s="18">
        <v>1.0</v>
      </c>
      <c r="AET32" s="18">
        <v>1.0</v>
      </c>
      <c r="AEU32" s="18">
        <v>0.0</v>
      </c>
      <c r="AEV32" s="18">
        <v>0.0</v>
      </c>
      <c r="AEW32" s="18">
        <v>0.0</v>
      </c>
      <c r="AEX32" s="9"/>
      <c r="AEY32" s="9" t="s">
        <v>923</v>
      </c>
      <c r="AEZ32" s="9"/>
      <c r="AFA32" s="9" t="s">
        <v>1188</v>
      </c>
      <c r="AFB32" s="9"/>
      <c r="AFC32" s="9" t="s">
        <v>1295</v>
      </c>
      <c r="AFD32" s="16" t="s">
        <v>1296</v>
      </c>
      <c r="AFE32" s="9" t="s">
        <v>1297</v>
      </c>
      <c r="AFF32" s="16" t="s">
        <v>1298</v>
      </c>
      <c r="AFG32" s="9" t="s">
        <v>1193</v>
      </c>
      <c r="AFH32" s="9"/>
      <c r="AFI32" s="9"/>
    </row>
    <row r="33">
      <c r="A33" s="6">
        <v>46060.0</v>
      </c>
      <c r="B33" s="6">
        <v>46060.0</v>
      </c>
      <c r="C33" s="7" t="s">
        <v>837</v>
      </c>
      <c r="D33" s="7" t="s">
        <v>1299</v>
      </c>
      <c r="E33" s="8">
        <v>6.28384438943E12</v>
      </c>
      <c r="F33" s="9"/>
      <c r="G33" s="8">
        <v>-7.21459104</v>
      </c>
      <c r="H33" s="8">
        <v>110.2531517</v>
      </c>
      <c r="I33" s="9"/>
      <c r="J33" s="8">
        <v>4.95</v>
      </c>
      <c r="K33" s="9"/>
      <c r="L33" s="9"/>
      <c r="M33" s="8">
        <v>-7.21460969</v>
      </c>
      <c r="N33" s="8">
        <v>110.2531753</v>
      </c>
      <c r="O33" s="9"/>
      <c r="P33" s="8">
        <v>4.98</v>
      </c>
      <c r="Q33" s="9"/>
      <c r="R33" s="9" t="s">
        <v>839</v>
      </c>
      <c r="S33" s="9"/>
      <c r="T33" s="9"/>
      <c r="U33" s="9"/>
      <c r="V33" s="9"/>
      <c r="W33" s="9"/>
      <c r="X33" s="9"/>
      <c r="Y33" s="9"/>
      <c r="Z33" s="9"/>
      <c r="AA33" s="9"/>
      <c r="AB33" s="9"/>
      <c r="AC33" s="7" t="s">
        <v>1175</v>
      </c>
      <c r="AD33" s="7" t="s">
        <v>1176</v>
      </c>
      <c r="AE33" s="7" t="s">
        <v>1279</v>
      </c>
      <c r="AF33" s="9" t="s">
        <v>1178</v>
      </c>
      <c r="AG33" s="9" t="s">
        <v>1300</v>
      </c>
      <c r="AH33" s="8">
        <v>2.0</v>
      </c>
      <c r="AI33" s="9" t="s">
        <v>845</v>
      </c>
      <c r="AJ33" s="9" t="s">
        <v>846</v>
      </c>
      <c r="AK33" s="8">
        <v>52.0</v>
      </c>
      <c r="AL33" s="9" t="s">
        <v>847</v>
      </c>
      <c r="AM33" s="9" t="s">
        <v>848</v>
      </c>
      <c r="AN33" s="9" t="s">
        <v>1009</v>
      </c>
      <c r="AO33" s="9" t="s">
        <v>1168</v>
      </c>
      <c r="AP33" s="8">
        <v>0.0</v>
      </c>
      <c r="AQ33" s="8">
        <v>0.0</v>
      </c>
      <c r="AR33" s="8">
        <v>0.0</v>
      </c>
      <c r="AS33" s="8">
        <v>0.0</v>
      </c>
      <c r="AT33" s="8">
        <v>1.0</v>
      </c>
      <c r="AU33" s="8">
        <v>0.0</v>
      </c>
      <c r="AV33" s="8">
        <v>0.0</v>
      </c>
      <c r="AW33" s="8">
        <v>0.0</v>
      </c>
      <c r="AX33" s="9"/>
      <c r="AY33" s="9" t="s">
        <v>935</v>
      </c>
      <c r="AZ33" s="8">
        <v>0.0</v>
      </c>
      <c r="BA33" s="8">
        <v>1.0</v>
      </c>
      <c r="BB33" s="8">
        <v>0.0</v>
      </c>
      <c r="BC33" s="8">
        <v>0.0</v>
      </c>
      <c r="BD33" s="8">
        <v>0.0</v>
      </c>
      <c r="BE33" s="8">
        <v>0.0</v>
      </c>
      <c r="BF33" s="8">
        <v>0.0</v>
      </c>
      <c r="BG33" s="8">
        <v>0.0</v>
      </c>
      <c r="BH33" s="9"/>
      <c r="BI33" s="9" t="s">
        <v>1101</v>
      </c>
      <c r="BJ33" s="8">
        <v>4.0</v>
      </c>
      <c r="BK33" s="8">
        <v>2.0</v>
      </c>
      <c r="BL33" s="8">
        <v>0.0</v>
      </c>
      <c r="BM33" s="8">
        <v>0.0</v>
      </c>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856</v>
      </c>
      <c r="CD33" s="8">
        <v>0.0</v>
      </c>
      <c r="CE33" s="8">
        <v>0.0</v>
      </c>
      <c r="CF33" s="8">
        <v>0.0</v>
      </c>
      <c r="CG33" s="8">
        <v>0.0</v>
      </c>
      <c r="CH33" s="8">
        <v>0.0</v>
      </c>
      <c r="CI33" s="8">
        <v>1.0</v>
      </c>
      <c r="CJ33" s="8">
        <v>0.0</v>
      </c>
      <c r="CK33" s="9"/>
      <c r="CL33" s="9" t="s">
        <v>857</v>
      </c>
      <c r="CM33" s="8">
        <v>2024.0</v>
      </c>
      <c r="CN33" s="9" t="s">
        <v>858</v>
      </c>
      <c r="CO33" s="9" t="s">
        <v>859</v>
      </c>
      <c r="CP33" s="9" t="s">
        <v>860</v>
      </c>
      <c r="CQ33" s="8">
        <v>0.0</v>
      </c>
      <c r="CR33" s="8">
        <v>0.0</v>
      </c>
      <c r="CS33" s="8">
        <v>0.0</v>
      </c>
      <c r="CT33" s="8">
        <v>0.0</v>
      </c>
      <c r="CU33" s="10">
        <v>1.0</v>
      </c>
      <c r="CV33" s="10">
        <v>0.0</v>
      </c>
      <c r="CW33" s="10">
        <v>0.0</v>
      </c>
      <c r="CX33" s="8">
        <v>0.0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8">
        <v>1.0</v>
      </c>
      <c r="DQ33" s="8">
        <v>0.0</v>
      </c>
      <c r="DR33" s="8">
        <v>0.0</v>
      </c>
      <c r="DS33" s="9"/>
      <c r="DT33" s="9"/>
      <c r="DU33" s="9"/>
      <c r="DV33" s="9" t="s">
        <v>857</v>
      </c>
      <c r="DW33" s="9"/>
      <c r="DX33" s="9"/>
      <c r="DY33" s="9"/>
      <c r="DZ33" s="9"/>
      <c r="EA33" s="9"/>
      <c r="EB33" s="9"/>
      <c r="EC33" s="9"/>
      <c r="ED33" s="9"/>
      <c r="EE33" s="9"/>
      <c r="EF33" s="9"/>
      <c r="EG33" s="9"/>
      <c r="EH33" s="9"/>
      <c r="EI33" s="9" t="s">
        <v>862</v>
      </c>
      <c r="EJ33" s="8">
        <v>0.0</v>
      </c>
      <c r="EK33" s="8">
        <v>0.0</v>
      </c>
      <c r="EL33" s="8">
        <v>0.0</v>
      </c>
      <c r="EM33" s="8">
        <v>1.0</v>
      </c>
      <c r="EN33" s="8">
        <v>0.0</v>
      </c>
      <c r="EO33" s="11"/>
      <c r="EP33" s="9" t="s">
        <v>863</v>
      </c>
      <c r="EQ33" s="9" t="s">
        <v>864</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867</v>
      </c>
      <c r="FH33" s="9" t="s">
        <v>869</v>
      </c>
      <c r="FI33" s="9" t="s">
        <v>867</v>
      </c>
      <c r="FJ33" s="9" t="s">
        <v>868</v>
      </c>
      <c r="FK33" s="9" t="s">
        <v>867</v>
      </c>
      <c r="FL33" s="9" t="s">
        <v>869</v>
      </c>
      <c r="FM33" s="9" t="s">
        <v>867</v>
      </c>
      <c r="FN33" s="9" t="s">
        <v>943</v>
      </c>
      <c r="FO33" s="9" t="s">
        <v>867</v>
      </c>
      <c r="FP33" s="9" t="s">
        <v>943</v>
      </c>
      <c r="FQ33" s="9" t="s">
        <v>867</v>
      </c>
      <c r="FR33" s="9" t="s">
        <v>857</v>
      </c>
      <c r="FS33" s="9" t="s">
        <v>867</v>
      </c>
      <c r="FT33" s="9" t="s">
        <v>871</v>
      </c>
      <c r="FU33" s="9" t="s">
        <v>989</v>
      </c>
      <c r="FV33" s="8">
        <v>1.0</v>
      </c>
      <c r="FW33" s="8">
        <v>1.0</v>
      </c>
      <c r="FX33" s="8">
        <v>0.0</v>
      </c>
      <c r="FY33" s="8">
        <v>0.0</v>
      </c>
      <c r="FZ33" s="9" t="s">
        <v>873</v>
      </c>
      <c r="GA33" s="9" t="s">
        <v>874</v>
      </c>
      <c r="GB33" s="8">
        <v>1.0</v>
      </c>
      <c r="GC33" s="8">
        <v>0.0</v>
      </c>
      <c r="GD33" s="8">
        <v>0.0</v>
      </c>
      <c r="GE33" s="8">
        <v>0.0</v>
      </c>
      <c r="GF33" s="9"/>
      <c r="GG33" s="9" t="s">
        <v>875</v>
      </c>
      <c r="GH33" s="9" t="s">
        <v>857</v>
      </c>
      <c r="GI33" s="9" t="s">
        <v>1264</v>
      </c>
      <c r="GJ33" s="8">
        <v>0.0</v>
      </c>
      <c r="GK33" s="8">
        <v>1.0</v>
      </c>
      <c r="GL33" s="8">
        <v>0.0</v>
      </c>
      <c r="GM33" s="8">
        <v>0.0</v>
      </c>
      <c r="GN33" s="9"/>
      <c r="GO33" s="8">
        <v>9.0</v>
      </c>
      <c r="GP33" s="9" t="s">
        <v>877</v>
      </c>
      <c r="GQ33" s="9" t="s">
        <v>878</v>
      </c>
      <c r="GR33" s="8">
        <v>1.0</v>
      </c>
      <c r="GS33" s="8">
        <v>1.0</v>
      </c>
      <c r="GT33" s="8">
        <v>0.0</v>
      </c>
      <c r="GU33" s="8">
        <v>0.0</v>
      </c>
      <c r="GV33" s="8">
        <v>0.0</v>
      </c>
      <c r="GW33" s="8">
        <v>0.0</v>
      </c>
      <c r="GX33" s="8">
        <v>0.0</v>
      </c>
      <c r="GY33" s="9"/>
      <c r="GZ33" s="9" t="s">
        <v>857</v>
      </c>
      <c r="HA33" s="8">
        <v>20.0</v>
      </c>
      <c r="HB33" s="8">
        <v>200000.0</v>
      </c>
      <c r="HC33" s="8">
        <v>5.0</v>
      </c>
      <c r="HD33" s="8">
        <v>50000.0</v>
      </c>
      <c r="HE33" s="8">
        <v>12.0</v>
      </c>
      <c r="HF33" s="8">
        <v>100000.0</v>
      </c>
      <c r="HG33" s="8">
        <v>3.0</v>
      </c>
      <c r="HH33" s="8">
        <v>25000.0</v>
      </c>
      <c r="HI33" s="9"/>
      <c r="HJ33" s="9"/>
      <c r="HK33" s="9"/>
      <c r="HL33" s="9"/>
      <c r="HM33" s="9"/>
      <c r="HN33" s="9"/>
      <c r="HO33" s="9"/>
      <c r="HP33" s="9"/>
      <c r="HQ33" s="9"/>
      <c r="HR33" s="9"/>
      <c r="HS33" s="9"/>
      <c r="HT33" s="9"/>
      <c r="HU33" s="9"/>
      <c r="HV33" s="9"/>
      <c r="HW33" s="9"/>
      <c r="HX33" s="9"/>
      <c r="HY33" s="8">
        <v>15.0</v>
      </c>
      <c r="HZ33" s="8">
        <v>150000.0</v>
      </c>
      <c r="IA33" s="8">
        <v>9.0</v>
      </c>
      <c r="IB33" s="8">
        <v>75000.0</v>
      </c>
      <c r="IC33" s="9"/>
      <c r="ID33" s="9"/>
      <c r="IE33" s="9"/>
      <c r="IF33" s="9"/>
      <c r="IG33" s="9"/>
      <c r="IH33" s="9"/>
      <c r="II33" s="9"/>
      <c r="IJ33" s="9"/>
      <c r="IK33" s="9" t="s">
        <v>879</v>
      </c>
      <c r="IL33" s="9" t="s">
        <v>880</v>
      </c>
      <c r="IM33" s="9" t="s">
        <v>857</v>
      </c>
      <c r="IN33" s="9" t="s">
        <v>881</v>
      </c>
      <c r="IO33" s="9" t="s">
        <v>1206</v>
      </c>
      <c r="IP33" s="9"/>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1180</v>
      </c>
      <c r="KT33" s="9" t="s">
        <v>886</v>
      </c>
      <c r="KU33" s="9" t="s">
        <v>886</v>
      </c>
      <c r="KV33" s="9" t="s">
        <v>999</v>
      </c>
      <c r="KW33" s="8">
        <v>0.0</v>
      </c>
      <c r="KX33" s="8">
        <v>0.0</v>
      </c>
      <c r="KY33" s="8">
        <v>0.0</v>
      </c>
      <c r="KZ33" s="8">
        <v>1.0</v>
      </c>
      <c r="LA33" s="9" t="s">
        <v>884</v>
      </c>
      <c r="LB33" s="9" t="s">
        <v>884</v>
      </c>
      <c r="LC33" s="8">
        <v>0.0</v>
      </c>
      <c r="LD33" s="8">
        <v>3.0</v>
      </c>
      <c r="LE33" s="8">
        <v>0.0</v>
      </c>
      <c r="LF33" s="8">
        <v>3.0</v>
      </c>
      <c r="LG33" s="9" t="s">
        <v>857</v>
      </c>
      <c r="LH33" s="8">
        <v>150000.0</v>
      </c>
      <c r="LI33" s="9"/>
      <c r="LJ33" s="9" t="s">
        <v>887</v>
      </c>
      <c r="LK33" s="8">
        <v>0.0</v>
      </c>
      <c r="LL33" s="8">
        <v>0.0</v>
      </c>
      <c r="LM33" s="8">
        <v>0.0</v>
      </c>
      <c r="LN33" s="8">
        <v>0.0</v>
      </c>
      <c r="LO33" s="8">
        <v>1.0</v>
      </c>
      <c r="LP33" s="8">
        <v>0.0</v>
      </c>
      <c r="LQ33" s="8">
        <v>0.0</v>
      </c>
      <c r="LR33" s="9"/>
      <c r="LS33" s="8">
        <v>15.0</v>
      </c>
      <c r="LT33" s="8">
        <v>20.0</v>
      </c>
      <c r="LU33" s="8">
        <v>0.0</v>
      </c>
      <c r="LV33" s="8">
        <v>5.0</v>
      </c>
      <c r="LW33" s="8">
        <v>5.0</v>
      </c>
      <c r="LX33" s="8">
        <v>0.0</v>
      </c>
      <c r="LY33" s="8">
        <v>5.0</v>
      </c>
      <c r="LZ33" s="8">
        <v>5.0</v>
      </c>
      <c r="MA33" s="8">
        <v>0.0</v>
      </c>
      <c r="MB33" s="9" t="s">
        <v>857</v>
      </c>
      <c r="MC33" s="8">
        <v>30.0</v>
      </c>
      <c r="MD33" s="8">
        <v>15.0</v>
      </c>
      <c r="ME33" s="8">
        <v>40.0</v>
      </c>
      <c r="MF33" s="8">
        <v>15.0</v>
      </c>
      <c r="MG33" s="8">
        <v>0.0</v>
      </c>
      <c r="MH33" s="8">
        <v>0.0</v>
      </c>
      <c r="MI33" s="9" t="s">
        <v>946</v>
      </c>
      <c r="MJ33" s="8">
        <v>0.0</v>
      </c>
      <c r="MK33" s="8">
        <v>0.0</v>
      </c>
      <c r="ML33" s="8">
        <v>1.0</v>
      </c>
      <c r="MM33" s="8">
        <v>0.0</v>
      </c>
      <c r="MN33" s="8">
        <v>0.0</v>
      </c>
      <c r="MO33" s="8">
        <v>0.0</v>
      </c>
      <c r="MP33" s="9"/>
      <c r="MQ33" s="9"/>
      <c r="MR33" s="9" t="s">
        <v>1301</v>
      </c>
      <c r="MS33" s="9"/>
      <c r="MT33" s="9" t="s">
        <v>1302</v>
      </c>
      <c r="MU33" s="9" t="s">
        <v>881</v>
      </c>
      <c r="MV33" s="9"/>
      <c r="MW33" s="9"/>
      <c r="MX33" s="9"/>
      <c r="MY33" s="9"/>
      <c r="MZ33" s="9"/>
      <c r="NA33" s="9"/>
      <c r="NB33" s="9"/>
      <c r="NC33" s="9"/>
      <c r="ND33" s="9"/>
      <c r="NE33" s="9"/>
      <c r="NF33" s="9"/>
      <c r="NG33" s="9"/>
      <c r="NH33" s="9"/>
      <c r="NI33" s="9"/>
      <c r="NJ33" s="9"/>
      <c r="NK33" s="9"/>
      <c r="NL33" s="9" t="s">
        <v>857</v>
      </c>
      <c r="NM33" s="9" t="s">
        <v>893</v>
      </c>
      <c r="NN33" s="9" t="s">
        <v>993</v>
      </c>
      <c r="NO33" s="9" t="s">
        <v>994</v>
      </c>
      <c r="NP33" s="9"/>
      <c r="NQ33" s="9"/>
      <c r="NR33" s="9"/>
      <c r="NS33" s="9"/>
      <c r="NT33" s="9"/>
      <c r="NU33" s="9"/>
      <c r="NV33" s="9" t="s">
        <v>896</v>
      </c>
      <c r="NW33" s="9"/>
      <c r="NX33" s="9" t="s">
        <v>1183</v>
      </c>
      <c r="NY33" s="8">
        <v>60.0</v>
      </c>
      <c r="NZ33" s="8">
        <v>0.0</v>
      </c>
      <c r="OA33" s="8">
        <v>0.0</v>
      </c>
      <c r="OB33" s="8">
        <v>5.0</v>
      </c>
      <c r="OC33" s="8">
        <v>0.0</v>
      </c>
      <c r="OD33" s="8">
        <v>0.0</v>
      </c>
      <c r="OE33" s="9" t="s">
        <v>1180</v>
      </c>
      <c r="OF33" s="9" t="s">
        <v>1184</v>
      </c>
      <c r="OG33" s="9" t="s">
        <v>857</v>
      </c>
      <c r="OH33" s="8">
        <v>0.0</v>
      </c>
      <c r="OI33" s="8">
        <v>7.0</v>
      </c>
      <c r="OJ33" s="8">
        <v>0.0</v>
      </c>
      <c r="OK33" s="8">
        <v>0.0</v>
      </c>
      <c r="OL33" s="8">
        <v>0.0</v>
      </c>
      <c r="OM33" s="8">
        <v>0.0</v>
      </c>
      <c r="ON33" s="8">
        <v>0.0</v>
      </c>
      <c r="OO33" s="8">
        <v>0.0</v>
      </c>
      <c r="OP33" s="9" t="str">
        <f>VLOOKUP(AG33,'BUS 2'!$G$1:$CU$424,2,0)</f>
        <v>Sapi perah</v>
      </c>
      <c r="OQ33" s="8">
        <f>VLOOKUP(AG33,'BUS 2'!$G$1:$CU$424,3,0)</f>
        <v>0</v>
      </c>
      <c r="OR33" s="8">
        <f>VLOOKUP(AG33,'BUS 2'!$G$1:$CU$424,4,0)</f>
        <v>1</v>
      </c>
      <c r="OS33" s="8">
        <f>VLOOKUP(AG33,'BUS 2'!$G$1:$CU$424,5,0)</f>
        <v>0</v>
      </c>
      <c r="OT33" s="8">
        <f>VLOOKUP(AG33,'BUS 2'!$G$1:$CU$424,6,0)</f>
        <v>0</v>
      </c>
      <c r="OU33" s="8">
        <f>VLOOKUP(AG33,'BUS 2'!$G$1:$CU$424,7,0)</f>
        <v>0</v>
      </c>
      <c r="OV33" s="8">
        <f>VLOOKUP(AG33,'BUS 2'!$G$1:$CU$424,8,0)</f>
        <v>0</v>
      </c>
      <c r="OW33" s="8">
        <f>VLOOKUP(AG33,'BUS 2'!$G$1:$CU$424,9,0)</f>
        <v>0</v>
      </c>
      <c r="OX33" s="8">
        <f>VLOOKUP(AG33,'BUS 2'!$G$1:$CU$424,10,0)</f>
        <v>0</v>
      </c>
      <c r="OY33" s="8">
        <f>VLOOKUP(AG33,'BUS 2'!$G$1:$CU$424,11,0)</f>
        <v>0</v>
      </c>
      <c r="OZ33" s="8" t="str">
        <f>VLOOKUP(AG33,'BUS 2'!$G$1:$CU$424,12,0)</f>
        <v>Sapi perah</v>
      </c>
      <c r="PA33" s="8">
        <f>VLOOKUP(AG33,'BUS 2'!$G$1:$CU$424,13,0)</f>
        <v>0</v>
      </c>
      <c r="PB33" s="8">
        <f>VLOOKUP(AG33,'BUS 2'!$G$1:$CU$424,14,0)</f>
        <v>1</v>
      </c>
      <c r="PC33" s="8">
        <f>VLOOKUP(AG33,'BUS 2'!$G$1:$CU$424,15,0)</f>
        <v>0</v>
      </c>
      <c r="PD33" s="8">
        <f>VLOOKUP(AG33,'BUS 2'!$G$1:$CU$424,16,0)</f>
        <v>0</v>
      </c>
      <c r="PE33" s="8">
        <f>VLOOKUP(AG33,'BUS 2'!$G$1:$CU$424,17,0)</f>
        <v>0</v>
      </c>
      <c r="PF33" s="8">
        <f>VLOOKUP(AG33,'BUS 2'!$G$1:$CU$424,18,0)</f>
        <v>0</v>
      </c>
      <c r="PG33" s="8">
        <f>VLOOKUP(AG33,'BUS 2'!$G$1:$CU$424,19,0)</f>
        <v>0</v>
      </c>
      <c r="PH33" s="8">
        <f>VLOOKUP(AG33,'BUS 2'!$G$1:$CU$424,20,0)</f>
        <v>0</v>
      </c>
      <c r="PI33" s="8">
        <f>VLOOKUP(AG33,'BUS 2'!$G$1:$CU$424,21,0)</f>
        <v>0</v>
      </c>
      <c r="PJ33" s="8" t="str">
        <f>VLOOKUP(AG33,'BUS 2'!$G$1:$CU$424,22,0)</f>
        <v>Tidak ada</v>
      </c>
      <c r="PK33" s="8">
        <f>VLOOKUP(AG33,'BUS 2'!$G$1:$CU$424,23,0)</f>
        <v>0</v>
      </c>
      <c r="PL33" s="8">
        <f>VLOOKUP(AG33,'BUS 2'!$G$1:$CU$424,24,0)</f>
        <v>0</v>
      </c>
      <c r="PM33" s="8">
        <f>VLOOKUP(AG33,'BUS 2'!$G$1:$CU$424,25,0)</f>
        <v>0</v>
      </c>
      <c r="PN33" s="8">
        <f>VLOOKUP(AG33,'BUS 2'!$G$1:$CU$424,26,0)</f>
        <v>0</v>
      </c>
      <c r="PO33" s="8">
        <f>VLOOKUP(AG33,'BUS 2'!$G$1:$CU$424,27,0)</f>
        <v>0</v>
      </c>
      <c r="PP33" s="8">
        <f>VLOOKUP(AG33,'BUS 2'!$G$1:$CU$424,28,0)</f>
        <v>0</v>
      </c>
      <c r="PQ33" s="8">
        <f>VLOOKUP(AG33,'BUS 2'!$G$1:$CU$424,29,0)</f>
        <v>0</v>
      </c>
      <c r="PR33" s="8">
        <f>VLOOKUP(AG33,'BUS 2'!$G$1:$CU$424,30,0)</f>
        <v>0</v>
      </c>
      <c r="PS33" s="8">
        <f>VLOOKUP(AG33,'BUS 2'!$G$1:$CU$424,31,0)</f>
        <v>1</v>
      </c>
      <c r="PT33" s="9"/>
      <c r="PU33" s="9"/>
      <c r="PV33" s="9"/>
      <c r="PW33" s="9"/>
      <c r="PX33" s="9"/>
      <c r="PY33" s="9"/>
      <c r="PZ33" s="9"/>
      <c r="QA33" s="9"/>
      <c r="QB33" s="9"/>
      <c r="QC33" s="9"/>
      <c r="QD33" s="9"/>
      <c r="QE33" s="9" t="s">
        <v>900</v>
      </c>
      <c r="QF33" s="8">
        <v>0.0</v>
      </c>
      <c r="QG33" s="8">
        <v>0.0</v>
      </c>
      <c r="QH33" s="8">
        <v>0.0</v>
      </c>
      <c r="QI33" s="8">
        <v>0.0</v>
      </c>
      <c r="QJ33" s="8">
        <v>0.0</v>
      </c>
      <c r="QK33" s="8">
        <v>1.0</v>
      </c>
      <c r="QL33" s="8">
        <v>0.0</v>
      </c>
      <c r="QM33" s="8">
        <v>0.0</v>
      </c>
      <c r="QN33" s="8">
        <v>0.0</v>
      </c>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8" t="str">
        <f>VLOOKUP(AG33,'BUS 2'!$G$1:$CU$424,33,0)</f>
        <v/>
      </c>
      <c r="SZ33" s="9">
        <f>VLOOKUP(AG33,'BUS 2'!$G$1:$CU$424,34,0)</f>
        <v>7</v>
      </c>
      <c r="TA33" s="9" t="str">
        <f>VLOOKUP(AG33,'BUS 2'!$G$1:$CU$424,35,0)</f>
        <v/>
      </c>
      <c r="TB33" s="9" t="str">
        <f>VLOOKUP(AG33,'BUS 2'!$G$1:$CU$424,36,0)</f>
        <v/>
      </c>
      <c r="TC33" s="9" t="str">
        <f>VLOOKUP(AG33,'BUS 2'!$G$1:$CU$424,37,0)</f>
        <v/>
      </c>
      <c r="TD33" s="9" t="str">
        <f>VLOOKUP(AG33,'BUS 2'!$G$1:$CU$424,38,0)</f>
        <v/>
      </c>
      <c r="TE33" s="9" t="str">
        <f>VLOOKUP(AG33,'BUS 2'!$G$1:$CU$424,39,0)</f>
        <v/>
      </c>
      <c r="TF33" s="9" t="str">
        <f>VLOOKUP(AG33,'BUS 2'!$G$1:$CU$424,40,0)</f>
        <v/>
      </c>
      <c r="TG33" s="8" t="str">
        <f>VLOOKUP(AG33,'BUS 2'!$G$1:$CU$424,42,0)</f>
        <v/>
      </c>
      <c r="TH33" s="8">
        <f>VLOOKUP(AG33,'BUS 2'!$G$1:$CU$424,43,0)</f>
        <v>7</v>
      </c>
      <c r="TI33" s="8" t="str">
        <f>VLOOKUP(AG33,'BUS 2'!$G$1:$CU$424,44,0)</f>
        <v/>
      </c>
      <c r="TJ33" s="8" t="str">
        <f>VLOOKUP(AG33,'BUS 2'!$G$1:$CU$424,45,0)</f>
        <v/>
      </c>
      <c r="TK33" s="8" t="str">
        <f>VLOOKUP(AG33,'BUS 2'!$G$1:$CU$424,46,0)</f>
        <v/>
      </c>
      <c r="TL33" s="8" t="str">
        <f>VLOOKUP(AG33,'BUS 2'!$G$1:$CU$424,47,0)</f>
        <v/>
      </c>
      <c r="TM33" s="8" t="str">
        <f>VLOOKUP(AG33,'BUS 2'!$G$1:$CU$424,48,0)</f>
        <v/>
      </c>
      <c r="TN33" s="8" t="str">
        <f>VLOOKUP(AG33,'BUS 2'!$G$1:$CU$424,49,0)</f>
        <v/>
      </c>
      <c r="TO33" s="8" t="str">
        <f>VLOOKUP(AG33,'BUS 2'!$G$1:$CU$424,50,0)</f>
        <v/>
      </c>
      <c r="TP33" s="8" t="str">
        <f>VLOOKUP(AG33,'BUS 2'!$G$1:$CU$424,51,0)</f>
        <v/>
      </c>
      <c r="TQ33" s="8" t="str">
        <f>VLOOKUP(AG33,'BUS 2'!$G$1:$CU$424,52,0)</f>
        <v/>
      </c>
      <c r="TR33" s="8" t="str">
        <f>VLOOKUP(AG33,'BUS 2'!$G$1:$CU$424,53,0)</f>
        <v/>
      </c>
      <c r="TS33" s="9" t="str">
        <f>VLOOKUP(AG33,'BUS 2'!$G$1:$CU$424,54,0)</f>
        <v/>
      </c>
      <c r="TT33" s="9" t="str">
        <f>VLOOKUP(AG33,'BUS 2'!$G$1:$CU$424,55,0)</f>
        <v/>
      </c>
      <c r="TU33" s="9" t="str">
        <f>VLOOKUP(AG33,'BUS 2'!$G$1:$CU$424,56,0)</f>
        <v/>
      </c>
      <c r="TV33" s="9" t="str">
        <f>VLOOKUP(AG33,'BUS 2'!$G$1:$CU$424,57,0)</f>
        <v/>
      </c>
      <c r="TW33" s="9" t="str">
        <f>VLOOKUP(AG33,'BUS 2'!$G$1:$CU$424,58,0)</f>
        <v/>
      </c>
      <c r="TX33" s="9" t="str">
        <f>VLOOKUP(AG33,'BUS 2'!$G$1:$CU$424,59,0)</f>
        <v/>
      </c>
      <c r="TY33" s="9" t="str">
        <f>VLOOKUP(AG33,'BUS 2'!$G$1:$CU$424,60,0)</f>
        <v/>
      </c>
      <c r="TZ33" s="9" t="str">
        <f>VLOOKUP(AG33,'BUS 2'!$G$1:$CU$424,61,0)</f>
        <v/>
      </c>
      <c r="UA33" s="9" t="str">
        <f>VLOOKUP(AG33,'BUS 2'!$G$1:$CU$424,62,0)</f>
        <v/>
      </c>
      <c r="UB33" s="9" t="str">
        <f>VLOOKUP(AG33,'BUS 2'!$G$1:$CU$424,63,0)</f>
        <v/>
      </c>
      <c r="UC33" s="9" t="str">
        <f>VLOOKUP(AG33,'BUS 2'!$G$1:$CU$424,64,0)</f>
        <v/>
      </c>
      <c r="UD33" s="9" t="str">
        <f>VLOOKUP(AG33,'BUS 2'!$G$1:$CU$424,65,0)</f>
        <v/>
      </c>
      <c r="UE33" s="9" t="str">
        <f>VLOOKUP(AG33,'BUS 2'!$G$1:$CU$424,66,0)</f>
        <v/>
      </c>
      <c r="UF33" s="9" t="str">
        <f>VLOOKUP(AG33,'BUS 2'!$G$1:$CU$424,67,0)</f>
        <v/>
      </c>
      <c r="UG33" s="9" t="str">
        <f>VLOOKUP(AG33,'BUS 2'!$G$1:$CU$424,68,0)</f>
        <v/>
      </c>
      <c r="UH33" s="9" t="str">
        <f>VLOOKUP(AG33,'BUS 2'!$G$1:$CU$424,69,0)</f>
        <v/>
      </c>
      <c r="UI33" s="9" t="str">
        <f>VLOOKUP(AG33,'BUS 2'!$G$1:$CU$424,70,0)</f>
        <v/>
      </c>
      <c r="UJ33" s="9" t="str">
        <f>VLOOKUP(AG33,'BUS 2'!$G$1:$CU$424,71,0)</f>
        <v/>
      </c>
      <c r="UK33" s="9" t="str">
        <f>VLOOKUP(AG33,'BUS 2'!$G$1:$CU$424,72,0)</f>
        <v/>
      </c>
      <c r="UL33" s="9" t="str">
        <f>VLOOKUP(AG33,'BUS 2'!$G$1:$CU$424,73,0)</f>
        <v/>
      </c>
      <c r="UM33" s="9" t="str">
        <f>VLOOKUP(AG33,'BUS 2'!$G$1:$CU$424,74,0)</f>
        <v/>
      </c>
      <c r="UN33" s="9" t="str">
        <f>VLOOKUP(AG33,'BUS 2'!$G$1:$CU$424,75,0)</f>
        <v/>
      </c>
      <c r="UO33" s="9" t="str">
        <f>VLOOKUP(AG33,'BUS 2'!$G$1:$CU$424,76,0)</f>
        <v/>
      </c>
      <c r="UP33" s="9" t="str">
        <f>VLOOKUP(AG33,'BUS 2'!$G$1:$CU$424,77,0)</f>
        <v/>
      </c>
      <c r="UQ33" s="9" t="str">
        <f>VLOOKUP(AG33,'BUS 2'!$G$1:$CU$424,78,0)</f>
        <v/>
      </c>
      <c r="UR33" s="9" t="str">
        <f>VLOOKUP(AG33,'BUS 2'!$G$1:$CU$424,79,0)</f>
        <v/>
      </c>
      <c r="US33" s="9" t="str">
        <f>VLOOKUP(AG33,'BUS 2'!$G$1:$CU$424,80,0)</f>
        <v/>
      </c>
      <c r="UT33" s="9" t="str">
        <f>VLOOKUP(AG33,'BUS 2'!$G$1:$CU$424,81,0)</f>
        <v/>
      </c>
      <c r="UU33" s="9"/>
      <c r="UV33" s="9" t="s">
        <v>901</v>
      </c>
      <c r="UW33" s="9"/>
      <c r="UX33" s="9"/>
      <c r="UY33" s="9"/>
      <c r="UZ33" s="9"/>
      <c r="VA33" s="9"/>
      <c r="VB33" s="9"/>
      <c r="VC33" s="9"/>
      <c r="VD33" s="9" t="s">
        <v>950</v>
      </c>
      <c r="VE33" s="9"/>
      <c r="VF33" s="9"/>
      <c r="VG33" s="9"/>
      <c r="VH33" s="9"/>
      <c r="VI33" s="9"/>
      <c r="VJ33" s="9"/>
      <c r="VK33" s="9"/>
      <c r="VL33" s="9" t="s">
        <v>1158</v>
      </c>
      <c r="VM33" s="9"/>
      <c r="VN33" s="9"/>
      <c r="VO33" s="9"/>
      <c r="VP33" s="9"/>
      <c r="VQ33" s="9"/>
      <c r="VR33" s="9"/>
      <c r="VS33" s="9"/>
      <c r="VT33" s="9"/>
      <c r="VU33" s="9"/>
      <c r="VV33" s="9"/>
      <c r="VW33" s="9"/>
      <c r="VX33" s="9"/>
      <c r="VY33" s="9"/>
      <c r="VZ33" s="9"/>
      <c r="WA33" s="9"/>
      <c r="WB33" s="9"/>
      <c r="WC33" s="9"/>
      <c r="WD33" s="9"/>
      <c r="WE33" s="9"/>
      <c r="WF33" s="9" t="s">
        <v>1303</v>
      </c>
      <c r="WG33" s="8">
        <v>0.0</v>
      </c>
      <c r="WH33" s="8">
        <v>0.0</v>
      </c>
      <c r="WI33" s="8">
        <v>0.0</v>
      </c>
      <c r="WJ33" s="8">
        <v>1.0</v>
      </c>
      <c r="WK33" s="8">
        <v>1.0</v>
      </c>
      <c r="WL33" s="8">
        <v>0.0</v>
      </c>
      <c r="WM33" s="8">
        <v>0.0</v>
      </c>
      <c r="WN33" s="8">
        <v>0.0</v>
      </c>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8">
        <v>2.0</v>
      </c>
      <c r="ZX33" s="9"/>
      <c r="ZY33" s="9"/>
      <c r="ZZ33" s="9"/>
      <c r="AAA33" s="9"/>
      <c r="AAB33" s="9"/>
      <c r="AAC33" s="9"/>
      <c r="AAD33" s="9"/>
      <c r="AAE33" s="9" t="s">
        <v>905</v>
      </c>
      <c r="AAF33" s="9"/>
      <c r="AAG33" s="9"/>
      <c r="AAH33" s="9"/>
      <c r="AAI33" s="9"/>
      <c r="AAJ33" s="9"/>
      <c r="AAK33" s="9"/>
      <c r="AAL33" s="9" t="s">
        <v>857</v>
      </c>
      <c r="AAM33" s="9" t="s">
        <v>1033</v>
      </c>
      <c r="AAN33" s="8">
        <v>1.0</v>
      </c>
      <c r="AAO33" s="8">
        <v>1.0</v>
      </c>
      <c r="AAP33" s="8">
        <v>60.0</v>
      </c>
      <c r="AAQ33" s="8">
        <v>60.0</v>
      </c>
      <c r="AAR33" s="9" t="s">
        <v>857</v>
      </c>
      <c r="AAS33" s="9" t="s">
        <v>867</v>
      </c>
      <c r="AAT33" s="9" t="s">
        <v>1074</v>
      </c>
      <c r="AAU33" s="8">
        <v>1.0</v>
      </c>
      <c r="AAV33" s="8">
        <v>0.0</v>
      </c>
      <c r="AAW33" s="8">
        <v>0.0</v>
      </c>
      <c r="AAX33" s="8">
        <v>1.0</v>
      </c>
      <c r="AAY33" s="8">
        <v>1.0</v>
      </c>
      <c r="AAZ33" s="8">
        <v>0.0</v>
      </c>
      <c r="ABA33" s="8">
        <v>0.0</v>
      </c>
      <c r="ABB33" s="9" t="s">
        <v>907</v>
      </c>
      <c r="ABC33" s="8">
        <v>1.0</v>
      </c>
      <c r="ABD33" s="8">
        <v>0.0</v>
      </c>
      <c r="ABE33" s="8">
        <v>0.0</v>
      </c>
      <c r="ABF33" s="8">
        <v>0.0</v>
      </c>
      <c r="ABG33" s="8">
        <v>0.0</v>
      </c>
      <c r="ABH33" s="9"/>
      <c r="ABI33" s="9"/>
      <c r="ABJ33" s="9"/>
      <c r="ABK33" s="9"/>
      <c r="ABL33" s="9"/>
      <c r="ABM33" s="9"/>
      <c r="ABN33" s="9"/>
      <c r="ABO33" s="9"/>
      <c r="ABP33" s="9"/>
      <c r="ABQ33" s="11" t="s">
        <v>908</v>
      </c>
      <c r="ABR33" s="9" t="s">
        <v>1075</v>
      </c>
      <c r="ABS33" s="8">
        <v>4000.0</v>
      </c>
      <c r="ABT33" s="8">
        <v>200.0</v>
      </c>
      <c r="ABU33" s="8">
        <v>60.0</v>
      </c>
      <c r="ABV33" s="8">
        <v>60.0</v>
      </c>
      <c r="ABW33" s="9" t="s">
        <v>1199</v>
      </c>
      <c r="ABX33" s="9"/>
      <c r="ABY33" s="8">
        <v>40.0</v>
      </c>
      <c r="ABZ33" s="8">
        <v>4000.0</v>
      </c>
      <c r="ACA33" s="8">
        <v>0.0</v>
      </c>
      <c r="ACB33" s="8">
        <v>4000.0</v>
      </c>
      <c r="ACC33" s="8">
        <v>600.0</v>
      </c>
      <c r="ACD33" s="8">
        <v>750.0</v>
      </c>
      <c r="ACE33" s="9" t="s">
        <v>857</v>
      </c>
      <c r="ACF33" s="9" t="s">
        <v>1183</v>
      </c>
      <c r="ACG33" s="9" t="s">
        <v>911</v>
      </c>
      <c r="ACH33" s="9" t="s">
        <v>911</v>
      </c>
      <c r="ACI33" s="9"/>
      <c r="ACJ33" s="9"/>
      <c r="ACK33" s="9" t="s">
        <v>1304</v>
      </c>
      <c r="ACL33" s="8">
        <v>0.0</v>
      </c>
      <c r="ACM33" s="8">
        <v>1.0</v>
      </c>
      <c r="ACN33" s="8">
        <v>1.0</v>
      </c>
      <c r="ACO33" s="8">
        <v>0.0</v>
      </c>
      <c r="ACP33" s="8">
        <v>0.0</v>
      </c>
      <c r="ACQ33" s="8">
        <v>0.0</v>
      </c>
      <c r="ACR33" s="8">
        <v>0.0</v>
      </c>
      <c r="ACS33" s="9"/>
      <c r="ACT33" s="9" t="s">
        <v>912</v>
      </c>
      <c r="ACU33" s="9" t="s">
        <v>1050</v>
      </c>
      <c r="ACV33" s="9" t="s">
        <v>957</v>
      </c>
      <c r="ACW33" s="9" t="s">
        <v>915</v>
      </c>
      <c r="ACX33" s="9" t="s">
        <v>916</v>
      </c>
      <c r="ACY33" s="9" t="s">
        <v>1035</v>
      </c>
      <c r="ACZ33" s="8">
        <v>1.0</v>
      </c>
      <c r="ADA33" s="8">
        <v>1.0</v>
      </c>
      <c r="ADB33" s="8">
        <v>0.0</v>
      </c>
      <c r="ADC33" s="8">
        <v>0.0</v>
      </c>
      <c r="ADD33" s="9" t="s">
        <v>1187</v>
      </c>
      <c r="ADE33" s="9" t="s">
        <v>1187</v>
      </c>
      <c r="ADF33" s="9" t="s">
        <v>1187</v>
      </c>
      <c r="ADG33" s="9" t="s">
        <v>1187</v>
      </c>
      <c r="ADH33" s="9" t="s">
        <v>881</v>
      </c>
      <c r="ADI33" s="9"/>
      <c r="ADJ33" s="9" t="s">
        <v>1187</v>
      </c>
      <c r="ADK33" s="9"/>
      <c r="ADL33" s="9"/>
      <c r="ADM33" s="9"/>
      <c r="ADN33" s="9"/>
      <c r="ADO33" s="9"/>
      <c r="ADP33" s="9"/>
      <c r="ADQ33" s="9"/>
      <c r="ADR33" s="9"/>
      <c r="ADS33" s="9"/>
      <c r="ADT33" s="9"/>
      <c r="ADU33" s="9" t="s">
        <v>919</v>
      </c>
      <c r="ADV33" s="8">
        <v>0.0</v>
      </c>
      <c r="ADW33" s="8">
        <v>0.0</v>
      </c>
      <c r="ADX33" s="8">
        <v>0.0</v>
      </c>
      <c r="ADY33" s="8">
        <v>0.0</v>
      </c>
      <c r="ADZ33" s="8">
        <v>1.0</v>
      </c>
      <c r="AEA33" s="8">
        <v>0.0</v>
      </c>
      <c r="AEB33" s="8">
        <v>0.0</v>
      </c>
      <c r="AEC33" s="8">
        <v>0.0</v>
      </c>
      <c r="AED33" s="12"/>
      <c r="AEE33" s="17" t="s">
        <v>872</v>
      </c>
      <c r="AEF33" s="9"/>
      <c r="AEG33" s="17" t="s">
        <v>920</v>
      </c>
      <c r="AEH33" s="9"/>
      <c r="AEI33" s="11" t="s">
        <v>917</v>
      </c>
      <c r="AEJ33" s="9" t="s">
        <v>871</v>
      </c>
      <c r="AEK33" s="17" t="s">
        <v>1108</v>
      </c>
      <c r="AEL33" s="18">
        <v>1.0</v>
      </c>
      <c r="AEM33" s="18">
        <v>1.0</v>
      </c>
      <c r="AEN33" s="18">
        <v>1.0</v>
      </c>
      <c r="AEO33" s="18">
        <v>1.0</v>
      </c>
      <c r="AEP33" s="18">
        <v>1.0</v>
      </c>
      <c r="AEQ33" s="18">
        <v>1.0</v>
      </c>
      <c r="AER33" s="18">
        <v>1.0</v>
      </c>
      <c r="AES33" s="18">
        <v>1.0</v>
      </c>
      <c r="AET33" s="18">
        <v>1.0</v>
      </c>
      <c r="AEU33" s="18">
        <v>0.0</v>
      </c>
      <c r="AEV33" s="18">
        <v>0.0</v>
      </c>
      <c r="AEW33" s="18">
        <v>0.0</v>
      </c>
      <c r="AEX33" s="9"/>
      <c r="AEY33" s="9" t="s">
        <v>1305</v>
      </c>
      <c r="AEZ33" s="9"/>
      <c r="AFA33" s="9" t="s">
        <v>1188</v>
      </c>
      <c r="AFB33" s="9"/>
      <c r="AFC33" s="9" t="s">
        <v>1306</v>
      </c>
      <c r="AFD33" s="16" t="s">
        <v>1307</v>
      </c>
      <c r="AFE33" s="9" t="s">
        <v>1308</v>
      </c>
      <c r="AFF33" s="16" t="s">
        <v>1309</v>
      </c>
      <c r="AFG33" s="9" t="s">
        <v>1137</v>
      </c>
      <c r="AFH33" s="9"/>
      <c r="AFI33" s="9"/>
    </row>
    <row r="34">
      <c r="A34" s="6">
        <v>46060.0</v>
      </c>
      <c r="B34" s="6">
        <v>46060.0</v>
      </c>
      <c r="C34" s="7" t="s">
        <v>837</v>
      </c>
      <c r="D34" s="7" t="s">
        <v>1310</v>
      </c>
      <c r="E34" s="8">
        <v>6.288985089009E12</v>
      </c>
      <c r="F34" s="9"/>
      <c r="G34" s="8">
        <v>-7.21392252</v>
      </c>
      <c r="H34" s="8">
        <v>110.2536774</v>
      </c>
      <c r="I34" s="9"/>
      <c r="J34" s="8">
        <v>4.73</v>
      </c>
      <c r="K34" s="9"/>
      <c r="L34" s="9"/>
      <c r="M34" s="8">
        <v>-7.21375052</v>
      </c>
      <c r="N34" s="8">
        <v>110.2533538</v>
      </c>
      <c r="O34" s="9"/>
      <c r="P34" s="8">
        <v>2.58</v>
      </c>
      <c r="Q34" s="9"/>
      <c r="R34" s="9" t="s">
        <v>839</v>
      </c>
      <c r="S34" s="9"/>
      <c r="T34" s="9"/>
      <c r="U34" s="9"/>
      <c r="V34" s="9"/>
      <c r="W34" s="9"/>
      <c r="X34" s="9"/>
      <c r="Y34" s="9"/>
      <c r="Z34" s="9"/>
      <c r="AA34" s="9"/>
      <c r="AB34" s="9"/>
      <c r="AC34" s="7" t="s">
        <v>1175</v>
      </c>
      <c r="AD34" s="7" t="s">
        <v>1176</v>
      </c>
      <c r="AE34" s="7" t="s">
        <v>1279</v>
      </c>
      <c r="AF34" s="9" t="s">
        <v>1178</v>
      </c>
      <c r="AG34" s="9" t="s">
        <v>1311</v>
      </c>
      <c r="AH34" s="8">
        <v>1.0</v>
      </c>
      <c r="AI34" s="9" t="s">
        <v>845</v>
      </c>
      <c r="AJ34" s="9" t="s">
        <v>846</v>
      </c>
      <c r="AK34" s="8">
        <v>51.0</v>
      </c>
      <c r="AL34" s="9" t="s">
        <v>847</v>
      </c>
      <c r="AM34" s="9" t="s">
        <v>848</v>
      </c>
      <c r="AN34" s="9" t="s">
        <v>1009</v>
      </c>
      <c r="AO34" s="9" t="s">
        <v>1168</v>
      </c>
      <c r="AP34" s="8">
        <v>0.0</v>
      </c>
      <c r="AQ34" s="8">
        <v>0.0</v>
      </c>
      <c r="AR34" s="8">
        <v>0.0</v>
      </c>
      <c r="AS34" s="8">
        <v>0.0</v>
      </c>
      <c r="AT34" s="8">
        <v>1.0</v>
      </c>
      <c r="AU34" s="8">
        <v>0.0</v>
      </c>
      <c r="AV34" s="8">
        <v>0.0</v>
      </c>
      <c r="AW34" s="8">
        <v>0.0</v>
      </c>
      <c r="AX34" s="9"/>
      <c r="AY34" s="9" t="s">
        <v>935</v>
      </c>
      <c r="AZ34" s="8">
        <v>0.0</v>
      </c>
      <c r="BA34" s="8">
        <v>1.0</v>
      </c>
      <c r="BB34" s="8">
        <v>0.0</v>
      </c>
      <c r="BC34" s="8">
        <v>0.0</v>
      </c>
      <c r="BD34" s="8">
        <v>0.0</v>
      </c>
      <c r="BE34" s="8">
        <v>0.0</v>
      </c>
      <c r="BF34" s="8">
        <v>0.0</v>
      </c>
      <c r="BG34" s="8">
        <v>0.0</v>
      </c>
      <c r="BH34" s="9"/>
      <c r="BI34" s="9" t="s">
        <v>1101</v>
      </c>
      <c r="BJ34" s="8">
        <v>2.0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2025.0</v>
      </c>
      <c r="CN34" s="9" t="s">
        <v>858</v>
      </c>
      <c r="CO34" s="9" t="s">
        <v>859</v>
      </c>
      <c r="CP34" s="9" t="s">
        <v>860</v>
      </c>
      <c r="CQ34" s="8">
        <v>0.0</v>
      </c>
      <c r="CR34" s="8">
        <v>0.0</v>
      </c>
      <c r="CS34" s="8">
        <v>0.0</v>
      </c>
      <c r="CT34" s="8">
        <v>0.0</v>
      </c>
      <c r="CU34" s="10">
        <v>1.0</v>
      </c>
      <c r="CV34" s="10">
        <v>0.0</v>
      </c>
      <c r="CW34" s="10">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8">
        <v>1.0</v>
      </c>
      <c r="DQ34" s="8">
        <v>0.0</v>
      </c>
      <c r="DR34" s="8">
        <v>0.0</v>
      </c>
      <c r="DS34" s="9"/>
      <c r="DT34" s="9"/>
      <c r="DU34" s="9"/>
      <c r="DV34" s="9" t="s">
        <v>857</v>
      </c>
      <c r="DW34" s="9"/>
      <c r="DX34" s="9"/>
      <c r="DY34" s="9"/>
      <c r="DZ34" s="9"/>
      <c r="EA34" s="9"/>
      <c r="EB34" s="9"/>
      <c r="EC34" s="9"/>
      <c r="ED34" s="9"/>
      <c r="EE34" s="9"/>
      <c r="EF34" s="9"/>
      <c r="EG34" s="9"/>
      <c r="EH34" s="9"/>
      <c r="EI34" s="9" t="s">
        <v>862</v>
      </c>
      <c r="EJ34" s="8">
        <v>0.0</v>
      </c>
      <c r="EK34" s="8">
        <v>0.0</v>
      </c>
      <c r="EL34" s="8">
        <v>0.0</v>
      </c>
      <c r="EM34" s="8">
        <v>1.0</v>
      </c>
      <c r="EN34" s="8">
        <v>0.0</v>
      </c>
      <c r="EO34" s="11"/>
      <c r="EP34" s="9" t="s">
        <v>863</v>
      </c>
      <c r="EQ34" s="9" t="s">
        <v>864</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869</v>
      </c>
      <c r="FI34" s="9" t="s">
        <v>867</v>
      </c>
      <c r="FJ34" s="9" t="s">
        <v>868</v>
      </c>
      <c r="FK34" s="9" t="s">
        <v>867</v>
      </c>
      <c r="FL34" s="9" t="s">
        <v>869</v>
      </c>
      <c r="FM34" s="9" t="s">
        <v>867</v>
      </c>
      <c r="FN34" s="9" t="s">
        <v>943</v>
      </c>
      <c r="FO34" s="9" t="s">
        <v>867</v>
      </c>
      <c r="FP34" s="9" t="s">
        <v>943</v>
      </c>
      <c r="FQ34" s="9" t="s">
        <v>867</v>
      </c>
      <c r="FR34" s="9" t="s">
        <v>857</v>
      </c>
      <c r="FS34" s="9" t="s">
        <v>867</v>
      </c>
      <c r="FT34" s="9" t="s">
        <v>871</v>
      </c>
      <c r="FU34" s="9" t="s">
        <v>989</v>
      </c>
      <c r="FV34" s="8">
        <v>1.0</v>
      </c>
      <c r="FW34" s="8">
        <v>1.0</v>
      </c>
      <c r="FX34" s="8">
        <v>0.0</v>
      </c>
      <c r="FY34" s="8">
        <v>0.0</v>
      </c>
      <c r="FZ34" s="9" t="s">
        <v>873</v>
      </c>
      <c r="GA34" s="9" t="s">
        <v>874</v>
      </c>
      <c r="GB34" s="8">
        <v>1.0</v>
      </c>
      <c r="GC34" s="8">
        <v>0.0</v>
      </c>
      <c r="GD34" s="8">
        <v>0.0</v>
      </c>
      <c r="GE34" s="8">
        <v>0.0</v>
      </c>
      <c r="GF34" s="9"/>
      <c r="GG34" s="9" t="s">
        <v>875</v>
      </c>
      <c r="GH34" s="9" t="s">
        <v>857</v>
      </c>
      <c r="GI34" s="9" t="s">
        <v>1312</v>
      </c>
      <c r="GJ34" s="8">
        <v>0.0</v>
      </c>
      <c r="GK34" s="8">
        <v>0.0</v>
      </c>
      <c r="GL34" s="8">
        <v>1.0</v>
      </c>
      <c r="GM34" s="8">
        <v>0.0</v>
      </c>
      <c r="GN34" s="9"/>
      <c r="GO34" s="8">
        <v>9.0</v>
      </c>
      <c r="GP34" s="9" t="s">
        <v>877</v>
      </c>
      <c r="GQ34" s="9" t="s">
        <v>878</v>
      </c>
      <c r="GR34" s="8">
        <v>1.0</v>
      </c>
      <c r="GS34" s="8">
        <v>1.0</v>
      </c>
      <c r="GT34" s="8">
        <v>0.0</v>
      </c>
      <c r="GU34" s="8">
        <v>0.0</v>
      </c>
      <c r="GV34" s="8">
        <v>0.0</v>
      </c>
      <c r="GW34" s="8">
        <v>0.0</v>
      </c>
      <c r="GX34" s="8">
        <v>0.0</v>
      </c>
      <c r="GY34" s="9"/>
      <c r="GZ34" s="9" t="s">
        <v>857</v>
      </c>
      <c r="HA34" s="8">
        <v>15.0</v>
      </c>
      <c r="HB34" s="8">
        <v>150000.0</v>
      </c>
      <c r="HC34" s="8">
        <v>5.0</v>
      </c>
      <c r="HD34" s="8">
        <v>50000.0</v>
      </c>
      <c r="HE34" s="8">
        <v>9.0</v>
      </c>
      <c r="HF34" s="8">
        <v>75000.0</v>
      </c>
      <c r="HG34" s="8">
        <v>3.0</v>
      </c>
      <c r="HH34" s="8">
        <v>25000.0</v>
      </c>
      <c r="HI34" s="9"/>
      <c r="HJ34" s="9"/>
      <c r="HK34" s="9"/>
      <c r="HL34" s="9"/>
      <c r="HM34" s="9"/>
      <c r="HN34" s="9"/>
      <c r="HO34" s="9"/>
      <c r="HP34" s="9"/>
      <c r="HQ34" s="9"/>
      <c r="HR34" s="9"/>
      <c r="HS34" s="9"/>
      <c r="HT34" s="9"/>
      <c r="HU34" s="9"/>
      <c r="HV34" s="9"/>
      <c r="HW34" s="9"/>
      <c r="HX34" s="9"/>
      <c r="HY34" s="8">
        <v>10.0</v>
      </c>
      <c r="HZ34" s="8">
        <v>100000.0</v>
      </c>
      <c r="IA34" s="8">
        <v>6.0</v>
      </c>
      <c r="IB34" s="8">
        <v>50000.0</v>
      </c>
      <c r="IC34" s="9"/>
      <c r="ID34" s="9"/>
      <c r="IE34" s="9"/>
      <c r="IF34" s="9"/>
      <c r="IG34" s="9"/>
      <c r="IH34" s="9"/>
      <c r="II34" s="9"/>
      <c r="IJ34" s="9"/>
      <c r="IK34" s="9" t="s">
        <v>879</v>
      </c>
      <c r="IL34" s="9" t="s">
        <v>880</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999</v>
      </c>
      <c r="KW34" s="8">
        <v>0.0</v>
      </c>
      <c r="KX34" s="8">
        <v>0.0</v>
      </c>
      <c r="KY34" s="8">
        <v>0.0</v>
      </c>
      <c r="KZ34" s="8">
        <v>1.0</v>
      </c>
      <c r="LA34" s="9" t="s">
        <v>1180</v>
      </c>
      <c r="LB34" s="9" t="s">
        <v>884</v>
      </c>
      <c r="LC34" s="8">
        <v>0.0</v>
      </c>
      <c r="LD34" s="8">
        <v>3.0</v>
      </c>
      <c r="LE34" s="8">
        <v>0.0</v>
      </c>
      <c r="LF34" s="8">
        <v>3.0</v>
      </c>
      <c r="LG34" s="9" t="s">
        <v>857</v>
      </c>
      <c r="LH34" s="8">
        <v>100000.0</v>
      </c>
      <c r="LI34" s="9"/>
      <c r="LJ34" s="9" t="s">
        <v>887</v>
      </c>
      <c r="LK34" s="8">
        <v>0.0</v>
      </c>
      <c r="LL34" s="8">
        <v>0.0</v>
      </c>
      <c r="LM34" s="8">
        <v>0.0</v>
      </c>
      <c r="LN34" s="8">
        <v>0.0</v>
      </c>
      <c r="LO34" s="8">
        <v>1.0</v>
      </c>
      <c r="LP34" s="8">
        <v>0.0</v>
      </c>
      <c r="LQ34" s="8">
        <v>0.0</v>
      </c>
      <c r="LR34" s="9"/>
      <c r="LS34" s="8">
        <v>15.0</v>
      </c>
      <c r="LT34" s="8">
        <v>15.0</v>
      </c>
      <c r="LU34" s="8">
        <v>0.0</v>
      </c>
      <c r="LV34" s="8">
        <v>5.0</v>
      </c>
      <c r="LW34" s="8">
        <v>5.0</v>
      </c>
      <c r="LX34" s="8">
        <v>0.0</v>
      </c>
      <c r="LY34" s="8">
        <v>7.0</v>
      </c>
      <c r="LZ34" s="8">
        <v>7.0</v>
      </c>
      <c r="MA34" s="8">
        <v>0.0</v>
      </c>
      <c r="MB34" s="9" t="s">
        <v>857</v>
      </c>
      <c r="MC34" s="8">
        <v>30.0</v>
      </c>
      <c r="MD34" s="8">
        <v>15.0</v>
      </c>
      <c r="ME34" s="8">
        <v>30.0</v>
      </c>
      <c r="MF34" s="8">
        <v>15.0</v>
      </c>
      <c r="MG34" s="8">
        <v>0.0</v>
      </c>
      <c r="MH34" s="8">
        <v>0.0</v>
      </c>
      <c r="MI34" s="9" t="s">
        <v>946</v>
      </c>
      <c r="MJ34" s="8">
        <v>0.0</v>
      </c>
      <c r="MK34" s="8">
        <v>0.0</v>
      </c>
      <c r="ML34" s="8">
        <v>1.0</v>
      </c>
      <c r="MM34" s="8">
        <v>0.0</v>
      </c>
      <c r="MN34" s="8">
        <v>0.0</v>
      </c>
      <c r="MO34" s="8">
        <v>0.0</v>
      </c>
      <c r="MP34" s="9"/>
      <c r="MQ34" s="9"/>
      <c r="MR34" s="9" t="s">
        <v>1313</v>
      </c>
      <c r="MS34" s="9"/>
      <c r="MT34" s="9" t="s">
        <v>972</v>
      </c>
      <c r="MU34" s="9" t="s">
        <v>881</v>
      </c>
      <c r="MV34" s="9"/>
      <c r="MW34" s="9"/>
      <c r="MX34" s="9"/>
      <c r="MY34" s="9"/>
      <c r="MZ34" s="9"/>
      <c r="NA34" s="9"/>
      <c r="NB34" s="9"/>
      <c r="NC34" s="9"/>
      <c r="ND34" s="9"/>
      <c r="NE34" s="9"/>
      <c r="NF34" s="9"/>
      <c r="NG34" s="9"/>
      <c r="NH34" s="9"/>
      <c r="NI34" s="9"/>
      <c r="NJ34" s="9"/>
      <c r="NK34" s="9"/>
      <c r="NL34" s="9" t="s">
        <v>857</v>
      </c>
      <c r="NM34" s="9" t="s">
        <v>893</v>
      </c>
      <c r="NN34" s="9" t="s">
        <v>993</v>
      </c>
      <c r="NO34" s="9" t="s">
        <v>994</v>
      </c>
      <c r="NP34" s="9"/>
      <c r="NQ34" s="9"/>
      <c r="NR34" s="9"/>
      <c r="NS34" s="9"/>
      <c r="NT34" s="9"/>
      <c r="NU34" s="9"/>
      <c r="NV34" s="9" t="s">
        <v>896</v>
      </c>
      <c r="NW34" s="9"/>
      <c r="NX34" s="9" t="s">
        <v>897</v>
      </c>
      <c r="NY34" s="8">
        <v>40.0</v>
      </c>
      <c r="NZ34" s="8">
        <v>10.0</v>
      </c>
      <c r="OA34" s="8">
        <v>0.0</v>
      </c>
      <c r="OB34" s="8">
        <v>5.0</v>
      </c>
      <c r="OC34" s="8">
        <v>5.0</v>
      </c>
      <c r="OD34" s="8">
        <v>0.0</v>
      </c>
      <c r="OE34" s="9" t="s">
        <v>1180</v>
      </c>
      <c r="OF34" s="9" t="s">
        <v>1184</v>
      </c>
      <c r="OG34" s="9" t="s">
        <v>857</v>
      </c>
      <c r="OH34" s="8">
        <v>0.0</v>
      </c>
      <c r="OI34" s="8">
        <v>3.0</v>
      </c>
      <c r="OJ34" s="8">
        <v>0.0</v>
      </c>
      <c r="OK34" s="8">
        <v>0.0</v>
      </c>
      <c r="OL34" s="8">
        <v>0.0</v>
      </c>
      <c r="OM34" s="8">
        <v>0.0</v>
      </c>
      <c r="ON34" s="8">
        <v>0.0</v>
      </c>
      <c r="OO34" s="8">
        <v>0.0</v>
      </c>
      <c r="OP34" s="9" t="str">
        <f>VLOOKUP(AG34,'BUS 2'!$G$1:$CU$424,2,0)</f>
        <v>Sapi perah</v>
      </c>
      <c r="OQ34" s="8">
        <f>VLOOKUP(AG34,'BUS 2'!$G$1:$CU$424,3,0)</f>
        <v>0</v>
      </c>
      <c r="OR34" s="8">
        <f>VLOOKUP(AG34,'BUS 2'!$G$1:$CU$424,4,0)</f>
        <v>1</v>
      </c>
      <c r="OS34" s="8">
        <f>VLOOKUP(AG34,'BUS 2'!$G$1:$CU$424,5,0)</f>
        <v>0</v>
      </c>
      <c r="OT34" s="8">
        <f>VLOOKUP(AG34,'BUS 2'!$G$1:$CU$424,6,0)</f>
        <v>0</v>
      </c>
      <c r="OU34" s="8">
        <f>VLOOKUP(AG34,'BUS 2'!$G$1:$CU$424,7,0)</f>
        <v>0</v>
      </c>
      <c r="OV34" s="8">
        <f>VLOOKUP(AG34,'BUS 2'!$G$1:$CU$424,8,0)</f>
        <v>0</v>
      </c>
      <c r="OW34" s="8">
        <f>VLOOKUP(AG34,'BUS 2'!$G$1:$CU$424,9,0)</f>
        <v>0</v>
      </c>
      <c r="OX34" s="8">
        <f>VLOOKUP(AG34,'BUS 2'!$G$1:$CU$424,10,0)</f>
        <v>0</v>
      </c>
      <c r="OY34" s="8">
        <f>VLOOKUP(AG34,'BUS 2'!$G$1:$CU$424,11,0)</f>
        <v>0</v>
      </c>
      <c r="OZ34" s="8" t="str">
        <f>VLOOKUP(AG34,'BUS 2'!$G$1:$CU$424,12,0)</f>
        <v>Sapi perah</v>
      </c>
      <c r="PA34" s="8">
        <f>VLOOKUP(AG34,'BUS 2'!$G$1:$CU$424,13,0)</f>
        <v>0</v>
      </c>
      <c r="PB34" s="8">
        <f>VLOOKUP(AG34,'BUS 2'!$G$1:$CU$424,14,0)</f>
        <v>1</v>
      </c>
      <c r="PC34" s="8">
        <f>VLOOKUP(AG34,'BUS 2'!$G$1:$CU$424,15,0)</f>
        <v>0</v>
      </c>
      <c r="PD34" s="8">
        <f>VLOOKUP(AG34,'BUS 2'!$G$1:$CU$424,16,0)</f>
        <v>0</v>
      </c>
      <c r="PE34" s="8">
        <f>VLOOKUP(AG34,'BUS 2'!$G$1:$CU$424,17,0)</f>
        <v>0</v>
      </c>
      <c r="PF34" s="8">
        <f>VLOOKUP(AG34,'BUS 2'!$G$1:$CU$424,18,0)</f>
        <v>0</v>
      </c>
      <c r="PG34" s="8">
        <f>VLOOKUP(AG34,'BUS 2'!$G$1:$CU$424,19,0)</f>
        <v>0</v>
      </c>
      <c r="PH34" s="8">
        <f>VLOOKUP(AG34,'BUS 2'!$G$1:$CU$424,20,0)</f>
        <v>0</v>
      </c>
      <c r="PI34" s="8">
        <f>VLOOKUP(AG34,'BUS 2'!$G$1:$CU$424,21,0)</f>
        <v>0</v>
      </c>
      <c r="PJ34" s="8" t="str">
        <f>VLOOKUP(AG34,'BUS 2'!$G$1:$CU$424,22,0)</f>
        <v>Tidak ada</v>
      </c>
      <c r="PK34" s="8">
        <f>VLOOKUP(AG34,'BUS 2'!$G$1:$CU$424,23,0)</f>
        <v>0</v>
      </c>
      <c r="PL34" s="8">
        <f>VLOOKUP(AG34,'BUS 2'!$G$1:$CU$424,24,0)</f>
        <v>0</v>
      </c>
      <c r="PM34" s="8">
        <f>VLOOKUP(AG34,'BUS 2'!$G$1:$CU$424,25,0)</f>
        <v>0</v>
      </c>
      <c r="PN34" s="8">
        <f>VLOOKUP(AG34,'BUS 2'!$G$1:$CU$424,26,0)</f>
        <v>0</v>
      </c>
      <c r="PO34" s="8">
        <f>VLOOKUP(AG34,'BUS 2'!$G$1:$CU$424,27,0)</f>
        <v>0</v>
      </c>
      <c r="PP34" s="8">
        <f>VLOOKUP(AG34,'BUS 2'!$G$1:$CU$424,28,0)</f>
        <v>0</v>
      </c>
      <c r="PQ34" s="8">
        <f>VLOOKUP(AG34,'BUS 2'!$G$1:$CU$424,29,0)</f>
        <v>0</v>
      </c>
      <c r="PR34" s="8">
        <f>VLOOKUP(AG34,'BUS 2'!$G$1:$CU$424,30,0)</f>
        <v>0</v>
      </c>
      <c r="PS34" s="8">
        <f>VLOOKUP(AG34,'BUS 2'!$G$1:$CU$424,31,0)</f>
        <v>1</v>
      </c>
      <c r="PT34" s="9"/>
      <c r="PU34" s="9"/>
      <c r="PV34" s="9"/>
      <c r="PW34" s="9"/>
      <c r="PX34" s="9"/>
      <c r="PY34" s="9"/>
      <c r="PZ34" s="9"/>
      <c r="QA34" s="9"/>
      <c r="QB34" s="9"/>
      <c r="QC34" s="9"/>
      <c r="QD34" s="9"/>
      <c r="QE34" s="9" t="s">
        <v>900</v>
      </c>
      <c r="QF34" s="8">
        <v>0.0</v>
      </c>
      <c r="QG34" s="8">
        <v>0.0</v>
      </c>
      <c r="QH34" s="8">
        <v>0.0</v>
      </c>
      <c r="QI34" s="8">
        <v>0.0</v>
      </c>
      <c r="QJ34" s="8">
        <v>0.0</v>
      </c>
      <c r="QK34" s="8">
        <v>1.0</v>
      </c>
      <c r="QL34" s="8">
        <v>0.0</v>
      </c>
      <c r="QM34" s="8">
        <v>0.0</v>
      </c>
      <c r="QN34" s="8">
        <v>0.0</v>
      </c>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8" t="str">
        <f>VLOOKUP(AG34,'BUS 2'!$G$1:$CU$424,33,0)</f>
        <v/>
      </c>
      <c r="SZ34" s="9">
        <f>VLOOKUP(AG34,'BUS 2'!$G$1:$CU$424,34,0)</f>
        <v>3</v>
      </c>
      <c r="TA34" s="9" t="str">
        <f>VLOOKUP(AG34,'BUS 2'!$G$1:$CU$424,35,0)</f>
        <v/>
      </c>
      <c r="TB34" s="9" t="str">
        <f>VLOOKUP(AG34,'BUS 2'!$G$1:$CU$424,36,0)</f>
        <v/>
      </c>
      <c r="TC34" s="9" t="str">
        <f>VLOOKUP(AG34,'BUS 2'!$G$1:$CU$424,37,0)</f>
        <v/>
      </c>
      <c r="TD34" s="9" t="str">
        <f>VLOOKUP(AG34,'BUS 2'!$G$1:$CU$424,38,0)</f>
        <v/>
      </c>
      <c r="TE34" s="9" t="str">
        <f>VLOOKUP(AG34,'BUS 2'!$G$1:$CU$424,39,0)</f>
        <v/>
      </c>
      <c r="TF34" s="9" t="str">
        <f>VLOOKUP(AG34,'BUS 2'!$G$1:$CU$424,40,0)</f>
        <v/>
      </c>
      <c r="TG34" s="8" t="str">
        <f>VLOOKUP(AG34,'BUS 2'!$G$1:$CU$424,42,0)</f>
        <v/>
      </c>
      <c r="TH34" s="8">
        <f>VLOOKUP(AG34,'BUS 2'!$G$1:$CU$424,43,0)</f>
        <v>3</v>
      </c>
      <c r="TI34" s="8" t="str">
        <f>VLOOKUP(AG34,'BUS 2'!$G$1:$CU$424,44,0)</f>
        <v/>
      </c>
      <c r="TJ34" s="8" t="str">
        <f>VLOOKUP(AG34,'BUS 2'!$G$1:$CU$424,45,0)</f>
        <v/>
      </c>
      <c r="TK34" s="8" t="str">
        <f>VLOOKUP(AG34,'BUS 2'!$G$1:$CU$424,46,0)</f>
        <v/>
      </c>
      <c r="TL34" s="8" t="str">
        <f>VLOOKUP(AG34,'BUS 2'!$G$1:$CU$424,47,0)</f>
        <v/>
      </c>
      <c r="TM34" s="8" t="str">
        <f>VLOOKUP(AG34,'BUS 2'!$G$1:$CU$424,48,0)</f>
        <v/>
      </c>
      <c r="TN34" s="8" t="str">
        <f>VLOOKUP(AG34,'BUS 2'!$G$1:$CU$424,49,0)</f>
        <v/>
      </c>
      <c r="TO34" s="8" t="str">
        <f>VLOOKUP(AG34,'BUS 2'!$G$1:$CU$424,50,0)</f>
        <v/>
      </c>
      <c r="TP34" s="8" t="str">
        <f>VLOOKUP(AG34,'BUS 2'!$G$1:$CU$424,51,0)</f>
        <v/>
      </c>
      <c r="TQ34" s="8" t="str">
        <f>VLOOKUP(AG34,'BUS 2'!$G$1:$CU$424,52,0)</f>
        <v/>
      </c>
      <c r="TR34" s="8" t="str">
        <f>VLOOKUP(AG34,'BUS 2'!$G$1:$CU$424,53,0)</f>
        <v/>
      </c>
      <c r="TS34" s="9" t="str">
        <f>VLOOKUP(AG34,'BUS 2'!$G$1:$CU$424,54,0)</f>
        <v/>
      </c>
      <c r="TT34" s="9" t="str">
        <f>VLOOKUP(AG34,'BUS 2'!$G$1:$CU$424,55,0)</f>
        <v/>
      </c>
      <c r="TU34" s="9" t="str">
        <f>VLOOKUP(AG34,'BUS 2'!$G$1:$CU$424,56,0)</f>
        <v/>
      </c>
      <c r="TV34" s="9" t="str">
        <f>VLOOKUP(AG34,'BUS 2'!$G$1:$CU$424,57,0)</f>
        <v/>
      </c>
      <c r="TW34" s="9" t="str">
        <f>VLOOKUP(AG34,'BUS 2'!$G$1:$CU$424,58,0)</f>
        <v/>
      </c>
      <c r="TX34" s="9" t="str">
        <f>VLOOKUP(AG34,'BUS 2'!$G$1:$CU$424,59,0)</f>
        <v/>
      </c>
      <c r="TY34" s="9" t="str">
        <f>VLOOKUP(AG34,'BUS 2'!$G$1:$CU$424,60,0)</f>
        <v/>
      </c>
      <c r="TZ34" s="9" t="str">
        <f>VLOOKUP(AG34,'BUS 2'!$G$1:$CU$424,61,0)</f>
        <v/>
      </c>
      <c r="UA34" s="9" t="str">
        <f>VLOOKUP(AG34,'BUS 2'!$G$1:$CU$424,62,0)</f>
        <v/>
      </c>
      <c r="UB34" s="9" t="str">
        <f>VLOOKUP(AG34,'BUS 2'!$G$1:$CU$424,63,0)</f>
        <v/>
      </c>
      <c r="UC34" s="9" t="str">
        <f>VLOOKUP(AG34,'BUS 2'!$G$1:$CU$424,64,0)</f>
        <v/>
      </c>
      <c r="UD34" s="9" t="str">
        <f>VLOOKUP(AG34,'BUS 2'!$G$1:$CU$424,65,0)</f>
        <v/>
      </c>
      <c r="UE34" s="9" t="str">
        <f>VLOOKUP(AG34,'BUS 2'!$G$1:$CU$424,66,0)</f>
        <v/>
      </c>
      <c r="UF34" s="9" t="str">
        <f>VLOOKUP(AG34,'BUS 2'!$G$1:$CU$424,67,0)</f>
        <v/>
      </c>
      <c r="UG34" s="9" t="str">
        <f>VLOOKUP(AG34,'BUS 2'!$G$1:$CU$424,68,0)</f>
        <v/>
      </c>
      <c r="UH34" s="9" t="str">
        <f>VLOOKUP(AG34,'BUS 2'!$G$1:$CU$424,69,0)</f>
        <v/>
      </c>
      <c r="UI34" s="9" t="str">
        <f>VLOOKUP(AG34,'BUS 2'!$G$1:$CU$424,70,0)</f>
        <v/>
      </c>
      <c r="UJ34" s="9" t="str">
        <f>VLOOKUP(AG34,'BUS 2'!$G$1:$CU$424,71,0)</f>
        <v/>
      </c>
      <c r="UK34" s="9" t="str">
        <f>VLOOKUP(AG34,'BUS 2'!$G$1:$CU$424,72,0)</f>
        <v/>
      </c>
      <c r="UL34" s="9" t="str">
        <f>VLOOKUP(AG34,'BUS 2'!$G$1:$CU$424,73,0)</f>
        <v/>
      </c>
      <c r="UM34" s="9" t="str">
        <f>VLOOKUP(AG34,'BUS 2'!$G$1:$CU$424,74,0)</f>
        <v/>
      </c>
      <c r="UN34" s="9" t="str">
        <f>VLOOKUP(AG34,'BUS 2'!$G$1:$CU$424,75,0)</f>
        <v/>
      </c>
      <c r="UO34" s="9" t="str">
        <f>VLOOKUP(AG34,'BUS 2'!$G$1:$CU$424,76,0)</f>
        <v/>
      </c>
      <c r="UP34" s="9" t="str">
        <f>VLOOKUP(AG34,'BUS 2'!$G$1:$CU$424,77,0)</f>
        <v/>
      </c>
      <c r="UQ34" s="9" t="str">
        <f>VLOOKUP(AG34,'BUS 2'!$G$1:$CU$424,78,0)</f>
        <v/>
      </c>
      <c r="UR34" s="9" t="str">
        <f>VLOOKUP(AG34,'BUS 2'!$G$1:$CU$424,79,0)</f>
        <v/>
      </c>
      <c r="US34" s="9" t="str">
        <f>VLOOKUP(AG34,'BUS 2'!$G$1:$CU$424,80,0)</f>
        <v/>
      </c>
      <c r="UT34" s="9" t="str">
        <f>VLOOKUP(AG34,'BUS 2'!$G$1:$CU$424,81,0)</f>
        <v/>
      </c>
      <c r="UU34" s="9"/>
      <c r="UV34" s="9" t="s">
        <v>901</v>
      </c>
      <c r="UW34" s="9"/>
      <c r="UX34" s="9"/>
      <c r="UY34" s="9"/>
      <c r="UZ34" s="9"/>
      <c r="VA34" s="9"/>
      <c r="VB34" s="9"/>
      <c r="VC34" s="9"/>
      <c r="VD34" s="9" t="s">
        <v>950</v>
      </c>
      <c r="VE34" s="9"/>
      <c r="VF34" s="9"/>
      <c r="VG34" s="9"/>
      <c r="VH34" s="9"/>
      <c r="VI34" s="9"/>
      <c r="VJ34" s="9"/>
      <c r="VK34" s="9"/>
      <c r="VL34" s="9" t="s">
        <v>903</v>
      </c>
      <c r="VM34" s="9"/>
      <c r="VN34" s="9"/>
      <c r="VO34" s="9"/>
      <c r="VP34" s="9"/>
      <c r="VQ34" s="9"/>
      <c r="VR34" s="9"/>
      <c r="VS34" s="9"/>
      <c r="VT34" s="9"/>
      <c r="VU34" s="9"/>
      <c r="VV34" s="9"/>
      <c r="VW34" s="9"/>
      <c r="VX34" s="9"/>
      <c r="VY34" s="9"/>
      <c r="VZ34" s="9"/>
      <c r="WA34" s="9"/>
      <c r="WB34" s="9"/>
      <c r="WC34" s="9"/>
      <c r="WD34" s="9"/>
      <c r="WE34" s="9"/>
      <c r="WF34" s="9" t="s">
        <v>1303</v>
      </c>
      <c r="WG34" s="8">
        <v>0.0</v>
      </c>
      <c r="WH34" s="8">
        <v>0.0</v>
      </c>
      <c r="WI34" s="8">
        <v>0.0</v>
      </c>
      <c r="WJ34" s="8">
        <v>1.0</v>
      </c>
      <c r="WK34" s="8">
        <v>1.0</v>
      </c>
      <c r="WL34" s="8">
        <v>0.0</v>
      </c>
      <c r="WM34" s="8">
        <v>0.0</v>
      </c>
      <c r="WN34" s="8">
        <v>0.0</v>
      </c>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8">
        <v>2.0</v>
      </c>
      <c r="ZX34" s="9"/>
      <c r="ZY34" s="9"/>
      <c r="ZZ34" s="9"/>
      <c r="AAA34" s="9"/>
      <c r="AAB34" s="9"/>
      <c r="AAC34" s="9"/>
      <c r="AAD34" s="9"/>
      <c r="AAE34" s="9" t="s">
        <v>1186</v>
      </c>
      <c r="AAF34" s="9"/>
      <c r="AAG34" s="9"/>
      <c r="AAH34" s="9"/>
      <c r="AAI34" s="9"/>
      <c r="AAJ34" s="9"/>
      <c r="AAK34" s="9"/>
      <c r="AAL34" s="9" t="s">
        <v>857</v>
      </c>
      <c r="AAM34" s="9" t="s">
        <v>1033</v>
      </c>
      <c r="AAN34" s="8">
        <v>1.0</v>
      </c>
      <c r="AAO34" s="8">
        <v>1.0</v>
      </c>
      <c r="AAP34" s="8">
        <v>60.0</v>
      </c>
      <c r="AAQ34" s="8">
        <v>60.0</v>
      </c>
      <c r="AAR34" s="9" t="s">
        <v>857</v>
      </c>
      <c r="AAS34" s="9" t="s">
        <v>867</v>
      </c>
      <c r="AAT34" s="9" t="s">
        <v>1074</v>
      </c>
      <c r="AAU34" s="8">
        <v>1.0</v>
      </c>
      <c r="AAV34" s="8">
        <v>0.0</v>
      </c>
      <c r="AAW34" s="8">
        <v>0.0</v>
      </c>
      <c r="AAX34" s="8">
        <v>1.0</v>
      </c>
      <c r="AAY34" s="8">
        <v>1.0</v>
      </c>
      <c r="AAZ34" s="8">
        <v>0.0</v>
      </c>
      <c r="ABA34" s="8">
        <v>0.0</v>
      </c>
      <c r="ABB34" s="9" t="s">
        <v>907</v>
      </c>
      <c r="ABC34" s="8">
        <v>1.0</v>
      </c>
      <c r="ABD34" s="8">
        <v>0.0</v>
      </c>
      <c r="ABE34" s="8">
        <v>0.0</v>
      </c>
      <c r="ABF34" s="8">
        <v>0.0</v>
      </c>
      <c r="ABG34" s="8">
        <v>0.0</v>
      </c>
      <c r="ABH34" s="9"/>
      <c r="ABI34" s="9"/>
      <c r="ABJ34" s="9"/>
      <c r="ABK34" s="9"/>
      <c r="ABL34" s="9"/>
      <c r="ABM34" s="9"/>
      <c r="ABN34" s="9"/>
      <c r="ABO34" s="9"/>
      <c r="ABP34" s="9"/>
      <c r="ABQ34" s="11" t="s">
        <v>908</v>
      </c>
      <c r="ABR34" s="9" t="s">
        <v>1075</v>
      </c>
      <c r="ABS34" s="8">
        <v>5000.0</v>
      </c>
      <c r="ABT34" s="8">
        <v>300.0</v>
      </c>
      <c r="ABU34" s="8">
        <v>60.0</v>
      </c>
      <c r="ABV34" s="8">
        <v>60.0</v>
      </c>
      <c r="ABW34" s="9" t="s">
        <v>1199</v>
      </c>
      <c r="ABX34" s="9"/>
      <c r="ABY34" s="8">
        <v>30.0</v>
      </c>
      <c r="ABZ34" s="8">
        <v>4000.0</v>
      </c>
      <c r="ACA34" s="8">
        <v>0.0</v>
      </c>
      <c r="ACB34" s="8">
        <v>4000.0</v>
      </c>
      <c r="ACC34" s="8">
        <v>500.0</v>
      </c>
      <c r="ACD34" s="8">
        <v>750.0</v>
      </c>
      <c r="ACE34" s="9" t="s">
        <v>857</v>
      </c>
      <c r="ACF34" s="9" t="s">
        <v>911</v>
      </c>
      <c r="ACG34" s="9" t="s">
        <v>911</v>
      </c>
      <c r="ACH34" s="9" t="s">
        <v>911</v>
      </c>
      <c r="ACI34" s="9"/>
      <c r="ACJ34" s="9"/>
      <c r="ACK34" s="9" t="s">
        <v>1304</v>
      </c>
      <c r="ACL34" s="8">
        <v>0.0</v>
      </c>
      <c r="ACM34" s="8">
        <v>1.0</v>
      </c>
      <c r="ACN34" s="8">
        <v>1.0</v>
      </c>
      <c r="ACO34" s="8">
        <v>0.0</v>
      </c>
      <c r="ACP34" s="8">
        <v>0.0</v>
      </c>
      <c r="ACQ34" s="8">
        <v>0.0</v>
      </c>
      <c r="ACR34" s="8">
        <v>0.0</v>
      </c>
      <c r="ACS34" s="9"/>
      <c r="ACT34" s="9" t="s">
        <v>912</v>
      </c>
      <c r="ACU34" s="9" t="s">
        <v>1050</v>
      </c>
      <c r="ACV34" s="9" t="s">
        <v>957</v>
      </c>
      <c r="ACW34" s="9" t="s">
        <v>915</v>
      </c>
      <c r="ACX34" s="9" t="s">
        <v>916</v>
      </c>
      <c r="ACY34" s="9" t="s">
        <v>1035</v>
      </c>
      <c r="ACZ34" s="8">
        <v>1.0</v>
      </c>
      <c r="ADA34" s="8">
        <v>1.0</v>
      </c>
      <c r="ADB34" s="8">
        <v>0.0</v>
      </c>
      <c r="ADC34" s="8">
        <v>0.0</v>
      </c>
      <c r="ADD34" s="9" t="s">
        <v>1187</v>
      </c>
      <c r="ADE34" s="9" t="s">
        <v>1187</v>
      </c>
      <c r="ADF34" s="9" t="s">
        <v>1187</v>
      </c>
      <c r="ADG34" s="9" t="s">
        <v>1187</v>
      </c>
      <c r="ADH34" s="9" t="s">
        <v>881</v>
      </c>
      <c r="ADI34" s="9"/>
      <c r="ADJ34" s="9" t="s">
        <v>1187</v>
      </c>
      <c r="ADK34" s="9"/>
      <c r="ADL34" s="9"/>
      <c r="ADM34" s="9"/>
      <c r="ADN34" s="9"/>
      <c r="ADO34" s="9"/>
      <c r="ADP34" s="9"/>
      <c r="ADQ34" s="9"/>
      <c r="ADR34" s="9"/>
      <c r="ADS34" s="9"/>
      <c r="ADT34" s="9"/>
      <c r="ADU34" s="9" t="s">
        <v>919</v>
      </c>
      <c r="ADV34" s="8">
        <v>0.0</v>
      </c>
      <c r="ADW34" s="8">
        <v>0.0</v>
      </c>
      <c r="ADX34" s="8">
        <v>0.0</v>
      </c>
      <c r="ADY34" s="8">
        <v>0.0</v>
      </c>
      <c r="ADZ34" s="8">
        <v>1.0</v>
      </c>
      <c r="AEA34" s="8">
        <v>0.0</v>
      </c>
      <c r="AEB34" s="8">
        <v>0.0</v>
      </c>
      <c r="AEC34" s="8">
        <v>0.0</v>
      </c>
      <c r="AED34" s="12"/>
      <c r="AEE34" s="17" t="s">
        <v>872</v>
      </c>
      <c r="AEF34" s="9"/>
      <c r="AEG34" s="17" t="s">
        <v>920</v>
      </c>
      <c r="AEH34" s="9"/>
      <c r="AEI34" s="11" t="s">
        <v>917</v>
      </c>
      <c r="AEJ34" s="9" t="s">
        <v>871</v>
      </c>
      <c r="AEK34" s="17" t="s">
        <v>1108</v>
      </c>
      <c r="AEL34" s="18">
        <v>1.0</v>
      </c>
      <c r="AEM34" s="18">
        <v>1.0</v>
      </c>
      <c r="AEN34" s="18">
        <v>1.0</v>
      </c>
      <c r="AEO34" s="18">
        <v>1.0</v>
      </c>
      <c r="AEP34" s="18">
        <v>1.0</v>
      </c>
      <c r="AEQ34" s="18">
        <v>1.0</v>
      </c>
      <c r="AER34" s="18">
        <v>1.0</v>
      </c>
      <c r="AES34" s="18">
        <v>1.0</v>
      </c>
      <c r="AET34" s="18">
        <v>1.0</v>
      </c>
      <c r="AEU34" s="18">
        <v>0.0</v>
      </c>
      <c r="AEV34" s="18">
        <v>0.0</v>
      </c>
      <c r="AEW34" s="18">
        <v>0.0</v>
      </c>
      <c r="AEX34" s="9"/>
      <c r="AEY34" s="9" t="s">
        <v>923</v>
      </c>
      <c r="AEZ34" s="9"/>
      <c r="AFA34" s="9" t="s">
        <v>1188</v>
      </c>
      <c r="AFB34" s="9"/>
      <c r="AFC34" s="9" t="s">
        <v>1314</v>
      </c>
      <c r="AFD34" s="16" t="s">
        <v>1315</v>
      </c>
      <c r="AFE34" s="9" t="s">
        <v>1316</v>
      </c>
      <c r="AFF34" s="16" t="s">
        <v>1317</v>
      </c>
      <c r="AFG34" s="9" t="s">
        <v>1137</v>
      </c>
      <c r="AFH34" s="9"/>
      <c r="AFI34" s="9"/>
    </row>
    <row r="35">
      <c r="A35" s="6">
        <v>46060.0</v>
      </c>
      <c r="B35" s="6">
        <v>46060.0</v>
      </c>
      <c r="C35" s="7" t="s">
        <v>837</v>
      </c>
      <c r="D35" s="7" t="s">
        <v>1318</v>
      </c>
      <c r="E35" s="8">
        <v>6.288988043038E13</v>
      </c>
      <c r="F35" s="9"/>
      <c r="G35" s="8">
        <v>-7.21432151</v>
      </c>
      <c r="H35" s="8">
        <v>110.261292</v>
      </c>
      <c r="I35" s="9"/>
      <c r="J35" s="8">
        <v>4.97</v>
      </c>
      <c r="K35" s="9"/>
      <c r="L35" s="9"/>
      <c r="M35" s="8">
        <v>-7.2143766</v>
      </c>
      <c r="N35" s="8">
        <v>110.2612594</v>
      </c>
      <c r="O35" s="9"/>
      <c r="P35" s="8">
        <v>3.56</v>
      </c>
      <c r="Q35" s="9"/>
      <c r="R35" s="9" t="s">
        <v>839</v>
      </c>
      <c r="S35" s="9"/>
      <c r="T35" s="9"/>
      <c r="U35" s="9"/>
      <c r="V35" s="9"/>
      <c r="W35" s="9"/>
      <c r="X35" s="9"/>
      <c r="Y35" s="9"/>
      <c r="Z35" s="9"/>
      <c r="AA35" s="9"/>
      <c r="AB35" s="9"/>
      <c r="AC35" s="7" t="s">
        <v>1175</v>
      </c>
      <c r="AD35" s="7" t="s">
        <v>1176</v>
      </c>
      <c r="AE35" s="7" t="s">
        <v>1195</v>
      </c>
      <c r="AF35" s="9" t="s">
        <v>1178</v>
      </c>
      <c r="AG35" s="9" t="s">
        <v>1319</v>
      </c>
      <c r="AH35" s="8">
        <v>2.0</v>
      </c>
      <c r="AI35" s="9" t="s">
        <v>845</v>
      </c>
      <c r="AJ35" s="9" t="s">
        <v>846</v>
      </c>
      <c r="AK35" s="8">
        <v>39.0</v>
      </c>
      <c r="AL35" s="9" t="s">
        <v>847</v>
      </c>
      <c r="AM35" s="9" t="s">
        <v>848</v>
      </c>
      <c r="AN35" s="9" t="s">
        <v>1009</v>
      </c>
      <c r="AO35" s="9" t="s">
        <v>850</v>
      </c>
      <c r="AP35" s="8">
        <v>1.0</v>
      </c>
      <c r="AQ35" s="8">
        <v>0.0</v>
      </c>
      <c r="AR35" s="8">
        <v>0.0</v>
      </c>
      <c r="AS35" s="8">
        <v>0.0</v>
      </c>
      <c r="AT35" s="8">
        <v>0.0</v>
      </c>
      <c r="AU35" s="8">
        <v>0.0</v>
      </c>
      <c r="AV35" s="8">
        <v>0.0</v>
      </c>
      <c r="AW35" s="8">
        <v>0.0</v>
      </c>
      <c r="AX35" s="9"/>
      <c r="AY35" s="9" t="s">
        <v>935</v>
      </c>
      <c r="AZ35" s="8">
        <v>0.0</v>
      </c>
      <c r="BA35" s="8">
        <v>1.0</v>
      </c>
      <c r="BB35" s="8">
        <v>0.0</v>
      </c>
      <c r="BC35" s="8">
        <v>0.0</v>
      </c>
      <c r="BD35" s="8">
        <v>0.0</v>
      </c>
      <c r="BE35" s="8">
        <v>0.0</v>
      </c>
      <c r="BF35" s="8">
        <v>0.0</v>
      </c>
      <c r="BG35" s="8">
        <v>0.0</v>
      </c>
      <c r="BH35" s="9"/>
      <c r="BI35" s="9" t="s">
        <v>936</v>
      </c>
      <c r="BJ35" s="8">
        <v>2.0</v>
      </c>
      <c r="BK35" s="8">
        <v>1.0</v>
      </c>
      <c r="BL35" s="8">
        <v>2.0</v>
      </c>
      <c r="BM35" s="8">
        <v>0.0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856</v>
      </c>
      <c r="CD35" s="8">
        <v>0.0</v>
      </c>
      <c r="CE35" s="8">
        <v>0.0</v>
      </c>
      <c r="CF35" s="8">
        <v>0.0</v>
      </c>
      <c r="CG35" s="8">
        <v>0.0</v>
      </c>
      <c r="CH35" s="8">
        <v>0.0</v>
      </c>
      <c r="CI35" s="8">
        <v>1.0</v>
      </c>
      <c r="CJ35" s="8">
        <v>0.0</v>
      </c>
      <c r="CK35" s="9"/>
      <c r="CL35" s="9" t="s">
        <v>857</v>
      </c>
      <c r="CM35" s="8">
        <v>2024.0</v>
      </c>
      <c r="CN35" s="9" t="s">
        <v>858</v>
      </c>
      <c r="CO35" s="9" t="s">
        <v>859</v>
      </c>
      <c r="CP35" s="9" t="s">
        <v>860</v>
      </c>
      <c r="CQ35" s="8">
        <v>0.0</v>
      </c>
      <c r="CR35" s="8">
        <v>0.0</v>
      </c>
      <c r="CS35" s="8">
        <v>0.0</v>
      </c>
      <c r="CT35" s="8">
        <v>0.0</v>
      </c>
      <c r="CU35" s="10">
        <v>1.0</v>
      </c>
      <c r="CV35" s="10">
        <v>0.0</v>
      </c>
      <c r="CW35" s="10">
        <v>0.0</v>
      </c>
      <c r="CX35" s="8">
        <v>0.0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8">
        <v>1.0</v>
      </c>
      <c r="DQ35" s="8">
        <v>0.0</v>
      </c>
      <c r="DR35" s="8">
        <v>0.0</v>
      </c>
      <c r="DS35" s="9"/>
      <c r="DT35" s="9"/>
      <c r="DU35" s="9"/>
      <c r="DV35" s="9" t="s">
        <v>857</v>
      </c>
      <c r="DW35" s="9"/>
      <c r="DX35" s="9"/>
      <c r="DY35" s="9"/>
      <c r="DZ35" s="9"/>
      <c r="EA35" s="9"/>
      <c r="EB35" s="9"/>
      <c r="EC35" s="9"/>
      <c r="ED35" s="9"/>
      <c r="EE35" s="9"/>
      <c r="EF35" s="9"/>
      <c r="EG35" s="9"/>
      <c r="EH35" s="9"/>
      <c r="EI35" s="9" t="s">
        <v>862</v>
      </c>
      <c r="EJ35" s="8">
        <v>0.0</v>
      </c>
      <c r="EK35" s="8">
        <v>0.0</v>
      </c>
      <c r="EL35" s="8">
        <v>0.0</v>
      </c>
      <c r="EM35" s="8">
        <v>1.0</v>
      </c>
      <c r="EN35" s="8">
        <v>0.0</v>
      </c>
      <c r="EO35" s="11"/>
      <c r="EP35" s="9" t="s">
        <v>863</v>
      </c>
      <c r="EQ35" s="9" t="s">
        <v>864</v>
      </c>
      <c r="ER35" s="9" t="s">
        <v>861</v>
      </c>
      <c r="ES35" s="8">
        <v>1.0</v>
      </c>
      <c r="ET35" s="8">
        <v>0.0</v>
      </c>
      <c r="EU35" s="8">
        <v>0.0</v>
      </c>
      <c r="EV35" s="8">
        <v>0.0</v>
      </c>
      <c r="EW35" s="9"/>
      <c r="EX35" s="9" t="s">
        <v>865</v>
      </c>
      <c r="EY35" s="8">
        <v>1.0</v>
      </c>
      <c r="EZ35" s="8">
        <v>0.0</v>
      </c>
      <c r="FA35" s="8">
        <v>0.0</v>
      </c>
      <c r="FB35" s="9"/>
      <c r="FC35" s="9" t="s">
        <v>1072</v>
      </c>
      <c r="FD35" s="9"/>
      <c r="FE35" s="9" t="s">
        <v>867</v>
      </c>
      <c r="FF35" s="9" t="s">
        <v>868</v>
      </c>
      <c r="FG35" s="9" t="s">
        <v>867</v>
      </c>
      <c r="FH35" s="9" t="s">
        <v>868</v>
      </c>
      <c r="FI35" s="9" t="s">
        <v>867</v>
      </c>
      <c r="FJ35" s="9" t="s">
        <v>868</v>
      </c>
      <c r="FK35" s="9" t="s">
        <v>867</v>
      </c>
      <c r="FL35" s="9" t="s">
        <v>869</v>
      </c>
      <c r="FM35" s="9" t="s">
        <v>867</v>
      </c>
      <c r="FN35" s="9" t="s">
        <v>943</v>
      </c>
      <c r="FO35" s="9" t="s">
        <v>867</v>
      </c>
      <c r="FP35" s="9" t="s">
        <v>943</v>
      </c>
      <c r="FQ35" s="9" t="s">
        <v>867</v>
      </c>
      <c r="FR35" s="9" t="s">
        <v>857</v>
      </c>
      <c r="FS35" s="9" t="s">
        <v>867</v>
      </c>
      <c r="FT35" s="9" t="s">
        <v>871</v>
      </c>
      <c r="FU35" s="9" t="s">
        <v>989</v>
      </c>
      <c r="FV35" s="8">
        <v>1.0</v>
      </c>
      <c r="FW35" s="8">
        <v>1.0</v>
      </c>
      <c r="FX35" s="8">
        <v>0.0</v>
      </c>
      <c r="FY35" s="8">
        <v>0.0</v>
      </c>
      <c r="FZ35" s="9" t="s">
        <v>1197</v>
      </c>
      <c r="GA35" s="9" t="s">
        <v>874</v>
      </c>
      <c r="GB35" s="8">
        <v>1.0</v>
      </c>
      <c r="GC35" s="8">
        <v>0.0</v>
      </c>
      <c r="GD35" s="8">
        <v>0.0</v>
      </c>
      <c r="GE35" s="8">
        <v>0.0</v>
      </c>
      <c r="GF35" s="9"/>
      <c r="GG35" s="9" t="s">
        <v>875</v>
      </c>
      <c r="GH35" s="9" t="s">
        <v>857</v>
      </c>
      <c r="GI35" s="9" t="s">
        <v>1264</v>
      </c>
      <c r="GJ35" s="8">
        <v>0.0</v>
      </c>
      <c r="GK35" s="8">
        <v>1.0</v>
      </c>
      <c r="GL35" s="8">
        <v>0.0</v>
      </c>
      <c r="GM35" s="8">
        <v>0.0</v>
      </c>
      <c r="GN35" s="9"/>
      <c r="GO35" s="8">
        <v>9.0</v>
      </c>
      <c r="GP35" s="9" t="s">
        <v>877</v>
      </c>
      <c r="GQ35" s="9" t="s">
        <v>878</v>
      </c>
      <c r="GR35" s="8">
        <v>1.0</v>
      </c>
      <c r="GS35" s="8">
        <v>1.0</v>
      </c>
      <c r="GT35" s="8">
        <v>0.0</v>
      </c>
      <c r="GU35" s="8">
        <v>0.0</v>
      </c>
      <c r="GV35" s="8">
        <v>0.0</v>
      </c>
      <c r="GW35" s="8">
        <v>0.0</v>
      </c>
      <c r="GX35" s="8">
        <v>0.0</v>
      </c>
      <c r="GY35" s="9"/>
      <c r="GZ35" s="9" t="s">
        <v>857</v>
      </c>
      <c r="HA35" s="8">
        <v>15.0</v>
      </c>
      <c r="HB35" s="8">
        <v>150000.0</v>
      </c>
      <c r="HC35" s="8">
        <v>5.0</v>
      </c>
      <c r="HD35" s="8">
        <v>50000.0</v>
      </c>
      <c r="HE35" s="8">
        <v>12.0</v>
      </c>
      <c r="HF35" s="8">
        <v>100000.0</v>
      </c>
      <c r="HG35" s="8">
        <v>3.0</v>
      </c>
      <c r="HH35" s="8">
        <v>25000.0</v>
      </c>
      <c r="HI35" s="9"/>
      <c r="HJ35" s="9"/>
      <c r="HK35" s="9"/>
      <c r="HL35" s="9"/>
      <c r="HM35" s="9"/>
      <c r="HN35" s="9"/>
      <c r="HO35" s="9"/>
      <c r="HP35" s="9"/>
      <c r="HQ35" s="9"/>
      <c r="HR35" s="9"/>
      <c r="HS35" s="9"/>
      <c r="HT35" s="9"/>
      <c r="HU35" s="9"/>
      <c r="HV35" s="9"/>
      <c r="HW35" s="9"/>
      <c r="HX35" s="9"/>
      <c r="HY35" s="8">
        <v>10.0</v>
      </c>
      <c r="HZ35" s="8">
        <v>100000.0</v>
      </c>
      <c r="IA35" s="8">
        <v>9.0</v>
      </c>
      <c r="IB35" s="8">
        <v>75000.0</v>
      </c>
      <c r="IC35" s="9"/>
      <c r="ID35" s="9"/>
      <c r="IE35" s="9"/>
      <c r="IF35" s="9"/>
      <c r="IG35" s="9"/>
      <c r="IH35" s="9"/>
      <c r="II35" s="9"/>
      <c r="IJ35" s="9"/>
      <c r="IK35" s="9" t="s">
        <v>879</v>
      </c>
      <c r="IL35" s="9" t="s">
        <v>880</v>
      </c>
      <c r="IM35" s="9" t="s">
        <v>857</v>
      </c>
      <c r="IN35" s="9" t="s">
        <v>881</v>
      </c>
      <c r="IO35" s="9" t="s">
        <v>882</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1180</v>
      </c>
      <c r="LC35" s="8">
        <v>0.0</v>
      </c>
      <c r="LD35" s="8">
        <v>3.0</v>
      </c>
      <c r="LE35" s="8">
        <v>0.0</v>
      </c>
      <c r="LF35" s="8">
        <v>3.0</v>
      </c>
      <c r="LG35" s="9" t="s">
        <v>857</v>
      </c>
      <c r="LH35" s="8">
        <v>125000.0</v>
      </c>
      <c r="LI35" s="9"/>
      <c r="LJ35" s="9" t="s">
        <v>887</v>
      </c>
      <c r="LK35" s="8">
        <v>0.0</v>
      </c>
      <c r="LL35" s="8">
        <v>0.0</v>
      </c>
      <c r="LM35" s="8">
        <v>0.0</v>
      </c>
      <c r="LN35" s="8">
        <v>0.0</v>
      </c>
      <c r="LO35" s="8">
        <v>1.0</v>
      </c>
      <c r="LP35" s="8">
        <v>0.0</v>
      </c>
      <c r="LQ35" s="8">
        <v>0.0</v>
      </c>
      <c r="LR35" s="9"/>
      <c r="LS35" s="8">
        <v>15.0</v>
      </c>
      <c r="LT35" s="8">
        <v>15.0</v>
      </c>
      <c r="LU35" s="8">
        <v>0.0</v>
      </c>
      <c r="LV35" s="8">
        <v>5.0</v>
      </c>
      <c r="LW35" s="8">
        <v>5.0</v>
      </c>
      <c r="LX35" s="8">
        <v>0.0</v>
      </c>
      <c r="LY35" s="8">
        <v>5.0</v>
      </c>
      <c r="LZ35" s="8">
        <v>5.0</v>
      </c>
      <c r="MA35" s="8">
        <v>0.0</v>
      </c>
      <c r="MB35" s="9" t="s">
        <v>857</v>
      </c>
      <c r="MC35" s="8">
        <v>30.0</v>
      </c>
      <c r="MD35" s="8">
        <v>15.0</v>
      </c>
      <c r="ME35" s="8">
        <v>30.0</v>
      </c>
      <c r="MF35" s="8">
        <v>15.0</v>
      </c>
      <c r="MG35" s="8">
        <v>0.0</v>
      </c>
      <c r="MH35" s="8">
        <v>0.0</v>
      </c>
      <c r="MI35" s="9" t="s">
        <v>946</v>
      </c>
      <c r="MJ35" s="8">
        <v>0.0</v>
      </c>
      <c r="MK35" s="8">
        <v>0.0</v>
      </c>
      <c r="ML35" s="8">
        <v>1.0</v>
      </c>
      <c r="MM35" s="8">
        <v>0.0</v>
      </c>
      <c r="MN35" s="8">
        <v>0.0</v>
      </c>
      <c r="MO35" s="8">
        <v>0.0</v>
      </c>
      <c r="MP35" s="9"/>
      <c r="MQ35" s="9"/>
      <c r="MR35" s="9" t="s">
        <v>1048</v>
      </c>
      <c r="MS35" s="9"/>
      <c r="MT35" s="9" t="s">
        <v>972</v>
      </c>
      <c r="MU35" s="9" t="s">
        <v>881</v>
      </c>
      <c r="MV35" s="9"/>
      <c r="MW35" s="9"/>
      <c r="MX35" s="9"/>
      <c r="MY35" s="9"/>
      <c r="MZ35" s="9"/>
      <c r="NA35" s="9"/>
      <c r="NB35" s="9"/>
      <c r="NC35" s="9"/>
      <c r="ND35" s="9"/>
      <c r="NE35" s="9"/>
      <c r="NF35" s="9"/>
      <c r="NG35" s="9"/>
      <c r="NH35" s="9"/>
      <c r="NI35" s="9"/>
      <c r="NJ35" s="9"/>
      <c r="NK35" s="9"/>
      <c r="NL35" s="9" t="s">
        <v>857</v>
      </c>
      <c r="NM35" s="9" t="s">
        <v>893</v>
      </c>
      <c r="NN35" s="9" t="s">
        <v>993</v>
      </c>
      <c r="NO35" s="9" t="s">
        <v>994</v>
      </c>
      <c r="NP35" s="9"/>
      <c r="NQ35" s="9"/>
      <c r="NR35" s="9"/>
      <c r="NS35" s="9"/>
      <c r="NT35" s="9"/>
      <c r="NU35" s="9"/>
      <c r="NV35" s="9" t="s">
        <v>896</v>
      </c>
      <c r="NW35" s="9"/>
      <c r="NX35" s="9" t="s">
        <v>897</v>
      </c>
      <c r="NY35" s="8">
        <v>40.0</v>
      </c>
      <c r="NZ35" s="8">
        <v>10.0</v>
      </c>
      <c r="OA35" s="8">
        <v>0.0</v>
      </c>
      <c r="OB35" s="8">
        <v>5.0</v>
      </c>
      <c r="OC35" s="8">
        <v>5.0</v>
      </c>
      <c r="OD35" s="8">
        <v>0.0</v>
      </c>
      <c r="OE35" s="9" t="s">
        <v>898</v>
      </c>
      <c r="OF35" s="9" t="s">
        <v>1184</v>
      </c>
      <c r="OG35" s="9" t="s">
        <v>857</v>
      </c>
      <c r="OH35" s="8">
        <v>0.0</v>
      </c>
      <c r="OI35" s="8">
        <v>5.0</v>
      </c>
      <c r="OJ35" s="8">
        <v>0.0</v>
      </c>
      <c r="OK35" s="8">
        <v>0.0</v>
      </c>
      <c r="OL35" s="8">
        <v>0.0</v>
      </c>
      <c r="OM35" s="8">
        <v>0.0</v>
      </c>
      <c r="ON35" s="8">
        <v>0.0</v>
      </c>
      <c r="OO35" s="8">
        <v>0.0</v>
      </c>
      <c r="OP35" s="9" t="str">
        <f>VLOOKUP(AG35,'BUS 2'!$G$1:$CU$424,2,0)</f>
        <v>Sapi perah</v>
      </c>
      <c r="OQ35" s="8">
        <f>VLOOKUP(AG35,'BUS 2'!$G$1:$CU$424,3,0)</f>
        <v>0</v>
      </c>
      <c r="OR35" s="8">
        <f>VLOOKUP(AG35,'BUS 2'!$G$1:$CU$424,4,0)</f>
        <v>1</v>
      </c>
      <c r="OS35" s="8">
        <f>VLOOKUP(AG35,'BUS 2'!$G$1:$CU$424,5,0)</f>
        <v>0</v>
      </c>
      <c r="OT35" s="8">
        <f>VLOOKUP(AG35,'BUS 2'!$G$1:$CU$424,6,0)</f>
        <v>0</v>
      </c>
      <c r="OU35" s="8">
        <f>VLOOKUP(AG35,'BUS 2'!$G$1:$CU$424,7,0)</f>
        <v>0</v>
      </c>
      <c r="OV35" s="8">
        <f>VLOOKUP(AG35,'BUS 2'!$G$1:$CU$424,8,0)</f>
        <v>0</v>
      </c>
      <c r="OW35" s="8">
        <f>VLOOKUP(AG35,'BUS 2'!$G$1:$CU$424,9,0)</f>
        <v>0</v>
      </c>
      <c r="OX35" s="8">
        <f>VLOOKUP(AG35,'BUS 2'!$G$1:$CU$424,10,0)</f>
        <v>0</v>
      </c>
      <c r="OY35" s="8">
        <f>VLOOKUP(AG35,'BUS 2'!$G$1:$CU$424,11,0)</f>
        <v>0</v>
      </c>
      <c r="OZ35" s="8" t="str">
        <f>VLOOKUP(AG35,'BUS 2'!$G$1:$CU$424,12,0)</f>
        <v>Sapi perah</v>
      </c>
      <c r="PA35" s="8">
        <f>VLOOKUP(AG35,'BUS 2'!$G$1:$CU$424,13,0)</f>
        <v>0</v>
      </c>
      <c r="PB35" s="8">
        <f>VLOOKUP(AG35,'BUS 2'!$G$1:$CU$424,14,0)</f>
        <v>1</v>
      </c>
      <c r="PC35" s="8">
        <f>VLOOKUP(AG35,'BUS 2'!$G$1:$CU$424,15,0)</f>
        <v>0</v>
      </c>
      <c r="PD35" s="8">
        <f>VLOOKUP(AG35,'BUS 2'!$G$1:$CU$424,16,0)</f>
        <v>0</v>
      </c>
      <c r="PE35" s="8">
        <f>VLOOKUP(AG35,'BUS 2'!$G$1:$CU$424,17,0)</f>
        <v>0</v>
      </c>
      <c r="PF35" s="8">
        <f>VLOOKUP(AG35,'BUS 2'!$G$1:$CU$424,18,0)</f>
        <v>0</v>
      </c>
      <c r="PG35" s="8">
        <f>VLOOKUP(AG35,'BUS 2'!$G$1:$CU$424,19,0)</f>
        <v>0</v>
      </c>
      <c r="PH35" s="8">
        <f>VLOOKUP(AG35,'BUS 2'!$G$1:$CU$424,20,0)</f>
        <v>0</v>
      </c>
      <c r="PI35" s="8">
        <f>VLOOKUP(AG35,'BUS 2'!$G$1:$CU$424,21,0)</f>
        <v>0</v>
      </c>
      <c r="PJ35" s="8" t="str">
        <f>VLOOKUP(AG35,'BUS 2'!$G$1:$CU$424,22,0)</f>
        <v>Tidak ada</v>
      </c>
      <c r="PK35" s="8">
        <f>VLOOKUP(AG35,'BUS 2'!$G$1:$CU$424,23,0)</f>
        <v>0</v>
      </c>
      <c r="PL35" s="8">
        <f>VLOOKUP(AG35,'BUS 2'!$G$1:$CU$424,24,0)</f>
        <v>0</v>
      </c>
      <c r="PM35" s="8">
        <f>VLOOKUP(AG35,'BUS 2'!$G$1:$CU$424,25,0)</f>
        <v>0</v>
      </c>
      <c r="PN35" s="8">
        <f>VLOOKUP(AG35,'BUS 2'!$G$1:$CU$424,26,0)</f>
        <v>0</v>
      </c>
      <c r="PO35" s="8">
        <f>VLOOKUP(AG35,'BUS 2'!$G$1:$CU$424,27,0)</f>
        <v>0</v>
      </c>
      <c r="PP35" s="8">
        <f>VLOOKUP(AG35,'BUS 2'!$G$1:$CU$424,28,0)</f>
        <v>0</v>
      </c>
      <c r="PQ35" s="8">
        <f>VLOOKUP(AG35,'BUS 2'!$G$1:$CU$424,29,0)</f>
        <v>0</v>
      </c>
      <c r="PR35" s="8">
        <f>VLOOKUP(AG35,'BUS 2'!$G$1:$CU$424,30,0)</f>
        <v>0</v>
      </c>
      <c r="PS35" s="8">
        <f>VLOOKUP(AG35,'BUS 2'!$G$1:$CU$424,31,0)</f>
        <v>1</v>
      </c>
      <c r="PT35" s="9"/>
      <c r="PU35" s="9"/>
      <c r="PV35" s="9"/>
      <c r="PW35" s="9"/>
      <c r="PX35" s="9"/>
      <c r="PY35" s="9"/>
      <c r="PZ35" s="9"/>
      <c r="QA35" s="9"/>
      <c r="QB35" s="9"/>
      <c r="QC35" s="9"/>
      <c r="QD35" s="9"/>
      <c r="QE35" s="9" t="s">
        <v>900</v>
      </c>
      <c r="QF35" s="8">
        <v>0.0</v>
      </c>
      <c r="QG35" s="8">
        <v>0.0</v>
      </c>
      <c r="QH35" s="8">
        <v>0.0</v>
      </c>
      <c r="QI35" s="8">
        <v>0.0</v>
      </c>
      <c r="QJ35" s="8">
        <v>0.0</v>
      </c>
      <c r="QK35" s="8">
        <v>1.0</v>
      </c>
      <c r="QL35" s="8">
        <v>0.0</v>
      </c>
      <c r="QM35" s="8">
        <v>0.0</v>
      </c>
      <c r="QN35" s="8">
        <v>0.0</v>
      </c>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8" t="str">
        <f>VLOOKUP(AG35,'BUS 2'!$G$1:$CU$424,33,0)</f>
        <v/>
      </c>
      <c r="SZ35" s="9">
        <f>VLOOKUP(AG35,'BUS 2'!$G$1:$CU$424,34,0)</f>
        <v>5</v>
      </c>
      <c r="TA35" s="9" t="str">
        <f>VLOOKUP(AG35,'BUS 2'!$G$1:$CU$424,35,0)</f>
        <v/>
      </c>
      <c r="TB35" s="9" t="str">
        <f>VLOOKUP(AG35,'BUS 2'!$G$1:$CU$424,36,0)</f>
        <v/>
      </c>
      <c r="TC35" s="9" t="str">
        <f>VLOOKUP(AG35,'BUS 2'!$G$1:$CU$424,37,0)</f>
        <v/>
      </c>
      <c r="TD35" s="9" t="str">
        <f>VLOOKUP(AG35,'BUS 2'!$G$1:$CU$424,38,0)</f>
        <v/>
      </c>
      <c r="TE35" s="9" t="str">
        <f>VLOOKUP(AG35,'BUS 2'!$G$1:$CU$424,39,0)</f>
        <v/>
      </c>
      <c r="TF35" s="9" t="str">
        <f>VLOOKUP(AG35,'BUS 2'!$G$1:$CU$424,40,0)</f>
        <v/>
      </c>
      <c r="TG35" s="8" t="str">
        <f>VLOOKUP(AG35,'BUS 2'!$G$1:$CU$424,42,0)</f>
        <v/>
      </c>
      <c r="TH35" s="8">
        <f>VLOOKUP(AG35,'BUS 2'!$G$1:$CU$424,43,0)</f>
        <v>5</v>
      </c>
      <c r="TI35" s="8" t="str">
        <f>VLOOKUP(AG35,'BUS 2'!$G$1:$CU$424,44,0)</f>
        <v/>
      </c>
      <c r="TJ35" s="8" t="str">
        <f>VLOOKUP(AG35,'BUS 2'!$G$1:$CU$424,45,0)</f>
        <v/>
      </c>
      <c r="TK35" s="8" t="str">
        <f>VLOOKUP(AG35,'BUS 2'!$G$1:$CU$424,46,0)</f>
        <v/>
      </c>
      <c r="TL35" s="8" t="str">
        <f>VLOOKUP(AG35,'BUS 2'!$G$1:$CU$424,47,0)</f>
        <v/>
      </c>
      <c r="TM35" s="8" t="str">
        <f>VLOOKUP(AG35,'BUS 2'!$G$1:$CU$424,48,0)</f>
        <v/>
      </c>
      <c r="TN35" s="8" t="str">
        <f>VLOOKUP(AG35,'BUS 2'!$G$1:$CU$424,49,0)</f>
        <v/>
      </c>
      <c r="TO35" s="8" t="str">
        <f>VLOOKUP(AG35,'BUS 2'!$G$1:$CU$424,50,0)</f>
        <v/>
      </c>
      <c r="TP35" s="8" t="str">
        <f>VLOOKUP(AG35,'BUS 2'!$G$1:$CU$424,51,0)</f>
        <v/>
      </c>
      <c r="TQ35" s="8" t="str">
        <f>VLOOKUP(AG35,'BUS 2'!$G$1:$CU$424,52,0)</f>
        <v/>
      </c>
      <c r="TR35" s="8" t="str">
        <f>VLOOKUP(AG35,'BUS 2'!$G$1:$CU$424,53,0)</f>
        <v/>
      </c>
      <c r="TS35" s="9" t="str">
        <f>VLOOKUP(AG35,'BUS 2'!$G$1:$CU$424,54,0)</f>
        <v/>
      </c>
      <c r="TT35" s="9" t="str">
        <f>VLOOKUP(AG35,'BUS 2'!$G$1:$CU$424,55,0)</f>
        <v/>
      </c>
      <c r="TU35" s="9" t="str">
        <f>VLOOKUP(AG35,'BUS 2'!$G$1:$CU$424,56,0)</f>
        <v/>
      </c>
      <c r="TV35" s="9" t="str">
        <f>VLOOKUP(AG35,'BUS 2'!$G$1:$CU$424,57,0)</f>
        <v/>
      </c>
      <c r="TW35" s="9" t="str">
        <f>VLOOKUP(AG35,'BUS 2'!$G$1:$CU$424,58,0)</f>
        <v/>
      </c>
      <c r="TX35" s="9" t="str">
        <f>VLOOKUP(AG35,'BUS 2'!$G$1:$CU$424,59,0)</f>
        <v/>
      </c>
      <c r="TY35" s="9" t="str">
        <f>VLOOKUP(AG35,'BUS 2'!$G$1:$CU$424,60,0)</f>
        <v/>
      </c>
      <c r="TZ35" s="9" t="str">
        <f>VLOOKUP(AG35,'BUS 2'!$G$1:$CU$424,61,0)</f>
        <v/>
      </c>
      <c r="UA35" s="9" t="str">
        <f>VLOOKUP(AG35,'BUS 2'!$G$1:$CU$424,62,0)</f>
        <v/>
      </c>
      <c r="UB35" s="9" t="str">
        <f>VLOOKUP(AG35,'BUS 2'!$G$1:$CU$424,63,0)</f>
        <v/>
      </c>
      <c r="UC35" s="9" t="str">
        <f>VLOOKUP(AG35,'BUS 2'!$G$1:$CU$424,64,0)</f>
        <v/>
      </c>
      <c r="UD35" s="9" t="str">
        <f>VLOOKUP(AG35,'BUS 2'!$G$1:$CU$424,65,0)</f>
        <v/>
      </c>
      <c r="UE35" s="9" t="str">
        <f>VLOOKUP(AG35,'BUS 2'!$G$1:$CU$424,66,0)</f>
        <v/>
      </c>
      <c r="UF35" s="9" t="str">
        <f>VLOOKUP(AG35,'BUS 2'!$G$1:$CU$424,67,0)</f>
        <v/>
      </c>
      <c r="UG35" s="9" t="str">
        <f>VLOOKUP(AG35,'BUS 2'!$G$1:$CU$424,68,0)</f>
        <v/>
      </c>
      <c r="UH35" s="9" t="str">
        <f>VLOOKUP(AG35,'BUS 2'!$G$1:$CU$424,69,0)</f>
        <v/>
      </c>
      <c r="UI35" s="9" t="str">
        <f>VLOOKUP(AG35,'BUS 2'!$G$1:$CU$424,70,0)</f>
        <v/>
      </c>
      <c r="UJ35" s="9" t="str">
        <f>VLOOKUP(AG35,'BUS 2'!$G$1:$CU$424,71,0)</f>
        <v/>
      </c>
      <c r="UK35" s="9" t="str">
        <f>VLOOKUP(AG35,'BUS 2'!$G$1:$CU$424,72,0)</f>
        <v/>
      </c>
      <c r="UL35" s="9" t="str">
        <f>VLOOKUP(AG35,'BUS 2'!$G$1:$CU$424,73,0)</f>
        <v/>
      </c>
      <c r="UM35" s="9" t="str">
        <f>VLOOKUP(AG35,'BUS 2'!$G$1:$CU$424,74,0)</f>
        <v/>
      </c>
      <c r="UN35" s="9" t="str">
        <f>VLOOKUP(AG35,'BUS 2'!$G$1:$CU$424,75,0)</f>
        <v/>
      </c>
      <c r="UO35" s="9" t="str">
        <f>VLOOKUP(AG35,'BUS 2'!$G$1:$CU$424,76,0)</f>
        <v/>
      </c>
      <c r="UP35" s="9" t="str">
        <f>VLOOKUP(AG35,'BUS 2'!$G$1:$CU$424,77,0)</f>
        <v/>
      </c>
      <c r="UQ35" s="9" t="str">
        <f>VLOOKUP(AG35,'BUS 2'!$G$1:$CU$424,78,0)</f>
        <v/>
      </c>
      <c r="UR35" s="9" t="str">
        <f>VLOOKUP(AG35,'BUS 2'!$G$1:$CU$424,79,0)</f>
        <v/>
      </c>
      <c r="US35" s="9" t="str">
        <f>VLOOKUP(AG35,'BUS 2'!$G$1:$CU$424,80,0)</f>
        <v/>
      </c>
      <c r="UT35" s="9" t="str">
        <f>VLOOKUP(AG35,'BUS 2'!$G$1:$CU$424,81,0)</f>
        <v/>
      </c>
      <c r="UU35" s="9"/>
      <c r="UV35" s="9" t="s">
        <v>901</v>
      </c>
      <c r="UW35" s="9"/>
      <c r="UX35" s="9"/>
      <c r="UY35" s="9"/>
      <c r="UZ35" s="9"/>
      <c r="VA35" s="9"/>
      <c r="VB35" s="9"/>
      <c r="VC35" s="9"/>
      <c r="VD35" s="9" t="s">
        <v>950</v>
      </c>
      <c r="VE35" s="9"/>
      <c r="VF35" s="9"/>
      <c r="VG35" s="9"/>
      <c r="VH35" s="9"/>
      <c r="VI35" s="9"/>
      <c r="VJ35" s="9"/>
      <c r="VK35" s="9"/>
      <c r="VL35" s="9" t="s">
        <v>1158</v>
      </c>
      <c r="VM35" s="9"/>
      <c r="VN35" s="9"/>
      <c r="VO35" s="9"/>
      <c r="VP35" s="9"/>
      <c r="VQ35" s="9"/>
      <c r="VR35" s="9"/>
      <c r="VS35" s="9"/>
      <c r="VT35" s="9"/>
      <c r="VU35" s="9"/>
      <c r="VV35" s="9"/>
      <c r="VW35" s="9"/>
      <c r="VX35" s="9"/>
      <c r="VY35" s="9"/>
      <c r="VZ35" s="9"/>
      <c r="WA35" s="9"/>
      <c r="WB35" s="9"/>
      <c r="WC35" s="9"/>
      <c r="WD35" s="9"/>
      <c r="WE35" s="9"/>
      <c r="WF35" s="9" t="s">
        <v>1214</v>
      </c>
      <c r="WG35" s="8">
        <v>0.0</v>
      </c>
      <c r="WH35" s="8">
        <v>0.0</v>
      </c>
      <c r="WI35" s="8">
        <v>1.0</v>
      </c>
      <c r="WJ35" s="8">
        <v>1.0</v>
      </c>
      <c r="WK35" s="8">
        <v>0.0</v>
      </c>
      <c r="WL35" s="8">
        <v>1.0</v>
      </c>
      <c r="WM35" s="8">
        <v>0.0</v>
      </c>
      <c r="WN35" s="8">
        <v>0.0</v>
      </c>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8">
        <v>60.0</v>
      </c>
      <c r="ZP35" s="9"/>
      <c r="ZQ35" s="9"/>
      <c r="ZR35" s="9"/>
      <c r="ZS35" s="9"/>
      <c r="ZT35" s="9"/>
      <c r="ZU35" s="9"/>
      <c r="ZV35" s="9"/>
      <c r="ZW35" s="8">
        <v>2.0</v>
      </c>
      <c r="ZX35" s="9"/>
      <c r="ZY35" s="9"/>
      <c r="ZZ35" s="9"/>
      <c r="AAA35" s="9"/>
      <c r="AAB35" s="9"/>
      <c r="AAC35" s="9"/>
      <c r="AAD35" s="9"/>
      <c r="AAE35" s="9" t="s">
        <v>905</v>
      </c>
      <c r="AAF35" s="9"/>
      <c r="AAG35" s="9"/>
      <c r="AAH35" s="9"/>
      <c r="AAI35" s="9"/>
      <c r="AAJ35" s="9"/>
      <c r="AAK35" s="9"/>
      <c r="AAL35" s="9" t="s">
        <v>857</v>
      </c>
      <c r="AAM35" s="9" t="s">
        <v>1033</v>
      </c>
      <c r="AAN35" s="8">
        <v>1.0</v>
      </c>
      <c r="AAO35" s="8">
        <v>1.0</v>
      </c>
      <c r="AAP35" s="8">
        <v>60.0</v>
      </c>
      <c r="AAQ35" s="8">
        <v>60.0</v>
      </c>
      <c r="AAR35" s="9" t="s">
        <v>857</v>
      </c>
      <c r="AAS35" s="9" t="s">
        <v>867</v>
      </c>
      <c r="AAT35" s="9" t="s">
        <v>1074</v>
      </c>
      <c r="AAU35" s="8">
        <v>1.0</v>
      </c>
      <c r="AAV35" s="8">
        <v>0.0</v>
      </c>
      <c r="AAW35" s="8">
        <v>0.0</v>
      </c>
      <c r="AAX35" s="8">
        <v>1.0</v>
      </c>
      <c r="AAY35" s="8">
        <v>1.0</v>
      </c>
      <c r="AAZ35" s="8">
        <v>0.0</v>
      </c>
      <c r="ABA35" s="8">
        <v>0.0</v>
      </c>
      <c r="ABB35" s="9" t="s">
        <v>907</v>
      </c>
      <c r="ABC35" s="8">
        <v>1.0</v>
      </c>
      <c r="ABD35" s="8">
        <v>0.0</v>
      </c>
      <c r="ABE35" s="8">
        <v>0.0</v>
      </c>
      <c r="ABF35" s="8">
        <v>0.0</v>
      </c>
      <c r="ABG35" s="8">
        <v>0.0</v>
      </c>
      <c r="ABH35" s="9"/>
      <c r="ABI35" s="9"/>
      <c r="ABJ35" s="9"/>
      <c r="ABK35" s="9"/>
      <c r="ABL35" s="9"/>
      <c r="ABM35" s="9"/>
      <c r="ABN35" s="9"/>
      <c r="ABO35" s="9"/>
      <c r="ABP35" s="9"/>
      <c r="ABQ35" s="11" t="s">
        <v>908</v>
      </c>
      <c r="ABR35" s="9" t="s">
        <v>1075</v>
      </c>
      <c r="ABS35" s="8">
        <v>3500.0</v>
      </c>
      <c r="ABT35" s="8">
        <v>300.0</v>
      </c>
      <c r="ABU35" s="8">
        <v>60.0</v>
      </c>
      <c r="ABV35" s="8">
        <v>60.0</v>
      </c>
      <c r="ABW35" s="9" t="s">
        <v>1199</v>
      </c>
      <c r="ABX35" s="9"/>
      <c r="ABY35" s="8">
        <v>40.0</v>
      </c>
      <c r="ABZ35" s="8">
        <v>4000.0</v>
      </c>
      <c r="ACA35" s="8">
        <v>0.0</v>
      </c>
      <c r="ACB35" s="8">
        <v>4000.0</v>
      </c>
      <c r="ACC35" s="8">
        <v>500.0</v>
      </c>
      <c r="ACD35" s="8">
        <v>650.0</v>
      </c>
      <c r="ACE35" s="9" t="s">
        <v>857</v>
      </c>
      <c r="ACF35" s="9" t="s">
        <v>911</v>
      </c>
      <c r="ACG35" s="9" t="s">
        <v>911</v>
      </c>
      <c r="ACH35" s="9" t="s">
        <v>911</v>
      </c>
      <c r="ACI35" s="9"/>
      <c r="ACJ35" s="9"/>
      <c r="ACK35" s="9" t="s">
        <v>976</v>
      </c>
      <c r="ACL35" s="8">
        <v>0.0</v>
      </c>
      <c r="ACM35" s="8">
        <v>0.0</v>
      </c>
      <c r="ACN35" s="8">
        <v>1.0</v>
      </c>
      <c r="ACO35" s="8">
        <v>1.0</v>
      </c>
      <c r="ACP35" s="8">
        <v>0.0</v>
      </c>
      <c r="ACQ35" s="8">
        <v>0.0</v>
      </c>
      <c r="ACR35" s="8">
        <v>0.0</v>
      </c>
      <c r="ACS35" s="9"/>
      <c r="ACT35" s="9" t="s">
        <v>912</v>
      </c>
      <c r="ACU35" s="9" t="s">
        <v>1050</v>
      </c>
      <c r="ACV35" s="9" t="s">
        <v>957</v>
      </c>
      <c r="ACW35" s="9" t="s">
        <v>915</v>
      </c>
      <c r="ACX35" s="9" t="s">
        <v>916</v>
      </c>
      <c r="ACY35" s="9" t="s">
        <v>1017</v>
      </c>
      <c r="ACZ35" s="8">
        <v>1.0</v>
      </c>
      <c r="ADA35" s="8">
        <v>1.0</v>
      </c>
      <c r="ADB35" s="8">
        <v>1.0</v>
      </c>
      <c r="ADC35" s="8">
        <v>0.0</v>
      </c>
      <c r="ADD35" s="9" t="s">
        <v>1187</v>
      </c>
      <c r="ADE35" s="9" t="s">
        <v>1187</v>
      </c>
      <c r="ADF35" s="9" t="s">
        <v>1187</v>
      </c>
      <c r="ADG35" s="9" t="s">
        <v>1187</v>
      </c>
      <c r="ADH35" s="9" t="s">
        <v>881</v>
      </c>
      <c r="ADI35" s="9"/>
      <c r="ADJ35" s="9" t="s">
        <v>1187</v>
      </c>
      <c r="ADK35" s="9"/>
      <c r="ADL35" s="9"/>
      <c r="ADM35" s="9"/>
      <c r="ADN35" s="9"/>
      <c r="ADO35" s="9"/>
      <c r="ADP35" s="9"/>
      <c r="ADQ35" s="9"/>
      <c r="ADR35" s="9"/>
      <c r="ADS35" s="9"/>
      <c r="ADT35" s="9"/>
      <c r="ADU35" s="9" t="s">
        <v>919</v>
      </c>
      <c r="ADV35" s="8">
        <v>0.0</v>
      </c>
      <c r="ADW35" s="8">
        <v>0.0</v>
      </c>
      <c r="ADX35" s="8">
        <v>0.0</v>
      </c>
      <c r="ADY35" s="8">
        <v>0.0</v>
      </c>
      <c r="ADZ35" s="8">
        <v>1.0</v>
      </c>
      <c r="AEA35" s="8">
        <v>0.0</v>
      </c>
      <c r="AEB35" s="8">
        <v>0.0</v>
      </c>
      <c r="AEC35" s="8">
        <v>0.0</v>
      </c>
      <c r="AED35" s="12"/>
      <c r="AEE35" s="17" t="s">
        <v>872</v>
      </c>
      <c r="AEF35" s="9"/>
      <c r="AEG35" s="17" t="s">
        <v>920</v>
      </c>
      <c r="AEH35" s="9"/>
      <c r="AEI35" s="11" t="s">
        <v>917</v>
      </c>
      <c r="AEJ35" s="9" t="s">
        <v>871</v>
      </c>
      <c r="AEK35" s="17" t="s">
        <v>1108</v>
      </c>
      <c r="AEL35" s="18">
        <v>1.0</v>
      </c>
      <c r="AEM35" s="18">
        <v>1.0</v>
      </c>
      <c r="AEN35" s="18">
        <v>1.0</v>
      </c>
      <c r="AEO35" s="18">
        <v>1.0</v>
      </c>
      <c r="AEP35" s="18">
        <v>1.0</v>
      </c>
      <c r="AEQ35" s="18">
        <v>1.0</v>
      </c>
      <c r="AER35" s="18">
        <v>1.0</v>
      </c>
      <c r="AES35" s="18">
        <v>1.0</v>
      </c>
      <c r="AET35" s="18">
        <v>1.0</v>
      </c>
      <c r="AEU35" s="18">
        <v>0.0</v>
      </c>
      <c r="AEV35" s="18">
        <v>0.0</v>
      </c>
      <c r="AEW35" s="18">
        <v>0.0</v>
      </c>
      <c r="AEX35" s="9"/>
      <c r="AEY35" s="9" t="s">
        <v>923</v>
      </c>
      <c r="AEZ35" s="9"/>
      <c r="AFA35" s="9" t="s">
        <v>1188</v>
      </c>
      <c r="AFB35" s="9"/>
      <c r="AFC35" s="9" t="s">
        <v>1320</v>
      </c>
      <c r="AFD35" s="16" t="s">
        <v>1321</v>
      </c>
      <c r="AFE35" s="9" t="s">
        <v>1322</v>
      </c>
      <c r="AFF35" s="16" t="s">
        <v>1323</v>
      </c>
      <c r="AFG35" s="9" t="s">
        <v>1137</v>
      </c>
      <c r="AFH35" s="9"/>
      <c r="AFI35" s="9"/>
    </row>
    <row r="36">
      <c r="A36" s="6">
        <v>46060.0</v>
      </c>
      <c r="B36" s="6">
        <v>46060.0</v>
      </c>
      <c r="C36" s="7" t="s">
        <v>837</v>
      </c>
      <c r="D36" s="7" t="s">
        <v>1324</v>
      </c>
      <c r="E36" s="8">
        <v>6.285226208336E12</v>
      </c>
      <c r="F36" s="9"/>
      <c r="G36" s="8">
        <v>-7.209669</v>
      </c>
      <c r="H36" s="8">
        <v>110.26571</v>
      </c>
      <c r="I36" s="9"/>
      <c r="J36" s="8">
        <v>4.81</v>
      </c>
      <c r="K36" s="9"/>
      <c r="L36" s="9"/>
      <c r="M36" s="8">
        <v>-7.21412545</v>
      </c>
      <c r="N36" s="8">
        <v>110.2615111</v>
      </c>
      <c r="O36" s="9"/>
      <c r="P36" s="8">
        <v>4.95</v>
      </c>
      <c r="Q36" s="9"/>
      <c r="R36" s="9" t="s">
        <v>839</v>
      </c>
      <c r="S36" s="9"/>
      <c r="T36" s="9"/>
      <c r="U36" s="9"/>
      <c r="V36" s="9"/>
      <c r="W36" s="9"/>
      <c r="X36" s="9"/>
      <c r="Y36" s="9"/>
      <c r="Z36" s="9"/>
      <c r="AA36" s="9"/>
      <c r="AB36" s="9"/>
      <c r="AC36" s="7" t="s">
        <v>1175</v>
      </c>
      <c r="AD36" s="7" t="s">
        <v>1176</v>
      </c>
      <c r="AE36" s="7" t="s">
        <v>1195</v>
      </c>
      <c r="AF36" s="9" t="s">
        <v>1178</v>
      </c>
      <c r="AG36" s="9" t="s">
        <v>1325</v>
      </c>
      <c r="AH36" s="8">
        <v>2.0</v>
      </c>
      <c r="AI36" s="9" t="s">
        <v>845</v>
      </c>
      <c r="AJ36" s="9" t="s">
        <v>846</v>
      </c>
      <c r="AK36" s="8">
        <v>50.0</v>
      </c>
      <c r="AL36" s="9" t="s">
        <v>847</v>
      </c>
      <c r="AM36" s="9" t="s">
        <v>848</v>
      </c>
      <c r="AN36" s="9" t="s">
        <v>849</v>
      </c>
      <c r="AO36" s="9" t="s">
        <v>935</v>
      </c>
      <c r="AP36" s="8">
        <v>0.0</v>
      </c>
      <c r="AQ36" s="8">
        <v>1.0</v>
      </c>
      <c r="AR36" s="8">
        <v>0.0</v>
      </c>
      <c r="AS36" s="8">
        <v>0.0</v>
      </c>
      <c r="AT36" s="8">
        <v>0.0</v>
      </c>
      <c r="AU36" s="8">
        <v>0.0</v>
      </c>
      <c r="AV36" s="8">
        <v>0.0</v>
      </c>
      <c r="AW36" s="8">
        <v>0.0</v>
      </c>
      <c r="AX36" s="9"/>
      <c r="AY36" s="9" t="s">
        <v>935</v>
      </c>
      <c r="AZ36" s="8">
        <v>0.0</v>
      </c>
      <c r="BA36" s="8">
        <v>1.0</v>
      </c>
      <c r="BB36" s="8">
        <v>0.0</v>
      </c>
      <c r="BC36" s="8">
        <v>0.0</v>
      </c>
      <c r="BD36" s="8">
        <v>0.0</v>
      </c>
      <c r="BE36" s="8">
        <v>0.0</v>
      </c>
      <c r="BF36" s="8">
        <v>0.0</v>
      </c>
      <c r="BG36" s="8">
        <v>0.0</v>
      </c>
      <c r="BH36" s="9"/>
      <c r="BI36" s="9" t="s">
        <v>1101</v>
      </c>
      <c r="BJ36" s="8">
        <v>2.0</v>
      </c>
      <c r="BK36" s="8">
        <v>2.0</v>
      </c>
      <c r="BL36" s="8">
        <v>0.0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856</v>
      </c>
      <c r="CD36" s="8">
        <v>0.0</v>
      </c>
      <c r="CE36" s="8">
        <v>0.0</v>
      </c>
      <c r="CF36" s="8">
        <v>0.0</v>
      </c>
      <c r="CG36" s="8">
        <v>0.0</v>
      </c>
      <c r="CH36" s="8">
        <v>0.0</v>
      </c>
      <c r="CI36" s="8">
        <v>1.0</v>
      </c>
      <c r="CJ36" s="8">
        <v>0.0</v>
      </c>
      <c r="CK36" s="9"/>
      <c r="CL36" s="9" t="s">
        <v>857</v>
      </c>
      <c r="CM36" s="8">
        <v>2024.0</v>
      </c>
      <c r="CN36" s="9" t="s">
        <v>858</v>
      </c>
      <c r="CO36" s="9" t="s">
        <v>859</v>
      </c>
      <c r="CP36" s="9" t="s">
        <v>860</v>
      </c>
      <c r="CQ36" s="8">
        <v>0.0</v>
      </c>
      <c r="CR36" s="8">
        <v>0.0</v>
      </c>
      <c r="CS36" s="8">
        <v>0.0</v>
      </c>
      <c r="CT36" s="8">
        <v>0.0</v>
      </c>
      <c r="CU36" s="10">
        <v>1.0</v>
      </c>
      <c r="CV36" s="10">
        <v>0.0</v>
      </c>
      <c r="CW36" s="10">
        <v>0.0</v>
      </c>
      <c r="CX36" s="8">
        <v>0.0</v>
      </c>
      <c r="CY36" s="9" t="s">
        <v>860</v>
      </c>
      <c r="CZ36" s="8">
        <v>1.0</v>
      </c>
      <c r="DA36" s="8">
        <v>0.0</v>
      </c>
      <c r="DB36" s="8">
        <v>0.0</v>
      </c>
      <c r="DC36" s="9"/>
      <c r="DD36" s="9" t="s">
        <v>937</v>
      </c>
      <c r="DE36" s="8">
        <v>1.0</v>
      </c>
      <c r="DF36" s="8">
        <v>0.0</v>
      </c>
      <c r="DG36" s="8">
        <v>1.0</v>
      </c>
      <c r="DH36" s="8">
        <v>0.0</v>
      </c>
      <c r="DI36" s="9"/>
      <c r="DJ36" s="9" t="s">
        <v>937</v>
      </c>
      <c r="DK36" s="8">
        <v>1.0</v>
      </c>
      <c r="DL36" s="8">
        <v>0.0</v>
      </c>
      <c r="DM36" s="8">
        <v>1.0</v>
      </c>
      <c r="DN36" s="8">
        <v>0.0</v>
      </c>
      <c r="DO36" s="9"/>
      <c r="DP36" s="8">
        <v>1.0</v>
      </c>
      <c r="DQ36" s="8">
        <v>0.0</v>
      </c>
      <c r="DR36" s="8">
        <v>0.0</v>
      </c>
      <c r="DS36" s="9"/>
      <c r="DT36" s="9"/>
      <c r="DU36" s="9"/>
      <c r="DV36" s="9" t="s">
        <v>857</v>
      </c>
      <c r="DW36" s="9"/>
      <c r="DX36" s="9"/>
      <c r="DY36" s="9"/>
      <c r="DZ36" s="9"/>
      <c r="EA36" s="9"/>
      <c r="EB36" s="9"/>
      <c r="EC36" s="9"/>
      <c r="ED36" s="9"/>
      <c r="EE36" s="9"/>
      <c r="EF36" s="9"/>
      <c r="EG36" s="9"/>
      <c r="EH36" s="9"/>
      <c r="EI36" s="9" t="s">
        <v>862</v>
      </c>
      <c r="EJ36" s="8">
        <v>0.0</v>
      </c>
      <c r="EK36" s="8">
        <v>0.0</v>
      </c>
      <c r="EL36" s="8">
        <v>0.0</v>
      </c>
      <c r="EM36" s="8">
        <v>1.0</v>
      </c>
      <c r="EN36" s="8">
        <v>0.0</v>
      </c>
      <c r="EO36" s="11"/>
      <c r="EP36" s="9" t="s">
        <v>863</v>
      </c>
      <c r="EQ36" s="9" t="s">
        <v>864</v>
      </c>
      <c r="ER36" s="9" t="s">
        <v>861</v>
      </c>
      <c r="ES36" s="8">
        <v>1.0</v>
      </c>
      <c r="ET36" s="8">
        <v>0.0</v>
      </c>
      <c r="EU36" s="8">
        <v>0.0</v>
      </c>
      <c r="EV36" s="8">
        <v>0.0</v>
      </c>
      <c r="EW36" s="9"/>
      <c r="EX36" s="9" t="s">
        <v>865</v>
      </c>
      <c r="EY36" s="8">
        <v>1.0</v>
      </c>
      <c r="EZ36" s="8">
        <v>0.0</v>
      </c>
      <c r="FA36" s="8">
        <v>0.0</v>
      </c>
      <c r="FB36" s="9"/>
      <c r="FC36" s="9" t="s">
        <v>1072</v>
      </c>
      <c r="FD36" s="9"/>
      <c r="FE36" s="9" t="s">
        <v>867</v>
      </c>
      <c r="FF36" s="9" t="s">
        <v>868</v>
      </c>
      <c r="FG36" s="9" t="s">
        <v>867</v>
      </c>
      <c r="FH36" s="9" t="s">
        <v>868</v>
      </c>
      <c r="FI36" s="9" t="s">
        <v>867</v>
      </c>
      <c r="FJ36" s="9" t="s">
        <v>868</v>
      </c>
      <c r="FK36" s="9" t="s">
        <v>867</v>
      </c>
      <c r="FL36" s="9" t="s">
        <v>869</v>
      </c>
      <c r="FM36" s="9" t="s">
        <v>867</v>
      </c>
      <c r="FN36" s="9" t="s">
        <v>869</v>
      </c>
      <c r="FO36" s="9" t="s">
        <v>867</v>
      </c>
      <c r="FP36" s="9" t="s">
        <v>943</v>
      </c>
      <c r="FQ36" s="9" t="s">
        <v>867</v>
      </c>
      <c r="FR36" s="9" t="s">
        <v>857</v>
      </c>
      <c r="FS36" s="9" t="s">
        <v>867</v>
      </c>
      <c r="FT36" s="9" t="s">
        <v>871</v>
      </c>
      <c r="FU36" s="9" t="s">
        <v>989</v>
      </c>
      <c r="FV36" s="8">
        <v>1.0</v>
      </c>
      <c r="FW36" s="8">
        <v>1.0</v>
      </c>
      <c r="FX36" s="8">
        <v>0.0</v>
      </c>
      <c r="FY36" s="8">
        <v>0.0</v>
      </c>
      <c r="FZ36" s="9" t="s">
        <v>873</v>
      </c>
      <c r="GA36" s="9" t="s">
        <v>990</v>
      </c>
      <c r="GB36" s="8">
        <v>1.0</v>
      </c>
      <c r="GC36" s="8">
        <v>1.0</v>
      </c>
      <c r="GD36" s="8">
        <v>0.0</v>
      </c>
      <c r="GE36" s="8">
        <v>0.0</v>
      </c>
      <c r="GF36" s="9"/>
      <c r="GG36" s="9" t="s">
        <v>875</v>
      </c>
      <c r="GH36" s="9" t="s">
        <v>857</v>
      </c>
      <c r="GI36" s="9" t="s">
        <v>1264</v>
      </c>
      <c r="GJ36" s="8">
        <v>0.0</v>
      </c>
      <c r="GK36" s="8">
        <v>1.0</v>
      </c>
      <c r="GL36" s="8">
        <v>0.0</v>
      </c>
      <c r="GM36" s="8">
        <v>0.0</v>
      </c>
      <c r="GN36" s="9"/>
      <c r="GO36" s="8">
        <v>9.0</v>
      </c>
      <c r="GP36" s="9" t="s">
        <v>877</v>
      </c>
      <c r="GQ36" s="9" t="s">
        <v>1102</v>
      </c>
      <c r="GR36" s="8">
        <v>1.0</v>
      </c>
      <c r="GS36" s="8">
        <v>0.0</v>
      </c>
      <c r="GT36" s="8">
        <v>0.0</v>
      </c>
      <c r="GU36" s="8">
        <v>0.0</v>
      </c>
      <c r="GV36" s="8">
        <v>0.0</v>
      </c>
      <c r="GW36" s="8">
        <v>0.0</v>
      </c>
      <c r="GX36" s="8">
        <v>0.0</v>
      </c>
      <c r="GY36" s="9"/>
      <c r="GZ36" s="9" t="s">
        <v>857</v>
      </c>
      <c r="HA36" s="9"/>
      <c r="HB36" s="9"/>
      <c r="HC36" s="9"/>
      <c r="HD36" s="9"/>
      <c r="HE36" s="8">
        <v>15.0</v>
      </c>
      <c r="HF36" s="8">
        <v>125000.0</v>
      </c>
      <c r="HG36" s="8">
        <v>3.0</v>
      </c>
      <c r="HH36" s="8">
        <v>25000.0</v>
      </c>
      <c r="HI36" s="9"/>
      <c r="HJ36" s="9"/>
      <c r="HK36" s="9"/>
      <c r="HL36" s="9"/>
      <c r="HM36" s="9"/>
      <c r="HN36" s="9"/>
      <c r="HO36" s="9"/>
      <c r="HP36" s="9"/>
      <c r="HQ36" s="9"/>
      <c r="HR36" s="9"/>
      <c r="HS36" s="9"/>
      <c r="HT36" s="9"/>
      <c r="HU36" s="9"/>
      <c r="HV36" s="9"/>
      <c r="HW36" s="9"/>
      <c r="HX36" s="9"/>
      <c r="HY36" s="9"/>
      <c r="HZ36" s="9"/>
      <c r="IA36" s="8">
        <v>12.0</v>
      </c>
      <c r="IB36" s="8">
        <v>100000.0</v>
      </c>
      <c r="IC36" s="9"/>
      <c r="ID36" s="9"/>
      <c r="IE36" s="9"/>
      <c r="IF36" s="9"/>
      <c r="IG36" s="9"/>
      <c r="IH36" s="9"/>
      <c r="II36" s="9"/>
      <c r="IJ36" s="9"/>
      <c r="IK36" s="9" t="s">
        <v>879</v>
      </c>
      <c r="IL36" s="9" t="s">
        <v>880</v>
      </c>
      <c r="IM36" s="9" t="s">
        <v>857</v>
      </c>
      <c r="IN36" s="9" t="s">
        <v>881</v>
      </c>
      <c r="IO36" s="9" t="s">
        <v>1206</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1180</v>
      </c>
      <c r="KT36" s="9" t="s">
        <v>886</v>
      </c>
      <c r="KU36" s="9" t="s">
        <v>886</v>
      </c>
      <c r="KV36" s="9" t="s">
        <v>999</v>
      </c>
      <c r="KW36" s="8">
        <v>0.0</v>
      </c>
      <c r="KX36" s="8">
        <v>0.0</v>
      </c>
      <c r="KY36" s="8">
        <v>0.0</v>
      </c>
      <c r="KZ36" s="8">
        <v>1.0</v>
      </c>
      <c r="LA36" s="9" t="s">
        <v>1180</v>
      </c>
      <c r="LB36" s="9" t="s">
        <v>1180</v>
      </c>
      <c r="LC36" s="8">
        <v>0.0</v>
      </c>
      <c r="LD36" s="8">
        <v>3.0</v>
      </c>
      <c r="LE36" s="8">
        <v>0.0</v>
      </c>
      <c r="LF36" s="8">
        <v>3.0</v>
      </c>
      <c r="LG36" s="9" t="s">
        <v>857</v>
      </c>
      <c r="LH36" s="8">
        <v>100000.0</v>
      </c>
      <c r="LI36" s="9"/>
      <c r="LJ36" s="9" t="s">
        <v>887</v>
      </c>
      <c r="LK36" s="8">
        <v>0.0</v>
      </c>
      <c r="LL36" s="8">
        <v>0.0</v>
      </c>
      <c r="LM36" s="8">
        <v>0.0</v>
      </c>
      <c r="LN36" s="8">
        <v>0.0</v>
      </c>
      <c r="LO36" s="8">
        <v>1.0</v>
      </c>
      <c r="LP36" s="8">
        <v>0.0</v>
      </c>
      <c r="LQ36" s="8">
        <v>0.0</v>
      </c>
      <c r="LR36" s="9"/>
      <c r="LS36" s="8">
        <v>15.0</v>
      </c>
      <c r="LT36" s="8">
        <v>15.0</v>
      </c>
      <c r="LU36" s="8">
        <v>0.0</v>
      </c>
      <c r="LV36" s="8">
        <v>5.0</v>
      </c>
      <c r="LW36" s="8">
        <v>5.0</v>
      </c>
      <c r="LX36" s="8">
        <v>0.0</v>
      </c>
      <c r="LY36" s="8">
        <v>5.0</v>
      </c>
      <c r="LZ36" s="8">
        <v>5.0</v>
      </c>
      <c r="MA36" s="8">
        <v>0.0</v>
      </c>
      <c r="MB36" s="9" t="s">
        <v>857</v>
      </c>
      <c r="MC36" s="8">
        <v>30.0</v>
      </c>
      <c r="MD36" s="8">
        <v>0.0</v>
      </c>
      <c r="ME36" s="8">
        <v>0.0</v>
      </c>
      <c r="MF36" s="8">
        <v>0.0</v>
      </c>
      <c r="MG36" s="8">
        <v>0.0</v>
      </c>
      <c r="MH36" s="8">
        <v>0.0</v>
      </c>
      <c r="MI36" s="9" t="s">
        <v>946</v>
      </c>
      <c r="MJ36" s="8">
        <v>0.0</v>
      </c>
      <c r="MK36" s="8">
        <v>0.0</v>
      </c>
      <c r="ML36" s="8">
        <v>1.0</v>
      </c>
      <c r="MM36" s="8">
        <v>0.0</v>
      </c>
      <c r="MN36" s="8">
        <v>0.0</v>
      </c>
      <c r="MO36" s="8">
        <v>0.0</v>
      </c>
      <c r="MP36" s="9"/>
      <c r="MQ36" s="9"/>
      <c r="MR36" s="9" t="s">
        <v>1048</v>
      </c>
      <c r="MS36" s="9"/>
      <c r="MT36" s="9" t="s">
        <v>1326</v>
      </c>
      <c r="MU36" s="9" t="s">
        <v>881</v>
      </c>
      <c r="MV36" s="9"/>
      <c r="MW36" s="9"/>
      <c r="MX36" s="9"/>
      <c r="MY36" s="9"/>
      <c r="MZ36" s="9"/>
      <c r="NA36" s="9"/>
      <c r="NB36" s="9"/>
      <c r="NC36" s="9"/>
      <c r="ND36" s="9"/>
      <c r="NE36" s="9"/>
      <c r="NF36" s="9"/>
      <c r="NG36" s="9"/>
      <c r="NH36" s="9"/>
      <c r="NI36" s="9"/>
      <c r="NJ36" s="9"/>
      <c r="NK36" s="9"/>
      <c r="NL36" s="9" t="s">
        <v>857</v>
      </c>
      <c r="NM36" s="9" t="s">
        <v>893</v>
      </c>
      <c r="NN36" s="9" t="s">
        <v>993</v>
      </c>
      <c r="NO36" s="9" t="s">
        <v>994</v>
      </c>
      <c r="NP36" s="9"/>
      <c r="NQ36" s="9"/>
      <c r="NR36" s="9"/>
      <c r="NS36" s="9"/>
      <c r="NT36" s="9"/>
      <c r="NU36" s="9"/>
      <c r="NV36" s="9" t="s">
        <v>896</v>
      </c>
      <c r="NW36" s="9"/>
      <c r="NX36" s="9" t="s">
        <v>897</v>
      </c>
      <c r="NY36" s="8">
        <v>40.0</v>
      </c>
      <c r="NZ36" s="8">
        <v>20.0</v>
      </c>
      <c r="OA36" s="8">
        <v>0.0</v>
      </c>
      <c r="OB36" s="8">
        <v>5.0</v>
      </c>
      <c r="OC36" s="8">
        <v>5.0</v>
      </c>
      <c r="OD36" s="8">
        <v>0.0</v>
      </c>
      <c r="OE36" s="9" t="s">
        <v>1180</v>
      </c>
      <c r="OF36" s="9" t="s">
        <v>1184</v>
      </c>
      <c r="OG36" s="9" t="s">
        <v>857</v>
      </c>
      <c r="OH36" s="8">
        <v>0.0</v>
      </c>
      <c r="OI36" s="8">
        <v>6.0</v>
      </c>
      <c r="OJ36" s="8">
        <v>0.0</v>
      </c>
      <c r="OK36" s="8">
        <v>0.0</v>
      </c>
      <c r="OL36" s="8">
        <v>0.0</v>
      </c>
      <c r="OM36" s="8">
        <v>0.0</v>
      </c>
      <c r="ON36" s="8">
        <v>0.0</v>
      </c>
      <c r="OO36" s="8">
        <v>0.0</v>
      </c>
      <c r="OP36" s="9" t="str">
        <f>VLOOKUP(AG36,'BUS 2'!$G$1:$CU$424,2,0)</f>
        <v>Sapi perah</v>
      </c>
      <c r="OQ36" s="8">
        <f>VLOOKUP(AG36,'BUS 2'!$G$1:$CU$424,3,0)</f>
        <v>0</v>
      </c>
      <c r="OR36" s="8">
        <f>VLOOKUP(AG36,'BUS 2'!$G$1:$CU$424,4,0)</f>
        <v>1</v>
      </c>
      <c r="OS36" s="8">
        <f>VLOOKUP(AG36,'BUS 2'!$G$1:$CU$424,5,0)</f>
        <v>0</v>
      </c>
      <c r="OT36" s="8">
        <f>VLOOKUP(AG36,'BUS 2'!$G$1:$CU$424,6,0)</f>
        <v>0</v>
      </c>
      <c r="OU36" s="8">
        <f>VLOOKUP(AG36,'BUS 2'!$G$1:$CU$424,7,0)</f>
        <v>0</v>
      </c>
      <c r="OV36" s="8">
        <f>VLOOKUP(AG36,'BUS 2'!$G$1:$CU$424,8,0)</f>
        <v>0</v>
      </c>
      <c r="OW36" s="8">
        <f>VLOOKUP(AG36,'BUS 2'!$G$1:$CU$424,9,0)</f>
        <v>0</v>
      </c>
      <c r="OX36" s="8">
        <f>VLOOKUP(AG36,'BUS 2'!$G$1:$CU$424,10,0)</f>
        <v>0</v>
      </c>
      <c r="OY36" s="8">
        <f>VLOOKUP(AG36,'BUS 2'!$G$1:$CU$424,11,0)</f>
        <v>0</v>
      </c>
      <c r="OZ36" s="8" t="str">
        <f>VLOOKUP(AG36,'BUS 2'!$G$1:$CU$424,12,0)</f>
        <v>Sapi perah</v>
      </c>
      <c r="PA36" s="8">
        <f>VLOOKUP(AG36,'BUS 2'!$G$1:$CU$424,13,0)</f>
        <v>0</v>
      </c>
      <c r="PB36" s="8">
        <f>VLOOKUP(AG36,'BUS 2'!$G$1:$CU$424,14,0)</f>
        <v>1</v>
      </c>
      <c r="PC36" s="8">
        <f>VLOOKUP(AG36,'BUS 2'!$G$1:$CU$424,15,0)</f>
        <v>0</v>
      </c>
      <c r="PD36" s="8">
        <f>VLOOKUP(AG36,'BUS 2'!$G$1:$CU$424,16,0)</f>
        <v>0</v>
      </c>
      <c r="PE36" s="8">
        <f>VLOOKUP(AG36,'BUS 2'!$G$1:$CU$424,17,0)</f>
        <v>0</v>
      </c>
      <c r="PF36" s="8">
        <f>VLOOKUP(AG36,'BUS 2'!$G$1:$CU$424,18,0)</f>
        <v>0</v>
      </c>
      <c r="PG36" s="8">
        <f>VLOOKUP(AG36,'BUS 2'!$G$1:$CU$424,19,0)</f>
        <v>0</v>
      </c>
      <c r="PH36" s="8">
        <f>VLOOKUP(AG36,'BUS 2'!$G$1:$CU$424,20,0)</f>
        <v>0</v>
      </c>
      <c r="PI36" s="8">
        <f>VLOOKUP(AG36,'BUS 2'!$G$1:$CU$424,21,0)</f>
        <v>0</v>
      </c>
      <c r="PJ36" s="8" t="str">
        <f>VLOOKUP(AG36,'BUS 2'!$G$1:$CU$424,22,0)</f>
        <v>Tidak ada</v>
      </c>
      <c r="PK36" s="8">
        <f>VLOOKUP(AG36,'BUS 2'!$G$1:$CU$424,23,0)</f>
        <v>0</v>
      </c>
      <c r="PL36" s="8">
        <f>VLOOKUP(AG36,'BUS 2'!$G$1:$CU$424,24,0)</f>
        <v>0</v>
      </c>
      <c r="PM36" s="8">
        <f>VLOOKUP(AG36,'BUS 2'!$G$1:$CU$424,25,0)</f>
        <v>0</v>
      </c>
      <c r="PN36" s="8">
        <f>VLOOKUP(AG36,'BUS 2'!$G$1:$CU$424,26,0)</f>
        <v>0</v>
      </c>
      <c r="PO36" s="8">
        <f>VLOOKUP(AG36,'BUS 2'!$G$1:$CU$424,27,0)</f>
        <v>0</v>
      </c>
      <c r="PP36" s="8">
        <f>VLOOKUP(AG36,'BUS 2'!$G$1:$CU$424,28,0)</f>
        <v>0</v>
      </c>
      <c r="PQ36" s="8">
        <f>VLOOKUP(AG36,'BUS 2'!$G$1:$CU$424,29,0)</f>
        <v>0</v>
      </c>
      <c r="PR36" s="8">
        <f>VLOOKUP(AG36,'BUS 2'!$G$1:$CU$424,30,0)</f>
        <v>0</v>
      </c>
      <c r="PS36" s="8">
        <f>VLOOKUP(AG36,'BUS 2'!$G$1:$CU$424,31,0)</f>
        <v>1</v>
      </c>
      <c r="PT36" s="9"/>
      <c r="PU36" s="9"/>
      <c r="PV36" s="9"/>
      <c r="PW36" s="9"/>
      <c r="PX36" s="9"/>
      <c r="PY36" s="9"/>
      <c r="PZ36" s="9"/>
      <c r="QA36" s="9"/>
      <c r="QB36" s="9"/>
      <c r="QC36" s="9"/>
      <c r="QD36" s="9"/>
      <c r="QE36" s="9" t="s">
        <v>900</v>
      </c>
      <c r="QF36" s="8">
        <v>0.0</v>
      </c>
      <c r="QG36" s="8">
        <v>0.0</v>
      </c>
      <c r="QH36" s="8">
        <v>0.0</v>
      </c>
      <c r="QI36" s="8">
        <v>0.0</v>
      </c>
      <c r="QJ36" s="8">
        <v>0.0</v>
      </c>
      <c r="QK36" s="8">
        <v>1.0</v>
      </c>
      <c r="QL36" s="8">
        <v>0.0</v>
      </c>
      <c r="QM36" s="8">
        <v>0.0</v>
      </c>
      <c r="QN36" s="8">
        <v>0.0</v>
      </c>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8" t="str">
        <f>VLOOKUP(AG36,'BUS 2'!$G$1:$CU$424,33,0)</f>
        <v/>
      </c>
      <c r="SZ36" s="9">
        <f>VLOOKUP(AG36,'BUS 2'!$G$1:$CU$424,34,0)</f>
        <v>6</v>
      </c>
      <c r="TA36" s="9" t="str">
        <f>VLOOKUP(AG36,'BUS 2'!$G$1:$CU$424,35,0)</f>
        <v/>
      </c>
      <c r="TB36" s="9" t="str">
        <f>VLOOKUP(AG36,'BUS 2'!$G$1:$CU$424,36,0)</f>
        <v/>
      </c>
      <c r="TC36" s="9" t="str">
        <f>VLOOKUP(AG36,'BUS 2'!$G$1:$CU$424,37,0)</f>
        <v/>
      </c>
      <c r="TD36" s="9" t="str">
        <f>VLOOKUP(AG36,'BUS 2'!$G$1:$CU$424,38,0)</f>
        <v/>
      </c>
      <c r="TE36" s="9" t="str">
        <f>VLOOKUP(AG36,'BUS 2'!$G$1:$CU$424,39,0)</f>
        <v/>
      </c>
      <c r="TF36" s="9" t="str">
        <f>VLOOKUP(AG36,'BUS 2'!$G$1:$CU$424,40,0)</f>
        <v/>
      </c>
      <c r="TG36" s="8" t="str">
        <f>VLOOKUP(AG36,'BUS 2'!$G$1:$CU$424,42,0)</f>
        <v/>
      </c>
      <c r="TH36" s="8">
        <f>VLOOKUP(AG36,'BUS 2'!$G$1:$CU$424,43,0)</f>
        <v>6</v>
      </c>
      <c r="TI36" s="8" t="str">
        <f>VLOOKUP(AG36,'BUS 2'!$G$1:$CU$424,44,0)</f>
        <v/>
      </c>
      <c r="TJ36" s="8" t="str">
        <f>VLOOKUP(AG36,'BUS 2'!$G$1:$CU$424,45,0)</f>
        <v/>
      </c>
      <c r="TK36" s="8" t="str">
        <f>VLOOKUP(AG36,'BUS 2'!$G$1:$CU$424,46,0)</f>
        <v/>
      </c>
      <c r="TL36" s="8" t="str">
        <f>VLOOKUP(AG36,'BUS 2'!$G$1:$CU$424,47,0)</f>
        <v/>
      </c>
      <c r="TM36" s="8" t="str">
        <f>VLOOKUP(AG36,'BUS 2'!$G$1:$CU$424,48,0)</f>
        <v/>
      </c>
      <c r="TN36" s="8" t="str">
        <f>VLOOKUP(AG36,'BUS 2'!$G$1:$CU$424,49,0)</f>
        <v/>
      </c>
      <c r="TO36" s="8" t="str">
        <f>VLOOKUP(AG36,'BUS 2'!$G$1:$CU$424,50,0)</f>
        <v/>
      </c>
      <c r="TP36" s="8" t="str">
        <f>VLOOKUP(AG36,'BUS 2'!$G$1:$CU$424,51,0)</f>
        <v/>
      </c>
      <c r="TQ36" s="8" t="str">
        <f>VLOOKUP(AG36,'BUS 2'!$G$1:$CU$424,52,0)</f>
        <v/>
      </c>
      <c r="TR36" s="8" t="str">
        <f>VLOOKUP(AG36,'BUS 2'!$G$1:$CU$424,53,0)</f>
        <v/>
      </c>
      <c r="TS36" s="9" t="str">
        <f>VLOOKUP(AG36,'BUS 2'!$G$1:$CU$424,54,0)</f>
        <v/>
      </c>
      <c r="TT36" s="9" t="str">
        <f>VLOOKUP(AG36,'BUS 2'!$G$1:$CU$424,55,0)</f>
        <v/>
      </c>
      <c r="TU36" s="9" t="str">
        <f>VLOOKUP(AG36,'BUS 2'!$G$1:$CU$424,56,0)</f>
        <v/>
      </c>
      <c r="TV36" s="9" t="str">
        <f>VLOOKUP(AG36,'BUS 2'!$G$1:$CU$424,57,0)</f>
        <v/>
      </c>
      <c r="TW36" s="9" t="str">
        <f>VLOOKUP(AG36,'BUS 2'!$G$1:$CU$424,58,0)</f>
        <v/>
      </c>
      <c r="TX36" s="9" t="str">
        <f>VLOOKUP(AG36,'BUS 2'!$G$1:$CU$424,59,0)</f>
        <v/>
      </c>
      <c r="TY36" s="9" t="str">
        <f>VLOOKUP(AG36,'BUS 2'!$G$1:$CU$424,60,0)</f>
        <v/>
      </c>
      <c r="TZ36" s="9" t="str">
        <f>VLOOKUP(AG36,'BUS 2'!$G$1:$CU$424,61,0)</f>
        <v/>
      </c>
      <c r="UA36" s="9" t="str">
        <f>VLOOKUP(AG36,'BUS 2'!$G$1:$CU$424,62,0)</f>
        <v/>
      </c>
      <c r="UB36" s="9" t="str">
        <f>VLOOKUP(AG36,'BUS 2'!$G$1:$CU$424,63,0)</f>
        <v/>
      </c>
      <c r="UC36" s="9" t="str">
        <f>VLOOKUP(AG36,'BUS 2'!$G$1:$CU$424,64,0)</f>
        <v/>
      </c>
      <c r="UD36" s="9" t="str">
        <f>VLOOKUP(AG36,'BUS 2'!$G$1:$CU$424,65,0)</f>
        <v/>
      </c>
      <c r="UE36" s="9" t="str">
        <f>VLOOKUP(AG36,'BUS 2'!$G$1:$CU$424,66,0)</f>
        <v/>
      </c>
      <c r="UF36" s="9" t="str">
        <f>VLOOKUP(AG36,'BUS 2'!$G$1:$CU$424,67,0)</f>
        <v/>
      </c>
      <c r="UG36" s="9" t="str">
        <f>VLOOKUP(AG36,'BUS 2'!$G$1:$CU$424,68,0)</f>
        <v/>
      </c>
      <c r="UH36" s="9" t="str">
        <f>VLOOKUP(AG36,'BUS 2'!$G$1:$CU$424,69,0)</f>
        <v/>
      </c>
      <c r="UI36" s="9" t="str">
        <f>VLOOKUP(AG36,'BUS 2'!$G$1:$CU$424,70,0)</f>
        <v/>
      </c>
      <c r="UJ36" s="9" t="str">
        <f>VLOOKUP(AG36,'BUS 2'!$G$1:$CU$424,71,0)</f>
        <v/>
      </c>
      <c r="UK36" s="9" t="str">
        <f>VLOOKUP(AG36,'BUS 2'!$G$1:$CU$424,72,0)</f>
        <v/>
      </c>
      <c r="UL36" s="9" t="str">
        <f>VLOOKUP(AG36,'BUS 2'!$G$1:$CU$424,73,0)</f>
        <v/>
      </c>
      <c r="UM36" s="9" t="str">
        <f>VLOOKUP(AG36,'BUS 2'!$G$1:$CU$424,74,0)</f>
        <v/>
      </c>
      <c r="UN36" s="9" t="str">
        <f>VLOOKUP(AG36,'BUS 2'!$G$1:$CU$424,75,0)</f>
        <v/>
      </c>
      <c r="UO36" s="9" t="str">
        <f>VLOOKUP(AG36,'BUS 2'!$G$1:$CU$424,76,0)</f>
        <v/>
      </c>
      <c r="UP36" s="9" t="str">
        <f>VLOOKUP(AG36,'BUS 2'!$G$1:$CU$424,77,0)</f>
        <v/>
      </c>
      <c r="UQ36" s="9" t="str">
        <f>VLOOKUP(AG36,'BUS 2'!$G$1:$CU$424,78,0)</f>
        <v/>
      </c>
      <c r="UR36" s="9" t="str">
        <f>VLOOKUP(AG36,'BUS 2'!$G$1:$CU$424,79,0)</f>
        <v/>
      </c>
      <c r="US36" s="9" t="str">
        <f>VLOOKUP(AG36,'BUS 2'!$G$1:$CU$424,80,0)</f>
        <v/>
      </c>
      <c r="UT36" s="9" t="str">
        <f>VLOOKUP(AG36,'BUS 2'!$G$1:$CU$424,81,0)</f>
        <v/>
      </c>
      <c r="UU36" s="9"/>
      <c r="UV36" s="9" t="s">
        <v>901</v>
      </c>
      <c r="UW36" s="9"/>
      <c r="UX36" s="9"/>
      <c r="UY36" s="9"/>
      <c r="UZ36" s="9"/>
      <c r="VA36" s="9"/>
      <c r="VB36" s="9"/>
      <c r="VC36" s="9"/>
      <c r="VD36" s="9" t="s">
        <v>950</v>
      </c>
      <c r="VE36" s="9"/>
      <c r="VF36" s="9"/>
      <c r="VG36" s="9"/>
      <c r="VH36" s="9"/>
      <c r="VI36" s="9"/>
      <c r="VJ36" s="9"/>
      <c r="VK36" s="9"/>
      <c r="VL36" s="9" t="s">
        <v>1158</v>
      </c>
      <c r="VM36" s="9"/>
      <c r="VN36" s="9"/>
      <c r="VO36" s="9"/>
      <c r="VP36" s="9"/>
      <c r="VQ36" s="9"/>
      <c r="VR36" s="9"/>
      <c r="VS36" s="9"/>
      <c r="VT36" s="9"/>
      <c r="VU36" s="9"/>
      <c r="VV36" s="9"/>
      <c r="VW36" s="9"/>
      <c r="VX36" s="9"/>
      <c r="VY36" s="9"/>
      <c r="VZ36" s="9"/>
      <c r="WA36" s="9"/>
      <c r="WB36" s="9"/>
      <c r="WC36" s="9"/>
      <c r="WD36" s="9"/>
      <c r="WE36" s="9"/>
      <c r="WF36" s="9" t="s">
        <v>1303</v>
      </c>
      <c r="WG36" s="8">
        <v>0.0</v>
      </c>
      <c r="WH36" s="8">
        <v>0.0</v>
      </c>
      <c r="WI36" s="8">
        <v>0.0</v>
      </c>
      <c r="WJ36" s="8">
        <v>1.0</v>
      </c>
      <c r="WK36" s="8">
        <v>1.0</v>
      </c>
      <c r="WL36" s="8">
        <v>0.0</v>
      </c>
      <c r="WM36" s="8">
        <v>0.0</v>
      </c>
      <c r="WN36" s="8">
        <v>0.0</v>
      </c>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8">
        <v>2.0</v>
      </c>
      <c r="ZX36" s="9"/>
      <c r="ZY36" s="9"/>
      <c r="ZZ36" s="9"/>
      <c r="AAA36" s="9"/>
      <c r="AAB36" s="9"/>
      <c r="AAC36" s="9"/>
      <c r="AAD36" s="9"/>
      <c r="AAE36" s="9" t="s">
        <v>905</v>
      </c>
      <c r="AAF36" s="9"/>
      <c r="AAG36" s="9"/>
      <c r="AAH36" s="9"/>
      <c r="AAI36" s="9"/>
      <c r="AAJ36" s="9"/>
      <c r="AAK36" s="9"/>
      <c r="AAL36" s="9" t="s">
        <v>857</v>
      </c>
      <c r="AAM36" s="9" t="s">
        <v>1033</v>
      </c>
      <c r="AAN36" s="8">
        <v>1.0</v>
      </c>
      <c r="AAO36" s="8">
        <v>1.0</v>
      </c>
      <c r="AAP36" s="8">
        <v>60.0</v>
      </c>
      <c r="AAQ36" s="8">
        <v>60.0</v>
      </c>
      <c r="AAR36" s="9" t="s">
        <v>857</v>
      </c>
      <c r="AAS36" s="9" t="s">
        <v>867</v>
      </c>
      <c r="AAT36" s="9" t="s">
        <v>1074</v>
      </c>
      <c r="AAU36" s="8">
        <v>1.0</v>
      </c>
      <c r="AAV36" s="8">
        <v>0.0</v>
      </c>
      <c r="AAW36" s="8">
        <v>0.0</v>
      </c>
      <c r="AAX36" s="8">
        <v>1.0</v>
      </c>
      <c r="AAY36" s="8">
        <v>1.0</v>
      </c>
      <c r="AAZ36" s="8">
        <v>0.0</v>
      </c>
      <c r="ABA36" s="8">
        <v>0.0</v>
      </c>
      <c r="ABB36" s="9" t="s">
        <v>907</v>
      </c>
      <c r="ABC36" s="8">
        <v>1.0</v>
      </c>
      <c r="ABD36" s="8">
        <v>0.0</v>
      </c>
      <c r="ABE36" s="8">
        <v>0.0</v>
      </c>
      <c r="ABF36" s="8">
        <v>0.0</v>
      </c>
      <c r="ABG36" s="8">
        <v>0.0</v>
      </c>
      <c r="ABH36" s="9"/>
      <c r="ABI36" s="9"/>
      <c r="ABJ36" s="9"/>
      <c r="ABK36" s="9"/>
      <c r="ABL36" s="9"/>
      <c r="ABM36" s="9"/>
      <c r="ABN36" s="9"/>
      <c r="ABO36" s="9"/>
      <c r="ABP36" s="9"/>
      <c r="ABQ36" s="11" t="s">
        <v>908</v>
      </c>
      <c r="ABR36" s="9" t="s">
        <v>1075</v>
      </c>
      <c r="ABS36" s="8">
        <v>4000.0</v>
      </c>
      <c r="ABT36" s="8">
        <v>300.0</v>
      </c>
      <c r="ABU36" s="8">
        <v>60.0</v>
      </c>
      <c r="ABV36" s="8">
        <v>60.0</v>
      </c>
      <c r="ABW36" s="9" t="s">
        <v>1199</v>
      </c>
      <c r="ABX36" s="9"/>
      <c r="ABY36" s="8">
        <v>30.0</v>
      </c>
      <c r="ABZ36" s="8">
        <v>4000.0</v>
      </c>
      <c r="ACA36" s="8">
        <v>0.0</v>
      </c>
      <c r="ACB36" s="8">
        <v>4000.0</v>
      </c>
      <c r="ACC36" s="8">
        <v>500.0</v>
      </c>
      <c r="ACD36" s="8">
        <v>750.0</v>
      </c>
      <c r="ACE36" s="9" t="s">
        <v>857</v>
      </c>
      <c r="ACF36" s="9" t="s">
        <v>911</v>
      </c>
      <c r="ACG36" s="9" t="s">
        <v>911</v>
      </c>
      <c r="ACH36" s="9" t="s">
        <v>911</v>
      </c>
      <c r="ACI36" s="9"/>
      <c r="ACJ36" s="9"/>
      <c r="ACK36" s="9" t="s">
        <v>1215</v>
      </c>
      <c r="ACL36" s="8">
        <v>0.0</v>
      </c>
      <c r="ACM36" s="8">
        <v>1.0</v>
      </c>
      <c r="ACN36" s="8">
        <v>0.0</v>
      </c>
      <c r="ACO36" s="8">
        <v>1.0</v>
      </c>
      <c r="ACP36" s="8">
        <v>0.0</v>
      </c>
      <c r="ACQ36" s="8">
        <v>0.0</v>
      </c>
      <c r="ACR36" s="8">
        <v>0.0</v>
      </c>
      <c r="ACS36" s="9"/>
      <c r="ACT36" s="9" t="s">
        <v>912</v>
      </c>
      <c r="ACU36" s="9" t="s">
        <v>1050</v>
      </c>
      <c r="ACV36" s="9" t="s">
        <v>957</v>
      </c>
      <c r="ACW36" s="9" t="s">
        <v>915</v>
      </c>
      <c r="ACX36" s="9" t="s">
        <v>916</v>
      </c>
      <c r="ACY36" s="9" t="s">
        <v>1017</v>
      </c>
      <c r="ACZ36" s="8">
        <v>1.0</v>
      </c>
      <c r="ADA36" s="8">
        <v>1.0</v>
      </c>
      <c r="ADB36" s="8">
        <v>1.0</v>
      </c>
      <c r="ADC36" s="8">
        <v>0.0</v>
      </c>
      <c r="ADD36" s="9" t="s">
        <v>1187</v>
      </c>
      <c r="ADE36" s="9" t="s">
        <v>1187</v>
      </c>
      <c r="ADF36" s="9" t="s">
        <v>1187</v>
      </c>
      <c r="ADG36" s="9" t="s">
        <v>1187</v>
      </c>
      <c r="ADH36" s="9" t="s">
        <v>881</v>
      </c>
      <c r="ADI36" s="9"/>
      <c r="ADJ36" s="9" t="s">
        <v>1187</v>
      </c>
      <c r="ADK36" s="9"/>
      <c r="ADL36" s="9"/>
      <c r="ADM36" s="9"/>
      <c r="ADN36" s="9"/>
      <c r="ADO36" s="9"/>
      <c r="ADP36" s="9"/>
      <c r="ADQ36" s="9"/>
      <c r="ADR36" s="9"/>
      <c r="ADS36" s="9"/>
      <c r="ADT36" s="9"/>
      <c r="ADU36" s="9" t="s">
        <v>919</v>
      </c>
      <c r="ADV36" s="8">
        <v>0.0</v>
      </c>
      <c r="ADW36" s="8">
        <v>0.0</v>
      </c>
      <c r="ADX36" s="8">
        <v>0.0</v>
      </c>
      <c r="ADY36" s="8">
        <v>0.0</v>
      </c>
      <c r="ADZ36" s="8">
        <v>1.0</v>
      </c>
      <c r="AEA36" s="8">
        <v>0.0</v>
      </c>
      <c r="AEB36" s="8">
        <v>0.0</v>
      </c>
      <c r="AEC36" s="8">
        <v>0.0</v>
      </c>
      <c r="AED36" s="12"/>
      <c r="AEE36" s="17" t="s">
        <v>872</v>
      </c>
      <c r="AEF36" s="9"/>
      <c r="AEG36" s="17" t="s">
        <v>920</v>
      </c>
      <c r="AEH36" s="9"/>
      <c r="AEI36" s="11" t="s">
        <v>999</v>
      </c>
      <c r="AEJ36" s="9" t="s">
        <v>871</v>
      </c>
      <c r="AEK36" s="17" t="s">
        <v>1108</v>
      </c>
      <c r="AEL36" s="18">
        <v>1.0</v>
      </c>
      <c r="AEM36" s="18">
        <v>1.0</v>
      </c>
      <c r="AEN36" s="18">
        <v>1.0</v>
      </c>
      <c r="AEO36" s="18">
        <v>1.0</v>
      </c>
      <c r="AEP36" s="18">
        <v>1.0</v>
      </c>
      <c r="AEQ36" s="18">
        <v>1.0</v>
      </c>
      <c r="AER36" s="18">
        <v>1.0</v>
      </c>
      <c r="AES36" s="18">
        <v>1.0</v>
      </c>
      <c r="AET36" s="18">
        <v>1.0</v>
      </c>
      <c r="AEU36" s="18">
        <v>0.0</v>
      </c>
      <c r="AEV36" s="18">
        <v>0.0</v>
      </c>
      <c r="AEW36" s="18">
        <v>0.0</v>
      </c>
      <c r="AEX36" s="9"/>
      <c r="AEY36" s="9" t="s">
        <v>923</v>
      </c>
      <c r="AEZ36" s="9"/>
      <c r="AFA36" s="9" t="s">
        <v>1188</v>
      </c>
      <c r="AFB36" s="9"/>
      <c r="AFC36" s="9" t="s">
        <v>1327</v>
      </c>
      <c r="AFD36" s="16" t="s">
        <v>1328</v>
      </c>
      <c r="AFE36" s="9" t="s">
        <v>1329</v>
      </c>
      <c r="AFF36" s="16" t="s">
        <v>1330</v>
      </c>
      <c r="AFG36" s="9" t="s">
        <v>1331</v>
      </c>
      <c r="AFH36" s="9"/>
      <c r="AFI36" s="9"/>
    </row>
    <row r="37">
      <c r="A37" s="6">
        <v>46060.0</v>
      </c>
      <c r="B37" s="6">
        <v>46060.0</v>
      </c>
      <c r="C37" s="7" t="s">
        <v>837</v>
      </c>
      <c r="D37" s="7" t="s">
        <v>1332</v>
      </c>
      <c r="E37" s="8">
        <v>6.28822006624132E14</v>
      </c>
      <c r="F37" s="9"/>
      <c r="G37" s="8">
        <v>-7.2247352</v>
      </c>
      <c r="H37" s="8">
        <v>110.2820664</v>
      </c>
      <c r="I37" s="9"/>
      <c r="J37" s="8">
        <v>3.14</v>
      </c>
      <c r="K37" s="9"/>
      <c r="L37" s="9"/>
      <c r="M37" s="8">
        <v>-7.2246794</v>
      </c>
      <c r="N37" s="8">
        <v>110.2820454</v>
      </c>
      <c r="O37" s="9"/>
      <c r="P37" s="8">
        <v>2.71</v>
      </c>
      <c r="Q37" s="9"/>
      <c r="R37" s="9" t="s">
        <v>839</v>
      </c>
      <c r="S37" s="9"/>
      <c r="T37" s="9"/>
      <c r="U37" s="9"/>
      <c r="V37" s="9"/>
      <c r="W37" s="9"/>
      <c r="X37" s="9"/>
      <c r="Y37" s="9"/>
      <c r="Z37" s="9"/>
      <c r="AA37" s="9"/>
      <c r="AB37" s="9"/>
      <c r="AC37" s="7" t="s">
        <v>1175</v>
      </c>
      <c r="AD37" s="7" t="s">
        <v>1176</v>
      </c>
      <c r="AE37" s="7" t="s">
        <v>1252</v>
      </c>
      <c r="AF37" s="9" t="s">
        <v>1178</v>
      </c>
      <c r="AG37" s="9" t="s">
        <v>1333</v>
      </c>
      <c r="AH37" s="8">
        <v>2.0</v>
      </c>
      <c r="AI37" s="9" t="s">
        <v>845</v>
      </c>
      <c r="AJ37" s="9" t="s">
        <v>846</v>
      </c>
      <c r="AK37" s="8">
        <v>60.0</v>
      </c>
      <c r="AL37" s="9" t="s">
        <v>847</v>
      </c>
      <c r="AM37" s="9" t="s">
        <v>848</v>
      </c>
      <c r="AN37" s="9" t="s">
        <v>849</v>
      </c>
      <c r="AO37" s="9" t="s">
        <v>850</v>
      </c>
      <c r="AP37" s="8">
        <v>1.0</v>
      </c>
      <c r="AQ37" s="8">
        <v>0.0</v>
      </c>
      <c r="AR37" s="8">
        <v>0.0</v>
      </c>
      <c r="AS37" s="8">
        <v>0.0</v>
      </c>
      <c r="AT37" s="8">
        <v>0.0</v>
      </c>
      <c r="AU37" s="8">
        <v>0.0</v>
      </c>
      <c r="AV37" s="8">
        <v>0.0</v>
      </c>
      <c r="AW37" s="8">
        <v>0.0</v>
      </c>
      <c r="AX37" s="9"/>
      <c r="AY37" s="9" t="s">
        <v>935</v>
      </c>
      <c r="AZ37" s="8">
        <v>0.0</v>
      </c>
      <c r="BA37" s="8">
        <v>1.0</v>
      </c>
      <c r="BB37" s="8">
        <v>0.0</v>
      </c>
      <c r="BC37" s="8">
        <v>0.0</v>
      </c>
      <c r="BD37" s="8">
        <v>0.0</v>
      </c>
      <c r="BE37" s="8">
        <v>0.0</v>
      </c>
      <c r="BF37" s="8">
        <v>0.0</v>
      </c>
      <c r="BG37" s="8">
        <v>0.0</v>
      </c>
      <c r="BH37" s="9"/>
      <c r="BI37" s="9" t="s">
        <v>852</v>
      </c>
      <c r="BJ37" s="8">
        <v>2.0</v>
      </c>
      <c r="BK37" s="8">
        <v>2.0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2024.0</v>
      </c>
      <c r="CN37" s="9" t="s">
        <v>858</v>
      </c>
      <c r="CO37" s="9" t="s">
        <v>859</v>
      </c>
      <c r="CP37" s="9" t="s">
        <v>860</v>
      </c>
      <c r="CQ37" s="8">
        <v>0.0</v>
      </c>
      <c r="CR37" s="8">
        <v>0.0</v>
      </c>
      <c r="CS37" s="8">
        <v>0.0</v>
      </c>
      <c r="CT37" s="8">
        <v>0.0</v>
      </c>
      <c r="CU37" s="10">
        <v>1.0</v>
      </c>
      <c r="CV37" s="10">
        <v>0.0</v>
      </c>
      <c r="CW37" s="10">
        <v>0.0</v>
      </c>
      <c r="CX37" s="8">
        <v>0.0</v>
      </c>
      <c r="CY37" s="9" t="s">
        <v>860</v>
      </c>
      <c r="CZ37" s="8">
        <v>1.0</v>
      </c>
      <c r="DA37" s="8">
        <v>0.0</v>
      </c>
      <c r="DB37" s="8">
        <v>0.0</v>
      </c>
      <c r="DC37" s="9"/>
      <c r="DD37" s="9" t="s">
        <v>937</v>
      </c>
      <c r="DE37" s="8">
        <v>1.0</v>
      </c>
      <c r="DF37" s="8">
        <v>0.0</v>
      </c>
      <c r="DG37" s="8">
        <v>1.0</v>
      </c>
      <c r="DH37" s="8">
        <v>0.0</v>
      </c>
      <c r="DI37" s="9"/>
      <c r="DJ37" s="9" t="s">
        <v>937</v>
      </c>
      <c r="DK37" s="8">
        <v>1.0</v>
      </c>
      <c r="DL37" s="8">
        <v>0.0</v>
      </c>
      <c r="DM37" s="8">
        <v>1.0</v>
      </c>
      <c r="DN37" s="8">
        <v>0.0</v>
      </c>
      <c r="DO37" s="9"/>
      <c r="DP37" s="8">
        <v>1.0</v>
      </c>
      <c r="DQ37" s="8">
        <v>0.0</v>
      </c>
      <c r="DR37" s="8">
        <v>0.0</v>
      </c>
      <c r="DS37" s="9"/>
      <c r="DT37" s="9"/>
      <c r="DU37" s="9"/>
      <c r="DV37" s="9" t="s">
        <v>857</v>
      </c>
      <c r="DW37" s="9"/>
      <c r="DX37" s="9"/>
      <c r="DY37" s="9"/>
      <c r="DZ37" s="9"/>
      <c r="EA37" s="9"/>
      <c r="EB37" s="9"/>
      <c r="EC37" s="9"/>
      <c r="ED37" s="9"/>
      <c r="EE37" s="9"/>
      <c r="EF37" s="9"/>
      <c r="EG37" s="9"/>
      <c r="EH37" s="9"/>
      <c r="EI37" s="9" t="s">
        <v>862</v>
      </c>
      <c r="EJ37" s="8">
        <v>0.0</v>
      </c>
      <c r="EK37" s="8">
        <v>0.0</v>
      </c>
      <c r="EL37" s="8">
        <v>0.0</v>
      </c>
      <c r="EM37" s="8">
        <v>1.0</v>
      </c>
      <c r="EN37" s="8">
        <v>0.0</v>
      </c>
      <c r="EO37" s="11"/>
      <c r="EP37" s="9" t="s">
        <v>863</v>
      </c>
      <c r="EQ37" s="9" t="s">
        <v>864</v>
      </c>
      <c r="ER37" s="9" t="s">
        <v>861</v>
      </c>
      <c r="ES37" s="8">
        <v>1.0</v>
      </c>
      <c r="ET37" s="8">
        <v>0.0</v>
      </c>
      <c r="EU37" s="8">
        <v>0.0</v>
      </c>
      <c r="EV37" s="8">
        <v>0.0</v>
      </c>
      <c r="EW37" s="9"/>
      <c r="EX37" s="9" t="s">
        <v>865</v>
      </c>
      <c r="EY37" s="8">
        <v>1.0</v>
      </c>
      <c r="EZ37" s="8">
        <v>0.0</v>
      </c>
      <c r="FA37" s="8">
        <v>0.0</v>
      </c>
      <c r="FB37" s="9"/>
      <c r="FC37" s="9" t="s">
        <v>1072</v>
      </c>
      <c r="FD37" s="9"/>
      <c r="FE37" s="9" t="s">
        <v>867</v>
      </c>
      <c r="FF37" s="9" t="s">
        <v>868</v>
      </c>
      <c r="FG37" s="9" t="s">
        <v>867</v>
      </c>
      <c r="FH37" s="9" t="s">
        <v>868</v>
      </c>
      <c r="FI37" s="9" t="s">
        <v>867</v>
      </c>
      <c r="FJ37" s="9" t="s">
        <v>868</v>
      </c>
      <c r="FK37" s="9" t="s">
        <v>867</v>
      </c>
      <c r="FL37" s="9" t="s">
        <v>943</v>
      </c>
      <c r="FM37" s="9" t="s">
        <v>867</v>
      </c>
      <c r="FN37" s="9" t="s">
        <v>943</v>
      </c>
      <c r="FO37" s="9" t="s">
        <v>867</v>
      </c>
      <c r="FP37" s="9" t="s">
        <v>943</v>
      </c>
      <c r="FQ37" s="9" t="s">
        <v>867</v>
      </c>
      <c r="FR37" s="9" t="s">
        <v>857</v>
      </c>
      <c r="FS37" s="9" t="s">
        <v>867</v>
      </c>
      <c r="FT37" s="9" t="s">
        <v>871</v>
      </c>
      <c r="FU37" s="9" t="s">
        <v>989</v>
      </c>
      <c r="FV37" s="8">
        <v>1.0</v>
      </c>
      <c r="FW37" s="8">
        <v>1.0</v>
      </c>
      <c r="FX37" s="8">
        <v>0.0</v>
      </c>
      <c r="FY37" s="8">
        <v>0.0</v>
      </c>
      <c r="FZ37" s="9" t="s">
        <v>873</v>
      </c>
      <c r="GA37" s="9" t="s">
        <v>990</v>
      </c>
      <c r="GB37" s="8">
        <v>1.0</v>
      </c>
      <c r="GC37" s="8">
        <v>1.0</v>
      </c>
      <c r="GD37" s="8">
        <v>0.0</v>
      </c>
      <c r="GE37" s="8">
        <v>0.0</v>
      </c>
      <c r="GF37" s="9"/>
      <c r="GG37" s="9" t="s">
        <v>875</v>
      </c>
      <c r="GH37" s="9" t="s">
        <v>857</v>
      </c>
      <c r="GI37" s="9" t="s">
        <v>1264</v>
      </c>
      <c r="GJ37" s="8">
        <v>0.0</v>
      </c>
      <c r="GK37" s="8">
        <v>1.0</v>
      </c>
      <c r="GL37" s="8">
        <v>0.0</v>
      </c>
      <c r="GM37" s="8">
        <v>0.0</v>
      </c>
      <c r="GN37" s="9"/>
      <c r="GO37" s="8">
        <v>9.0</v>
      </c>
      <c r="GP37" s="9" t="s">
        <v>877</v>
      </c>
      <c r="GQ37" s="9" t="s">
        <v>878</v>
      </c>
      <c r="GR37" s="8">
        <v>1.0</v>
      </c>
      <c r="GS37" s="8">
        <v>1.0</v>
      </c>
      <c r="GT37" s="8">
        <v>0.0</v>
      </c>
      <c r="GU37" s="8">
        <v>0.0</v>
      </c>
      <c r="GV37" s="8">
        <v>0.0</v>
      </c>
      <c r="GW37" s="8">
        <v>0.0</v>
      </c>
      <c r="GX37" s="8">
        <v>0.0</v>
      </c>
      <c r="GY37" s="9"/>
      <c r="GZ37" s="9" t="s">
        <v>857</v>
      </c>
      <c r="HA37" s="8">
        <v>15.0</v>
      </c>
      <c r="HB37" s="8">
        <v>150000.0</v>
      </c>
      <c r="HC37" s="8">
        <v>5.0</v>
      </c>
      <c r="HD37" s="8">
        <v>50000.0</v>
      </c>
      <c r="HE37" s="8">
        <v>9.0</v>
      </c>
      <c r="HF37" s="8">
        <v>75000.0</v>
      </c>
      <c r="HG37" s="8">
        <v>3.0</v>
      </c>
      <c r="HH37" s="8">
        <v>25000.0</v>
      </c>
      <c r="HI37" s="9"/>
      <c r="HJ37" s="9"/>
      <c r="HK37" s="9"/>
      <c r="HL37" s="9"/>
      <c r="HM37" s="9"/>
      <c r="HN37" s="9"/>
      <c r="HO37" s="9"/>
      <c r="HP37" s="9"/>
      <c r="HQ37" s="9"/>
      <c r="HR37" s="9"/>
      <c r="HS37" s="9"/>
      <c r="HT37" s="9"/>
      <c r="HU37" s="9"/>
      <c r="HV37" s="9"/>
      <c r="HW37" s="9"/>
      <c r="HX37" s="9"/>
      <c r="HY37" s="8">
        <v>10.0</v>
      </c>
      <c r="HZ37" s="8">
        <v>100000.0</v>
      </c>
      <c r="IA37" s="8">
        <v>6.0</v>
      </c>
      <c r="IB37" s="8">
        <v>50000.0</v>
      </c>
      <c r="IC37" s="9"/>
      <c r="ID37" s="9"/>
      <c r="IE37" s="9"/>
      <c r="IF37" s="9"/>
      <c r="IG37" s="9"/>
      <c r="IH37" s="9"/>
      <c r="II37" s="9"/>
      <c r="IJ37" s="9"/>
      <c r="IK37" s="9" t="s">
        <v>879</v>
      </c>
      <c r="IL37" s="9" t="s">
        <v>880</v>
      </c>
      <c r="IM37" s="9" t="s">
        <v>857</v>
      </c>
      <c r="IN37" s="9" t="s">
        <v>881</v>
      </c>
      <c r="IO37" s="9" t="s">
        <v>1206</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1180</v>
      </c>
      <c r="KT37" s="9" t="s">
        <v>886</v>
      </c>
      <c r="KU37" s="9" t="s">
        <v>886</v>
      </c>
      <c r="KV37" s="9" t="s">
        <v>999</v>
      </c>
      <c r="KW37" s="8">
        <v>0.0</v>
      </c>
      <c r="KX37" s="8">
        <v>0.0</v>
      </c>
      <c r="KY37" s="8">
        <v>0.0</v>
      </c>
      <c r="KZ37" s="8">
        <v>1.0</v>
      </c>
      <c r="LA37" s="9" t="s">
        <v>1180</v>
      </c>
      <c r="LB37" s="9" t="s">
        <v>1180</v>
      </c>
      <c r="LC37" s="8">
        <v>0.0</v>
      </c>
      <c r="LD37" s="8">
        <v>3.0</v>
      </c>
      <c r="LE37" s="8">
        <v>0.0</v>
      </c>
      <c r="LF37" s="8">
        <v>3.0</v>
      </c>
      <c r="LG37" s="9" t="s">
        <v>857</v>
      </c>
      <c r="LH37" s="8">
        <v>100000.0</v>
      </c>
      <c r="LI37" s="9"/>
      <c r="LJ37" s="9" t="s">
        <v>887</v>
      </c>
      <c r="LK37" s="8">
        <v>0.0</v>
      </c>
      <c r="LL37" s="8">
        <v>0.0</v>
      </c>
      <c r="LM37" s="8">
        <v>0.0</v>
      </c>
      <c r="LN37" s="8">
        <v>0.0</v>
      </c>
      <c r="LO37" s="8">
        <v>1.0</v>
      </c>
      <c r="LP37" s="8">
        <v>0.0</v>
      </c>
      <c r="LQ37" s="8">
        <v>0.0</v>
      </c>
      <c r="LR37" s="9"/>
      <c r="LS37" s="8">
        <v>15.0</v>
      </c>
      <c r="LT37" s="8">
        <v>15.0</v>
      </c>
      <c r="LU37" s="8">
        <v>0.0</v>
      </c>
      <c r="LV37" s="8">
        <v>7.0</v>
      </c>
      <c r="LW37" s="8">
        <v>8.0</v>
      </c>
      <c r="LX37" s="8">
        <v>0.0</v>
      </c>
      <c r="LY37" s="8">
        <v>5.0</v>
      </c>
      <c r="LZ37" s="8">
        <v>5.0</v>
      </c>
      <c r="MA37" s="8">
        <v>0.0</v>
      </c>
      <c r="MB37" s="9" t="s">
        <v>857</v>
      </c>
      <c r="MC37" s="8">
        <v>30.0</v>
      </c>
      <c r="MD37" s="8">
        <v>15.0</v>
      </c>
      <c r="ME37" s="8">
        <v>30.0</v>
      </c>
      <c r="MF37" s="8">
        <v>15.0</v>
      </c>
      <c r="MG37" s="8">
        <v>0.0</v>
      </c>
      <c r="MH37" s="8">
        <v>0.0</v>
      </c>
      <c r="MI37" s="9" t="s">
        <v>946</v>
      </c>
      <c r="MJ37" s="8">
        <v>0.0</v>
      </c>
      <c r="MK37" s="8">
        <v>0.0</v>
      </c>
      <c r="ML37" s="8">
        <v>1.0</v>
      </c>
      <c r="MM37" s="8">
        <v>0.0</v>
      </c>
      <c r="MN37" s="8">
        <v>0.0</v>
      </c>
      <c r="MO37" s="8">
        <v>0.0</v>
      </c>
      <c r="MP37" s="9"/>
      <c r="MQ37" s="9"/>
      <c r="MR37" s="9" t="s">
        <v>1048</v>
      </c>
      <c r="MS37" s="9"/>
      <c r="MT37" s="9" t="s">
        <v>888</v>
      </c>
      <c r="MU37" s="9" t="s">
        <v>881</v>
      </c>
      <c r="MV37" s="9"/>
      <c r="MW37" s="9"/>
      <c r="MX37" s="9"/>
      <c r="MY37" s="9"/>
      <c r="MZ37" s="9"/>
      <c r="NA37" s="9"/>
      <c r="NB37" s="9"/>
      <c r="NC37" s="9"/>
      <c r="ND37" s="9"/>
      <c r="NE37" s="9"/>
      <c r="NF37" s="9"/>
      <c r="NG37" s="9"/>
      <c r="NH37" s="9"/>
      <c r="NI37" s="9"/>
      <c r="NJ37" s="9"/>
      <c r="NK37" s="9"/>
      <c r="NL37" s="9" t="s">
        <v>857</v>
      </c>
      <c r="NM37" s="9" t="s">
        <v>893</v>
      </c>
      <c r="NN37" s="9" t="s">
        <v>993</v>
      </c>
      <c r="NO37" s="9" t="s">
        <v>994</v>
      </c>
      <c r="NP37" s="9"/>
      <c r="NQ37" s="9"/>
      <c r="NR37" s="9"/>
      <c r="NS37" s="9"/>
      <c r="NT37" s="9"/>
      <c r="NU37" s="9"/>
      <c r="NV37" s="9" t="s">
        <v>896</v>
      </c>
      <c r="NW37" s="9"/>
      <c r="NX37" s="9" t="s">
        <v>897</v>
      </c>
      <c r="NY37" s="8">
        <v>40.0</v>
      </c>
      <c r="NZ37" s="8">
        <v>10.0</v>
      </c>
      <c r="OA37" s="8">
        <v>0.0</v>
      </c>
      <c r="OB37" s="8">
        <v>5.0</v>
      </c>
      <c r="OC37" s="8">
        <v>5.0</v>
      </c>
      <c r="OD37" s="8">
        <v>0.0</v>
      </c>
      <c r="OE37" s="9" t="s">
        <v>898</v>
      </c>
      <c r="OF37" s="9" t="s">
        <v>1184</v>
      </c>
      <c r="OG37" s="9" t="s">
        <v>857</v>
      </c>
      <c r="OH37" s="8">
        <v>0.0</v>
      </c>
      <c r="OI37" s="8">
        <v>3.0</v>
      </c>
      <c r="OJ37" s="8">
        <v>0.0</v>
      </c>
      <c r="OK37" s="8">
        <v>0.0</v>
      </c>
      <c r="OL37" s="8">
        <v>0.0</v>
      </c>
      <c r="OM37" s="8">
        <v>0.0</v>
      </c>
      <c r="ON37" s="8">
        <v>0.0</v>
      </c>
      <c r="OO37" s="8">
        <v>0.0</v>
      </c>
      <c r="OP37" s="9" t="str">
        <f>VLOOKUP(AG37,'BUS 2'!$G$1:$CU$424,2,0)</f>
        <v>Sapi perah</v>
      </c>
      <c r="OQ37" s="8">
        <f>VLOOKUP(AG37,'BUS 2'!$G$1:$CU$424,3,0)</f>
        <v>0</v>
      </c>
      <c r="OR37" s="8">
        <f>VLOOKUP(AG37,'BUS 2'!$G$1:$CU$424,4,0)</f>
        <v>1</v>
      </c>
      <c r="OS37" s="8">
        <f>VLOOKUP(AG37,'BUS 2'!$G$1:$CU$424,5,0)</f>
        <v>0</v>
      </c>
      <c r="OT37" s="8">
        <f>VLOOKUP(AG37,'BUS 2'!$G$1:$CU$424,6,0)</f>
        <v>0</v>
      </c>
      <c r="OU37" s="8">
        <f>VLOOKUP(AG37,'BUS 2'!$G$1:$CU$424,7,0)</f>
        <v>0</v>
      </c>
      <c r="OV37" s="8">
        <f>VLOOKUP(AG37,'BUS 2'!$G$1:$CU$424,8,0)</f>
        <v>0</v>
      </c>
      <c r="OW37" s="8">
        <f>VLOOKUP(AG37,'BUS 2'!$G$1:$CU$424,9,0)</f>
        <v>0</v>
      </c>
      <c r="OX37" s="8">
        <f>VLOOKUP(AG37,'BUS 2'!$G$1:$CU$424,10,0)</f>
        <v>0</v>
      </c>
      <c r="OY37" s="8">
        <f>VLOOKUP(AG37,'BUS 2'!$G$1:$CU$424,11,0)</f>
        <v>0</v>
      </c>
      <c r="OZ37" s="8" t="str">
        <f>VLOOKUP(AG37,'BUS 2'!$G$1:$CU$424,12,0)</f>
        <v>Sapi perah</v>
      </c>
      <c r="PA37" s="8">
        <f>VLOOKUP(AG37,'BUS 2'!$G$1:$CU$424,13,0)</f>
        <v>0</v>
      </c>
      <c r="PB37" s="8">
        <f>VLOOKUP(AG37,'BUS 2'!$G$1:$CU$424,14,0)</f>
        <v>1</v>
      </c>
      <c r="PC37" s="8">
        <f>VLOOKUP(AG37,'BUS 2'!$G$1:$CU$424,15,0)</f>
        <v>0</v>
      </c>
      <c r="PD37" s="8">
        <f>VLOOKUP(AG37,'BUS 2'!$G$1:$CU$424,16,0)</f>
        <v>0</v>
      </c>
      <c r="PE37" s="8">
        <f>VLOOKUP(AG37,'BUS 2'!$G$1:$CU$424,17,0)</f>
        <v>0</v>
      </c>
      <c r="PF37" s="8">
        <f>VLOOKUP(AG37,'BUS 2'!$G$1:$CU$424,18,0)</f>
        <v>0</v>
      </c>
      <c r="PG37" s="8">
        <f>VLOOKUP(AG37,'BUS 2'!$G$1:$CU$424,19,0)</f>
        <v>0</v>
      </c>
      <c r="PH37" s="8">
        <f>VLOOKUP(AG37,'BUS 2'!$G$1:$CU$424,20,0)</f>
        <v>0</v>
      </c>
      <c r="PI37" s="8">
        <f>VLOOKUP(AG37,'BUS 2'!$G$1:$CU$424,21,0)</f>
        <v>0</v>
      </c>
      <c r="PJ37" s="8" t="str">
        <f>VLOOKUP(AG37,'BUS 2'!$G$1:$CU$424,22,0)</f>
        <v>Tidak ada</v>
      </c>
      <c r="PK37" s="8">
        <f>VLOOKUP(AG37,'BUS 2'!$G$1:$CU$424,23,0)</f>
        <v>0</v>
      </c>
      <c r="PL37" s="8">
        <f>VLOOKUP(AG37,'BUS 2'!$G$1:$CU$424,24,0)</f>
        <v>0</v>
      </c>
      <c r="PM37" s="8">
        <f>VLOOKUP(AG37,'BUS 2'!$G$1:$CU$424,25,0)</f>
        <v>0</v>
      </c>
      <c r="PN37" s="8">
        <f>VLOOKUP(AG37,'BUS 2'!$G$1:$CU$424,26,0)</f>
        <v>0</v>
      </c>
      <c r="PO37" s="8">
        <f>VLOOKUP(AG37,'BUS 2'!$G$1:$CU$424,27,0)</f>
        <v>0</v>
      </c>
      <c r="PP37" s="8">
        <f>VLOOKUP(AG37,'BUS 2'!$G$1:$CU$424,28,0)</f>
        <v>0</v>
      </c>
      <c r="PQ37" s="8">
        <f>VLOOKUP(AG37,'BUS 2'!$G$1:$CU$424,29,0)</f>
        <v>0</v>
      </c>
      <c r="PR37" s="8">
        <f>VLOOKUP(AG37,'BUS 2'!$G$1:$CU$424,30,0)</f>
        <v>0</v>
      </c>
      <c r="PS37" s="8">
        <f>VLOOKUP(AG37,'BUS 2'!$G$1:$CU$424,31,0)</f>
        <v>1</v>
      </c>
      <c r="PT37" s="9"/>
      <c r="PU37" s="9"/>
      <c r="PV37" s="9"/>
      <c r="PW37" s="9"/>
      <c r="PX37" s="9"/>
      <c r="PY37" s="9"/>
      <c r="PZ37" s="9"/>
      <c r="QA37" s="9"/>
      <c r="QB37" s="9"/>
      <c r="QC37" s="9"/>
      <c r="QD37" s="9"/>
      <c r="QE37" s="9" t="s">
        <v>900</v>
      </c>
      <c r="QF37" s="8">
        <v>0.0</v>
      </c>
      <c r="QG37" s="8">
        <v>0.0</v>
      </c>
      <c r="QH37" s="8">
        <v>0.0</v>
      </c>
      <c r="QI37" s="8">
        <v>0.0</v>
      </c>
      <c r="QJ37" s="8">
        <v>0.0</v>
      </c>
      <c r="QK37" s="8">
        <v>1.0</v>
      </c>
      <c r="QL37" s="8">
        <v>0.0</v>
      </c>
      <c r="QM37" s="8">
        <v>0.0</v>
      </c>
      <c r="QN37" s="8">
        <v>0.0</v>
      </c>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8" t="str">
        <f>VLOOKUP(AG37,'BUS 2'!$G$1:$CU$424,33,0)</f>
        <v/>
      </c>
      <c r="SZ37" s="9">
        <f>VLOOKUP(AG37,'BUS 2'!$G$1:$CU$424,34,0)</f>
        <v>3</v>
      </c>
      <c r="TA37" s="9" t="str">
        <f>VLOOKUP(AG37,'BUS 2'!$G$1:$CU$424,35,0)</f>
        <v/>
      </c>
      <c r="TB37" s="9" t="str">
        <f>VLOOKUP(AG37,'BUS 2'!$G$1:$CU$424,36,0)</f>
        <v/>
      </c>
      <c r="TC37" s="9" t="str">
        <f>VLOOKUP(AG37,'BUS 2'!$G$1:$CU$424,37,0)</f>
        <v/>
      </c>
      <c r="TD37" s="9" t="str">
        <f>VLOOKUP(AG37,'BUS 2'!$G$1:$CU$424,38,0)</f>
        <v/>
      </c>
      <c r="TE37" s="9" t="str">
        <f>VLOOKUP(AG37,'BUS 2'!$G$1:$CU$424,39,0)</f>
        <v/>
      </c>
      <c r="TF37" s="9" t="str">
        <f>VLOOKUP(AG37,'BUS 2'!$G$1:$CU$424,40,0)</f>
        <v/>
      </c>
      <c r="TG37" s="8" t="str">
        <f>VLOOKUP(AG37,'BUS 2'!$G$1:$CU$424,42,0)</f>
        <v/>
      </c>
      <c r="TH37" s="8">
        <f>VLOOKUP(AG37,'BUS 2'!$G$1:$CU$424,43,0)</f>
        <v>3</v>
      </c>
      <c r="TI37" s="8" t="str">
        <f>VLOOKUP(AG37,'BUS 2'!$G$1:$CU$424,44,0)</f>
        <v/>
      </c>
      <c r="TJ37" s="8" t="str">
        <f>VLOOKUP(AG37,'BUS 2'!$G$1:$CU$424,45,0)</f>
        <v/>
      </c>
      <c r="TK37" s="8" t="str">
        <f>VLOOKUP(AG37,'BUS 2'!$G$1:$CU$424,46,0)</f>
        <v/>
      </c>
      <c r="TL37" s="8" t="str">
        <f>VLOOKUP(AG37,'BUS 2'!$G$1:$CU$424,47,0)</f>
        <v/>
      </c>
      <c r="TM37" s="8" t="str">
        <f>VLOOKUP(AG37,'BUS 2'!$G$1:$CU$424,48,0)</f>
        <v/>
      </c>
      <c r="TN37" s="8" t="str">
        <f>VLOOKUP(AG37,'BUS 2'!$G$1:$CU$424,49,0)</f>
        <v/>
      </c>
      <c r="TO37" s="8" t="str">
        <f>VLOOKUP(AG37,'BUS 2'!$G$1:$CU$424,50,0)</f>
        <v/>
      </c>
      <c r="TP37" s="8" t="str">
        <f>VLOOKUP(AG37,'BUS 2'!$G$1:$CU$424,51,0)</f>
        <v/>
      </c>
      <c r="TQ37" s="8" t="str">
        <f>VLOOKUP(AG37,'BUS 2'!$G$1:$CU$424,52,0)</f>
        <v/>
      </c>
      <c r="TR37" s="8" t="str">
        <f>VLOOKUP(AG37,'BUS 2'!$G$1:$CU$424,53,0)</f>
        <v/>
      </c>
      <c r="TS37" s="9" t="str">
        <f>VLOOKUP(AG37,'BUS 2'!$G$1:$CU$424,54,0)</f>
        <v/>
      </c>
      <c r="TT37" s="9" t="str">
        <f>VLOOKUP(AG37,'BUS 2'!$G$1:$CU$424,55,0)</f>
        <v/>
      </c>
      <c r="TU37" s="9" t="str">
        <f>VLOOKUP(AG37,'BUS 2'!$G$1:$CU$424,56,0)</f>
        <v/>
      </c>
      <c r="TV37" s="9" t="str">
        <f>VLOOKUP(AG37,'BUS 2'!$G$1:$CU$424,57,0)</f>
        <v/>
      </c>
      <c r="TW37" s="9" t="str">
        <f>VLOOKUP(AG37,'BUS 2'!$G$1:$CU$424,58,0)</f>
        <v/>
      </c>
      <c r="TX37" s="9" t="str">
        <f>VLOOKUP(AG37,'BUS 2'!$G$1:$CU$424,59,0)</f>
        <v/>
      </c>
      <c r="TY37" s="9" t="str">
        <f>VLOOKUP(AG37,'BUS 2'!$G$1:$CU$424,60,0)</f>
        <v/>
      </c>
      <c r="TZ37" s="9" t="str">
        <f>VLOOKUP(AG37,'BUS 2'!$G$1:$CU$424,61,0)</f>
        <v/>
      </c>
      <c r="UA37" s="9" t="str">
        <f>VLOOKUP(AG37,'BUS 2'!$G$1:$CU$424,62,0)</f>
        <v/>
      </c>
      <c r="UB37" s="9" t="str">
        <f>VLOOKUP(AG37,'BUS 2'!$G$1:$CU$424,63,0)</f>
        <v/>
      </c>
      <c r="UC37" s="9" t="str">
        <f>VLOOKUP(AG37,'BUS 2'!$G$1:$CU$424,64,0)</f>
        <v/>
      </c>
      <c r="UD37" s="9" t="str">
        <f>VLOOKUP(AG37,'BUS 2'!$G$1:$CU$424,65,0)</f>
        <v/>
      </c>
      <c r="UE37" s="9" t="str">
        <f>VLOOKUP(AG37,'BUS 2'!$G$1:$CU$424,66,0)</f>
        <v/>
      </c>
      <c r="UF37" s="9" t="str">
        <f>VLOOKUP(AG37,'BUS 2'!$G$1:$CU$424,67,0)</f>
        <v/>
      </c>
      <c r="UG37" s="9" t="str">
        <f>VLOOKUP(AG37,'BUS 2'!$G$1:$CU$424,68,0)</f>
        <v/>
      </c>
      <c r="UH37" s="9" t="str">
        <f>VLOOKUP(AG37,'BUS 2'!$G$1:$CU$424,69,0)</f>
        <v/>
      </c>
      <c r="UI37" s="9" t="str">
        <f>VLOOKUP(AG37,'BUS 2'!$G$1:$CU$424,70,0)</f>
        <v/>
      </c>
      <c r="UJ37" s="9" t="str">
        <f>VLOOKUP(AG37,'BUS 2'!$G$1:$CU$424,71,0)</f>
        <v/>
      </c>
      <c r="UK37" s="9" t="str">
        <f>VLOOKUP(AG37,'BUS 2'!$G$1:$CU$424,72,0)</f>
        <v/>
      </c>
      <c r="UL37" s="9" t="str">
        <f>VLOOKUP(AG37,'BUS 2'!$G$1:$CU$424,73,0)</f>
        <v/>
      </c>
      <c r="UM37" s="9" t="str">
        <f>VLOOKUP(AG37,'BUS 2'!$G$1:$CU$424,74,0)</f>
        <v/>
      </c>
      <c r="UN37" s="9" t="str">
        <f>VLOOKUP(AG37,'BUS 2'!$G$1:$CU$424,75,0)</f>
        <v/>
      </c>
      <c r="UO37" s="9" t="str">
        <f>VLOOKUP(AG37,'BUS 2'!$G$1:$CU$424,76,0)</f>
        <v/>
      </c>
      <c r="UP37" s="9" t="str">
        <f>VLOOKUP(AG37,'BUS 2'!$G$1:$CU$424,77,0)</f>
        <v/>
      </c>
      <c r="UQ37" s="9" t="str">
        <f>VLOOKUP(AG37,'BUS 2'!$G$1:$CU$424,78,0)</f>
        <v/>
      </c>
      <c r="UR37" s="9" t="str">
        <f>VLOOKUP(AG37,'BUS 2'!$G$1:$CU$424,79,0)</f>
        <v/>
      </c>
      <c r="US37" s="9" t="str">
        <f>VLOOKUP(AG37,'BUS 2'!$G$1:$CU$424,80,0)</f>
        <v/>
      </c>
      <c r="UT37" s="9" t="str">
        <f>VLOOKUP(AG37,'BUS 2'!$G$1:$CU$424,81,0)</f>
        <v/>
      </c>
      <c r="UU37" s="9"/>
      <c r="UV37" s="9" t="s">
        <v>901</v>
      </c>
      <c r="UW37" s="9"/>
      <c r="UX37" s="9"/>
      <c r="UY37" s="9"/>
      <c r="UZ37" s="9"/>
      <c r="VA37" s="9"/>
      <c r="VB37" s="9"/>
      <c r="VC37" s="9"/>
      <c r="VD37" s="9" t="s">
        <v>950</v>
      </c>
      <c r="VE37" s="9"/>
      <c r="VF37" s="9"/>
      <c r="VG37" s="9"/>
      <c r="VH37" s="9"/>
      <c r="VI37" s="9"/>
      <c r="VJ37" s="9"/>
      <c r="VK37" s="9"/>
      <c r="VL37" s="9" t="s">
        <v>1158</v>
      </c>
      <c r="VM37" s="9"/>
      <c r="VN37" s="9"/>
      <c r="VO37" s="9"/>
      <c r="VP37" s="9"/>
      <c r="VQ37" s="9"/>
      <c r="VR37" s="9"/>
      <c r="VS37" s="9"/>
      <c r="VT37" s="9"/>
      <c r="VU37" s="9"/>
      <c r="VV37" s="9"/>
      <c r="VW37" s="9"/>
      <c r="VX37" s="9"/>
      <c r="VY37" s="9"/>
      <c r="VZ37" s="9"/>
      <c r="WA37" s="9"/>
      <c r="WB37" s="9"/>
      <c r="WC37" s="9"/>
      <c r="WD37" s="9"/>
      <c r="WE37" s="9"/>
      <c r="WF37" s="9" t="s">
        <v>1303</v>
      </c>
      <c r="WG37" s="8">
        <v>0.0</v>
      </c>
      <c r="WH37" s="8">
        <v>0.0</v>
      </c>
      <c r="WI37" s="8">
        <v>0.0</v>
      </c>
      <c r="WJ37" s="8">
        <v>1.0</v>
      </c>
      <c r="WK37" s="8">
        <v>1.0</v>
      </c>
      <c r="WL37" s="8">
        <v>0.0</v>
      </c>
      <c r="WM37" s="8">
        <v>0.0</v>
      </c>
      <c r="WN37" s="8">
        <v>0.0</v>
      </c>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8">
        <v>2.0</v>
      </c>
      <c r="ZX37" s="9"/>
      <c r="ZY37" s="9"/>
      <c r="ZZ37" s="9"/>
      <c r="AAA37" s="9"/>
      <c r="AAB37" s="9"/>
      <c r="AAC37" s="9"/>
      <c r="AAD37" s="9"/>
      <c r="AAE37" s="9" t="s">
        <v>1186</v>
      </c>
      <c r="AAF37" s="9"/>
      <c r="AAG37" s="9"/>
      <c r="AAH37" s="9"/>
      <c r="AAI37" s="9"/>
      <c r="AAJ37" s="9"/>
      <c r="AAK37" s="9"/>
      <c r="AAL37" s="9" t="s">
        <v>857</v>
      </c>
      <c r="AAM37" s="9" t="s">
        <v>1033</v>
      </c>
      <c r="AAN37" s="8">
        <v>1.0</v>
      </c>
      <c r="AAO37" s="8">
        <v>1.0</v>
      </c>
      <c r="AAP37" s="8">
        <v>50.0</v>
      </c>
      <c r="AAQ37" s="8">
        <v>50.0</v>
      </c>
      <c r="AAR37" s="9" t="s">
        <v>857</v>
      </c>
      <c r="AAS37" s="9" t="s">
        <v>867</v>
      </c>
      <c r="AAT37" s="9" t="s">
        <v>952</v>
      </c>
      <c r="AAU37" s="8">
        <v>0.0</v>
      </c>
      <c r="AAV37" s="8">
        <v>0.0</v>
      </c>
      <c r="AAW37" s="8">
        <v>0.0</v>
      </c>
      <c r="AAX37" s="8">
        <v>1.0</v>
      </c>
      <c r="AAY37" s="8">
        <v>1.0</v>
      </c>
      <c r="AAZ37" s="8">
        <v>0.0</v>
      </c>
      <c r="ABA37" s="8">
        <v>0.0</v>
      </c>
      <c r="ABB37" s="9"/>
      <c r="ABC37" s="9"/>
      <c r="ABD37" s="9"/>
      <c r="ABE37" s="9"/>
      <c r="ABF37" s="9"/>
      <c r="ABG37" s="9"/>
      <c r="ABH37" s="9"/>
      <c r="ABI37" s="9"/>
      <c r="ABJ37" s="9"/>
      <c r="ABK37" s="9"/>
      <c r="ABL37" s="9"/>
      <c r="ABM37" s="9"/>
      <c r="ABN37" s="9"/>
      <c r="ABO37" s="9"/>
      <c r="ABP37" s="9"/>
      <c r="ABQ37" s="11" t="s">
        <v>953</v>
      </c>
      <c r="ABR37" s="9" t="s">
        <v>1075</v>
      </c>
      <c r="ABS37" s="9"/>
      <c r="ABT37" s="8">
        <v>2000.0</v>
      </c>
      <c r="ABU37" s="9"/>
      <c r="ABV37" s="9"/>
      <c r="ABW37" s="9"/>
      <c r="ABX37" s="9"/>
      <c r="ABY37" s="9"/>
      <c r="ABZ37" s="9"/>
      <c r="ACA37" s="9"/>
      <c r="ACB37" s="9"/>
      <c r="ACC37" s="9"/>
      <c r="ACD37" s="9"/>
      <c r="ACE37" s="9"/>
      <c r="ACF37" s="9"/>
      <c r="ACG37" s="9"/>
      <c r="ACH37" s="9"/>
      <c r="ACI37" s="9"/>
      <c r="ACJ37" s="9"/>
      <c r="ACK37" s="9" t="s">
        <v>1215</v>
      </c>
      <c r="ACL37" s="8">
        <v>0.0</v>
      </c>
      <c r="ACM37" s="8">
        <v>1.0</v>
      </c>
      <c r="ACN37" s="8">
        <v>0.0</v>
      </c>
      <c r="ACO37" s="8">
        <v>1.0</v>
      </c>
      <c r="ACP37" s="8">
        <v>0.0</v>
      </c>
      <c r="ACQ37" s="8">
        <v>0.0</v>
      </c>
      <c r="ACR37" s="8">
        <v>0.0</v>
      </c>
      <c r="ACS37" s="9"/>
      <c r="ACT37" s="9" t="s">
        <v>912</v>
      </c>
      <c r="ACU37" s="9" t="s">
        <v>1050</v>
      </c>
      <c r="ACV37" s="9" t="s">
        <v>957</v>
      </c>
      <c r="ACW37" s="9" t="s">
        <v>915</v>
      </c>
      <c r="ACX37" s="9" t="s">
        <v>916</v>
      </c>
      <c r="ACY37" s="9" t="s">
        <v>1017</v>
      </c>
      <c r="ACZ37" s="8">
        <v>1.0</v>
      </c>
      <c r="ADA37" s="8">
        <v>1.0</v>
      </c>
      <c r="ADB37" s="8">
        <v>1.0</v>
      </c>
      <c r="ADC37" s="8">
        <v>0.0</v>
      </c>
      <c r="ADD37" s="9" t="s">
        <v>1187</v>
      </c>
      <c r="ADE37" s="9" t="s">
        <v>1187</v>
      </c>
      <c r="ADF37" s="9" t="s">
        <v>1187</v>
      </c>
      <c r="ADG37" s="9" t="s">
        <v>1187</v>
      </c>
      <c r="ADH37" s="9" t="s">
        <v>881</v>
      </c>
      <c r="ADI37" s="9"/>
      <c r="ADJ37" s="9" t="s">
        <v>1187</v>
      </c>
      <c r="ADK37" s="9"/>
      <c r="ADL37" s="9"/>
      <c r="ADM37" s="9"/>
      <c r="ADN37" s="9"/>
      <c r="ADO37" s="9"/>
      <c r="ADP37" s="9"/>
      <c r="ADQ37" s="9"/>
      <c r="ADR37" s="9"/>
      <c r="ADS37" s="9"/>
      <c r="ADT37" s="9"/>
      <c r="ADU37" s="9" t="s">
        <v>919</v>
      </c>
      <c r="ADV37" s="8">
        <v>0.0</v>
      </c>
      <c r="ADW37" s="8">
        <v>0.0</v>
      </c>
      <c r="ADX37" s="8">
        <v>0.0</v>
      </c>
      <c r="ADY37" s="8">
        <v>0.0</v>
      </c>
      <c r="ADZ37" s="8">
        <v>1.0</v>
      </c>
      <c r="AEA37" s="8">
        <v>0.0</v>
      </c>
      <c r="AEB37" s="8">
        <v>0.0</v>
      </c>
      <c r="AEC37" s="8">
        <v>0.0</v>
      </c>
      <c r="AED37" s="12"/>
      <c r="AEE37" s="17" t="s">
        <v>872</v>
      </c>
      <c r="AEF37" s="9"/>
      <c r="AEG37" s="17" t="s">
        <v>920</v>
      </c>
      <c r="AEH37" s="9"/>
      <c r="AEI37" s="11" t="s">
        <v>999</v>
      </c>
      <c r="AEJ37" s="9" t="s">
        <v>871</v>
      </c>
      <c r="AEK37" s="17" t="s">
        <v>1108</v>
      </c>
      <c r="AEL37" s="18">
        <v>1.0</v>
      </c>
      <c r="AEM37" s="18">
        <v>1.0</v>
      </c>
      <c r="AEN37" s="18">
        <v>1.0</v>
      </c>
      <c r="AEO37" s="18">
        <v>1.0</v>
      </c>
      <c r="AEP37" s="18">
        <v>1.0</v>
      </c>
      <c r="AEQ37" s="18">
        <v>1.0</v>
      </c>
      <c r="AER37" s="18">
        <v>1.0</v>
      </c>
      <c r="AES37" s="18">
        <v>1.0</v>
      </c>
      <c r="AET37" s="18">
        <v>1.0</v>
      </c>
      <c r="AEU37" s="18">
        <v>0.0</v>
      </c>
      <c r="AEV37" s="18">
        <v>0.0</v>
      </c>
      <c r="AEW37" s="18">
        <v>0.0</v>
      </c>
      <c r="AEX37" s="9"/>
      <c r="AEY37" s="9" t="s">
        <v>923</v>
      </c>
      <c r="AEZ37" s="9"/>
      <c r="AFA37" s="9" t="s">
        <v>1188</v>
      </c>
      <c r="AFB37" s="9"/>
      <c r="AFC37" s="9" t="s">
        <v>1334</v>
      </c>
      <c r="AFD37" s="16" t="s">
        <v>1335</v>
      </c>
      <c r="AFE37" s="9" t="s">
        <v>1336</v>
      </c>
      <c r="AFF37" s="16" t="s">
        <v>1337</v>
      </c>
      <c r="AFG37" s="9" t="s">
        <v>1137</v>
      </c>
      <c r="AFH37" s="9"/>
      <c r="AFI37" s="9"/>
    </row>
    <row r="38">
      <c r="A38" s="6">
        <v>46060.0</v>
      </c>
      <c r="B38" s="6">
        <v>46060.0</v>
      </c>
      <c r="C38" s="7" t="s">
        <v>837</v>
      </c>
      <c r="D38" s="7" t="s">
        <v>1338</v>
      </c>
      <c r="E38" s="8">
        <v>6.282136818933E12</v>
      </c>
      <c r="F38" s="9"/>
      <c r="G38" s="8">
        <v>-7.23188412</v>
      </c>
      <c r="H38" s="8">
        <v>110.2828956</v>
      </c>
      <c r="I38" s="9"/>
      <c r="J38" s="8">
        <v>4.6</v>
      </c>
      <c r="K38" s="9"/>
      <c r="L38" s="9"/>
      <c r="M38" s="8">
        <v>-7.23239388</v>
      </c>
      <c r="N38" s="8">
        <v>110.2828716</v>
      </c>
      <c r="O38" s="9"/>
      <c r="P38" s="8">
        <v>3.4</v>
      </c>
      <c r="Q38" s="9"/>
      <c r="R38" s="9" t="s">
        <v>839</v>
      </c>
      <c r="S38" s="9"/>
      <c r="T38" s="9"/>
      <c r="U38" s="9"/>
      <c r="V38" s="9"/>
      <c r="W38" s="9"/>
      <c r="X38" s="9"/>
      <c r="Y38" s="9"/>
      <c r="Z38" s="9"/>
      <c r="AA38" s="9"/>
      <c r="AB38" s="9"/>
      <c r="AC38" s="7" t="s">
        <v>1175</v>
      </c>
      <c r="AD38" s="7" t="s">
        <v>1176</v>
      </c>
      <c r="AE38" s="7" t="s">
        <v>1252</v>
      </c>
      <c r="AF38" s="9" t="s">
        <v>1178</v>
      </c>
      <c r="AG38" s="9" t="s">
        <v>1339</v>
      </c>
      <c r="AH38" s="8">
        <v>2.0</v>
      </c>
      <c r="AI38" s="9" t="s">
        <v>845</v>
      </c>
      <c r="AJ38" s="9" t="s">
        <v>846</v>
      </c>
      <c r="AK38" s="8">
        <v>55.0</v>
      </c>
      <c r="AL38" s="9" t="s">
        <v>847</v>
      </c>
      <c r="AM38" s="9" t="s">
        <v>1098</v>
      </c>
      <c r="AN38" s="9" t="s">
        <v>849</v>
      </c>
      <c r="AO38" s="9" t="s">
        <v>850</v>
      </c>
      <c r="AP38" s="8">
        <v>1.0</v>
      </c>
      <c r="AQ38" s="8">
        <v>0.0</v>
      </c>
      <c r="AR38" s="8">
        <v>0.0</v>
      </c>
      <c r="AS38" s="8">
        <v>0.0</v>
      </c>
      <c r="AT38" s="8">
        <v>0.0</v>
      </c>
      <c r="AU38" s="8">
        <v>0.0</v>
      </c>
      <c r="AV38" s="8">
        <v>0.0</v>
      </c>
      <c r="AW38" s="8">
        <v>0.0</v>
      </c>
      <c r="AX38" s="9"/>
      <c r="AY38" s="9" t="s">
        <v>935</v>
      </c>
      <c r="AZ38" s="8">
        <v>0.0</v>
      </c>
      <c r="BA38" s="8">
        <v>1.0</v>
      </c>
      <c r="BB38" s="8">
        <v>0.0</v>
      </c>
      <c r="BC38" s="8">
        <v>0.0</v>
      </c>
      <c r="BD38" s="8">
        <v>0.0</v>
      </c>
      <c r="BE38" s="8">
        <v>0.0</v>
      </c>
      <c r="BF38" s="8">
        <v>0.0</v>
      </c>
      <c r="BG38" s="8">
        <v>0.0</v>
      </c>
      <c r="BH38" s="9"/>
      <c r="BI38" s="9" t="s">
        <v>852</v>
      </c>
      <c r="BJ38" s="8">
        <v>2.0</v>
      </c>
      <c r="BK38" s="8">
        <v>2.0</v>
      </c>
      <c r="BL38" s="8">
        <v>1.0</v>
      </c>
      <c r="BM38" s="8">
        <v>0.0</v>
      </c>
      <c r="BN38" s="9" t="s">
        <v>853</v>
      </c>
      <c r="BO38" s="9" t="s">
        <v>854</v>
      </c>
      <c r="BP38" s="8">
        <v>1.0</v>
      </c>
      <c r="BQ38" s="8">
        <v>0.0</v>
      </c>
      <c r="BR38" s="8">
        <v>0.0</v>
      </c>
      <c r="BS38" s="8">
        <v>0.0</v>
      </c>
      <c r="BT38" s="8">
        <v>0.0</v>
      </c>
      <c r="BU38" s="9"/>
      <c r="BV38" s="9" t="s">
        <v>1254</v>
      </c>
      <c r="BW38" s="8">
        <v>0.0</v>
      </c>
      <c r="BX38" s="8">
        <v>1.0</v>
      </c>
      <c r="BY38" s="8">
        <v>0.0</v>
      </c>
      <c r="BZ38" s="8">
        <v>0.0</v>
      </c>
      <c r="CA38" s="8">
        <v>0.0</v>
      </c>
      <c r="CB38" s="9"/>
      <c r="CC38" s="9" t="s">
        <v>856</v>
      </c>
      <c r="CD38" s="8">
        <v>0.0</v>
      </c>
      <c r="CE38" s="8">
        <v>0.0</v>
      </c>
      <c r="CF38" s="8">
        <v>0.0</v>
      </c>
      <c r="CG38" s="8">
        <v>0.0</v>
      </c>
      <c r="CH38" s="8">
        <v>0.0</v>
      </c>
      <c r="CI38" s="8">
        <v>1.0</v>
      </c>
      <c r="CJ38" s="8">
        <v>0.0</v>
      </c>
      <c r="CK38" s="9"/>
      <c r="CL38" s="9" t="s">
        <v>857</v>
      </c>
      <c r="CM38" s="8">
        <v>2024.0</v>
      </c>
      <c r="CN38" s="9" t="s">
        <v>858</v>
      </c>
      <c r="CO38" s="9" t="s">
        <v>859</v>
      </c>
      <c r="CP38" s="9" t="s">
        <v>860</v>
      </c>
      <c r="CQ38" s="8">
        <v>0.0</v>
      </c>
      <c r="CR38" s="8">
        <v>0.0</v>
      </c>
      <c r="CS38" s="8">
        <v>0.0</v>
      </c>
      <c r="CT38" s="8">
        <v>0.0</v>
      </c>
      <c r="CU38" s="10">
        <v>1.0</v>
      </c>
      <c r="CV38" s="10">
        <v>0.0</v>
      </c>
      <c r="CW38" s="10">
        <v>0.0</v>
      </c>
      <c r="CX38" s="8">
        <v>0.0</v>
      </c>
      <c r="CY38" s="9" t="s">
        <v>860</v>
      </c>
      <c r="CZ38" s="8">
        <v>1.0</v>
      </c>
      <c r="DA38" s="8">
        <v>0.0</v>
      </c>
      <c r="DB38" s="8">
        <v>0.0</v>
      </c>
      <c r="DC38" s="9"/>
      <c r="DD38" s="9" t="s">
        <v>937</v>
      </c>
      <c r="DE38" s="8">
        <v>1.0</v>
      </c>
      <c r="DF38" s="8">
        <v>0.0</v>
      </c>
      <c r="DG38" s="8">
        <v>1.0</v>
      </c>
      <c r="DH38" s="8">
        <v>0.0</v>
      </c>
      <c r="DI38" s="9"/>
      <c r="DJ38" s="9" t="s">
        <v>937</v>
      </c>
      <c r="DK38" s="8">
        <v>1.0</v>
      </c>
      <c r="DL38" s="8">
        <v>0.0</v>
      </c>
      <c r="DM38" s="8">
        <v>1.0</v>
      </c>
      <c r="DN38" s="8">
        <v>0.0</v>
      </c>
      <c r="DO38" s="9"/>
      <c r="DP38" s="8">
        <v>1.0</v>
      </c>
      <c r="DQ38" s="8">
        <v>0.0</v>
      </c>
      <c r="DR38" s="8">
        <v>0.0</v>
      </c>
      <c r="DS38" s="9"/>
      <c r="DT38" s="9"/>
      <c r="DU38" s="9"/>
      <c r="DV38" s="9" t="s">
        <v>857</v>
      </c>
      <c r="DW38" s="9"/>
      <c r="DX38" s="9"/>
      <c r="DY38" s="9"/>
      <c r="DZ38" s="9"/>
      <c r="EA38" s="9"/>
      <c r="EB38" s="9"/>
      <c r="EC38" s="9"/>
      <c r="ED38" s="9"/>
      <c r="EE38" s="9"/>
      <c r="EF38" s="9"/>
      <c r="EG38" s="9"/>
      <c r="EH38" s="9"/>
      <c r="EI38" s="9" t="s">
        <v>862</v>
      </c>
      <c r="EJ38" s="8">
        <v>0.0</v>
      </c>
      <c r="EK38" s="8">
        <v>0.0</v>
      </c>
      <c r="EL38" s="8">
        <v>0.0</v>
      </c>
      <c r="EM38" s="8">
        <v>1.0</v>
      </c>
      <c r="EN38" s="8">
        <v>0.0</v>
      </c>
      <c r="EO38" s="11"/>
      <c r="EP38" s="9" t="s">
        <v>863</v>
      </c>
      <c r="EQ38" s="9" t="s">
        <v>864</v>
      </c>
      <c r="ER38" s="9" t="s">
        <v>861</v>
      </c>
      <c r="ES38" s="8">
        <v>1.0</v>
      </c>
      <c r="ET38" s="8">
        <v>0.0</v>
      </c>
      <c r="EU38" s="8">
        <v>0.0</v>
      </c>
      <c r="EV38" s="8">
        <v>0.0</v>
      </c>
      <c r="EW38" s="9"/>
      <c r="EX38" s="9" t="s">
        <v>865</v>
      </c>
      <c r="EY38" s="8">
        <v>1.0</v>
      </c>
      <c r="EZ38" s="8">
        <v>0.0</v>
      </c>
      <c r="FA38" s="8">
        <v>0.0</v>
      </c>
      <c r="FB38" s="9"/>
      <c r="FC38" s="9" t="s">
        <v>1072</v>
      </c>
      <c r="FD38" s="9"/>
      <c r="FE38" s="9" t="s">
        <v>867</v>
      </c>
      <c r="FF38" s="9" t="s">
        <v>868</v>
      </c>
      <c r="FG38" s="9" t="s">
        <v>867</v>
      </c>
      <c r="FH38" s="9" t="s">
        <v>868</v>
      </c>
      <c r="FI38" s="9" t="s">
        <v>867</v>
      </c>
      <c r="FJ38" s="9" t="s">
        <v>868</v>
      </c>
      <c r="FK38" s="9" t="s">
        <v>867</v>
      </c>
      <c r="FL38" s="9" t="s">
        <v>868</v>
      </c>
      <c r="FM38" s="9" t="s">
        <v>867</v>
      </c>
      <c r="FN38" s="9" t="s">
        <v>943</v>
      </c>
      <c r="FO38" s="9" t="s">
        <v>867</v>
      </c>
      <c r="FP38" s="9" t="s">
        <v>943</v>
      </c>
      <c r="FQ38" s="9" t="s">
        <v>867</v>
      </c>
      <c r="FR38" s="9" t="s">
        <v>857</v>
      </c>
      <c r="FS38" s="9" t="s">
        <v>867</v>
      </c>
      <c r="FT38" s="9" t="s">
        <v>871</v>
      </c>
      <c r="FU38" s="9" t="s">
        <v>989</v>
      </c>
      <c r="FV38" s="8">
        <v>1.0</v>
      </c>
      <c r="FW38" s="8">
        <v>1.0</v>
      </c>
      <c r="FX38" s="8">
        <v>0.0</v>
      </c>
      <c r="FY38" s="8">
        <v>0.0</v>
      </c>
      <c r="FZ38" s="9" t="s">
        <v>873</v>
      </c>
      <c r="GA38" s="9" t="s">
        <v>874</v>
      </c>
      <c r="GB38" s="8">
        <v>1.0</v>
      </c>
      <c r="GC38" s="8">
        <v>0.0</v>
      </c>
      <c r="GD38" s="8">
        <v>0.0</v>
      </c>
      <c r="GE38" s="8">
        <v>0.0</v>
      </c>
      <c r="GF38" s="9"/>
      <c r="GG38" s="9" t="s">
        <v>875</v>
      </c>
      <c r="GH38" s="9" t="s">
        <v>857</v>
      </c>
      <c r="GI38" s="9" t="s">
        <v>1264</v>
      </c>
      <c r="GJ38" s="8">
        <v>0.0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857</v>
      </c>
      <c r="HA38" s="8">
        <v>20.0</v>
      </c>
      <c r="HB38" s="8">
        <v>200000.0</v>
      </c>
      <c r="HC38" s="8">
        <v>5.0</v>
      </c>
      <c r="HD38" s="8">
        <v>50000.0</v>
      </c>
      <c r="HE38" s="8">
        <v>9.0</v>
      </c>
      <c r="HF38" s="8">
        <v>75000.0</v>
      </c>
      <c r="HG38" s="8">
        <v>3.0</v>
      </c>
      <c r="HH38" s="8">
        <v>25000.0</v>
      </c>
      <c r="HI38" s="9"/>
      <c r="HJ38" s="9"/>
      <c r="HK38" s="9"/>
      <c r="HL38" s="9"/>
      <c r="HM38" s="9"/>
      <c r="HN38" s="9"/>
      <c r="HO38" s="9"/>
      <c r="HP38" s="9"/>
      <c r="HQ38" s="9"/>
      <c r="HR38" s="9"/>
      <c r="HS38" s="9"/>
      <c r="HT38" s="9"/>
      <c r="HU38" s="9"/>
      <c r="HV38" s="9"/>
      <c r="HW38" s="9"/>
      <c r="HX38" s="9"/>
      <c r="HY38" s="8">
        <v>15.0</v>
      </c>
      <c r="HZ38" s="8">
        <v>150000.0</v>
      </c>
      <c r="IA38" s="8">
        <v>6.0</v>
      </c>
      <c r="IB38" s="8">
        <v>50000.0</v>
      </c>
      <c r="IC38" s="9"/>
      <c r="ID38" s="9"/>
      <c r="IE38" s="9"/>
      <c r="IF38" s="9"/>
      <c r="IG38" s="9"/>
      <c r="IH38" s="9"/>
      <c r="II38" s="9"/>
      <c r="IJ38" s="9"/>
      <c r="IK38" s="9" t="s">
        <v>879</v>
      </c>
      <c r="IL38" s="9" t="s">
        <v>880</v>
      </c>
      <c r="IM38" s="9" t="s">
        <v>857</v>
      </c>
      <c r="IN38" s="9" t="s">
        <v>881</v>
      </c>
      <c r="IO38" s="9" t="s">
        <v>1206</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886</v>
      </c>
      <c r="KU38" s="9" t="s">
        <v>886</v>
      </c>
      <c r="KV38" s="9" t="s">
        <v>872</v>
      </c>
      <c r="KW38" s="8">
        <v>1.0</v>
      </c>
      <c r="KX38" s="8">
        <v>0.0</v>
      </c>
      <c r="KY38" s="8">
        <v>0.0</v>
      </c>
      <c r="KZ38" s="8">
        <v>0.0</v>
      </c>
      <c r="LA38" s="9" t="s">
        <v>884</v>
      </c>
      <c r="LB38" s="9" t="s">
        <v>884</v>
      </c>
      <c r="LC38" s="8">
        <v>0.0</v>
      </c>
      <c r="LD38" s="8">
        <v>3.0</v>
      </c>
      <c r="LE38" s="8">
        <v>0.0</v>
      </c>
      <c r="LF38" s="8">
        <v>3.0</v>
      </c>
      <c r="LG38" s="9" t="s">
        <v>857</v>
      </c>
      <c r="LH38" s="8">
        <v>100000.0</v>
      </c>
      <c r="LI38" s="9"/>
      <c r="LJ38" s="9" t="s">
        <v>887</v>
      </c>
      <c r="LK38" s="8">
        <v>0.0</v>
      </c>
      <c r="LL38" s="8">
        <v>0.0</v>
      </c>
      <c r="LM38" s="8">
        <v>0.0</v>
      </c>
      <c r="LN38" s="8">
        <v>0.0</v>
      </c>
      <c r="LO38" s="8">
        <v>1.0</v>
      </c>
      <c r="LP38" s="8">
        <v>0.0</v>
      </c>
      <c r="LQ38" s="8">
        <v>0.0</v>
      </c>
      <c r="LR38" s="9"/>
      <c r="LS38" s="8">
        <v>15.0</v>
      </c>
      <c r="LT38" s="8">
        <v>15.0</v>
      </c>
      <c r="LU38" s="8">
        <v>0.0</v>
      </c>
      <c r="LV38" s="8">
        <v>7.0</v>
      </c>
      <c r="LW38" s="8">
        <v>8.0</v>
      </c>
      <c r="LX38" s="8">
        <v>0.0</v>
      </c>
      <c r="LY38" s="8">
        <v>6.0</v>
      </c>
      <c r="LZ38" s="8">
        <v>6.0</v>
      </c>
      <c r="MA38" s="8">
        <v>0.0</v>
      </c>
      <c r="MB38" s="9" t="s">
        <v>857</v>
      </c>
      <c r="MC38" s="8">
        <v>30.0</v>
      </c>
      <c r="MD38" s="8">
        <v>15.0</v>
      </c>
      <c r="ME38" s="8">
        <v>30.0</v>
      </c>
      <c r="MF38" s="8">
        <v>15.0</v>
      </c>
      <c r="MG38" s="8">
        <v>0.0</v>
      </c>
      <c r="MH38" s="8">
        <v>0.0</v>
      </c>
      <c r="MI38" s="9" t="s">
        <v>946</v>
      </c>
      <c r="MJ38" s="8">
        <v>0.0</v>
      </c>
      <c r="MK38" s="8">
        <v>0.0</v>
      </c>
      <c r="ML38" s="8">
        <v>1.0</v>
      </c>
      <c r="MM38" s="8">
        <v>0.0</v>
      </c>
      <c r="MN38" s="8">
        <v>0.0</v>
      </c>
      <c r="MO38" s="8">
        <v>0.0</v>
      </c>
      <c r="MP38" s="9"/>
      <c r="MQ38" s="9"/>
      <c r="MR38" s="9" t="s">
        <v>1103</v>
      </c>
      <c r="MS38" s="9"/>
      <c r="MT38" s="9" t="s">
        <v>972</v>
      </c>
      <c r="MU38" s="9" t="s">
        <v>881</v>
      </c>
      <c r="MV38" s="9"/>
      <c r="MW38" s="9"/>
      <c r="MX38" s="9"/>
      <c r="MY38" s="9"/>
      <c r="MZ38" s="9"/>
      <c r="NA38" s="9"/>
      <c r="NB38" s="9"/>
      <c r="NC38" s="9"/>
      <c r="ND38" s="9"/>
      <c r="NE38" s="9"/>
      <c r="NF38" s="9"/>
      <c r="NG38" s="9"/>
      <c r="NH38" s="9"/>
      <c r="NI38" s="9"/>
      <c r="NJ38" s="9"/>
      <c r="NK38" s="9"/>
      <c r="NL38" s="9" t="s">
        <v>857</v>
      </c>
      <c r="NM38" s="9" t="s">
        <v>893</v>
      </c>
      <c r="NN38" s="9" t="s">
        <v>993</v>
      </c>
      <c r="NO38" s="9" t="s">
        <v>994</v>
      </c>
      <c r="NP38" s="9"/>
      <c r="NQ38" s="9"/>
      <c r="NR38" s="9"/>
      <c r="NS38" s="9"/>
      <c r="NT38" s="9"/>
      <c r="NU38" s="9"/>
      <c r="NV38" s="9" t="s">
        <v>896</v>
      </c>
      <c r="NW38" s="9"/>
      <c r="NX38" s="9" t="s">
        <v>897</v>
      </c>
      <c r="NY38" s="8">
        <v>40.0</v>
      </c>
      <c r="NZ38" s="8">
        <v>10.0</v>
      </c>
      <c r="OA38" s="8">
        <v>10.0</v>
      </c>
      <c r="OB38" s="8">
        <v>5.0</v>
      </c>
      <c r="OC38" s="8">
        <v>5.0</v>
      </c>
      <c r="OD38" s="8">
        <v>5.0</v>
      </c>
      <c r="OE38" s="9" t="s">
        <v>1180</v>
      </c>
      <c r="OF38" s="9" t="s">
        <v>1184</v>
      </c>
      <c r="OG38" s="9" t="s">
        <v>857</v>
      </c>
      <c r="OH38" s="8">
        <v>0.0</v>
      </c>
      <c r="OI38" s="8">
        <v>2.0</v>
      </c>
      <c r="OJ38" s="8">
        <v>0.0</v>
      </c>
      <c r="OK38" s="8">
        <v>0.0</v>
      </c>
      <c r="OL38" s="8">
        <v>0.0</v>
      </c>
      <c r="OM38" s="8">
        <v>0.0</v>
      </c>
      <c r="ON38" s="8">
        <v>0.0</v>
      </c>
      <c r="OO38" s="8">
        <v>0.0</v>
      </c>
      <c r="OP38" s="9" t="str">
        <f>VLOOKUP(AG38,'BUS 2'!$G$1:$CU$424,2,0)</f>
        <v>Sapi perah</v>
      </c>
      <c r="OQ38" s="8">
        <f>VLOOKUP(AG38,'BUS 2'!$G$1:$CU$424,3,0)</f>
        <v>0</v>
      </c>
      <c r="OR38" s="8">
        <f>VLOOKUP(AG38,'BUS 2'!$G$1:$CU$424,4,0)</f>
        <v>1</v>
      </c>
      <c r="OS38" s="8">
        <f>VLOOKUP(AG38,'BUS 2'!$G$1:$CU$424,5,0)</f>
        <v>0</v>
      </c>
      <c r="OT38" s="8">
        <f>VLOOKUP(AG38,'BUS 2'!$G$1:$CU$424,6,0)</f>
        <v>0</v>
      </c>
      <c r="OU38" s="8">
        <f>VLOOKUP(AG38,'BUS 2'!$G$1:$CU$424,7,0)</f>
        <v>0</v>
      </c>
      <c r="OV38" s="8">
        <f>VLOOKUP(AG38,'BUS 2'!$G$1:$CU$424,8,0)</f>
        <v>0</v>
      </c>
      <c r="OW38" s="8">
        <f>VLOOKUP(AG38,'BUS 2'!$G$1:$CU$424,9,0)</f>
        <v>0</v>
      </c>
      <c r="OX38" s="8">
        <f>VLOOKUP(AG38,'BUS 2'!$G$1:$CU$424,10,0)</f>
        <v>0</v>
      </c>
      <c r="OY38" s="8">
        <f>VLOOKUP(AG38,'BUS 2'!$G$1:$CU$424,11,0)</f>
        <v>0</v>
      </c>
      <c r="OZ38" s="8" t="str">
        <f>VLOOKUP(AG38,'BUS 2'!$G$1:$CU$424,12,0)</f>
        <v>Sapi perah</v>
      </c>
      <c r="PA38" s="8">
        <f>VLOOKUP(AG38,'BUS 2'!$G$1:$CU$424,13,0)</f>
        <v>0</v>
      </c>
      <c r="PB38" s="8">
        <f>VLOOKUP(AG38,'BUS 2'!$G$1:$CU$424,14,0)</f>
        <v>1</v>
      </c>
      <c r="PC38" s="8">
        <f>VLOOKUP(AG38,'BUS 2'!$G$1:$CU$424,15,0)</f>
        <v>0</v>
      </c>
      <c r="PD38" s="8">
        <f>VLOOKUP(AG38,'BUS 2'!$G$1:$CU$424,16,0)</f>
        <v>0</v>
      </c>
      <c r="PE38" s="8">
        <f>VLOOKUP(AG38,'BUS 2'!$G$1:$CU$424,17,0)</f>
        <v>0</v>
      </c>
      <c r="PF38" s="8">
        <f>VLOOKUP(AG38,'BUS 2'!$G$1:$CU$424,18,0)</f>
        <v>0</v>
      </c>
      <c r="PG38" s="8">
        <f>VLOOKUP(AG38,'BUS 2'!$G$1:$CU$424,19,0)</f>
        <v>0</v>
      </c>
      <c r="PH38" s="8">
        <f>VLOOKUP(AG38,'BUS 2'!$G$1:$CU$424,20,0)</f>
        <v>0</v>
      </c>
      <c r="PI38" s="8">
        <f>VLOOKUP(AG38,'BUS 2'!$G$1:$CU$424,21,0)</f>
        <v>0</v>
      </c>
      <c r="PJ38" s="8" t="str">
        <f>VLOOKUP(AG38,'BUS 2'!$G$1:$CU$424,22,0)</f>
        <v>Tidak ada</v>
      </c>
      <c r="PK38" s="8">
        <f>VLOOKUP(AG38,'BUS 2'!$G$1:$CU$424,23,0)</f>
        <v>0</v>
      </c>
      <c r="PL38" s="8">
        <f>VLOOKUP(AG38,'BUS 2'!$G$1:$CU$424,24,0)</f>
        <v>0</v>
      </c>
      <c r="PM38" s="8">
        <f>VLOOKUP(AG38,'BUS 2'!$G$1:$CU$424,25,0)</f>
        <v>0</v>
      </c>
      <c r="PN38" s="8">
        <f>VLOOKUP(AG38,'BUS 2'!$G$1:$CU$424,26,0)</f>
        <v>0</v>
      </c>
      <c r="PO38" s="8">
        <f>VLOOKUP(AG38,'BUS 2'!$G$1:$CU$424,27,0)</f>
        <v>0</v>
      </c>
      <c r="PP38" s="8">
        <f>VLOOKUP(AG38,'BUS 2'!$G$1:$CU$424,28,0)</f>
        <v>0</v>
      </c>
      <c r="PQ38" s="8">
        <f>VLOOKUP(AG38,'BUS 2'!$G$1:$CU$424,29,0)</f>
        <v>0</v>
      </c>
      <c r="PR38" s="8">
        <f>VLOOKUP(AG38,'BUS 2'!$G$1:$CU$424,30,0)</f>
        <v>0</v>
      </c>
      <c r="PS38" s="8">
        <f>VLOOKUP(AG38,'BUS 2'!$G$1:$CU$424,31,0)</f>
        <v>1</v>
      </c>
      <c r="PT38" s="9"/>
      <c r="PU38" s="9"/>
      <c r="PV38" s="9"/>
      <c r="PW38" s="9"/>
      <c r="PX38" s="9"/>
      <c r="PY38" s="9"/>
      <c r="PZ38" s="9"/>
      <c r="QA38" s="9"/>
      <c r="QB38" s="9"/>
      <c r="QC38" s="9"/>
      <c r="QD38" s="9"/>
      <c r="QE38" s="9" t="s">
        <v>900</v>
      </c>
      <c r="QF38" s="8">
        <v>0.0</v>
      </c>
      <c r="QG38" s="8">
        <v>0.0</v>
      </c>
      <c r="QH38" s="8">
        <v>0.0</v>
      </c>
      <c r="QI38" s="8">
        <v>0.0</v>
      </c>
      <c r="QJ38" s="8">
        <v>0.0</v>
      </c>
      <c r="QK38" s="8">
        <v>1.0</v>
      </c>
      <c r="QL38" s="8">
        <v>0.0</v>
      </c>
      <c r="QM38" s="8">
        <v>0.0</v>
      </c>
      <c r="QN38" s="8">
        <v>0.0</v>
      </c>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8" t="str">
        <f>VLOOKUP(AG38,'BUS 2'!$G$1:$CU$424,33,0)</f>
        <v/>
      </c>
      <c r="SZ38" s="9">
        <f>VLOOKUP(AG38,'BUS 2'!$G$1:$CU$424,34,0)</f>
        <v>1</v>
      </c>
      <c r="TA38" s="9" t="str">
        <f>VLOOKUP(AG38,'BUS 2'!$G$1:$CU$424,35,0)</f>
        <v/>
      </c>
      <c r="TB38" s="9" t="str">
        <f>VLOOKUP(AG38,'BUS 2'!$G$1:$CU$424,36,0)</f>
        <v/>
      </c>
      <c r="TC38" s="9" t="str">
        <f>VLOOKUP(AG38,'BUS 2'!$G$1:$CU$424,37,0)</f>
        <v/>
      </c>
      <c r="TD38" s="9" t="str">
        <f>VLOOKUP(AG38,'BUS 2'!$G$1:$CU$424,38,0)</f>
        <v/>
      </c>
      <c r="TE38" s="9" t="str">
        <f>VLOOKUP(AG38,'BUS 2'!$G$1:$CU$424,39,0)</f>
        <v/>
      </c>
      <c r="TF38" s="9" t="str">
        <f>VLOOKUP(AG38,'BUS 2'!$G$1:$CU$424,40,0)</f>
        <v/>
      </c>
      <c r="TG38" s="8" t="str">
        <f>VLOOKUP(AG38,'BUS 2'!$G$1:$CU$424,42,0)</f>
        <v/>
      </c>
      <c r="TH38" s="8">
        <f>VLOOKUP(AG38,'BUS 2'!$G$1:$CU$424,43,0)</f>
        <v>1</v>
      </c>
      <c r="TI38" s="8" t="str">
        <f>VLOOKUP(AG38,'BUS 2'!$G$1:$CU$424,44,0)</f>
        <v/>
      </c>
      <c r="TJ38" s="8" t="str">
        <f>VLOOKUP(AG38,'BUS 2'!$G$1:$CU$424,45,0)</f>
        <v/>
      </c>
      <c r="TK38" s="8" t="str">
        <f>VLOOKUP(AG38,'BUS 2'!$G$1:$CU$424,46,0)</f>
        <v/>
      </c>
      <c r="TL38" s="8" t="str">
        <f>VLOOKUP(AG38,'BUS 2'!$G$1:$CU$424,47,0)</f>
        <v/>
      </c>
      <c r="TM38" s="8" t="str">
        <f>VLOOKUP(AG38,'BUS 2'!$G$1:$CU$424,48,0)</f>
        <v/>
      </c>
      <c r="TN38" s="8" t="str">
        <f>VLOOKUP(AG38,'BUS 2'!$G$1:$CU$424,49,0)</f>
        <v/>
      </c>
      <c r="TO38" s="8" t="str">
        <f>VLOOKUP(AG38,'BUS 2'!$G$1:$CU$424,50,0)</f>
        <v/>
      </c>
      <c r="TP38" s="8" t="str">
        <f>VLOOKUP(AG38,'BUS 2'!$G$1:$CU$424,51,0)</f>
        <v/>
      </c>
      <c r="TQ38" s="8" t="str">
        <f>VLOOKUP(AG38,'BUS 2'!$G$1:$CU$424,52,0)</f>
        <v/>
      </c>
      <c r="TR38" s="8" t="str">
        <f>VLOOKUP(AG38,'BUS 2'!$G$1:$CU$424,53,0)</f>
        <v/>
      </c>
      <c r="TS38" s="9" t="str">
        <f>VLOOKUP(AG38,'BUS 2'!$G$1:$CU$424,54,0)</f>
        <v/>
      </c>
      <c r="TT38" s="9" t="str">
        <f>VLOOKUP(AG38,'BUS 2'!$G$1:$CU$424,55,0)</f>
        <v/>
      </c>
      <c r="TU38" s="9" t="str">
        <f>VLOOKUP(AG38,'BUS 2'!$G$1:$CU$424,56,0)</f>
        <v/>
      </c>
      <c r="TV38" s="9" t="str">
        <f>VLOOKUP(AG38,'BUS 2'!$G$1:$CU$424,57,0)</f>
        <v/>
      </c>
      <c r="TW38" s="9" t="str">
        <f>VLOOKUP(AG38,'BUS 2'!$G$1:$CU$424,58,0)</f>
        <v/>
      </c>
      <c r="TX38" s="9" t="str">
        <f>VLOOKUP(AG38,'BUS 2'!$G$1:$CU$424,59,0)</f>
        <v/>
      </c>
      <c r="TY38" s="9" t="str">
        <f>VLOOKUP(AG38,'BUS 2'!$G$1:$CU$424,60,0)</f>
        <v/>
      </c>
      <c r="TZ38" s="9" t="str">
        <f>VLOOKUP(AG38,'BUS 2'!$G$1:$CU$424,61,0)</f>
        <v/>
      </c>
      <c r="UA38" s="9" t="str">
        <f>VLOOKUP(AG38,'BUS 2'!$G$1:$CU$424,62,0)</f>
        <v/>
      </c>
      <c r="UB38" s="9" t="str">
        <f>VLOOKUP(AG38,'BUS 2'!$G$1:$CU$424,63,0)</f>
        <v/>
      </c>
      <c r="UC38" s="9" t="str">
        <f>VLOOKUP(AG38,'BUS 2'!$G$1:$CU$424,64,0)</f>
        <v/>
      </c>
      <c r="UD38" s="9" t="str">
        <f>VLOOKUP(AG38,'BUS 2'!$G$1:$CU$424,65,0)</f>
        <v/>
      </c>
      <c r="UE38" s="9" t="str">
        <f>VLOOKUP(AG38,'BUS 2'!$G$1:$CU$424,66,0)</f>
        <v/>
      </c>
      <c r="UF38" s="9" t="str">
        <f>VLOOKUP(AG38,'BUS 2'!$G$1:$CU$424,67,0)</f>
        <v/>
      </c>
      <c r="UG38" s="9" t="str">
        <f>VLOOKUP(AG38,'BUS 2'!$G$1:$CU$424,68,0)</f>
        <v/>
      </c>
      <c r="UH38" s="9" t="str">
        <f>VLOOKUP(AG38,'BUS 2'!$G$1:$CU$424,69,0)</f>
        <v/>
      </c>
      <c r="UI38" s="9" t="str">
        <f>VLOOKUP(AG38,'BUS 2'!$G$1:$CU$424,70,0)</f>
        <v/>
      </c>
      <c r="UJ38" s="9" t="str">
        <f>VLOOKUP(AG38,'BUS 2'!$G$1:$CU$424,71,0)</f>
        <v/>
      </c>
      <c r="UK38" s="9" t="str">
        <f>VLOOKUP(AG38,'BUS 2'!$G$1:$CU$424,72,0)</f>
        <v/>
      </c>
      <c r="UL38" s="9" t="str">
        <f>VLOOKUP(AG38,'BUS 2'!$G$1:$CU$424,73,0)</f>
        <v/>
      </c>
      <c r="UM38" s="9" t="str">
        <f>VLOOKUP(AG38,'BUS 2'!$G$1:$CU$424,74,0)</f>
        <v/>
      </c>
      <c r="UN38" s="9" t="str">
        <f>VLOOKUP(AG38,'BUS 2'!$G$1:$CU$424,75,0)</f>
        <v/>
      </c>
      <c r="UO38" s="9" t="str">
        <f>VLOOKUP(AG38,'BUS 2'!$G$1:$CU$424,76,0)</f>
        <v/>
      </c>
      <c r="UP38" s="9" t="str">
        <f>VLOOKUP(AG38,'BUS 2'!$G$1:$CU$424,77,0)</f>
        <v/>
      </c>
      <c r="UQ38" s="9" t="str">
        <f>VLOOKUP(AG38,'BUS 2'!$G$1:$CU$424,78,0)</f>
        <v/>
      </c>
      <c r="UR38" s="9" t="str">
        <f>VLOOKUP(AG38,'BUS 2'!$G$1:$CU$424,79,0)</f>
        <v/>
      </c>
      <c r="US38" s="9" t="str">
        <f>VLOOKUP(AG38,'BUS 2'!$G$1:$CU$424,80,0)</f>
        <v/>
      </c>
      <c r="UT38" s="9" t="str">
        <f>VLOOKUP(AG38,'BUS 2'!$G$1:$CU$424,81,0)</f>
        <v/>
      </c>
      <c r="UU38" s="9"/>
      <c r="UV38" s="9" t="s">
        <v>901</v>
      </c>
      <c r="UW38" s="9"/>
      <c r="UX38" s="9"/>
      <c r="UY38" s="9"/>
      <c r="UZ38" s="9"/>
      <c r="VA38" s="9"/>
      <c r="VB38" s="9"/>
      <c r="VC38" s="9"/>
      <c r="VD38" s="9" t="s">
        <v>950</v>
      </c>
      <c r="VE38" s="9"/>
      <c r="VF38" s="9"/>
      <c r="VG38" s="9"/>
      <c r="VH38" s="9"/>
      <c r="VI38" s="9"/>
      <c r="VJ38" s="9"/>
      <c r="VK38" s="9"/>
      <c r="VL38" s="9" t="s">
        <v>1158</v>
      </c>
      <c r="VM38" s="9"/>
      <c r="VN38" s="9"/>
      <c r="VO38" s="9"/>
      <c r="VP38" s="9"/>
      <c r="VQ38" s="9"/>
      <c r="VR38" s="9"/>
      <c r="VS38" s="9"/>
      <c r="VT38" s="9"/>
      <c r="VU38" s="9"/>
      <c r="VV38" s="9"/>
      <c r="VW38" s="9"/>
      <c r="VX38" s="9"/>
      <c r="VY38" s="9"/>
      <c r="VZ38" s="9"/>
      <c r="WA38" s="9"/>
      <c r="WB38" s="9"/>
      <c r="WC38" s="9"/>
      <c r="WD38" s="9"/>
      <c r="WE38" s="9"/>
      <c r="WF38" s="9" t="s">
        <v>1340</v>
      </c>
      <c r="WG38" s="8">
        <v>0.0</v>
      </c>
      <c r="WH38" s="8">
        <v>0.0</v>
      </c>
      <c r="WI38" s="8">
        <v>1.0</v>
      </c>
      <c r="WJ38" s="8">
        <v>0.0</v>
      </c>
      <c r="WK38" s="8">
        <v>1.0</v>
      </c>
      <c r="WL38" s="8">
        <v>0.0</v>
      </c>
      <c r="WM38" s="8">
        <v>0.0</v>
      </c>
      <c r="WN38" s="8">
        <v>0.0</v>
      </c>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8">
        <v>2.0</v>
      </c>
      <c r="ZX38" s="9"/>
      <c r="ZY38" s="9"/>
      <c r="ZZ38" s="9"/>
      <c r="AAA38" s="9"/>
      <c r="AAB38" s="9"/>
      <c r="AAC38" s="9"/>
      <c r="AAD38" s="9"/>
      <c r="AAE38" s="9" t="s">
        <v>1186</v>
      </c>
      <c r="AAF38" s="9"/>
      <c r="AAG38" s="9"/>
      <c r="AAH38" s="9"/>
      <c r="AAI38" s="9"/>
      <c r="AAJ38" s="9"/>
      <c r="AAK38" s="9"/>
      <c r="AAL38" s="9" t="s">
        <v>857</v>
      </c>
      <c r="AAM38" s="9" t="s">
        <v>1033</v>
      </c>
      <c r="AAN38" s="8">
        <v>1.0</v>
      </c>
      <c r="AAO38" s="8">
        <v>1.0</v>
      </c>
      <c r="AAP38" s="8">
        <v>40.0</v>
      </c>
      <c r="AAQ38" s="8">
        <v>40.0</v>
      </c>
      <c r="AAR38" s="9" t="s">
        <v>857</v>
      </c>
      <c r="AAS38" s="9" t="s">
        <v>867</v>
      </c>
      <c r="AAT38" s="9" t="s">
        <v>1287</v>
      </c>
      <c r="AAU38" s="8">
        <v>1.0</v>
      </c>
      <c r="AAV38" s="8">
        <v>0.0</v>
      </c>
      <c r="AAW38" s="8">
        <v>0.0</v>
      </c>
      <c r="AAX38" s="8">
        <v>1.0</v>
      </c>
      <c r="AAY38" s="8">
        <v>0.0</v>
      </c>
      <c r="AAZ38" s="8">
        <v>0.0</v>
      </c>
      <c r="ABA38" s="8">
        <v>0.0</v>
      </c>
      <c r="ABB38" s="9" t="s">
        <v>907</v>
      </c>
      <c r="ABC38" s="8">
        <v>1.0</v>
      </c>
      <c r="ABD38" s="8">
        <v>0.0</v>
      </c>
      <c r="ABE38" s="8">
        <v>0.0</v>
      </c>
      <c r="ABF38" s="8">
        <v>0.0</v>
      </c>
      <c r="ABG38" s="8">
        <v>0.0</v>
      </c>
      <c r="ABH38" s="9"/>
      <c r="ABI38" s="9"/>
      <c r="ABJ38" s="9"/>
      <c r="ABK38" s="9"/>
      <c r="ABL38" s="9"/>
      <c r="ABM38" s="9"/>
      <c r="ABN38" s="9"/>
      <c r="ABO38" s="9"/>
      <c r="ABP38" s="9"/>
      <c r="ABQ38" s="11" t="s">
        <v>953</v>
      </c>
      <c r="ABR38" s="9" t="s">
        <v>1075</v>
      </c>
      <c r="ABS38" s="8">
        <v>2500.0</v>
      </c>
      <c r="ABT38" s="8">
        <v>300.0</v>
      </c>
      <c r="ABU38" s="8">
        <v>40.0</v>
      </c>
      <c r="ABV38" s="8">
        <v>40.0</v>
      </c>
      <c r="ABW38" s="9" t="s">
        <v>1199</v>
      </c>
      <c r="ABX38" s="9"/>
      <c r="ABY38" s="8">
        <v>4000.0</v>
      </c>
      <c r="ABZ38" s="8">
        <v>4000.0</v>
      </c>
      <c r="ACA38" s="8">
        <v>0.0</v>
      </c>
      <c r="ACB38" s="8">
        <v>4000.0</v>
      </c>
      <c r="ACC38" s="8">
        <v>400.0</v>
      </c>
      <c r="ACD38" s="8">
        <v>500.0</v>
      </c>
      <c r="ACE38" s="9" t="s">
        <v>857</v>
      </c>
      <c r="ACF38" s="9" t="s">
        <v>911</v>
      </c>
      <c r="ACG38" s="9" t="s">
        <v>911</v>
      </c>
      <c r="ACH38" s="9" t="s">
        <v>911</v>
      </c>
      <c r="ACI38" s="9"/>
      <c r="ACJ38" s="9"/>
      <c r="ACK38" s="9" t="s">
        <v>1215</v>
      </c>
      <c r="ACL38" s="8">
        <v>0.0</v>
      </c>
      <c r="ACM38" s="8">
        <v>1.0</v>
      </c>
      <c r="ACN38" s="8">
        <v>0.0</v>
      </c>
      <c r="ACO38" s="8">
        <v>1.0</v>
      </c>
      <c r="ACP38" s="8">
        <v>0.0</v>
      </c>
      <c r="ACQ38" s="8">
        <v>0.0</v>
      </c>
      <c r="ACR38" s="8">
        <v>0.0</v>
      </c>
      <c r="ACS38" s="9"/>
      <c r="ACT38" s="9" t="s">
        <v>912</v>
      </c>
      <c r="ACU38" s="9" t="s">
        <v>1050</v>
      </c>
      <c r="ACV38" s="9" t="s">
        <v>957</v>
      </c>
      <c r="ACW38" s="9" t="s">
        <v>915</v>
      </c>
      <c r="ACX38" s="9" t="s">
        <v>916</v>
      </c>
      <c r="ACY38" s="9" t="s">
        <v>1017</v>
      </c>
      <c r="ACZ38" s="8">
        <v>1.0</v>
      </c>
      <c r="ADA38" s="8">
        <v>1.0</v>
      </c>
      <c r="ADB38" s="8">
        <v>1.0</v>
      </c>
      <c r="ADC38" s="8">
        <v>0.0</v>
      </c>
      <c r="ADD38" s="9" t="s">
        <v>1187</v>
      </c>
      <c r="ADE38" s="9" t="s">
        <v>1187</v>
      </c>
      <c r="ADF38" s="9" t="s">
        <v>1187</v>
      </c>
      <c r="ADG38" s="9" t="s">
        <v>1187</v>
      </c>
      <c r="ADH38" s="9" t="s">
        <v>881</v>
      </c>
      <c r="ADI38" s="9"/>
      <c r="ADJ38" s="9" t="s">
        <v>1187</v>
      </c>
      <c r="ADK38" s="9"/>
      <c r="ADL38" s="9"/>
      <c r="ADM38" s="9"/>
      <c r="ADN38" s="9"/>
      <c r="ADO38" s="9"/>
      <c r="ADP38" s="9"/>
      <c r="ADQ38" s="9"/>
      <c r="ADR38" s="9"/>
      <c r="ADS38" s="9"/>
      <c r="ADT38" s="9"/>
      <c r="ADU38" s="9" t="s">
        <v>919</v>
      </c>
      <c r="ADV38" s="8">
        <v>0.0</v>
      </c>
      <c r="ADW38" s="8">
        <v>0.0</v>
      </c>
      <c r="ADX38" s="8">
        <v>0.0</v>
      </c>
      <c r="ADY38" s="8">
        <v>0.0</v>
      </c>
      <c r="ADZ38" s="8">
        <v>1.0</v>
      </c>
      <c r="AEA38" s="8">
        <v>0.0</v>
      </c>
      <c r="AEB38" s="8">
        <v>0.0</v>
      </c>
      <c r="AEC38" s="8">
        <v>0.0</v>
      </c>
      <c r="AED38" s="12"/>
      <c r="AEE38" s="17" t="s">
        <v>872</v>
      </c>
      <c r="AEF38" s="9"/>
      <c r="AEG38" s="17" t="s">
        <v>920</v>
      </c>
      <c r="AEH38" s="9"/>
      <c r="AEI38" s="11" t="s">
        <v>999</v>
      </c>
      <c r="AEJ38" s="9" t="s">
        <v>871</v>
      </c>
      <c r="AEK38" s="17" t="s">
        <v>1108</v>
      </c>
      <c r="AEL38" s="18">
        <v>1.0</v>
      </c>
      <c r="AEM38" s="18">
        <v>1.0</v>
      </c>
      <c r="AEN38" s="18">
        <v>1.0</v>
      </c>
      <c r="AEO38" s="18">
        <v>1.0</v>
      </c>
      <c r="AEP38" s="18">
        <v>1.0</v>
      </c>
      <c r="AEQ38" s="18">
        <v>1.0</v>
      </c>
      <c r="AER38" s="18">
        <v>1.0</v>
      </c>
      <c r="AES38" s="18">
        <v>1.0</v>
      </c>
      <c r="AET38" s="18">
        <v>1.0</v>
      </c>
      <c r="AEU38" s="18">
        <v>0.0</v>
      </c>
      <c r="AEV38" s="18">
        <v>0.0</v>
      </c>
      <c r="AEW38" s="18">
        <v>0.0</v>
      </c>
      <c r="AEX38" s="9"/>
      <c r="AEY38" s="9" t="s">
        <v>923</v>
      </c>
      <c r="AEZ38" s="9"/>
      <c r="AFA38" s="9" t="s">
        <v>1188</v>
      </c>
      <c r="AFB38" s="9"/>
      <c r="AFC38" s="9" t="s">
        <v>1341</v>
      </c>
      <c r="AFD38" s="16" t="s">
        <v>1342</v>
      </c>
      <c r="AFE38" s="9" t="s">
        <v>1343</v>
      </c>
      <c r="AFF38" s="16" t="s">
        <v>1344</v>
      </c>
      <c r="AFG38" s="9" t="s">
        <v>1137</v>
      </c>
      <c r="AFH38" s="9"/>
      <c r="AFI38" s="9"/>
    </row>
    <row r="39">
      <c r="A39" s="6">
        <v>46060.0</v>
      </c>
      <c r="B39" s="6">
        <v>46061.0</v>
      </c>
      <c r="C39" s="7" t="s">
        <v>837</v>
      </c>
      <c r="D39" s="7" t="s">
        <v>1345</v>
      </c>
      <c r="E39" s="8">
        <v>6.28384208734E12</v>
      </c>
      <c r="F39" s="9"/>
      <c r="G39" s="8">
        <v>-7.21221699</v>
      </c>
      <c r="H39" s="8">
        <v>110.2510938</v>
      </c>
      <c r="I39" s="9"/>
      <c r="J39" s="8">
        <v>4.08</v>
      </c>
      <c r="K39" s="9"/>
      <c r="L39" s="9"/>
      <c r="M39" s="8">
        <v>-7.21225601</v>
      </c>
      <c r="N39" s="8">
        <v>110.2511094</v>
      </c>
      <c r="O39" s="9"/>
      <c r="P39" s="8">
        <v>4.89</v>
      </c>
      <c r="Q39" s="9"/>
      <c r="R39" s="9" t="s">
        <v>839</v>
      </c>
      <c r="S39" s="9"/>
      <c r="T39" s="9"/>
      <c r="U39" s="9"/>
      <c r="V39" s="9"/>
      <c r="W39" s="9"/>
      <c r="X39" s="9"/>
      <c r="Y39" s="9"/>
      <c r="Z39" s="9"/>
      <c r="AA39" s="9"/>
      <c r="AB39" s="9"/>
      <c r="AC39" s="7" t="s">
        <v>1175</v>
      </c>
      <c r="AD39" s="7" t="s">
        <v>1176</v>
      </c>
      <c r="AE39" s="7" t="s">
        <v>1279</v>
      </c>
      <c r="AF39" s="9" t="s">
        <v>1178</v>
      </c>
      <c r="AG39" s="9" t="s">
        <v>1346</v>
      </c>
      <c r="AH39" s="8">
        <v>1.0</v>
      </c>
      <c r="AI39" s="9" t="s">
        <v>845</v>
      </c>
      <c r="AJ39" s="9" t="s">
        <v>846</v>
      </c>
      <c r="AK39" s="8">
        <v>35.0</v>
      </c>
      <c r="AL39" s="9" t="s">
        <v>847</v>
      </c>
      <c r="AM39" s="9" t="s">
        <v>848</v>
      </c>
      <c r="AN39" s="9" t="s">
        <v>986</v>
      </c>
      <c r="AO39" s="9" t="s">
        <v>935</v>
      </c>
      <c r="AP39" s="8">
        <v>0.0</v>
      </c>
      <c r="AQ39" s="8">
        <v>1.0</v>
      </c>
      <c r="AR39" s="8">
        <v>0.0</v>
      </c>
      <c r="AS39" s="8">
        <v>0.0</v>
      </c>
      <c r="AT39" s="8">
        <v>0.0</v>
      </c>
      <c r="AU39" s="8">
        <v>0.0</v>
      </c>
      <c r="AV39" s="8">
        <v>0.0</v>
      </c>
      <c r="AW39" s="8">
        <v>0.0</v>
      </c>
      <c r="AX39" s="9"/>
      <c r="AY39" s="9" t="s">
        <v>850</v>
      </c>
      <c r="AZ39" s="8">
        <v>1.0</v>
      </c>
      <c r="BA39" s="8">
        <v>0.0</v>
      </c>
      <c r="BB39" s="8">
        <v>0.0</v>
      </c>
      <c r="BC39" s="8">
        <v>0.0</v>
      </c>
      <c r="BD39" s="8">
        <v>0.0</v>
      </c>
      <c r="BE39" s="8">
        <v>0.0</v>
      </c>
      <c r="BF39" s="8">
        <v>0.0</v>
      </c>
      <c r="BG39" s="8">
        <v>0.0</v>
      </c>
      <c r="BH39" s="9"/>
      <c r="BI39" s="9" t="s">
        <v>1101</v>
      </c>
      <c r="BJ39" s="8">
        <v>2.0</v>
      </c>
      <c r="BK39" s="8">
        <v>1.0</v>
      </c>
      <c r="BL39" s="8">
        <v>1.0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856</v>
      </c>
      <c r="CD39" s="8">
        <v>0.0</v>
      </c>
      <c r="CE39" s="8">
        <v>0.0</v>
      </c>
      <c r="CF39" s="8">
        <v>0.0</v>
      </c>
      <c r="CG39" s="8">
        <v>0.0</v>
      </c>
      <c r="CH39" s="8">
        <v>0.0</v>
      </c>
      <c r="CI39" s="8">
        <v>1.0</v>
      </c>
      <c r="CJ39" s="8">
        <v>0.0</v>
      </c>
      <c r="CK39" s="9"/>
      <c r="CL39" s="9" t="s">
        <v>857</v>
      </c>
      <c r="CM39" s="8">
        <v>2025.0</v>
      </c>
      <c r="CN39" s="9" t="s">
        <v>858</v>
      </c>
      <c r="CO39" s="9" t="s">
        <v>859</v>
      </c>
      <c r="CP39" s="9" t="s">
        <v>860</v>
      </c>
      <c r="CQ39" s="8">
        <v>0.0</v>
      </c>
      <c r="CR39" s="8">
        <v>0.0</v>
      </c>
      <c r="CS39" s="8">
        <v>0.0</v>
      </c>
      <c r="CT39" s="8">
        <v>0.0</v>
      </c>
      <c r="CU39" s="10">
        <v>1.0</v>
      </c>
      <c r="CV39" s="10">
        <v>0.0</v>
      </c>
      <c r="CW39" s="10">
        <v>0.0</v>
      </c>
      <c r="CX39" s="8">
        <v>0.0</v>
      </c>
      <c r="CY39" s="9" t="s">
        <v>860</v>
      </c>
      <c r="CZ39" s="8">
        <v>1.0</v>
      </c>
      <c r="DA39" s="8">
        <v>0.0</v>
      </c>
      <c r="DB39" s="8">
        <v>0.0</v>
      </c>
      <c r="DC39" s="9"/>
      <c r="DD39" s="9" t="s">
        <v>937</v>
      </c>
      <c r="DE39" s="8">
        <v>1.0</v>
      </c>
      <c r="DF39" s="8">
        <v>0.0</v>
      </c>
      <c r="DG39" s="8">
        <v>1.0</v>
      </c>
      <c r="DH39" s="8">
        <v>0.0</v>
      </c>
      <c r="DI39" s="9"/>
      <c r="DJ39" s="9" t="s">
        <v>937</v>
      </c>
      <c r="DK39" s="8">
        <v>1.0</v>
      </c>
      <c r="DL39" s="8">
        <v>0.0</v>
      </c>
      <c r="DM39" s="8">
        <v>1.0</v>
      </c>
      <c r="DN39" s="8">
        <v>0.0</v>
      </c>
      <c r="DO39" s="9"/>
      <c r="DP39" s="8">
        <v>1.0</v>
      </c>
      <c r="DQ39" s="8">
        <v>0.0</v>
      </c>
      <c r="DR39" s="8">
        <v>0.0</v>
      </c>
      <c r="DS39" s="9"/>
      <c r="DT39" s="9"/>
      <c r="DU39" s="9"/>
      <c r="DV39" s="9" t="s">
        <v>857</v>
      </c>
      <c r="DW39" s="9"/>
      <c r="DX39" s="9"/>
      <c r="DY39" s="9"/>
      <c r="DZ39" s="9"/>
      <c r="EA39" s="9"/>
      <c r="EB39" s="9"/>
      <c r="EC39" s="9"/>
      <c r="ED39" s="9"/>
      <c r="EE39" s="9"/>
      <c r="EF39" s="9"/>
      <c r="EG39" s="9"/>
      <c r="EH39" s="9"/>
      <c r="EI39" s="9" t="s">
        <v>862</v>
      </c>
      <c r="EJ39" s="8">
        <v>0.0</v>
      </c>
      <c r="EK39" s="8">
        <v>0.0</v>
      </c>
      <c r="EL39" s="8">
        <v>0.0</v>
      </c>
      <c r="EM39" s="8">
        <v>1.0</v>
      </c>
      <c r="EN39" s="8">
        <v>0.0</v>
      </c>
      <c r="EO39" s="11"/>
      <c r="EP39" s="9" t="s">
        <v>863</v>
      </c>
      <c r="EQ39" s="9" t="s">
        <v>864</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868</v>
      </c>
      <c r="FI39" s="9" t="s">
        <v>867</v>
      </c>
      <c r="FJ39" s="9" t="s">
        <v>868</v>
      </c>
      <c r="FK39" s="9" t="s">
        <v>867</v>
      </c>
      <c r="FL39" s="9" t="s">
        <v>869</v>
      </c>
      <c r="FM39" s="9" t="s">
        <v>867</v>
      </c>
      <c r="FN39" s="9" t="s">
        <v>943</v>
      </c>
      <c r="FO39" s="9" t="s">
        <v>867</v>
      </c>
      <c r="FP39" s="9" t="s">
        <v>869</v>
      </c>
      <c r="FQ39" s="9" t="s">
        <v>867</v>
      </c>
      <c r="FR39" s="9" t="s">
        <v>857</v>
      </c>
      <c r="FS39" s="9" t="s">
        <v>867</v>
      </c>
      <c r="FT39" s="9" t="s">
        <v>871</v>
      </c>
      <c r="FU39" s="9" t="s">
        <v>872</v>
      </c>
      <c r="FV39" s="8">
        <v>1.0</v>
      </c>
      <c r="FW39" s="8">
        <v>0.0</v>
      </c>
      <c r="FX39" s="8">
        <v>0.0</v>
      </c>
      <c r="FY39" s="8">
        <v>0.0</v>
      </c>
      <c r="FZ39" s="9" t="s">
        <v>873</v>
      </c>
      <c r="GA39" s="9" t="s">
        <v>874</v>
      </c>
      <c r="GB39" s="8">
        <v>1.0</v>
      </c>
      <c r="GC39" s="8">
        <v>0.0</v>
      </c>
      <c r="GD39" s="8">
        <v>0.0</v>
      </c>
      <c r="GE39" s="8">
        <v>0.0</v>
      </c>
      <c r="GF39" s="9"/>
      <c r="GG39" s="9" t="s">
        <v>875</v>
      </c>
      <c r="GH39" s="9" t="s">
        <v>857</v>
      </c>
      <c r="GI39" s="9" t="s">
        <v>1086</v>
      </c>
      <c r="GJ39" s="8">
        <v>1.0</v>
      </c>
      <c r="GK39" s="8">
        <v>1.0</v>
      </c>
      <c r="GL39" s="8">
        <v>0.0</v>
      </c>
      <c r="GM39" s="8">
        <v>0.0</v>
      </c>
      <c r="GN39" s="9"/>
      <c r="GO39" s="8">
        <v>10.0</v>
      </c>
      <c r="GP39" s="9" t="s">
        <v>877</v>
      </c>
      <c r="GQ39" s="9" t="s">
        <v>878</v>
      </c>
      <c r="GR39" s="8">
        <v>1.0</v>
      </c>
      <c r="GS39" s="8">
        <v>1.0</v>
      </c>
      <c r="GT39" s="8">
        <v>0.0</v>
      </c>
      <c r="GU39" s="8">
        <v>0.0</v>
      </c>
      <c r="GV39" s="8">
        <v>0.0</v>
      </c>
      <c r="GW39" s="8">
        <v>0.0</v>
      </c>
      <c r="GX39" s="8">
        <v>0.0</v>
      </c>
      <c r="GY39" s="9"/>
      <c r="GZ39" s="9" t="s">
        <v>857</v>
      </c>
      <c r="HA39" s="8">
        <v>40.0</v>
      </c>
      <c r="HB39" s="8">
        <v>400000.0</v>
      </c>
      <c r="HC39" s="8">
        <v>5.0</v>
      </c>
      <c r="HD39" s="8">
        <v>50000.0</v>
      </c>
      <c r="HE39" s="8">
        <v>12.0</v>
      </c>
      <c r="HF39" s="8">
        <v>100000.0</v>
      </c>
      <c r="HG39" s="8">
        <v>3.0</v>
      </c>
      <c r="HH39" s="8">
        <v>25000.0</v>
      </c>
      <c r="HI39" s="9"/>
      <c r="HJ39" s="9"/>
      <c r="HK39" s="9"/>
      <c r="HL39" s="9"/>
      <c r="HM39" s="9"/>
      <c r="HN39" s="9"/>
      <c r="HO39" s="9"/>
      <c r="HP39" s="9"/>
      <c r="HQ39" s="9"/>
      <c r="HR39" s="9"/>
      <c r="HS39" s="9"/>
      <c r="HT39" s="9"/>
      <c r="HU39" s="9"/>
      <c r="HV39" s="9"/>
      <c r="HW39" s="9"/>
      <c r="HX39" s="9"/>
      <c r="HY39" s="8">
        <v>35.0</v>
      </c>
      <c r="HZ39" s="8">
        <v>350000.0</v>
      </c>
      <c r="IA39" s="8">
        <v>9.0</v>
      </c>
      <c r="IB39" s="8">
        <v>75000.0</v>
      </c>
      <c r="IC39" s="9"/>
      <c r="ID39" s="9"/>
      <c r="IE39" s="9"/>
      <c r="IF39" s="9"/>
      <c r="IG39" s="9"/>
      <c r="IH39" s="9"/>
      <c r="II39" s="9"/>
      <c r="IJ39" s="9"/>
      <c r="IK39" s="9" t="s">
        <v>879</v>
      </c>
      <c r="IL39" s="9" t="s">
        <v>880</v>
      </c>
      <c r="IM39" s="9" t="s">
        <v>857</v>
      </c>
      <c r="IN39" s="9" t="s">
        <v>881</v>
      </c>
      <c r="IO39" s="9" t="s">
        <v>1206</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1180</v>
      </c>
      <c r="KT39" s="9" t="s">
        <v>886</v>
      </c>
      <c r="KU39" s="9" t="s">
        <v>886</v>
      </c>
      <c r="KV39" s="9" t="s">
        <v>999</v>
      </c>
      <c r="KW39" s="8">
        <v>0.0</v>
      </c>
      <c r="KX39" s="8">
        <v>0.0</v>
      </c>
      <c r="KY39" s="8">
        <v>0.0</v>
      </c>
      <c r="KZ39" s="8">
        <v>1.0</v>
      </c>
      <c r="LA39" s="9" t="s">
        <v>884</v>
      </c>
      <c r="LB39" s="9" t="s">
        <v>1180</v>
      </c>
      <c r="LC39" s="8">
        <v>3.0</v>
      </c>
      <c r="LD39" s="8">
        <v>3.0</v>
      </c>
      <c r="LE39" s="8">
        <v>0.0</v>
      </c>
      <c r="LF39" s="8">
        <v>1.0</v>
      </c>
      <c r="LG39" s="9" t="s">
        <v>857</v>
      </c>
      <c r="LH39" s="8">
        <v>300000.0</v>
      </c>
      <c r="LI39" s="9"/>
      <c r="LJ39" s="9" t="s">
        <v>887</v>
      </c>
      <c r="LK39" s="8">
        <v>0.0</v>
      </c>
      <c r="LL39" s="8">
        <v>0.0</v>
      </c>
      <c r="LM39" s="8">
        <v>0.0</v>
      </c>
      <c r="LN39" s="8">
        <v>0.0</v>
      </c>
      <c r="LO39" s="8">
        <v>1.0</v>
      </c>
      <c r="LP39" s="8">
        <v>0.0</v>
      </c>
      <c r="LQ39" s="8">
        <v>0.0</v>
      </c>
      <c r="LR39" s="9"/>
      <c r="LS39" s="8">
        <v>15.0</v>
      </c>
      <c r="LT39" s="8">
        <v>0.0</v>
      </c>
      <c r="LU39" s="8">
        <v>0.0</v>
      </c>
      <c r="LV39" s="8">
        <v>5.0</v>
      </c>
      <c r="LW39" s="8">
        <v>0.0</v>
      </c>
      <c r="LX39" s="8">
        <v>0.0</v>
      </c>
      <c r="LY39" s="8">
        <v>5.0</v>
      </c>
      <c r="LZ39" s="8">
        <v>0.0</v>
      </c>
      <c r="MA39" s="8">
        <v>0.0</v>
      </c>
      <c r="MB39" s="9" t="s">
        <v>857</v>
      </c>
      <c r="MC39" s="8">
        <v>30.0</v>
      </c>
      <c r="MD39" s="8">
        <v>15.0</v>
      </c>
      <c r="ME39" s="8">
        <v>30.0</v>
      </c>
      <c r="MF39" s="8">
        <v>15.0</v>
      </c>
      <c r="MG39" s="8">
        <v>0.0</v>
      </c>
      <c r="MH39" s="8">
        <v>0.0</v>
      </c>
      <c r="MI39" s="9" t="s">
        <v>946</v>
      </c>
      <c r="MJ39" s="8">
        <v>0.0</v>
      </c>
      <c r="MK39" s="8">
        <v>0.0</v>
      </c>
      <c r="ML39" s="8">
        <v>1.0</v>
      </c>
      <c r="MM39" s="8">
        <v>0.0</v>
      </c>
      <c r="MN39" s="8">
        <v>0.0</v>
      </c>
      <c r="MO39" s="8">
        <v>0.0</v>
      </c>
      <c r="MP39" s="9"/>
      <c r="MQ39" s="9"/>
      <c r="MR39" s="9" t="s">
        <v>1182</v>
      </c>
      <c r="MS39" s="9"/>
      <c r="MT39" s="9" t="s">
        <v>972</v>
      </c>
      <c r="MU39" s="9" t="s">
        <v>881</v>
      </c>
      <c r="MV39" s="9"/>
      <c r="MW39" s="9"/>
      <c r="MX39" s="9"/>
      <c r="MY39" s="9"/>
      <c r="MZ39" s="9"/>
      <c r="NA39" s="9"/>
      <c r="NB39" s="9"/>
      <c r="NC39" s="9"/>
      <c r="ND39" s="9"/>
      <c r="NE39" s="9"/>
      <c r="NF39" s="9"/>
      <c r="NG39" s="9"/>
      <c r="NH39" s="9"/>
      <c r="NI39" s="9"/>
      <c r="NJ39" s="9"/>
      <c r="NK39" s="9"/>
      <c r="NL39" s="9" t="s">
        <v>857</v>
      </c>
      <c r="NM39" s="9" t="s">
        <v>893</v>
      </c>
      <c r="NN39" s="9" t="s">
        <v>993</v>
      </c>
      <c r="NO39" s="9" t="s">
        <v>994</v>
      </c>
      <c r="NP39" s="9"/>
      <c r="NQ39" s="9"/>
      <c r="NR39" s="9"/>
      <c r="NS39" s="9"/>
      <c r="NT39" s="9"/>
      <c r="NU39" s="9"/>
      <c r="NV39" s="9" t="s">
        <v>896</v>
      </c>
      <c r="NW39" s="9"/>
      <c r="NX39" s="9" t="s">
        <v>1183</v>
      </c>
      <c r="NY39" s="8">
        <v>40.0</v>
      </c>
      <c r="NZ39" s="8">
        <v>20.0</v>
      </c>
      <c r="OA39" s="8">
        <v>0.0</v>
      </c>
      <c r="OB39" s="8">
        <v>5.0</v>
      </c>
      <c r="OC39" s="8">
        <v>5.0</v>
      </c>
      <c r="OD39" s="8">
        <v>0.0</v>
      </c>
      <c r="OE39" s="9" t="s">
        <v>1180</v>
      </c>
      <c r="OF39" s="9" t="s">
        <v>1184</v>
      </c>
      <c r="OG39" s="9" t="s">
        <v>857</v>
      </c>
      <c r="OH39" s="8">
        <v>0.0</v>
      </c>
      <c r="OI39" s="8">
        <v>5.0</v>
      </c>
      <c r="OJ39" s="8">
        <v>0.0</v>
      </c>
      <c r="OK39" s="8">
        <v>0.0</v>
      </c>
      <c r="OL39" s="8">
        <v>0.0</v>
      </c>
      <c r="OM39" s="8">
        <v>0.0</v>
      </c>
      <c r="ON39" s="8">
        <v>0.0</v>
      </c>
      <c r="OO39" s="8">
        <v>0.0</v>
      </c>
      <c r="OP39" s="9" t="str">
        <f>VLOOKUP(AG39,'BUS 2'!$G$1:$CU$424,2,0)</f>
        <v>Sapi perah</v>
      </c>
      <c r="OQ39" s="8">
        <f>VLOOKUP(AG39,'BUS 2'!$G$1:$CU$424,3,0)</f>
        <v>0</v>
      </c>
      <c r="OR39" s="8">
        <f>VLOOKUP(AG39,'BUS 2'!$G$1:$CU$424,4,0)</f>
        <v>1</v>
      </c>
      <c r="OS39" s="8">
        <f>VLOOKUP(AG39,'BUS 2'!$G$1:$CU$424,5,0)</f>
        <v>0</v>
      </c>
      <c r="OT39" s="8">
        <f>VLOOKUP(AG39,'BUS 2'!$G$1:$CU$424,6,0)</f>
        <v>0</v>
      </c>
      <c r="OU39" s="8">
        <f>VLOOKUP(AG39,'BUS 2'!$G$1:$CU$424,7,0)</f>
        <v>0</v>
      </c>
      <c r="OV39" s="8">
        <f>VLOOKUP(AG39,'BUS 2'!$G$1:$CU$424,8,0)</f>
        <v>0</v>
      </c>
      <c r="OW39" s="8">
        <f>VLOOKUP(AG39,'BUS 2'!$G$1:$CU$424,9,0)</f>
        <v>0</v>
      </c>
      <c r="OX39" s="8">
        <f>VLOOKUP(AG39,'BUS 2'!$G$1:$CU$424,10,0)</f>
        <v>0</v>
      </c>
      <c r="OY39" s="8">
        <f>VLOOKUP(AG39,'BUS 2'!$G$1:$CU$424,11,0)</f>
        <v>0</v>
      </c>
      <c r="OZ39" s="8" t="str">
        <f>VLOOKUP(AG39,'BUS 2'!$G$1:$CU$424,12,0)</f>
        <v>Sapi perah</v>
      </c>
      <c r="PA39" s="8">
        <f>VLOOKUP(AG39,'BUS 2'!$G$1:$CU$424,13,0)</f>
        <v>0</v>
      </c>
      <c r="PB39" s="8">
        <f>VLOOKUP(AG39,'BUS 2'!$G$1:$CU$424,14,0)</f>
        <v>1</v>
      </c>
      <c r="PC39" s="8">
        <f>VLOOKUP(AG39,'BUS 2'!$G$1:$CU$424,15,0)</f>
        <v>0</v>
      </c>
      <c r="PD39" s="8">
        <f>VLOOKUP(AG39,'BUS 2'!$G$1:$CU$424,16,0)</f>
        <v>0</v>
      </c>
      <c r="PE39" s="8">
        <f>VLOOKUP(AG39,'BUS 2'!$G$1:$CU$424,17,0)</f>
        <v>0</v>
      </c>
      <c r="PF39" s="8">
        <f>VLOOKUP(AG39,'BUS 2'!$G$1:$CU$424,18,0)</f>
        <v>0</v>
      </c>
      <c r="PG39" s="8">
        <f>VLOOKUP(AG39,'BUS 2'!$G$1:$CU$424,19,0)</f>
        <v>0</v>
      </c>
      <c r="PH39" s="8">
        <f>VLOOKUP(AG39,'BUS 2'!$G$1:$CU$424,20,0)</f>
        <v>0</v>
      </c>
      <c r="PI39" s="8">
        <f>VLOOKUP(AG39,'BUS 2'!$G$1:$CU$424,21,0)</f>
        <v>0</v>
      </c>
      <c r="PJ39" s="8" t="str">
        <f>VLOOKUP(AG39,'BUS 2'!$G$1:$CU$424,22,0)</f>
        <v>Tidak ada</v>
      </c>
      <c r="PK39" s="8">
        <f>VLOOKUP(AG39,'BUS 2'!$G$1:$CU$424,23,0)</f>
        <v>0</v>
      </c>
      <c r="PL39" s="8">
        <f>VLOOKUP(AG39,'BUS 2'!$G$1:$CU$424,24,0)</f>
        <v>0</v>
      </c>
      <c r="PM39" s="8">
        <f>VLOOKUP(AG39,'BUS 2'!$G$1:$CU$424,25,0)</f>
        <v>0</v>
      </c>
      <c r="PN39" s="8">
        <f>VLOOKUP(AG39,'BUS 2'!$G$1:$CU$424,26,0)</f>
        <v>0</v>
      </c>
      <c r="PO39" s="8">
        <f>VLOOKUP(AG39,'BUS 2'!$G$1:$CU$424,27,0)</f>
        <v>0</v>
      </c>
      <c r="PP39" s="8">
        <f>VLOOKUP(AG39,'BUS 2'!$G$1:$CU$424,28,0)</f>
        <v>0</v>
      </c>
      <c r="PQ39" s="8">
        <f>VLOOKUP(AG39,'BUS 2'!$G$1:$CU$424,29,0)</f>
        <v>0</v>
      </c>
      <c r="PR39" s="8">
        <f>VLOOKUP(AG39,'BUS 2'!$G$1:$CU$424,30,0)</f>
        <v>0</v>
      </c>
      <c r="PS39" s="8">
        <f>VLOOKUP(AG39,'BUS 2'!$G$1:$CU$424,31,0)</f>
        <v>1</v>
      </c>
      <c r="PT39" s="9"/>
      <c r="PU39" s="9"/>
      <c r="PV39" s="9"/>
      <c r="PW39" s="9"/>
      <c r="PX39" s="9"/>
      <c r="PY39" s="9"/>
      <c r="PZ39" s="9"/>
      <c r="QA39" s="9"/>
      <c r="QB39" s="9"/>
      <c r="QC39" s="9"/>
      <c r="QD39" s="9"/>
      <c r="QE39" s="9" t="s">
        <v>900</v>
      </c>
      <c r="QF39" s="8">
        <v>0.0</v>
      </c>
      <c r="QG39" s="8">
        <v>0.0</v>
      </c>
      <c r="QH39" s="8">
        <v>0.0</v>
      </c>
      <c r="QI39" s="8">
        <v>0.0</v>
      </c>
      <c r="QJ39" s="8">
        <v>0.0</v>
      </c>
      <c r="QK39" s="8">
        <v>1.0</v>
      </c>
      <c r="QL39" s="8">
        <v>0.0</v>
      </c>
      <c r="QM39" s="8">
        <v>0.0</v>
      </c>
      <c r="QN39" s="8">
        <v>0.0</v>
      </c>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8" t="str">
        <f>VLOOKUP(AG39,'BUS 2'!$G$1:$CU$424,33,0)</f>
        <v/>
      </c>
      <c r="SZ39" s="9">
        <f>VLOOKUP(AG39,'BUS 2'!$G$1:$CU$424,34,0)</f>
        <v>5</v>
      </c>
      <c r="TA39" s="9" t="str">
        <f>VLOOKUP(AG39,'BUS 2'!$G$1:$CU$424,35,0)</f>
        <v/>
      </c>
      <c r="TB39" s="9" t="str">
        <f>VLOOKUP(AG39,'BUS 2'!$G$1:$CU$424,36,0)</f>
        <v/>
      </c>
      <c r="TC39" s="9" t="str">
        <f>VLOOKUP(AG39,'BUS 2'!$G$1:$CU$424,37,0)</f>
        <v/>
      </c>
      <c r="TD39" s="9" t="str">
        <f>VLOOKUP(AG39,'BUS 2'!$G$1:$CU$424,38,0)</f>
        <v/>
      </c>
      <c r="TE39" s="9" t="str">
        <f>VLOOKUP(AG39,'BUS 2'!$G$1:$CU$424,39,0)</f>
        <v/>
      </c>
      <c r="TF39" s="9" t="str">
        <f>VLOOKUP(AG39,'BUS 2'!$G$1:$CU$424,40,0)</f>
        <v/>
      </c>
      <c r="TG39" s="8" t="str">
        <f>VLOOKUP(AG39,'BUS 2'!$G$1:$CU$424,42,0)</f>
        <v/>
      </c>
      <c r="TH39" s="8">
        <f>VLOOKUP(AG39,'BUS 2'!$G$1:$CU$424,43,0)</f>
        <v>5</v>
      </c>
      <c r="TI39" s="8" t="str">
        <f>VLOOKUP(AG39,'BUS 2'!$G$1:$CU$424,44,0)</f>
        <v/>
      </c>
      <c r="TJ39" s="8" t="str">
        <f>VLOOKUP(AG39,'BUS 2'!$G$1:$CU$424,45,0)</f>
        <v/>
      </c>
      <c r="TK39" s="8" t="str">
        <f>VLOOKUP(AG39,'BUS 2'!$G$1:$CU$424,46,0)</f>
        <v/>
      </c>
      <c r="TL39" s="8" t="str">
        <f>VLOOKUP(AG39,'BUS 2'!$G$1:$CU$424,47,0)</f>
        <v/>
      </c>
      <c r="TM39" s="8" t="str">
        <f>VLOOKUP(AG39,'BUS 2'!$G$1:$CU$424,48,0)</f>
        <v/>
      </c>
      <c r="TN39" s="8" t="str">
        <f>VLOOKUP(AG39,'BUS 2'!$G$1:$CU$424,49,0)</f>
        <v/>
      </c>
      <c r="TO39" s="8" t="str">
        <f>VLOOKUP(AG39,'BUS 2'!$G$1:$CU$424,50,0)</f>
        <v/>
      </c>
      <c r="TP39" s="8" t="str">
        <f>VLOOKUP(AG39,'BUS 2'!$G$1:$CU$424,51,0)</f>
        <v/>
      </c>
      <c r="TQ39" s="8" t="str">
        <f>VLOOKUP(AG39,'BUS 2'!$G$1:$CU$424,52,0)</f>
        <v/>
      </c>
      <c r="TR39" s="8" t="str">
        <f>VLOOKUP(AG39,'BUS 2'!$G$1:$CU$424,53,0)</f>
        <v/>
      </c>
      <c r="TS39" s="9" t="str">
        <f>VLOOKUP(AG39,'BUS 2'!$G$1:$CU$424,54,0)</f>
        <v/>
      </c>
      <c r="TT39" s="9" t="str">
        <f>VLOOKUP(AG39,'BUS 2'!$G$1:$CU$424,55,0)</f>
        <v/>
      </c>
      <c r="TU39" s="9" t="str">
        <f>VLOOKUP(AG39,'BUS 2'!$G$1:$CU$424,56,0)</f>
        <v/>
      </c>
      <c r="TV39" s="9" t="str">
        <f>VLOOKUP(AG39,'BUS 2'!$G$1:$CU$424,57,0)</f>
        <v/>
      </c>
      <c r="TW39" s="9" t="str">
        <f>VLOOKUP(AG39,'BUS 2'!$G$1:$CU$424,58,0)</f>
        <v/>
      </c>
      <c r="TX39" s="9" t="str">
        <f>VLOOKUP(AG39,'BUS 2'!$G$1:$CU$424,59,0)</f>
        <v/>
      </c>
      <c r="TY39" s="9" t="str">
        <f>VLOOKUP(AG39,'BUS 2'!$G$1:$CU$424,60,0)</f>
        <v/>
      </c>
      <c r="TZ39" s="9" t="str">
        <f>VLOOKUP(AG39,'BUS 2'!$G$1:$CU$424,61,0)</f>
        <v/>
      </c>
      <c r="UA39" s="9" t="str">
        <f>VLOOKUP(AG39,'BUS 2'!$G$1:$CU$424,62,0)</f>
        <v/>
      </c>
      <c r="UB39" s="9" t="str">
        <f>VLOOKUP(AG39,'BUS 2'!$G$1:$CU$424,63,0)</f>
        <v/>
      </c>
      <c r="UC39" s="9" t="str">
        <f>VLOOKUP(AG39,'BUS 2'!$G$1:$CU$424,64,0)</f>
        <v/>
      </c>
      <c r="UD39" s="9" t="str">
        <f>VLOOKUP(AG39,'BUS 2'!$G$1:$CU$424,65,0)</f>
        <v/>
      </c>
      <c r="UE39" s="9" t="str">
        <f>VLOOKUP(AG39,'BUS 2'!$G$1:$CU$424,66,0)</f>
        <v/>
      </c>
      <c r="UF39" s="9" t="str">
        <f>VLOOKUP(AG39,'BUS 2'!$G$1:$CU$424,67,0)</f>
        <v/>
      </c>
      <c r="UG39" s="9" t="str">
        <f>VLOOKUP(AG39,'BUS 2'!$G$1:$CU$424,68,0)</f>
        <v/>
      </c>
      <c r="UH39" s="9" t="str">
        <f>VLOOKUP(AG39,'BUS 2'!$G$1:$CU$424,69,0)</f>
        <v/>
      </c>
      <c r="UI39" s="9" t="str">
        <f>VLOOKUP(AG39,'BUS 2'!$G$1:$CU$424,70,0)</f>
        <v/>
      </c>
      <c r="UJ39" s="9" t="str">
        <f>VLOOKUP(AG39,'BUS 2'!$G$1:$CU$424,71,0)</f>
        <v/>
      </c>
      <c r="UK39" s="9" t="str">
        <f>VLOOKUP(AG39,'BUS 2'!$G$1:$CU$424,72,0)</f>
        <v/>
      </c>
      <c r="UL39" s="9" t="str">
        <f>VLOOKUP(AG39,'BUS 2'!$G$1:$CU$424,73,0)</f>
        <v/>
      </c>
      <c r="UM39" s="9" t="str">
        <f>VLOOKUP(AG39,'BUS 2'!$G$1:$CU$424,74,0)</f>
        <v/>
      </c>
      <c r="UN39" s="9" t="str">
        <f>VLOOKUP(AG39,'BUS 2'!$G$1:$CU$424,75,0)</f>
        <v/>
      </c>
      <c r="UO39" s="9" t="str">
        <f>VLOOKUP(AG39,'BUS 2'!$G$1:$CU$424,76,0)</f>
        <v/>
      </c>
      <c r="UP39" s="9" t="str">
        <f>VLOOKUP(AG39,'BUS 2'!$G$1:$CU$424,77,0)</f>
        <v/>
      </c>
      <c r="UQ39" s="9" t="str">
        <f>VLOOKUP(AG39,'BUS 2'!$G$1:$CU$424,78,0)</f>
        <v/>
      </c>
      <c r="UR39" s="9" t="str">
        <f>VLOOKUP(AG39,'BUS 2'!$G$1:$CU$424,79,0)</f>
        <v/>
      </c>
      <c r="US39" s="9" t="str">
        <f>VLOOKUP(AG39,'BUS 2'!$G$1:$CU$424,80,0)</f>
        <v/>
      </c>
      <c r="UT39" s="9" t="str">
        <f>VLOOKUP(AG39,'BUS 2'!$G$1:$CU$424,81,0)</f>
        <v/>
      </c>
      <c r="UU39" s="9"/>
      <c r="UV39" s="9" t="s">
        <v>901</v>
      </c>
      <c r="UW39" s="9"/>
      <c r="UX39" s="9"/>
      <c r="UY39" s="9"/>
      <c r="UZ39" s="9"/>
      <c r="VA39" s="9"/>
      <c r="VB39" s="9"/>
      <c r="VC39" s="9"/>
      <c r="VD39" s="9" t="s">
        <v>950</v>
      </c>
      <c r="VE39" s="9"/>
      <c r="VF39" s="9"/>
      <c r="VG39" s="9"/>
      <c r="VH39" s="9"/>
      <c r="VI39" s="9"/>
      <c r="VJ39" s="9"/>
      <c r="VK39" s="9"/>
      <c r="VL39" s="9" t="s">
        <v>1158</v>
      </c>
      <c r="VM39" s="9"/>
      <c r="VN39" s="9"/>
      <c r="VO39" s="9"/>
      <c r="VP39" s="9"/>
      <c r="VQ39" s="9"/>
      <c r="VR39" s="9"/>
      <c r="VS39" s="9"/>
      <c r="VT39" s="9"/>
      <c r="VU39" s="9"/>
      <c r="VV39" s="9"/>
      <c r="VW39" s="9"/>
      <c r="VX39" s="9"/>
      <c r="VY39" s="9"/>
      <c r="VZ39" s="9"/>
      <c r="WA39" s="9"/>
      <c r="WB39" s="9"/>
      <c r="WC39" s="9"/>
      <c r="WD39" s="9"/>
      <c r="WE39" s="9"/>
      <c r="WF39" s="9" t="s">
        <v>1347</v>
      </c>
      <c r="WG39" s="8">
        <v>0.0</v>
      </c>
      <c r="WH39" s="8">
        <v>1.0</v>
      </c>
      <c r="WI39" s="8">
        <v>0.0</v>
      </c>
      <c r="WJ39" s="8">
        <v>0.0</v>
      </c>
      <c r="WK39" s="8">
        <v>1.0</v>
      </c>
      <c r="WL39" s="8">
        <v>1.0</v>
      </c>
      <c r="WM39" s="8">
        <v>0.0</v>
      </c>
      <c r="WN39" s="8">
        <v>0.0</v>
      </c>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8">
        <v>60.0</v>
      </c>
      <c r="ZP39" s="9"/>
      <c r="ZQ39" s="9"/>
      <c r="ZR39" s="9"/>
      <c r="ZS39" s="9"/>
      <c r="ZT39" s="9"/>
      <c r="ZU39" s="9"/>
      <c r="ZV39" s="9"/>
      <c r="ZW39" s="8">
        <v>2.0</v>
      </c>
      <c r="ZX39" s="9"/>
      <c r="ZY39" s="9"/>
      <c r="ZZ39" s="9"/>
      <c r="AAA39" s="9"/>
      <c r="AAB39" s="9"/>
      <c r="AAC39" s="9"/>
      <c r="AAD39" s="9"/>
      <c r="AAE39" s="9" t="s">
        <v>905</v>
      </c>
      <c r="AAF39" s="9"/>
      <c r="AAG39" s="9"/>
      <c r="AAH39" s="9"/>
      <c r="AAI39" s="9"/>
      <c r="AAJ39" s="9"/>
      <c r="AAK39" s="9"/>
      <c r="AAL39" s="9" t="s">
        <v>857</v>
      </c>
      <c r="AAM39" s="9" t="s">
        <v>1033</v>
      </c>
      <c r="AAN39" s="8">
        <v>1.0</v>
      </c>
      <c r="AAO39" s="8">
        <v>1.0</v>
      </c>
      <c r="AAP39" s="8">
        <v>60.0</v>
      </c>
      <c r="AAQ39" s="8">
        <v>60.0</v>
      </c>
      <c r="AAR39" s="9" t="s">
        <v>857</v>
      </c>
      <c r="AAS39" s="9" t="s">
        <v>867</v>
      </c>
      <c r="AAT39" s="9" t="s">
        <v>1074</v>
      </c>
      <c r="AAU39" s="8">
        <v>1.0</v>
      </c>
      <c r="AAV39" s="8">
        <v>0.0</v>
      </c>
      <c r="AAW39" s="8">
        <v>0.0</v>
      </c>
      <c r="AAX39" s="8">
        <v>1.0</v>
      </c>
      <c r="AAY39" s="8">
        <v>1.0</v>
      </c>
      <c r="AAZ39" s="8">
        <v>0.0</v>
      </c>
      <c r="ABA39" s="8">
        <v>0.0</v>
      </c>
      <c r="ABB39" s="9" t="s">
        <v>907</v>
      </c>
      <c r="ABC39" s="8">
        <v>1.0</v>
      </c>
      <c r="ABD39" s="8">
        <v>0.0</v>
      </c>
      <c r="ABE39" s="8">
        <v>0.0</v>
      </c>
      <c r="ABF39" s="8">
        <v>0.0</v>
      </c>
      <c r="ABG39" s="8">
        <v>0.0</v>
      </c>
      <c r="ABH39" s="9"/>
      <c r="ABI39" s="9"/>
      <c r="ABJ39" s="9"/>
      <c r="ABK39" s="9"/>
      <c r="ABL39" s="9"/>
      <c r="ABM39" s="9"/>
      <c r="ABN39" s="9"/>
      <c r="ABO39" s="9"/>
      <c r="ABP39" s="9"/>
      <c r="ABQ39" s="11" t="s">
        <v>953</v>
      </c>
      <c r="ABR39" s="9" t="s">
        <v>1075</v>
      </c>
      <c r="ABS39" s="8">
        <v>3500.0</v>
      </c>
      <c r="ABT39" s="8">
        <v>50.0</v>
      </c>
      <c r="ABU39" s="8">
        <v>60.0</v>
      </c>
      <c r="ABV39" s="8">
        <v>60.0</v>
      </c>
      <c r="ABW39" s="9" t="s">
        <v>1199</v>
      </c>
      <c r="ABX39" s="9"/>
      <c r="ABY39" s="8">
        <v>50.0</v>
      </c>
      <c r="ABZ39" s="8">
        <v>4000.0</v>
      </c>
      <c r="ACA39" s="8">
        <v>0.0</v>
      </c>
      <c r="ACB39" s="8">
        <v>4000.0</v>
      </c>
      <c r="ACC39" s="8">
        <v>500.0</v>
      </c>
      <c r="ACD39" s="8">
        <v>700.0</v>
      </c>
      <c r="ACE39" s="9" t="s">
        <v>857</v>
      </c>
      <c r="ACF39" s="9" t="s">
        <v>1183</v>
      </c>
      <c r="ACG39" s="9" t="s">
        <v>1183</v>
      </c>
      <c r="ACH39" s="9" t="s">
        <v>1183</v>
      </c>
      <c r="ACI39" s="9"/>
      <c r="ACJ39" s="9"/>
      <c r="ACK39" s="9" t="s">
        <v>976</v>
      </c>
      <c r="ACL39" s="8">
        <v>0.0</v>
      </c>
      <c r="ACM39" s="8">
        <v>0.0</v>
      </c>
      <c r="ACN39" s="8">
        <v>1.0</v>
      </c>
      <c r="ACO39" s="8">
        <v>1.0</v>
      </c>
      <c r="ACP39" s="8">
        <v>0.0</v>
      </c>
      <c r="ACQ39" s="8">
        <v>0.0</v>
      </c>
      <c r="ACR39" s="8">
        <v>0.0</v>
      </c>
      <c r="ACS39" s="9"/>
      <c r="ACT39" s="9" t="s">
        <v>912</v>
      </c>
      <c r="ACU39" s="9" t="s">
        <v>1050</v>
      </c>
      <c r="ACV39" s="9" t="s">
        <v>996</v>
      </c>
      <c r="ACW39" s="9" t="s">
        <v>915</v>
      </c>
      <c r="ACX39" s="9" t="s">
        <v>1348</v>
      </c>
      <c r="ACY39" s="9" t="s">
        <v>1035</v>
      </c>
      <c r="ACZ39" s="8">
        <v>1.0</v>
      </c>
      <c r="ADA39" s="8">
        <v>1.0</v>
      </c>
      <c r="ADB39" s="8">
        <v>0.0</v>
      </c>
      <c r="ADC39" s="8">
        <v>0.0</v>
      </c>
      <c r="ADD39" s="9" t="s">
        <v>1187</v>
      </c>
      <c r="ADE39" s="9" t="s">
        <v>1187</v>
      </c>
      <c r="ADF39" s="9" t="s">
        <v>1187</v>
      </c>
      <c r="ADG39" s="9" t="s">
        <v>1187</v>
      </c>
      <c r="ADH39" s="9" t="s">
        <v>881</v>
      </c>
      <c r="ADI39" s="9"/>
      <c r="ADJ39" s="9" t="s">
        <v>917</v>
      </c>
      <c r="ADK39" s="9"/>
      <c r="ADL39" s="9"/>
      <c r="ADM39" s="9"/>
      <c r="ADN39" s="9"/>
      <c r="ADO39" s="9"/>
      <c r="ADP39" s="9"/>
      <c r="ADQ39" s="9"/>
      <c r="ADR39" s="9"/>
      <c r="ADS39" s="9"/>
      <c r="ADT39" s="9"/>
      <c r="ADU39" s="9" t="s">
        <v>919</v>
      </c>
      <c r="ADV39" s="8">
        <v>0.0</v>
      </c>
      <c r="ADW39" s="8">
        <v>0.0</v>
      </c>
      <c r="ADX39" s="8">
        <v>0.0</v>
      </c>
      <c r="ADY39" s="8">
        <v>0.0</v>
      </c>
      <c r="ADZ39" s="8">
        <v>1.0</v>
      </c>
      <c r="AEA39" s="8">
        <v>0.0</v>
      </c>
      <c r="AEB39" s="8">
        <v>0.0</v>
      </c>
      <c r="AEC39" s="8">
        <v>0.0</v>
      </c>
      <c r="AED39" s="12"/>
      <c r="AEE39" s="17" t="s">
        <v>872</v>
      </c>
      <c r="AEF39" s="9"/>
      <c r="AEG39" s="17" t="s">
        <v>920</v>
      </c>
      <c r="AEH39" s="9"/>
      <c r="AEI39" s="11" t="s">
        <v>917</v>
      </c>
      <c r="AEJ39" s="9" t="s">
        <v>871</v>
      </c>
      <c r="AEK39" s="17" t="s">
        <v>1108</v>
      </c>
      <c r="AEL39" s="18">
        <v>1.0</v>
      </c>
      <c r="AEM39" s="18">
        <v>1.0</v>
      </c>
      <c r="AEN39" s="18">
        <v>1.0</v>
      </c>
      <c r="AEO39" s="18">
        <v>1.0</v>
      </c>
      <c r="AEP39" s="18">
        <v>1.0</v>
      </c>
      <c r="AEQ39" s="18">
        <v>1.0</v>
      </c>
      <c r="AER39" s="18">
        <v>1.0</v>
      </c>
      <c r="AES39" s="18">
        <v>1.0</v>
      </c>
      <c r="AET39" s="18">
        <v>1.0</v>
      </c>
      <c r="AEU39" s="18">
        <v>0.0</v>
      </c>
      <c r="AEV39" s="18">
        <v>0.0</v>
      </c>
      <c r="AEW39" s="18">
        <v>0.0</v>
      </c>
      <c r="AEX39" s="9"/>
      <c r="AEY39" s="9" t="s">
        <v>923</v>
      </c>
      <c r="AEZ39" s="9"/>
      <c r="AFA39" s="9" t="s">
        <v>1188</v>
      </c>
      <c r="AFB39" s="9"/>
      <c r="AFC39" s="9" t="s">
        <v>1349</v>
      </c>
      <c r="AFD39" s="16" t="s">
        <v>1350</v>
      </c>
      <c r="AFE39" s="9" t="s">
        <v>1351</v>
      </c>
      <c r="AFF39" s="16" t="s">
        <v>1352</v>
      </c>
      <c r="AFG39" s="9" t="s">
        <v>1137</v>
      </c>
      <c r="AFH39" s="9"/>
      <c r="AFI39" s="9"/>
    </row>
    <row r="40">
      <c r="A40" s="6">
        <v>46061.0</v>
      </c>
      <c r="B40" s="6">
        <v>46061.0</v>
      </c>
      <c r="C40" s="7" t="s">
        <v>837</v>
      </c>
      <c r="D40" s="7" t="s">
        <v>1353</v>
      </c>
      <c r="E40" s="8">
        <v>6.285800232746E12</v>
      </c>
      <c r="F40" s="9"/>
      <c r="G40" s="8">
        <v>-7.249</v>
      </c>
      <c r="H40" s="8">
        <v>110.25009</v>
      </c>
      <c r="I40" s="9"/>
      <c r="J40" s="8">
        <v>4.1</v>
      </c>
      <c r="K40" s="9"/>
      <c r="L40" s="9"/>
      <c r="M40" s="8">
        <v>-7.2183808</v>
      </c>
      <c r="N40" s="8">
        <v>110.25106</v>
      </c>
      <c r="O40" s="9"/>
      <c r="P40" s="8">
        <v>4.66</v>
      </c>
      <c r="Q40" s="9"/>
      <c r="R40" s="9" t="s">
        <v>839</v>
      </c>
      <c r="S40" s="9"/>
      <c r="T40" s="9"/>
      <c r="U40" s="9"/>
      <c r="V40" s="9"/>
      <c r="W40" s="9"/>
      <c r="X40" s="9"/>
      <c r="Y40" s="9"/>
      <c r="Z40" s="9"/>
      <c r="AA40" s="9"/>
      <c r="AB40" s="9"/>
      <c r="AC40" s="7" t="s">
        <v>1175</v>
      </c>
      <c r="AD40" s="7" t="s">
        <v>1176</v>
      </c>
      <c r="AE40" s="7" t="s">
        <v>1354</v>
      </c>
      <c r="AF40" s="9" t="s">
        <v>1166</v>
      </c>
      <c r="AG40" s="9" t="s">
        <v>1355</v>
      </c>
      <c r="AH40" s="8">
        <v>16.0</v>
      </c>
      <c r="AI40" s="9" t="s">
        <v>933</v>
      </c>
      <c r="AJ40" s="9" t="s">
        <v>846</v>
      </c>
      <c r="AK40" s="8">
        <v>45.0</v>
      </c>
      <c r="AL40" s="9" t="s">
        <v>847</v>
      </c>
      <c r="AM40" s="9" t="s">
        <v>848</v>
      </c>
      <c r="AN40" s="9" t="s">
        <v>1009</v>
      </c>
      <c r="AO40" s="9" t="s">
        <v>850</v>
      </c>
      <c r="AP40" s="8">
        <v>1.0</v>
      </c>
      <c r="AQ40" s="8">
        <v>0.0</v>
      </c>
      <c r="AR40" s="8">
        <v>0.0</v>
      </c>
      <c r="AS40" s="8">
        <v>0.0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1101</v>
      </c>
      <c r="BJ40" s="8">
        <v>2.0</v>
      </c>
      <c r="BK40" s="8">
        <v>1.0</v>
      </c>
      <c r="BL40" s="8">
        <v>1.0</v>
      </c>
      <c r="BM40" s="8">
        <v>0.0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2010.0</v>
      </c>
      <c r="CN40" s="9" t="s">
        <v>858</v>
      </c>
      <c r="CO40" s="9" t="s">
        <v>859</v>
      </c>
      <c r="CP40" s="9" t="s">
        <v>860</v>
      </c>
      <c r="CQ40" s="8">
        <v>0.0</v>
      </c>
      <c r="CR40" s="8">
        <v>0.0</v>
      </c>
      <c r="CS40" s="8">
        <v>0.0</v>
      </c>
      <c r="CT40" s="8">
        <v>0.0</v>
      </c>
      <c r="CU40" s="10">
        <v>1.0</v>
      </c>
      <c r="CV40" s="10">
        <v>0.0</v>
      </c>
      <c r="CW40" s="10">
        <v>0.0</v>
      </c>
      <c r="CX40" s="8">
        <v>0.0</v>
      </c>
      <c r="CY40" s="9" t="s">
        <v>860</v>
      </c>
      <c r="CZ40" s="8">
        <v>1.0</v>
      </c>
      <c r="DA40" s="8">
        <v>0.0</v>
      </c>
      <c r="DB40" s="8">
        <v>0.0</v>
      </c>
      <c r="DC40" s="9"/>
      <c r="DD40" s="9" t="s">
        <v>937</v>
      </c>
      <c r="DE40" s="8">
        <v>1.0</v>
      </c>
      <c r="DF40" s="8">
        <v>0.0</v>
      </c>
      <c r="DG40" s="8">
        <v>1.0</v>
      </c>
      <c r="DH40" s="8">
        <v>0.0</v>
      </c>
      <c r="DI40" s="9"/>
      <c r="DJ40" s="9" t="s">
        <v>937</v>
      </c>
      <c r="DK40" s="8">
        <v>1.0</v>
      </c>
      <c r="DL40" s="8">
        <v>0.0</v>
      </c>
      <c r="DM40" s="8">
        <v>1.0</v>
      </c>
      <c r="DN40" s="8">
        <v>0.0</v>
      </c>
      <c r="DO40" s="9"/>
      <c r="DP40" s="8">
        <v>1.0</v>
      </c>
      <c r="DQ40" s="8">
        <v>0.0</v>
      </c>
      <c r="DR40" s="8">
        <v>0.0</v>
      </c>
      <c r="DS40" s="9"/>
      <c r="DT40" s="9"/>
      <c r="DU40" s="9"/>
      <c r="DV40" s="9" t="s">
        <v>857</v>
      </c>
      <c r="DW40" s="9"/>
      <c r="DX40" s="9"/>
      <c r="DY40" s="9"/>
      <c r="DZ40" s="9"/>
      <c r="EA40" s="9"/>
      <c r="EB40" s="9"/>
      <c r="EC40" s="9"/>
      <c r="ED40" s="9"/>
      <c r="EE40" s="9"/>
      <c r="EF40" s="9"/>
      <c r="EG40" s="9"/>
      <c r="EH40" s="9"/>
      <c r="EI40" s="9" t="s">
        <v>862</v>
      </c>
      <c r="EJ40" s="8">
        <v>0.0</v>
      </c>
      <c r="EK40" s="8">
        <v>0.0</v>
      </c>
      <c r="EL40" s="8">
        <v>0.0</v>
      </c>
      <c r="EM40" s="8">
        <v>1.0</v>
      </c>
      <c r="EN40" s="8">
        <v>0.0</v>
      </c>
      <c r="EO40" s="11"/>
      <c r="EP40" s="9" t="s">
        <v>863</v>
      </c>
      <c r="EQ40" s="9" t="s">
        <v>864</v>
      </c>
      <c r="ER40" s="9" t="s">
        <v>861</v>
      </c>
      <c r="ES40" s="8">
        <v>1.0</v>
      </c>
      <c r="ET40" s="8">
        <v>0.0</v>
      </c>
      <c r="EU40" s="8">
        <v>0.0</v>
      </c>
      <c r="EV40" s="8">
        <v>0.0</v>
      </c>
      <c r="EW40" s="9"/>
      <c r="EX40" s="9" t="s">
        <v>865</v>
      </c>
      <c r="EY40" s="8">
        <v>1.0</v>
      </c>
      <c r="EZ40" s="8">
        <v>0.0</v>
      </c>
      <c r="FA40" s="8">
        <v>0.0</v>
      </c>
      <c r="FB40" s="9"/>
      <c r="FC40" s="9" t="s">
        <v>1072</v>
      </c>
      <c r="FD40" s="9"/>
      <c r="FE40" s="9" t="s">
        <v>867</v>
      </c>
      <c r="FF40" s="9" t="s">
        <v>868</v>
      </c>
      <c r="FG40" s="9" t="s">
        <v>867</v>
      </c>
      <c r="FH40" s="9" t="s">
        <v>868</v>
      </c>
      <c r="FI40" s="9" t="s">
        <v>867</v>
      </c>
      <c r="FJ40" s="9" t="s">
        <v>868</v>
      </c>
      <c r="FK40" s="9" t="s">
        <v>867</v>
      </c>
      <c r="FL40" s="9" t="s">
        <v>943</v>
      </c>
      <c r="FM40" s="9" t="s">
        <v>867</v>
      </c>
      <c r="FN40" s="9" t="s">
        <v>868</v>
      </c>
      <c r="FO40" s="9" t="s">
        <v>867</v>
      </c>
      <c r="FP40" s="9" t="s">
        <v>943</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881</v>
      </c>
      <c r="GI40" s="9"/>
      <c r="GJ40" s="9"/>
      <c r="GK40" s="9"/>
      <c r="GL40" s="9"/>
      <c r="GM40" s="9"/>
      <c r="GN40" s="9"/>
      <c r="GO40" s="9"/>
      <c r="GP40" s="9" t="s">
        <v>877</v>
      </c>
      <c r="GQ40" s="9" t="s">
        <v>878</v>
      </c>
      <c r="GR40" s="8">
        <v>1.0</v>
      </c>
      <c r="GS40" s="8">
        <v>1.0</v>
      </c>
      <c r="GT40" s="8">
        <v>0.0</v>
      </c>
      <c r="GU40" s="8">
        <v>0.0</v>
      </c>
      <c r="GV40" s="8">
        <v>0.0</v>
      </c>
      <c r="GW40" s="8">
        <v>0.0</v>
      </c>
      <c r="GX40" s="8">
        <v>0.0</v>
      </c>
      <c r="GY40" s="9"/>
      <c r="GZ40" s="9" t="s">
        <v>857</v>
      </c>
      <c r="HA40" s="8">
        <v>15.0</v>
      </c>
      <c r="HB40" s="8">
        <v>150000.0</v>
      </c>
      <c r="HC40" s="8">
        <v>5.0</v>
      </c>
      <c r="HD40" s="8">
        <v>50000.0</v>
      </c>
      <c r="HE40" s="8">
        <v>12.0</v>
      </c>
      <c r="HF40" s="8">
        <v>100000.0</v>
      </c>
      <c r="HG40" s="8">
        <v>3.0</v>
      </c>
      <c r="HH40" s="8">
        <v>25000.0</v>
      </c>
      <c r="HI40" s="9"/>
      <c r="HJ40" s="9"/>
      <c r="HK40" s="9"/>
      <c r="HL40" s="9"/>
      <c r="HM40" s="9"/>
      <c r="HN40" s="9"/>
      <c r="HO40" s="9"/>
      <c r="HP40" s="9"/>
      <c r="HQ40" s="9"/>
      <c r="HR40" s="9"/>
      <c r="HS40" s="9"/>
      <c r="HT40" s="9"/>
      <c r="HU40" s="9"/>
      <c r="HV40" s="9"/>
      <c r="HW40" s="9"/>
      <c r="HX40" s="9"/>
      <c r="HY40" s="8">
        <v>10.0</v>
      </c>
      <c r="HZ40" s="8">
        <v>100000.0</v>
      </c>
      <c r="IA40" s="8">
        <v>9.0</v>
      </c>
      <c r="IB40" s="8">
        <v>75000.0</v>
      </c>
      <c r="IC40" s="9"/>
      <c r="ID40" s="9"/>
      <c r="IE40" s="9"/>
      <c r="IF40" s="9"/>
      <c r="IG40" s="9"/>
      <c r="IH40" s="9"/>
      <c r="II40" s="9"/>
      <c r="IJ40" s="9"/>
      <c r="IK40" s="9" t="s">
        <v>879</v>
      </c>
      <c r="IL40" s="9" t="s">
        <v>880</v>
      </c>
      <c r="IM40" s="9" t="s">
        <v>857</v>
      </c>
      <c r="IN40" s="9" t="s">
        <v>881</v>
      </c>
      <c r="IO40" s="9" t="s">
        <v>882</v>
      </c>
      <c r="IP40" s="9"/>
      <c r="IQ40" s="9" t="s">
        <v>883</v>
      </c>
      <c r="IR40" s="9"/>
      <c r="IS40" s="9"/>
      <c r="IT40" s="9"/>
      <c r="IU40" s="9"/>
      <c r="IV40" s="9"/>
      <c r="IW40" s="9"/>
      <c r="IX40" s="9"/>
      <c r="IY40" s="9"/>
      <c r="IZ40" s="9" t="s">
        <v>883</v>
      </c>
      <c r="JA40" s="9"/>
      <c r="JB40" s="9"/>
      <c r="JC40" s="9"/>
      <c r="JD40" s="9"/>
      <c r="JE40" s="9"/>
      <c r="JF40" s="9"/>
      <c r="JG40" s="9"/>
      <c r="JH40" s="9"/>
      <c r="JI40" s="9" t="s">
        <v>1356</v>
      </c>
      <c r="JJ40" s="9" t="s">
        <v>1014</v>
      </c>
      <c r="JK40" s="8">
        <v>0.0</v>
      </c>
      <c r="JL40" s="8">
        <v>1.0</v>
      </c>
      <c r="JM40" s="8">
        <v>0.0</v>
      </c>
      <c r="JN40" s="9" t="s">
        <v>1014</v>
      </c>
      <c r="JO40" s="8">
        <v>0.0</v>
      </c>
      <c r="JP40" s="8">
        <v>1.0</v>
      </c>
      <c r="JQ40" s="8">
        <v>0.0</v>
      </c>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999</v>
      </c>
      <c r="KW40" s="8">
        <v>0.0</v>
      </c>
      <c r="KX40" s="8">
        <v>0.0</v>
      </c>
      <c r="KY40" s="8">
        <v>0.0</v>
      </c>
      <c r="KZ40" s="8">
        <v>1.0</v>
      </c>
      <c r="LA40" s="9" t="s">
        <v>884</v>
      </c>
      <c r="LB40" s="9" t="s">
        <v>884</v>
      </c>
      <c r="LC40" s="8">
        <v>3.0</v>
      </c>
      <c r="LD40" s="8">
        <v>3.0</v>
      </c>
      <c r="LE40" s="8">
        <v>0.0</v>
      </c>
      <c r="LF40" s="8">
        <v>0.0</v>
      </c>
      <c r="LG40" s="9" t="s">
        <v>857</v>
      </c>
      <c r="LH40" s="8">
        <v>100000.0</v>
      </c>
      <c r="LI40" s="9"/>
      <c r="LJ40" s="9" t="s">
        <v>887</v>
      </c>
      <c r="LK40" s="8">
        <v>0.0</v>
      </c>
      <c r="LL40" s="8">
        <v>0.0</v>
      </c>
      <c r="LM40" s="8">
        <v>0.0</v>
      </c>
      <c r="LN40" s="8">
        <v>0.0</v>
      </c>
      <c r="LO40" s="8">
        <v>1.0</v>
      </c>
      <c r="LP40" s="8">
        <v>0.0</v>
      </c>
      <c r="LQ40" s="8">
        <v>0.0</v>
      </c>
      <c r="LR40" s="9"/>
      <c r="LS40" s="8">
        <v>15.0</v>
      </c>
      <c r="LT40" s="8">
        <v>20.0</v>
      </c>
      <c r="LU40" s="8">
        <v>0.0</v>
      </c>
      <c r="LV40" s="8">
        <v>5.0</v>
      </c>
      <c r="LW40" s="8">
        <v>7.0</v>
      </c>
      <c r="LX40" s="8">
        <v>0.0</v>
      </c>
      <c r="LY40" s="8">
        <v>5.0</v>
      </c>
      <c r="LZ40" s="8">
        <v>6.0</v>
      </c>
      <c r="MA40" s="8">
        <v>0.0</v>
      </c>
      <c r="MB40" s="9" t="s">
        <v>857</v>
      </c>
      <c r="MC40" s="8">
        <v>30.0</v>
      </c>
      <c r="MD40" s="8">
        <v>30.0</v>
      </c>
      <c r="ME40" s="8">
        <v>15.0</v>
      </c>
      <c r="MF40" s="8">
        <v>40.0</v>
      </c>
      <c r="MG40" s="8">
        <v>20.0</v>
      </c>
      <c r="MH40" s="8">
        <v>0.0</v>
      </c>
      <c r="MI40" s="9" t="s">
        <v>946</v>
      </c>
      <c r="MJ40" s="8">
        <v>0.0</v>
      </c>
      <c r="MK40" s="8">
        <v>0.0</v>
      </c>
      <c r="ML40" s="8">
        <v>1.0</v>
      </c>
      <c r="MM40" s="8">
        <v>0.0</v>
      </c>
      <c r="MN40" s="8">
        <v>0.0</v>
      </c>
      <c r="MO40" s="8">
        <v>0.0</v>
      </c>
      <c r="MP40" s="9"/>
      <c r="MQ40" s="9"/>
      <c r="MR40" s="9" t="s">
        <v>1357</v>
      </c>
      <c r="MS40" s="9"/>
      <c r="MT40" s="9" t="s">
        <v>972</v>
      </c>
      <c r="MU40" s="9" t="s">
        <v>881</v>
      </c>
      <c r="MV40" s="9"/>
      <c r="MW40" s="9"/>
      <c r="MX40" s="9"/>
      <c r="MY40" s="9"/>
      <c r="MZ40" s="9"/>
      <c r="NA40" s="9"/>
      <c r="NB40" s="9"/>
      <c r="NC40" s="9"/>
      <c r="ND40" s="9"/>
      <c r="NE40" s="9"/>
      <c r="NF40" s="9"/>
      <c r="NG40" s="9"/>
      <c r="NH40" s="9"/>
      <c r="NI40" s="9"/>
      <c r="NJ40" s="9"/>
      <c r="NK40" s="9"/>
      <c r="NL40" s="9" t="s">
        <v>857</v>
      </c>
      <c r="NM40" s="9" t="s">
        <v>893</v>
      </c>
      <c r="NN40" s="9" t="s">
        <v>1032</v>
      </c>
      <c r="NO40" s="9" t="s">
        <v>973</v>
      </c>
      <c r="NP40" s="9"/>
      <c r="NQ40" s="9"/>
      <c r="NR40" s="9"/>
      <c r="NS40" s="9"/>
      <c r="NT40" s="9"/>
      <c r="NU40" s="9"/>
      <c r="NV40" s="9" t="s">
        <v>896</v>
      </c>
      <c r="NW40" s="9"/>
      <c r="NX40" s="9" t="s">
        <v>897</v>
      </c>
      <c r="NY40" s="8">
        <v>40.0</v>
      </c>
      <c r="NZ40" s="8">
        <v>20.0</v>
      </c>
      <c r="OA40" s="8">
        <v>0.0</v>
      </c>
      <c r="OB40" s="8">
        <v>5.0</v>
      </c>
      <c r="OC40" s="8">
        <v>5.0</v>
      </c>
      <c r="OD40" s="8">
        <v>0.0</v>
      </c>
      <c r="OE40" s="9" t="s">
        <v>1180</v>
      </c>
      <c r="OF40" s="9" t="s">
        <v>899</v>
      </c>
      <c r="OG40" s="9" t="s">
        <v>857</v>
      </c>
      <c r="OH40" s="8">
        <v>5.0</v>
      </c>
      <c r="OI40" s="8">
        <v>0.0</v>
      </c>
      <c r="OJ40" s="8">
        <v>0.0</v>
      </c>
      <c r="OK40" s="8">
        <v>0.0</v>
      </c>
      <c r="OL40" s="8">
        <v>0.0</v>
      </c>
      <c r="OM40" s="8">
        <v>0.0</v>
      </c>
      <c r="ON40" s="8">
        <v>0.0</v>
      </c>
      <c r="OO40" s="8">
        <v>0.0</v>
      </c>
      <c r="OP40" s="9" t="str">
        <f>VLOOKUP(AG40,'BUS 2'!$G$1:$CU$424,2,0)</f>
        <v>Sapi pedaging</v>
      </c>
      <c r="OQ40" s="8">
        <f>VLOOKUP(AG40,'BUS 2'!$G$1:$CU$424,3,0)</f>
        <v>1</v>
      </c>
      <c r="OR40" s="8">
        <f>VLOOKUP(AG40,'BUS 2'!$G$1:$CU$424,4,0)</f>
        <v>0</v>
      </c>
      <c r="OS40" s="8">
        <f>VLOOKUP(AG40,'BUS 2'!$G$1:$CU$424,5,0)</f>
        <v>0</v>
      </c>
      <c r="OT40" s="8">
        <f>VLOOKUP(AG40,'BUS 2'!$G$1:$CU$424,6,0)</f>
        <v>0</v>
      </c>
      <c r="OU40" s="8">
        <f>VLOOKUP(AG40,'BUS 2'!$G$1:$CU$424,7,0)</f>
        <v>0</v>
      </c>
      <c r="OV40" s="8">
        <f>VLOOKUP(AG40,'BUS 2'!$G$1:$CU$424,8,0)</f>
        <v>0</v>
      </c>
      <c r="OW40" s="8">
        <f>VLOOKUP(AG40,'BUS 2'!$G$1:$CU$424,9,0)</f>
        <v>0</v>
      </c>
      <c r="OX40" s="8">
        <f>VLOOKUP(AG40,'BUS 2'!$G$1:$CU$424,10,0)</f>
        <v>0</v>
      </c>
      <c r="OY40" s="8">
        <f>VLOOKUP(AG40,'BUS 2'!$G$1:$CU$424,11,0)</f>
        <v>0</v>
      </c>
      <c r="OZ40" s="8" t="str">
        <f>VLOOKUP(AG40,'BUS 2'!$G$1:$CU$424,12,0)</f>
        <v>Sapi pedaging</v>
      </c>
      <c r="PA40" s="8">
        <f>VLOOKUP(AG40,'BUS 2'!$G$1:$CU$424,13,0)</f>
        <v>1</v>
      </c>
      <c r="PB40" s="8">
        <f>VLOOKUP(AG40,'BUS 2'!$G$1:$CU$424,14,0)</f>
        <v>0</v>
      </c>
      <c r="PC40" s="8">
        <f>VLOOKUP(AG40,'BUS 2'!$G$1:$CU$424,15,0)</f>
        <v>0</v>
      </c>
      <c r="PD40" s="8">
        <f>VLOOKUP(AG40,'BUS 2'!$G$1:$CU$424,16,0)</f>
        <v>0</v>
      </c>
      <c r="PE40" s="8">
        <f>VLOOKUP(AG40,'BUS 2'!$G$1:$CU$424,17,0)</f>
        <v>0</v>
      </c>
      <c r="PF40" s="8">
        <f>VLOOKUP(AG40,'BUS 2'!$G$1:$CU$424,18,0)</f>
        <v>0</v>
      </c>
      <c r="PG40" s="8">
        <f>VLOOKUP(AG40,'BUS 2'!$G$1:$CU$424,19,0)</f>
        <v>0</v>
      </c>
      <c r="PH40" s="8">
        <f>VLOOKUP(AG40,'BUS 2'!$G$1:$CU$424,20,0)</f>
        <v>0</v>
      </c>
      <c r="PI40" s="8">
        <f>VLOOKUP(AG40,'BUS 2'!$G$1:$CU$424,21,0)</f>
        <v>0</v>
      </c>
      <c r="PJ40" s="8" t="str">
        <f>VLOOKUP(AG40,'BUS 2'!$G$1:$CU$424,22,0)</f>
        <v>Tidak ada</v>
      </c>
      <c r="PK40" s="8">
        <f>VLOOKUP(AG40,'BUS 2'!$G$1:$CU$424,23,0)</f>
        <v>0</v>
      </c>
      <c r="PL40" s="8">
        <f>VLOOKUP(AG40,'BUS 2'!$G$1:$CU$424,24,0)</f>
        <v>0</v>
      </c>
      <c r="PM40" s="8">
        <f>VLOOKUP(AG40,'BUS 2'!$G$1:$CU$424,25,0)</f>
        <v>0</v>
      </c>
      <c r="PN40" s="8">
        <f>VLOOKUP(AG40,'BUS 2'!$G$1:$CU$424,26,0)</f>
        <v>0</v>
      </c>
      <c r="PO40" s="8">
        <f>VLOOKUP(AG40,'BUS 2'!$G$1:$CU$424,27,0)</f>
        <v>0</v>
      </c>
      <c r="PP40" s="8">
        <f>VLOOKUP(AG40,'BUS 2'!$G$1:$CU$424,28,0)</f>
        <v>0</v>
      </c>
      <c r="PQ40" s="8">
        <f>VLOOKUP(AG40,'BUS 2'!$G$1:$CU$424,29,0)</f>
        <v>0</v>
      </c>
      <c r="PR40" s="8">
        <f>VLOOKUP(AG40,'BUS 2'!$G$1:$CU$424,30,0)</f>
        <v>0</v>
      </c>
      <c r="PS40" s="8">
        <f>VLOOKUP(AG40,'BUS 2'!$G$1:$CU$424,31,0)</f>
        <v>1</v>
      </c>
      <c r="PT40" s="9" t="s">
        <v>900</v>
      </c>
      <c r="PU40" s="8">
        <v>1.0</v>
      </c>
      <c r="PV40" s="8">
        <v>0.0</v>
      </c>
      <c r="PW40" s="8">
        <v>0.0</v>
      </c>
      <c r="PX40" s="8">
        <v>0.0</v>
      </c>
      <c r="PY40" s="8">
        <v>0.0</v>
      </c>
      <c r="PZ40" s="8">
        <v>0.0</v>
      </c>
      <c r="QA40" s="8">
        <v>1.0</v>
      </c>
      <c r="QB40" s="8">
        <v>0.0</v>
      </c>
      <c r="QC40" s="8">
        <v>0.0</v>
      </c>
      <c r="QD40" s="8">
        <v>0.0</v>
      </c>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8">
        <f>VLOOKUP(AG40,'BUS 2'!$G$1:$CU$424,33,0)</f>
        <v>5</v>
      </c>
      <c r="SZ40" s="9" t="str">
        <f>VLOOKUP(AG40,'BUS 2'!$G$1:$CU$424,34,0)</f>
        <v/>
      </c>
      <c r="TA40" s="9" t="str">
        <f>VLOOKUP(AG40,'BUS 2'!$G$1:$CU$424,35,0)</f>
        <v/>
      </c>
      <c r="TB40" s="9" t="str">
        <f>VLOOKUP(AG40,'BUS 2'!$G$1:$CU$424,36,0)</f>
        <v/>
      </c>
      <c r="TC40" s="9" t="str">
        <f>VLOOKUP(AG40,'BUS 2'!$G$1:$CU$424,37,0)</f>
        <v/>
      </c>
      <c r="TD40" s="9" t="str">
        <f>VLOOKUP(AG40,'BUS 2'!$G$1:$CU$424,38,0)</f>
        <v/>
      </c>
      <c r="TE40" s="9" t="str">
        <f>VLOOKUP(AG40,'BUS 2'!$G$1:$CU$424,39,0)</f>
        <v/>
      </c>
      <c r="TF40" s="9" t="str">
        <f>VLOOKUP(AG40,'BUS 2'!$G$1:$CU$424,40,0)</f>
        <v/>
      </c>
      <c r="TG40" s="8">
        <f>VLOOKUP(AG40,'BUS 2'!$G$1:$CU$424,42,0)</f>
        <v>5</v>
      </c>
      <c r="TH40" s="8" t="str">
        <f>VLOOKUP(AG40,'BUS 2'!$G$1:$CU$424,43,0)</f>
        <v/>
      </c>
      <c r="TI40" s="8" t="str">
        <f>VLOOKUP(AG40,'BUS 2'!$G$1:$CU$424,44,0)</f>
        <v/>
      </c>
      <c r="TJ40" s="8" t="str">
        <f>VLOOKUP(AG40,'BUS 2'!$G$1:$CU$424,45,0)</f>
        <v/>
      </c>
      <c r="TK40" s="8" t="str">
        <f>VLOOKUP(AG40,'BUS 2'!$G$1:$CU$424,46,0)</f>
        <v/>
      </c>
      <c r="TL40" s="8" t="str">
        <f>VLOOKUP(AG40,'BUS 2'!$G$1:$CU$424,47,0)</f>
        <v/>
      </c>
      <c r="TM40" s="8" t="str">
        <f>VLOOKUP(AG40,'BUS 2'!$G$1:$CU$424,48,0)</f>
        <v/>
      </c>
      <c r="TN40" s="8" t="str">
        <f>VLOOKUP(AG40,'BUS 2'!$G$1:$CU$424,49,0)</f>
        <v/>
      </c>
      <c r="TO40" s="8" t="str">
        <f>VLOOKUP(AG40,'BUS 2'!$G$1:$CU$424,50,0)</f>
        <v/>
      </c>
      <c r="TP40" s="8" t="str">
        <f>VLOOKUP(AG40,'BUS 2'!$G$1:$CU$424,51,0)</f>
        <v/>
      </c>
      <c r="TQ40" s="8" t="str">
        <f>VLOOKUP(AG40,'BUS 2'!$G$1:$CU$424,52,0)</f>
        <v/>
      </c>
      <c r="TR40" s="8" t="str">
        <f>VLOOKUP(AG40,'BUS 2'!$G$1:$CU$424,53,0)</f>
        <v/>
      </c>
      <c r="TS40" s="9" t="str">
        <f>VLOOKUP(AG40,'BUS 2'!$G$1:$CU$424,54,0)</f>
        <v/>
      </c>
      <c r="TT40" s="9" t="str">
        <f>VLOOKUP(AG40,'BUS 2'!$G$1:$CU$424,55,0)</f>
        <v/>
      </c>
      <c r="TU40" s="9" t="str">
        <f>VLOOKUP(AG40,'BUS 2'!$G$1:$CU$424,56,0)</f>
        <v/>
      </c>
      <c r="TV40" s="9" t="str">
        <f>VLOOKUP(AG40,'BUS 2'!$G$1:$CU$424,57,0)</f>
        <v/>
      </c>
      <c r="TW40" s="9" t="str">
        <f>VLOOKUP(AG40,'BUS 2'!$G$1:$CU$424,58,0)</f>
        <v/>
      </c>
      <c r="TX40" s="9" t="str">
        <f>VLOOKUP(AG40,'BUS 2'!$G$1:$CU$424,59,0)</f>
        <v/>
      </c>
      <c r="TY40" s="9" t="str">
        <f>VLOOKUP(AG40,'BUS 2'!$G$1:$CU$424,60,0)</f>
        <v/>
      </c>
      <c r="TZ40" s="9" t="str">
        <f>VLOOKUP(AG40,'BUS 2'!$G$1:$CU$424,61,0)</f>
        <v/>
      </c>
      <c r="UA40" s="9" t="str">
        <f>VLOOKUP(AG40,'BUS 2'!$G$1:$CU$424,62,0)</f>
        <v/>
      </c>
      <c r="UB40" s="9" t="str">
        <f>VLOOKUP(AG40,'BUS 2'!$G$1:$CU$424,63,0)</f>
        <v/>
      </c>
      <c r="UC40" s="9" t="str">
        <f>VLOOKUP(AG40,'BUS 2'!$G$1:$CU$424,64,0)</f>
        <v/>
      </c>
      <c r="UD40" s="9" t="str">
        <f>VLOOKUP(AG40,'BUS 2'!$G$1:$CU$424,65,0)</f>
        <v/>
      </c>
      <c r="UE40" s="9" t="str">
        <f>VLOOKUP(AG40,'BUS 2'!$G$1:$CU$424,66,0)</f>
        <v/>
      </c>
      <c r="UF40" s="9" t="str">
        <f>VLOOKUP(AG40,'BUS 2'!$G$1:$CU$424,67,0)</f>
        <v/>
      </c>
      <c r="UG40" s="9" t="str">
        <f>VLOOKUP(AG40,'BUS 2'!$G$1:$CU$424,68,0)</f>
        <v/>
      </c>
      <c r="UH40" s="9" t="str">
        <f>VLOOKUP(AG40,'BUS 2'!$G$1:$CU$424,69,0)</f>
        <v/>
      </c>
      <c r="UI40" s="9" t="str">
        <f>VLOOKUP(AG40,'BUS 2'!$G$1:$CU$424,70,0)</f>
        <v/>
      </c>
      <c r="UJ40" s="9" t="str">
        <f>VLOOKUP(AG40,'BUS 2'!$G$1:$CU$424,71,0)</f>
        <v/>
      </c>
      <c r="UK40" s="9" t="str">
        <f>VLOOKUP(AG40,'BUS 2'!$G$1:$CU$424,72,0)</f>
        <v/>
      </c>
      <c r="UL40" s="9" t="str">
        <f>VLOOKUP(AG40,'BUS 2'!$G$1:$CU$424,73,0)</f>
        <v/>
      </c>
      <c r="UM40" s="9" t="str">
        <f>VLOOKUP(AG40,'BUS 2'!$G$1:$CU$424,74,0)</f>
        <v/>
      </c>
      <c r="UN40" s="9" t="str">
        <f>VLOOKUP(AG40,'BUS 2'!$G$1:$CU$424,75,0)</f>
        <v/>
      </c>
      <c r="UO40" s="9" t="str">
        <f>VLOOKUP(AG40,'BUS 2'!$G$1:$CU$424,76,0)</f>
        <v/>
      </c>
      <c r="UP40" s="9" t="str">
        <f>VLOOKUP(AG40,'BUS 2'!$G$1:$CU$424,77,0)</f>
        <v/>
      </c>
      <c r="UQ40" s="9" t="str">
        <f>VLOOKUP(AG40,'BUS 2'!$G$1:$CU$424,78,0)</f>
        <v/>
      </c>
      <c r="UR40" s="9" t="str">
        <f>VLOOKUP(AG40,'BUS 2'!$G$1:$CU$424,79,0)</f>
        <v/>
      </c>
      <c r="US40" s="9" t="str">
        <f>VLOOKUP(AG40,'BUS 2'!$G$1:$CU$424,80,0)</f>
        <v/>
      </c>
      <c r="UT40" s="9" t="str">
        <f>VLOOKUP(AG40,'BUS 2'!$G$1:$CU$424,81,0)</f>
        <v/>
      </c>
      <c r="UU40" s="9" t="s">
        <v>901</v>
      </c>
      <c r="UV40" s="9"/>
      <c r="UW40" s="9"/>
      <c r="UX40" s="9"/>
      <c r="UY40" s="9"/>
      <c r="UZ40" s="9"/>
      <c r="VA40" s="9"/>
      <c r="VB40" s="9"/>
      <c r="VC40" s="9" t="s">
        <v>950</v>
      </c>
      <c r="VD40" s="9"/>
      <c r="VE40" s="9"/>
      <c r="VF40" s="9"/>
      <c r="VG40" s="9"/>
      <c r="VH40" s="9"/>
      <c r="VI40" s="9"/>
      <c r="VJ40" s="9"/>
      <c r="VK40" s="9" t="s">
        <v>1158</v>
      </c>
      <c r="VL40" s="9"/>
      <c r="VM40" s="9"/>
      <c r="VN40" s="9"/>
      <c r="VO40" s="9"/>
      <c r="VP40" s="9"/>
      <c r="VQ40" s="9"/>
      <c r="VR40" s="9"/>
      <c r="VS40" s="9" t="s">
        <v>1265</v>
      </c>
      <c r="VT40" s="8">
        <v>0.0</v>
      </c>
      <c r="VU40" s="8">
        <v>0.0</v>
      </c>
      <c r="VV40" s="8">
        <v>0.0</v>
      </c>
      <c r="VW40" s="8">
        <v>0.0</v>
      </c>
      <c r="VX40" s="8">
        <v>0.0</v>
      </c>
      <c r="VY40" s="8">
        <v>0.0</v>
      </c>
      <c r="VZ40" s="8">
        <v>1.0</v>
      </c>
      <c r="WA40" s="8">
        <v>0.0</v>
      </c>
      <c r="WB40" s="8">
        <v>1.0</v>
      </c>
      <c r="WC40" s="8">
        <v>1.0</v>
      </c>
      <c r="WD40" s="8">
        <v>0.0</v>
      </c>
      <c r="WE40" s="8">
        <v>0.0</v>
      </c>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8">
        <v>60.0</v>
      </c>
      <c r="ZD40" s="9"/>
      <c r="ZE40" s="9"/>
      <c r="ZF40" s="9"/>
      <c r="ZG40" s="9"/>
      <c r="ZH40" s="9"/>
      <c r="ZI40" s="9"/>
      <c r="ZJ40" s="9"/>
      <c r="ZK40" s="9"/>
      <c r="ZL40" s="9"/>
      <c r="ZM40" s="9"/>
      <c r="ZN40" s="9"/>
      <c r="ZO40" s="9"/>
      <c r="ZP40" s="9"/>
      <c r="ZQ40" s="9"/>
      <c r="ZR40" s="9"/>
      <c r="ZS40" s="9"/>
      <c r="ZT40" s="9"/>
      <c r="ZU40" s="9"/>
      <c r="ZV40" s="8">
        <v>2.0</v>
      </c>
      <c r="ZW40" s="9"/>
      <c r="ZX40" s="9"/>
      <c r="ZY40" s="9"/>
      <c r="ZZ40" s="9"/>
      <c r="AAA40" s="9"/>
      <c r="AAB40" s="9"/>
      <c r="AAC40" s="9"/>
      <c r="AAD40" s="9" t="s">
        <v>1186</v>
      </c>
      <c r="AAE40" s="9"/>
      <c r="AAF40" s="9"/>
      <c r="AAG40" s="9"/>
      <c r="AAH40" s="9"/>
      <c r="AAI40" s="9"/>
      <c r="AAJ40" s="9"/>
      <c r="AAK40" s="9"/>
      <c r="AAL40" s="9" t="s">
        <v>857</v>
      </c>
      <c r="AAM40" s="9" t="s">
        <v>1033</v>
      </c>
      <c r="AAN40" s="8">
        <v>1.0</v>
      </c>
      <c r="AAO40" s="8">
        <v>1.0</v>
      </c>
      <c r="AAP40" s="8">
        <v>60.0</v>
      </c>
      <c r="AAQ40" s="8">
        <v>60.0</v>
      </c>
      <c r="AAR40" s="9" t="s">
        <v>857</v>
      </c>
      <c r="AAS40" s="9" t="s">
        <v>867</v>
      </c>
      <c r="AAT40" s="9" t="s">
        <v>1074</v>
      </c>
      <c r="AAU40" s="8">
        <v>1.0</v>
      </c>
      <c r="AAV40" s="8">
        <v>0.0</v>
      </c>
      <c r="AAW40" s="8">
        <v>0.0</v>
      </c>
      <c r="AAX40" s="8">
        <v>1.0</v>
      </c>
      <c r="AAY40" s="8">
        <v>1.0</v>
      </c>
      <c r="AAZ40" s="8">
        <v>0.0</v>
      </c>
      <c r="ABA40" s="8">
        <v>0.0</v>
      </c>
      <c r="ABB40" s="9" t="s">
        <v>1049</v>
      </c>
      <c r="ABC40" s="8">
        <v>1.0</v>
      </c>
      <c r="ABD40" s="8">
        <v>1.0</v>
      </c>
      <c r="ABE40" s="8">
        <v>0.0</v>
      </c>
      <c r="ABF40" s="8">
        <v>0.0</v>
      </c>
      <c r="ABG40" s="8">
        <v>0.0</v>
      </c>
      <c r="ABH40" s="9"/>
      <c r="ABI40" s="9"/>
      <c r="ABJ40" s="9"/>
      <c r="ABK40" s="9"/>
      <c r="ABL40" s="9"/>
      <c r="ABM40" s="9"/>
      <c r="ABN40" s="9"/>
      <c r="ABO40" s="9"/>
      <c r="ABP40" s="9"/>
      <c r="ABQ40" s="11" t="s">
        <v>908</v>
      </c>
      <c r="ABR40" s="9" t="s">
        <v>1075</v>
      </c>
      <c r="ABS40" s="8">
        <v>3000.0</v>
      </c>
      <c r="ABT40" s="8">
        <v>200.0</v>
      </c>
      <c r="ABU40" s="8">
        <v>60.0</v>
      </c>
      <c r="ABV40" s="8">
        <v>60.0</v>
      </c>
      <c r="ABW40" s="9" t="s">
        <v>1199</v>
      </c>
      <c r="ABX40" s="9"/>
      <c r="ABY40" s="8">
        <v>70.0</v>
      </c>
      <c r="ABZ40" s="8">
        <v>4000.0</v>
      </c>
      <c r="ACA40" s="8">
        <v>10.0</v>
      </c>
      <c r="ACB40" s="8">
        <v>4000.0</v>
      </c>
      <c r="ACC40" s="8">
        <v>500.0</v>
      </c>
      <c r="ACD40" s="8">
        <v>700.0</v>
      </c>
      <c r="ACE40" s="9" t="s">
        <v>857</v>
      </c>
      <c r="ACF40" s="9" t="s">
        <v>911</v>
      </c>
      <c r="ACG40" s="9" t="s">
        <v>911</v>
      </c>
      <c r="ACH40" s="9" t="s">
        <v>911</v>
      </c>
      <c r="ACI40" s="9"/>
      <c r="ACJ40" s="9"/>
      <c r="ACK40" s="9" t="s">
        <v>1215</v>
      </c>
      <c r="ACL40" s="8">
        <v>0.0</v>
      </c>
      <c r="ACM40" s="8">
        <v>1.0</v>
      </c>
      <c r="ACN40" s="8">
        <v>0.0</v>
      </c>
      <c r="ACO40" s="8">
        <v>1.0</v>
      </c>
      <c r="ACP40" s="8">
        <v>0.0</v>
      </c>
      <c r="ACQ40" s="8">
        <v>0.0</v>
      </c>
      <c r="ACR40" s="8">
        <v>0.0</v>
      </c>
      <c r="ACS40" s="9"/>
      <c r="ACT40" s="9" t="s">
        <v>912</v>
      </c>
      <c r="ACU40" s="9" t="s">
        <v>1050</v>
      </c>
      <c r="ACV40" s="9" t="s">
        <v>957</v>
      </c>
      <c r="ACW40" s="9" t="s">
        <v>915</v>
      </c>
      <c r="ACX40" s="9" t="s">
        <v>916</v>
      </c>
      <c r="ACY40" s="9" t="s">
        <v>1035</v>
      </c>
      <c r="ACZ40" s="8">
        <v>1.0</v>
      </c>
      <c r="ADA40" s="8">
        <v>1.0</v>
      </c>
      <c r="ADB40" s="8">
        <v>0.0</v>
      </c>
      <c r="ADC40" s="8">
        <v>0.0</v>
      </c>
      <c r="ADD40" s="9" t="s">
        <v>917</v>
      </c>
      <c r="ADE40" s="9" t="s">
        <v>917</v>
      </c>
      <c r="ADF40" s="9" t="s">
        <v>917</v>
      </c>
      <c r="ADG40" s="9" t="s">
        <v>917</v>
      </c>
      <c r="ADH40" s="9" t="s">
        <v>881</v>
      </c>
      <c r="ADI40" s="9"/>
      <c r="ADJ40" s="9" t="s">
        <v>917</v>
      </c>
      <c r="ADK40" s="9"/>
      <c r="ADL40" s="9"/>
      <c r="ADM40" s="9"/>
      <c r="ADN40" s="9"/>
      <c r="ADO40" s="9"/>
      <c r="ADP40" s="9"/>
      <c r="ADQ40" s="9"/>
      <c r="ADR40" s="9"/>
      <c r="ADS40" s="9"/>
      <c r="ADT40" s="9"/>
      <c r="ADU40" s="9" t="s">
        <v>1018</v>
      </c>
      <c r="ADV40" s="8">
        <v>0.0</v>
      </c>
      <c r="ADW40" s="8">
        <v>0.0</v>
      </c>
      <c r="ADX40" s="8">
        <v>0.0</v>
      </c>
      <c r="ADY40" s="8">
        <v>0.0</v>
      </c>
      <c r="ADZ40" s="8">
        <v>1.0</v>
      </c>
      <c r="AEA40" s="8">
        <v>1.0</v>
      </c>
      <c r="AEB40" s="8">
        <v>0.0</v>
      </c>
      <c r="AEC40" s="8">
        <v>0.0</v>
      </c>
      <c r="AED40" s="12"/>
      <c r="AEE40" s="17" t="s">
        <v>872</v>
      </c>
      <c r="AEF40" s="9"/>
      <c r="AEG40" s="17" t="s">
        <v>920</v>
      </c>
      <c r="AEH40" s="9"/>
      <c r="AEI40" s="11" t="s">
        <v>917</v>
      </c>
      <c r="AEJ40" s="9" t="s">
        <v>961</v>
      </c>
      <c r="AEK40" s="17" t="s">
        <v>922</v>
      </c>
      <c r="AEL40" s="18">
        <v>1.0</v>
      </c>
      <c r="AEM40" s="18">
        <v>1.0</v>
      </c>
      <c r="AEN40" s="18">
        <v>1.0</v>
      </c>
      <c r="AEO40" s="18">
        <v>1.0</v>
      </c>
      <c r="AEP40" s="18">
        <v>1.0</v>
      </c>
      <c r="AEQ40" s="18">
        <v>1.0</v>
      </c>
      <c r="AER40" s="18">
        <v>1.0</v>
      </c>
      <c r="AES40" s="18">
        <v>1.0</v>
      </c>
      <c r="AET40" s="18">
        <v>1.0</v>
      </c>
      <c r="AEU40" s="18">
        <v>0.0</v>
      </c>
      <c r="AEV40" s="18">
        <v>1.0</v>
      </c>
      <c r="AEW40" s="18">
        <v>0.0</v>
      </c>
      <c r="AEX40" s="9"/>
      <c r="AEY40" s="9" t="s">
        <v>923</v>
      </c>
      <c r="AEZ40" s="9"/>
      <c r="AFA40" s="9" t="s">
        <v>924</v>
      </c>
      <c r="AFB40" s="9"/>
      <c r="AFC40" s="9" t="s">
        <v>1358</v>
      </c>
      <c r="AFD40" s="16" t="s">
        <v>1359</v>
      </c>
      <c r="AFE40" s="9" t="s">
        <v>1360</v>
      </c>
      <c r="AFF40" s="16" t="s">
        <v>1361</v>
      </c>
      <c r="AFG40" s="9" t="s">
        <v>1137</v>
      </c>
      <c r="AFH40" s="9"/>
      <c r="AFI40" s="9"/>
    </row>
    <row r="41">
      <c r="A41" s="6">
        <v>46061.0</v>
      </c>
      <c r="B41" s="6">
        <v>46061.0</v>
      </c>
      <c r="C41" s="7" t="s">
        <v>837</v>
      </c>
      <c r="D41" s="7" t="s">
        <v>1362</v>
      </c>
      <c r="E41" s="8">
        <v>6.285640341611E12</v>
      </c>
      <c r="F41" s="9"/>
      <c r="G41" s="8">
        <v>-7.23284219</v>
      </c>
      <c r="H41" s="8">
        <v>110.2552</v>
      </c>
      <c r="I41" s="9"/>
      <c r="J41" s="8">
        <v>2.46</v>
      </c>
      <c r="K41" s="9"/>
      <c r="L41" s="9"/>
      <c r="M41" s="8">
        <v>-7.23284039</v>
      </c>
      <c r="N41" s="8">
        <v>110.2552506</v>
      </c>
      <c r="O41" s="9"/>
      <c r="P41" s="8">
        <v>4.49</v>
      </c>
      <c r="Q41" s="9"/>
      <c r="R41" s="9" t="s">
        <v>839</v>
      </c>
      <c r="S41" s="9"/>
      <c r="T41" s="9"/>
      <c r="U41" s="9"/>
      <c r="V41" s="9"/>
      <c r="W41" s="9"/>
      <c r="X41" s="9"/>
      <c r="Y41" s="9"/>
      <c r="Z41" s="9"/>
      <c r="AA41" s="9"/>
      <c r="AB41" s="9"/>
      <c r="AC41" s="7" t="s">
        <v>1175</v>
      </c>
      <c r="AD41" s="7" t="s">
        <v>1176</v>
      </c>
      <c r="AE41" s="7" t="s">
        <v>1354</v>
      </c>
      <c r="AF41" s="9" t="s">
        <v>1166</v>
      </c>
      <c r="AG41" s="9" t="s">
        <v>1363</v>
      </c>
      <c r="AH41" s="8">
        <v>16.0</v>
      </c>
      <c r="AI41" s="9" t="s">
        <v>933</v>
      </c>
      <c r="AJ41" s="9" t="s">
        <v>934</v>
      </c>
      <c r="AK41" s="8">
        <v>45.0</v>
      </c>
      <c r="AL41" s="9" t="s">
        <v>847</v>
      </c>
      <c r="AM41" s="9" t="s">
        <v>848</v>
      </c>
      <c r="AN41" s="9" t="s">
        <v>1009</v>
      </c>
      <c r="AO41" s="9" t="s">
        <v>850</v>
      </c>
      <c r="AP41" s="8">
        <v>1.0</v>
      </c>
      <c r="AQ41" s="8">
        <v>0.0</v>
      </c>
      <c r="AR41" s="8">
        <v>0.0</v>
      </c>
      <c r="AS41" s="8">
        <v>0.0</v>
      </c>
      <c r="AT41" s="8">
        <v>0.0</v>
      </c>
      <c r="AU41" s="8">
        <v>0.0</v>
      </c>
      <c r="AV41" s="8">
        <v>0.0</v>
      </c>
      <c r="AW41" s="8">
        <v>0.0</v>
      </c>
      <c r="AX41" s="9"/>
      <c r="AY41" s="9" t="s">
        <v>1231</v>
      </c>
      <c r="AZ41" s="8">
        <v>0.0</v>
      </c>
      <c r="BA41" s="8">
        <v>0.0</v>
      </c>
      <c r="BB41" s="8">
        <v>0.0</v>
      </c>
      <c r="BC41" s="8">
        <v>1.0</v>
      </c>
      <c r="BD41" s="8">
        <v>0.0</v>
      </c>
      <c r="BE41" s="8">
        <v>0.0</v>
      </c>
      <c r="BF41" s="8">
        <v>0.0</v>
      </c>
      <c r="BG41" s="8">
        <v>0.0</v>
      </c>
      <c r="BH41" s="9"/>
      <c r="BI41" s="9" t="s">
        <v>852</v>
      </c>
      <c r="BJ41" s="8">
        <v>1.0</v>
      </c>
      <c r="BK41" s="8">
        <v>1.0</v>
      </c>
      <c r="BL41" s="8">
        <v>1.0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881</v>
      </c>
      <c r="CM41" s="8">
        <v>2010.0</v>
      </c>
      <c r="CN41" s="9" t="s">
        <v>858</v>
      </c>
      <c r="CO41" s="9" t="s">
        <v>859</v>
      </c>
      <c r="CP41" s="9" t="s">
        <v>860</v>
      </c>
      <c r="CQ41" s="8">
        <v>0.0</v>
      </c>
      <c r="CR41" s="8">
        <v>0.0</v>
      </c>
      <c r="CS41" s="8">
        <v>0.0</v>
      </c>
      <c r="CT41" s="8">
        <v>0.0</v>
      </c>
      <c r="CU41" s="10">
        <v>1.0</v>
      </c>
      <c r="CV41" s="10">
        <v>0.0</v>
      </c>
      <c r="CW41" s="10">
        <v>0.0</v>
      </c>
      <c r="CX41" s="8">
        <v>0.0</v>
      </c>
      <c r="CY41" s="9" t="s">
        <v>860</v>
      </c>
      <c r="CZ41" s="8">
        <v>1.0</v>
      </c>
      <c r="DA41" s="8">
        <v>0.0</v>
      </c>
      <c r="DB41" s="8">
        <v>0.0</v>
      </c>
      <c r="DC41" s="9"/>
      <c r="DD41" s="9" t="s">
        <v>937</v>
      </c>
      <c r="DE41" s="8">
        <v>1.0</v>
      </c>
      <c r="DF41" s="8">
        <v>0.0</v>
      </c>
      <c r="DG41" s="8">
        <v>1.0</v>
      </c>
      <c r="DH41" s="8">
        <v>0.0</v>
      </c>
      <c r="DI41" s="9"/>
      <c r="DJ41" s="9" t="s">
        <v>937</v>
      </c>
      <c r="DK41" s="8">
        <v>1.0</v>
      </c>
      <c r="DL41" s="8">
        <v>0.0</v>
      </c>
      <c r="DM41" s="8">
        <v>1.0</v>
      </c>
      <c r="DN41" s="8">
        <v>0.0</v>
      </c>
      <c r="DO41" s="9"/>
      <c r="DP41" s="8">
        <v>1.0</v>
      </c>
      <c r="DQ41" s="8">
        <v>0.0</v>
      </c>
      <c r="DR41" s="8">
        <v>0.0</v>
      </c>
      <c r="DS41" s="9"/>
      <c r="DT41" s="9"/>
      <c r="DU41" s="9"/>
      <c r="DV41" s="9" t="s">
        <v>938</v>
      </c>
      <c r="DW41" s="9" t="s">
        <v>939</v>
      </c>
      <c r="DX41" s="9" t="s">
        <v>987</v>
      </c>
      <c r="DY41" s="9"/>
      <c r="DZ41" s="9"/>
      <c r="EA41" s="9"/>
      <c r="EB41" s="9"/>
      <c r="EC41" s="9"/>
      <c r="ED41" s="9"/>
      <c r="EE41" s="9"/>
      <c r="EF41" s="9"/>
      <c r="EG41" s="9"/>
      <c r="EH41" s="9"/>
      <c r="EI41" s="9" t="s">
        <v>1364</v>
      </c>
      <c r="EJ41" s="8">
        <v>0.0</v>
      </c>
      <c r="EK41" s="8">
        <v>0.0</v>
      </c>
      <c r="EL41" s="8">
        <v>1.0</v>
      </c>
      <c r="EM41" s="8">
        <v>0.0</v>
      </c>
      <c r="EN41" s="8">
        <v>1.0</v>
      </c>
      <c r="EO41" s="11" t="s">
        <v>1365</v>
      </c>
      <c r="EP41" s="9" t="s">
        <v>863</v>
      </c>
      <c r="EQ41" s="9" t="s">
        <v>864</v>
      </c>
      <c r="ER41" s="9" t="s">
        <v>861</v>
      </c>
      <c r="ES41" s="8">
        <v>1.0</v>
      </c>
      <c r="ET41" s="8">
        <v>0.0</v>
      </c>
      <c r="EU41" s="8">
        <v>0.0</v>
      </c>
      <c r="EV41" s="8">
        <v>0.0</v>
      </c>
      <c r="EW41" s="9"/>
      <c r="EX41" s="9" t="s">
        <v>865</v>
      </c>
      <c r="EY41" s="8">
        <v>1.0</v>
      </c>
      <c r="EZ41" s="8">
        <v>0.0</v>
      </c>
      <c r="FA41" s="8">
        <v>0.0</v>
      </c>
      <c r="FB41" s="9"/>
      <c r="FC41" s="9" t="s">
        <v>866</v>
      </c>
      <c r="FD41" s="9"/>
      <c r="FE41" s="9" t="s">
        <v>867</v>
      </c>
      <c r="FF41" s="9" t="s">
        <v>869</v>
      </c>
      <c r="FG41" s="9" t="s">
        <v>867</v>
      </c>
      <c r="FH41" s="9" t="s">
        <v>869</v>
      </c>
      <c r="FI41" s="9" t="s">
        <v>867</v>
      </c>
      <c r="FJ41" s="9" t="s">
        <v>869</v>
      </c>
      <c r="FK41" s="9" t="s">
        <v>867</v>
      </c>
      <c r="FL41" s="9" t="s">
        <v>870</v>
      </c>
      <c r="FM41" s="9" t="s">
        <v>867</v>
      </c>
      <c r="FN41" s="9" t="s">
        <v>869</v>
      </c>
      <c r="FO41" s="9" t="s">
        <v>867</v>
      </c>
      <c r="FP41" s="9" t="s">
        <v>870</v>
      </c>
      <c r="FQ41" s="9" t="s">
        <v>867</v>
      </c>
      <c r="FR41" s="9" t="s">
        <v>857</v>
      </c>
      <c r="FS41" s="9" t="s">
        <v>867</v>
      </c>
      <c r="FT41" s="9" t="s">
        <v>871</v>
      </c>
      <c r="FU41" s="9" t="s">
        <v>872</v>
      </c>
      <c r="FV41" s="8">
        <v>1.0</v>
      </c>
      <c r="FW41" s="8">
        <v>0.0</v>
      </c>
      <c r="FX41" s="8">
        <v>0.0</v>
      </c>
      <c r="FY41" s="8">
        <v>0.0</v>
      </c>
      <c r="FZ41" s="9" t="s">
        <v>873</v>
      </c>
      <c r="GA41" s="9" t="s">
        <v>874</v>
      </c>
      <c r="GB41" s="8">
        <v>1.0</v>
      </c>
      <c r="GC41" s="8">
        <v>0.0</v>
      </c>
      <c r="GD41" s="8">
        <v>0.0</v>
      </c>
      <c r="GE41" s="8">
        <v>0.0</v>
      </c>
      <c r="GF41" s="9"/>
      <c r="GG41" s="9" t="s">
        <v>961</v>
      </c>
      <c r="GH41" s="9" t="s">
        <v>881</v>
      </c>
      <c r="GI41" s="9"/>
      <c r="GJ41" s="9"/>
      <c r="GK41" s="9"/>
      <c r="GL41" s="9"/>
      <c r="GM41" s="9"/>
      <c r="GN41" s="9"/>
      <c r="GO41" s="9"/>
      <c r="GP41" s="9" t="s">
        <v>877</v>
      </c>
      <c r="GQ41" s="9" t="s">
        <v>878</v>
      </c>
      <c r="GR41" s="8">
        <v>1.0</v>
      </c>
      <c r="GS41" s="8">
        <v>1.0</v>
      </c>
      <c r="GT41" s="8">
        <v>0.0</v>
      </c>
      <c r="GU41" s="8">
        <v>0.0</v>
      </c>
      <c r="GV41" s="8">
        <v>0.0</v>
      </c>
      <c r="GW41" s="8">
        <v>0.0</v>
      </c>
      <c r="GX41" s="8">
        <v>0.0</v>
      </c>
      <c r="GY41" s="9"/>
      <c r="GZ41" s="9" t="s">
        <v>881</v>
      </c>
      <c r="HA41" s="8">
        <v>150.0</v>
      </c>
      <c r="HB41" s="8">
        <v>1500000.0</v>
      </c>
      <c r="HC41" s="8">
        <v>0.0</v>
      </c>
      <c r="HD41" s="8">
        <v>0.0</v>
      </c>
      <c r="HE41" s="8">
        <v>12.0</v>
      </c>
      <c r="HF41" s="8">
        <v>100000.0</v>
      </c>
      <c r="HG41" s="8">
        <v>0.0</v>
      </c>
      <c r="HH41" s="8">
        <v>0.0</v>
      </c>
      <c r="HI41" s="9"/>
      <c r="HJ41" s="9"/>
      <c r="HK41" s="9"/>
      <c r="HL41" s="9"/>
      <c r="HM41" s="9"/>
      <c r="HN41" s="9"/>
      <c r="HO41" s="9"/>
      <c r="HP41" s="9"/>
      <c r="HQ41" s="9"/>
      <c r="HR41" s="9"/>
      <c r="HS41" s="9"/>
      <c r="HT41" s="9"/>
      <c r="HU41" s="9"/>
      <c r="HV41" s="9"/>
      <c r="HW41" s="9"/>
      <c r="HX41" s="9"/>
      <c r="HY41" s="8">
        <v>0.0</v>
      </c>
      <c r="HZ41" s="8">
        <v>0.0</v>
      </c>
      <c r="IA41" s="8">
        <v>0.0</v>
      </c>
      <c r="IB41" s="8">
        <v>0.0</v>
      </c>
      <c r="IC41" s="9"/>
      <c r="ID41" s="9"/>
      <c r="IE41" s="9"/>
      <c r="IF41" s="9"/>
      <c r="IG41" s="9"/>
      <c r="IH41" s="9"/>
      <c r="II41" s="9"/>
      <c r="IJ41" s="9"/>
      <c r="IK41" s="9" t="s">
        <v>879</v>
      </c>
      <c r="IL41" s="9" t="s">
        <v>1366</v>
      </c>
      <c r="IM41" s="9" t="s">
        <v>881</v>
      </c>
      <c r="IN41" s="9" t="s">
        <v>881</v>
      </c>
      <c r="IO41" s="9" t="s">
        <v>882</v>
      </c>
      <c r="IP41" s="9"/>
      <c r="IQ41" s="9" t="s">
        <v>1356</v>
      </c>
      <c r="IR41" s="9" t="s">
        <v>872</v>
      </c>
      <c r="IS41" s="8">
        <v>1.0</v>
      </c>
      <c r="IT41" s="8">
        <v>0.0</v>
      </c>
      <c r="IU41" s="8">
        <v>0.0</v>
      </c>
      <c r="IV41" s="9" t="s">
        <v>872</v>
      </c>
      <c r="IW41" s="8">
        <v>1.0</v>
      </c>
      <c r="IX41" s="8">
        <v>0.0</v>
      </c>
      <c r="IY41" s="8">
        <v>0.0</v>
      </c>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886</v>
      </c>
      <c r="KV41" s="9" t="s">
        <v>999</v>
      </c>
      <c r="KW41" s="8">
        <v>0.0</v>
      </c>
      <c r="KX41" s="8">
        <v>0.0</v>
      </c>
      <c r="KY41" s="8">
        <v>0.0</v>
      </c>
      <c r="KZ41" s="8">
        <v>1.0</v>
      </c>
      <c r="LA41" s="9" t="s">
        <v>884</v>
      </c>
      <c r="LB41" s="9" t="s">
        <v>884</v>
      </c>
      <c r="LC41" s="8">
        <v>0.0</v>
      </c>
      <c r="LD41" s="8">
        <v>0.0</v>
      </c>
      <c r="LE41" s="8">
        <v>0.0</v>
      </c>
      <c r="LF41" s="8">
        <v>0.0</v>
      </c>
      <c r="LG41" s="9" t="s">
        <v>881</v>
      </c>
      <c r="LH41" s="9"/>
      <c r="LI41" s="8">
        <v>100000.0</v>
      </c>
      <c r="LJ41" s="9" t="s">
        <v>887</v>
      </c>
      <c r="LK41" s="8">
        <v>0.0</v>
      </c>
      <c r="LL41" s="8">
        <v>0.0</v>
      </c>
      <c r="LM41" s="8">
        <v>0.0</v>
      </c>
      <c r="LN41" s="8">
        <v>0.0</v>
      </c>
      <c r="LO41" s="8">
        <v>1.0</v>
      </c>
      <c r="LP41" s="8">
        <v>0.0</v>
      </c>
      <c r="LQ41" s="8">
        <v>0.0</v>
      </c>
      <c r="LR41" s="9"/>
      <c r="LS41" s="8">
        <v>0.0</v>
      </c>
      <c r="LT41" s="8">
        <v>0.0</v>
      </c>
      <c r="LU41" s="8">
        <v>0.0</v>
      </c>
      <c r="LV41" s="8">
        <v>0.0</v>
      </c>
      <c r="LW41" s="8">
        <v>0.0</v>
      </c>
      <c r="LX41" s="8">
        <v>0.0</v>
      </c>
      <c r="LY41" s="8">
        <v>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8">
        <v>0.0</v>
      </c>
      <c r="MS41" s="9"/>
      <c r="MT41" s="8">
        <v>0.0</v>
      </c>
      <c r="MU41" s="9" t="s">
        <v>881</v>
      </c>
      <c r="MV41" s="9"/>
      <c r="MW41" s="9"/>
      <c r="MX41" s="9"/>
      <c r="MY41" s="9"/>
      <c r="MZ41" s="9"/>
      <c r="NA41" s="9"/>
      <c r="NB41" s="9"/>
      <c r="NC41" s="9"/>
      <c r="ND41" s="9"/>
      <c r="NE41" s="9"/>
      <c r="NF41" s="9"/>
      <c r="NG41" s="9"/>
      <c r="NH41" s="9"/>
      <c r="NI41" s="9"/>
      <c r="NJ41" s="9"/>
      <c r="NK41" s="9"/>
      <c r="NL41" s="9" t="s">
        <v>857</v>
      </c>
      <c r="NM41" s="9" t="s">
        <v>893</v>
      </c>
      <c r="NN41" s="9" t="s">
        <v>1141</v>
      </c>
      <c r="NO41" s="9" t="s">
        <v>973</v>
      </c>
      <c r="NP41" s="9"/>
      <c r="NQ41" s="9"/>
      <c r="NR41" s="9"/>
      <c r="NS41" s="9"/>
      <c r="NT41" s="9"/>
      <c r="NU41" s="9"/>
      <c r="NV41" s="9" t="s">
        <v>896</v>
      </c>
      <c r="NW41" s="9"/>
      <c r="NX41" s="9" t="s">
        <v>897</v>
      </c>
      <c r="NY41" s="8">
        <v>0.0</v>
      </c>
      <c r="NZ41" s="8">
        <v>0.0</v>
      </c>
      <c r="OA41" s="8">
        <v>0.0</v>
      </c>
      <c r="OB41" s="8">
        <v>0.0</v>
      </c>
      <c r="OC41" s="8">
        <v>0.0</v>
      </c>
      <c r="OD41" s="8">
        <v>0.0</v>
      </c>
      <c r="OE41" s="9" t="s">
        <v>898</v>
      </c>
      <c r="OF41" s="9" t="s">
        <v>899</v>
      </c>
      <c r="OG41" s="9" t="s">
        <v>881</v>
      </c>
      <c r="OH41" s="8">
        <v>0.0</v>
      </c>
      <c r="OI41" s="8">
        <v>0.0</v>
      </c>
      <c r="OJ41" s="8">
        <v>0.0</v>
      </c>
      <c r="OK41" s="8">
        <v>0.0</v>
      </c>
      <c r="OL41" s="8">
        <v>0.0</v>
      </c>
      <c r="OM41" s="8">
        <v>0.0</v>
      </c>
      <c r="ON41" s="8">
        <v>0.0</v>
      </c>
      <c r="OO41" s="8">
        <v>0.0</v>
      </c>
      <c r="OP41" s="9" t="str">
        <f>VLOOKUP(AG41,'BUS 2'!$G$1:$CU$424,2,0)</f>
        <v>Tidak ada</v>
      </c>
      <c r="OQ41" s="8">
        <f>VLOOKUP(AG41,'BUS 2'!$G$1:$CU$424,3,0)</f>
        <v>0</v>
      </c>
      <c r="OR41" s="8">
        <f>VLOOKUP(AG41,'BUS 2'!$G$1:$CU$424,4,0)</f>
        <v>0</v>
      </c>
      <c r="OS41" s="8">
        <f>VLOOKUP(AG41,'BUS 2'!$G$1:$CU$424,5,0)</f>
        <v>0</v>
      </c>
      <c r="OT41" s="8">
        <f>VLOOKUP(AG41,'BUS 2'!$G$1:$CU$424,6,0)</f>
        <v>0</v>
      </c>
      <c r="OU41" s="8">
        <f>VLOOKUP(AG41,'BUS 2'!$G$1:$CU$424,7,0)</f>
        <v>0</v>
      </c>
      <c r="OV41" s="8">
        <f>VLOOKUP(AG41,'BUS 2'!$G$1:$CU$424,8,0)</f>
        <v>0</v>
      </c>
      <c r="OW41" s="8">
        <f>VLOOKUP(AG41,'BUS 2'!$G$1:$CU$424,9,0)</f>
        <v>0</v>
      </c>
      <c r="OX41" s="8">
        <f>VLOOKUP(AG41,'BUS 2'!$G$1:$CU$424,10,0)</f>
        <v>0</v>
      </c>
      <c r="OY41" s="8">
        <f>VLOOKUP(AG41,'BUS 2'!$G$1:$CU$424,11,0)</f>
        <v>1</v>
      </c>
      <c r="OZ41" s="8" t="str">
        <f>VLOOKUP(AG41,'BUS 2'!$G$1:$CU$424,12,0)</f>
        <v>Tidak ada</v>
      </c>
      <c r="PA41" s="8">
        <f>VLOOKUP(AG41,'BUS 2'!$G$1:$CU$424,13,0)</f>
        <v>0</v>
      </c>
      <c r="PB41" s="8">
        <f>VLOOKUP(AG41,'BUS 2'!$G$1:$CU$424,14,0)</f>
        <v>0</v>
      </c>
      <c r="PC41" s="8">
        <f>VLOOKUP(AG41,'BUS 2'!$G$1:$CU$424,15,0)</f>
        <v>0</v>
      </c>
      <c r="PD41" s="8">
        <f>VLOOKUP(AG41,'BUS 2'!$G$1:$CU$424,16,0)</f>
        <v>0</v>
      </c>
      <c r="PE41" s="8">
        <f>VLOOKUP(AG41,'BUS 2'!$G$1:$CU$424,17,0)</f>
        <v>0</v>
      </c>
      <c r="PF41" s="8">
        <f>VLOOKUP(AG41,'BUS 2'!$G$1:$CU$424,18,0)</f>
        <v>0</v>
      </c>
      <c r="PG41" s="8">
        <f>VLOOKUP(AG41,'BUS 2'!$G$1:$CU$424,19,0)</f>
        <v>0</v>
      </c>
      <c r="PH41" s="8">
        <f>VLOOKUP(AG41,'BUS 2'!$G$1:$CU$424,20,0)</f>
        <v>0</v>
      </c>
      <c r="PI41" s="8">
        <f>VLOOKUP(AG41,'BUS 2'!$G$1:$CU$424,21,0)</f>
        <v>1</v>
      </c>
      <c r="PJ41" s="8" t="str">
        <f>VLOOKUP(AG41,'BUS 2'!$G$1:$CU$424,22,0)</f>
        <v>Tidak ada</v>
      </c>
      <c r="PK41" s="8">
        <f>VLOOKUP(AG41,'BUS 2'!$G$1:$CU$424,23,0)</f>
        <v>0</v>
      </c>
      <c r="PL41" s="8">
        <f>VLOOKUP(AG41,'BUS 2'!$G$1:$CU$424,24,0)</f>
        <v>0</v>
      </c>
      <c r="PM41" s="8">
        <f>VLOOKUP(AG41,'BUS 2'!$G$1:$CU$424,25,0)</f>
        <v>0</v>
      </c>
      <c r="PN41" s="8">
        <f>VLOOKUP(AG41,'BUS 2'!$G$1:$CU$424,26,0)</f>
        <v>0</v>
      </c>
      <c r="PO41" s="8">
        <f>VLOOKUP(AG41,'BUS 2'!$G$1:$CU$424,27,0)</f>
        <v>0</v>
      </c>
      <c r="PP41" s="8">
        <f>VLOOKUP(AG41,'BUS 2'!$G$1:$CU$424,28,0)</f>
        <v>0</v>
      </c>
      <c r="PQ41" s="8">
        <f>VLOOKUP(AG41,'BUS 2'!$G$1:$CU$424,29,0)</f>
        <v>0</v>
      </c>
      <c r="PR41" s="8">
        <f>VLOOKUP(AG41,'BUS 2'!$G$1:$CU$424,30,0)</f>
        <v>0</v>
      </c>
      <c r="PS41" s="8">
        <f>VLOOKUP(AG41,'BUS 2'!$G$1:$CU$424,31,0)</f>
        <v>1</v>
      </c>
      <c r="PT41" s="9" t="s">
        <v>900</v>
      </c>
      <c r="PU41" s="8">
        <v>1.0</v>
      </c>
      <c r="PV41" s="8">
        <v>0.0</v>
      </c>
      <c r="PW41" s="8">
        <v>0.0</v>
      </c>
      <c r="PX41" s="8">
        <v>0.0</v>
      </c>
      <c r="PY41" s="8">
        <v>0.0</v>
      </c>
      <c r="PZ41" s="8">
        <v>0.0</v>
      </c>
      <c r="QA41" s="8">
        <v>1.0</v>
      </c>
      <c r="QB41" s="8">
        <v>0.0</v>
      </c>
      <c r="QC41" s="8">
        <v>0.0</v>
      </c>
      <c r="QD41" s="8">
        <v>0.0</v>
      </c>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8" t="str">
        <f>VLOOKUP(AG41,'BUS 2'!$G$1:$CU$424,33,0)</f>
        <v/>
      </c>
      <c r="SZ41" s="9" t="str">
        <f>VLOOKUP(AG41,'BUS 2'!$G$1:$CU$424,34,0)</f>
        <v/>
      </c>
      <c r="TA41" s="9" t="str">
        <f>VLOOKUP(AG41,'BUS 2'!$G$1:$CU$424,35,0)</f>
        <v/>
      </c>
      <c r="TB41" s="9" t="str">
        <f>VLOOKUP(AG41,'BUS 2'!$G$1:$CU$424,36,0)</f>
        <v/>
      </c>
      <c r="TC41" s="9" t="str">
        <f>VLOOKUP(AG41,'BUS 2'!$G$1:$CU$424,37,0)</f>
        <v/>
      </c>
      <c r="TD41" s="9" t="str">
        <f>VLOOKUP(AG41,'BUS 2'!$G$1:$CU$424,38,0)</f>
        <v/>
      </c>
      <c r="TE41" s="9" t="str">
        <f>VLOOKUP(AG41,'BUS 2'!$G$1:$CU$424,39,0)</f>
        <v/>
      </c>
      <c r="TF41" s="9" t="str">
        <f>VLOOKUP(AG41,'BUS 2'!$G$1:$CU$424,40,0)</f>
        <v/>
      </c>
      <c r="TG41" s="8" t="str">
        <f>VLOOKUP(AG41,'BUS 2'!$G$1:$CU$424,42,0)</f>
        <v/>
      </c>
      <c r="TH41" s="8" t="str">
        <f>VLOOKUP(AG41,'BUS 2'!$G$1:$CU$424,43,0)</f>
        <v/>
      </c>
      <c r="TI41" s="8" t="str">
        <f>VLOOKUP(AG41,'BUS 2'!$G$1:$CU$424,44,0)</f>
        <v/>
      </c>
      <c r="TJ41" s="8" t="str">
        <f>VLOOKUP(AG41,'BUS 2'!$G$1:$CU$424,45,0)</f>
        <v/>
      </c>
      <c r="TK41" s="8" t="str">
        <f>VLOOKUP(AG41,'BUS 2'!$G$1:$CU$424,46,0)</f>
        <v/>
      </c>
      <c r="TL41" s="8" t="str">
        <f>VLOOKUP(AG41,'BUS 2'!$G$1:$CU$424,47,0)</f>
        <v/>
      </c>
      <c r="TM41" s="8" t="str">
        <f>VLOOKUP(AG41,'BUS 2'!$G$1:$CU$424,48,0)</f>
        <v/>
      </c>
      <c r="TN41" s="8" t="str">
        <f>VLOOKUP(AG41,'BUS 2'!$G$1:$CU$424,49,0)</f>
        <v/>
      </c>
      <c r="TO41" s="8" t="str">
        <f>VLOOKUP(AG41,'BUS 2'!$G$1:$CU$424,50,0)</f>
        <v/>
      </c>
      <c r="TP41" s="8" t="str">
        <f>VLOOKUP(AG41,'BUS 2'!$G$1:$CU$424,51,0)</f>
        <v/>
      </c>
      <c r="TQ41" s="8" t="str">
        <f>VLOOKUP(AG41,'BUS 2'!$G$1:$CU$424,52,0)</f>
        <v/>
      </c>
      <c r="TR41" s="8" t="str">
        <f>VLOOKUP(AG41,'BUS 2'!$G$1:$CU$424,53,0)</f>
        <v/>
      </c>
      <c r="TS41" s="9" t="str">
        <f>VLOOKUP(AG41,'BUS 2'!$G$1:$CU$424,54,0)</f>
        <v/>
      </c>
      <c r="TT41" s="9" t="str">
        <f>VLOOKUP(AG41,'BUS 2'!$G$1:$CU$424,55,0)</f>
        <v/>
      </c>
      <c r="TU41" s="9" t="str">
        <f>VLOOKUP(AG41,'BUS 2'!$G$1:$CU$424,56,0)</f>
        <v/>
      </c>
      <c r="TV41" s="9" t="str">
        <f>VLOOKUP(AG41,'BUS 2'!$G$1:$CU$424,57,0)</f>
        <v/>
      </c>
      <c r="TW41" s="9" t="str">
        <f>VLOOKUP(AG41,'BUS 2'!$G$1:$CU$424,58,0)</f>
        <v/>
      </c>
      <c r="TX41" s="9" t="str">
        <f>VLOOKUP(AG41,'BUS 2'!$G$1:$CU$424,59,0)</f>
        <v/>
      </c>
      <c r="TY41" s="9" t="str">
        <f>VLOOKUP(AG41,'BUS 2'!$G$1:$CU$424,60,0)</f>
        <v/>
      </c>
      <c r="TZ41" s="9" t="str">
        <f>VLOOKUP(AG41,'BUS 2'!$G$1:$CU$424,61,0)</f>
        <v/>
      </c>
      <c r="UA41" s="9" t="str">
        <f>VLOOKUP(AG41,'BUS 2'!$G$1:$CU$424,62,0)</f>
        <v/>
      </c>
      <c r="UB41" s="9" t="str">
        <f>VLOOKUP(AG41,'BUS 2'!$G$1:$CU$424,63,0)</f>
        <v/>
      </c>
      <c r="UC41" s="9" t="str">
        <f>VLOOKUP(AG41,'BUS 2'!$G$1:$CU$424,64,0)</f>
        <v/>
      </c>
      <c r="UD41" s="9" t="str">
        <f>VLOOKUP(AG41,'BUS 2'!$G$1:$CU$424,65,0)</f>
        <v/>
      </c>
      <c r="UE41" s="9" t="str">
        <f>VLOOKUP(AG41,'BUS 2'!$G$1:$CU$424,66,0)</f>
        <v/>
      </c>
      <c r="UF41" s="9" t="str">
        <f>VLOOKUP(AG41,'BUS 2'!$G$1:$CU$424,67,0)</f>
        <v/>
      </c>
      <c r="UG41" s="9" t="str">
        <f>VLOOKUP(AG41,'BUS 2'!$G$1:$CU$424,68,0)</f>
        <v/>
      </c>
      <c r="UH41" s="9" t="str">
        <f>VLOOKUP(AG41,'BUS 2'!$G$1:$CU$424,69,0)</f>
        <v/>
      </c>
      <c r="UI41" s="9" t="str">
        <f>VLOOKUP(AG41,'BUS 2'!$G$1:$CU$424,70,0)</f>
        <v/>
      </c>
      <c r="UJ41" s="9" t="str">
        <f>VLOOKUP(AG41,'BUS 2'!$G$1:$CU$424,71,0)</f>
        <v/>
      </c>
      <c r="UK41" s="9" t="str">
        <f>VLOOKUP(AG41,'BUS 2'!$G$1:$CU$424,72,0)</f>
        <v/>
      </c>
      <c r="UL41" s="9" t="str">
        <f>VLOOKUP(AG41,'BUS 2'!$G$1:$CU$424,73,0)</f>
        <v/>
      </c>
      <c r="UM41" s="9" t="str">
        <f>VLOOKUP(AG41,'BUS 2'!$G$1:$CU$424,74,0)</f>
        <v/>
      </c>
      <c r="UN41" s="9" t="str">
        <f>VLOOKUP(AG41,'BUS 2'!$G$1:$CU$424,75,0)</f>
        <v/>
      </c>
      <c r="UO41" s="9" t="str">
        <f>VLOOKUP(AG41,'BUS 2'!$G$1:$CU$424,76,0)</f>
        <v/>
      </c>
      <c r="UP41" s="9" t="str">
        <f>VLOOKUP(AG41,'BUS 2'!$G$1:$CU$424,77,0)</f>
        <v/>
      </c>
      <c r="UQ41" s="9" t="str">
        <f>VLOOKUP(AG41,'BUS 2'!$G$1:$CU$424,78,0)</f>
        <v/>
      </c>
      <c r="UR41" s="9" t="str">
        <f>VLOOKUP(AG41,'BUS 2'!$G$1:$CU$424,79,0)</f>
        <v/>
      </c>
      <c r="US41" s="9" t="str">
        <f>VLOOKUP(AG41,'BUS 2'!$G$1:$CU$424,80,0)</f>
        <v/>
      </c>
      <c r="UT41" s="9" t="str">
        <f>VLOOKUP(AG41,'BUS 2'!$G$1:$CU$424,81,0)</f>
        <v/>
      </c>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t="s">
        <v>881</v>
      </c>
      <c r="AAM41" s="9"/>
      <c r="AAN41" s="9"/>
      <c r="AAO41" s="9"/>
      <c r="AAP41" s="9"/>
      <c r="AAQ41" s="9"/>
      <c r="AAR41" s="9" t="s">
        <v>857</v>
      </c>
      <c r="AAS41" s="9" t="s">
        <v>867</v>
      </c>
      <c r="AAT41" s="9" t="s">
        <v>995</v>
      </c>
      <c r="AAU41" s="8">
        <v>1.0</v>
      </c>
      <c r="AAV41" s="8">
        <v>0.0</v>
      </c>
      <c r="AAW41" s="8">
        <v>0.0</v>
      </c>
      <c r="AAX41" s="8">
        <v>0.0</v>
      </c>
      <c r="AAY41" s="8">
        <v>1.0</v>
      </c>
      <c r="AAZ41" s="8">
        <v>0.0</v>
      </c>
      <c r="ABA41" s="8">
        <v>0.0</v>
      </c>
      <c r="ABB41" s="9" t="s">
        <v>907</v>
      </c>
      <c r="ABC41" s="8">
        <v>1.0</v>
      </c>
      <c r="ABD41" s="8">
        <v>0.0</v>
      </c>
      <c r="ABE41" s="8">
        <v>0.0</v>
      </c>
      <c r="ABF41" s="8">
        <v>0.0</v>
      </c>
      <c r="ABG41" s="8">
        <v>0.0</v>
      </c>
      <c r="ABH41" s="9"/>
      <c r="ABI41" s="9"/>
      <c r="ABJ41" s="9"/>
      <c r="ABK41" s="9"/>
      <c r="ABL41" s="9"/>
      <c r="ABM41" s="9"/>
      <c r="ABN41" s="9"/>
      <c r="ABO41" s="9"/>
      <c r="ABP41" s="9"/>
      <c r="ABQ41" s="11" t="s">
        <v>953</v>
      </c>
      <c r="ABR41" s="9" t="s">
        <v>1075</v>
      </c>
      <c r="ABS41" s="8">
        <v>3000.0</v>
      </c>
      <c r="ABT41" s="9"/>
      <c r="ABU41" s="8">
        <v>0.0</v>
      </c>
      <c r="ABV41" s="8">
        <v>0.0</v>
      </c>
      <c r="ABW41" s="9" t="s">
        <v>1199</v>
      </c>
      <c r="ABX41" s="9"/>
      <c r="ABY41" s="8">
        <v>50.0</v>
      </c>
      <c r="ABZ41" s="8">
        <v>4000.0</v>
      </c>
      <c r="ACA41" s="8">
        <v>0.0</v>
      </c>
      <c r="ACB41" s="8">
        <v>0.0</v>
      </c>
      <c r="ACC41" s="8">
        <v>0.0</v>
      </c>
      <c r="ACD41" s="8">
        <v>0.0</v>
      </c>
      <c r="ACE41" s="9" t="s">
        <v>857</v>
      </c>
      <c r="ACF41" s="9" t="s">
        <v>911</v>
      </c>
      <c r="ACG41" s="9" t="s">
        <v>911</v>
      </c>
      <c r="ACH41" s="9" t="s">
        <v>911</v>
      </c>
      <c r="ACI41" s="9"/>
      <c r="ACJ41" s="9"/>
      <c r="ACK41" s="9" t="s">
        <v>955</v>
      </c>
      <c r="ACL41" s="8">
        <v>0.0</v>
      </c>
      <c r="ACM41" s="8">
        <v>0.0</v>
      </c>
      <c r="ACN41" s="8">
        <v>0.0</v>
      </c>
      <c r="ACO41" s="8">
        <v>1.0</v>
      </c>
      <c r="ACP41" s="8">
        <v>0.0</v>
      </c>
      <c r="ACQ41" s="8">
        <v>0.0</v>
      </c>
      <c r="ACR41" s="8">
        <v>0.0</v>
      </c>
      <c r="ACS41" s="9"/>
      <c r="ACT41" s="9" t="s">
        <v>1061</v>
      </c>
      <c r="ACU41" s="9" t="s">
        <v>913</v>
      </c>
      <c r="ACV41" s="9" t="s">
        <v>957</v>
      </c>
      <c r="ACW41" s="9" t="s">
        <v>915</v>
      </c>
      <c r="ACX41" s="9" t="s">
        <v>916</v>
      </c>
      <c r="ACY41" s="9" t="s">
        <v>1035</v>
      </c>
      <c r="ACZ41" s="8">
        <v>1.0</v>
      </c>
      <c r="ADA41" s="8">
        <v>1.0</v>
      </c>
      <c r="ADB41" s="8">
        <v>0.0</v>
      </c>
      <c r="ADC41" s="8">
        <v>0.0</v>
      </c>
      <c r="ADD41" s="9" t="s">
        <v>917</v>
      </c>
      <c r="ADE41" s="9" t="s">
        <v>917</v>
      </c>
      <c r="ADF41" s="9" t="s">
        <v>917</v>
      </c>
      <c r="ADG41" s="9" t="s">
        <v>917</v>
      </c>
      <c r="ADH41" s="9" t="s">
        <v>881</v>
      </c>
      <c r="ADI41" s="9"/>
      <c r="ADJ41" s="9" t="s">
        <v>917</v>
      </c>
      <c r="ADK41" s="9"/>
      <c r="ADL41" s="9"/>
      <c r="ADM41" s="9"/>
      <c r="ADN41" s="9"/>
      <c r="ADO41" s="9"/>
      <c r="ADP41" s="9"/>
      <c r="ADQ41" s="9"/>
      <c r="ADR41" s="9"/>
      <c r="ADS41" s="9"/>
      <c r="ADT41" s="9"/>
      <c r="ADU41" s="9" t="s">
        <v>1018</v>
      </c>
      <c r="ADV41" s="8">
        <v>0.0</v>
      </c>
      <c r="ADW41" s="8">
        <v>0.0</v>
      </c>
      <c r="ADX41" s="8">
        <v>0.0</v>
      </c>
      <c r="ADY41" s="8">
        <v>0.0</v>
      </c>
      <c r="ADZ41" s="8">
        <v>1.0</v>
      </c>
      <c r="AEA41" s="8">
        <v>1.0</v>
      </c>
      <c r="AEB41" s="8">
        <v>0.0</v>
      </c>
      <c r="AEC41" s="8">
        <v>0.0</v>
      </c>
      <c r="AED41" s="12"/>
      <c r="AEE41" s="13" t="s">
        <v>872</v>
      </c>
      <c r="AEF41" s="14"/>
      <c r="AEG41" s="13" t="s">
        <v>1367</v>
      </c>
      <c r="AEH41" s="9"/>
      <c r="AEI41" s="11" t="s">
        <v>999</v>
      </c>
      <c r="AEJ41" s="9" t="s">
        <v>961</v>
      </c>
      <c r="AEK41" s="13" t="s">
        <v>1368</v>
      </c>
      <c r="AEL41" s="15">
        <v>0.0</v>
      </c>
      <c r="AEM41" s="15">
        <v>0.0</v>
      </c>
      <c r="AEN41" s="15">
        <v>0.0</v>
      </c>
      <c r="AEO41" s="15">
        <v>0.0</v>
      </c>
      <c r="AEP41" s="15">
        <v>0.0</v>
      </c>
      <c r="AEQ41" s="15">
        <v>0.0</v>
      </c>
      <c r="AER41" s="15">
        <v>0.0</v>
      </c>
      <c r="AES41" s="15">
        <v>0.0</v>
      </c>
      <c r="AET41" s="15">
        <v>0.0</v>
      </c>
      <c r="AEU41" s="15">
        <v>0.0</v>
      </c>
      <c r="AEV41" s="15">
        <v>1.0</v>
      </c>
      <c r="AEW41" s="15">
        <v>0.0</v>
      </c>
      <c r="AEX41" s="9"/>
      <c r="AEY41" s="9" t="s">
        <v>923</v>
      </c>
      <c r="AEZ41" s="9"/>
      <c r="AFA41" s="9" t="s">
        <v>924</v>
      </c>
      <c r="AFB41" s="9"/>
      <c r="AFC41" s="9" t="s">
        <v>1369</v>
      </c>
      <c r="AFD41" s="16" t="s">
        <v>1370</v>
      </c>
      <c r="AFE41" s="9" t="s">
        <v>1371</v>
      </c>
      <c r="AFF41" s="16" t="s">
        <v>1372</v>
      </c>
      <c r="AFG41" s="9" t="s">
        <v>1137</v>
      </c>
      <c r="AFH41" s="9"/>
      <c r="AFI41" s="9"/>
    </row>
    <row r="42">
      <c r="A42" s="6">
        <v>46061.0</v>
      </c>
      <c r="B42" s="6">
        <v>46062.0</v>
      </c>
      <c r="C42" s="7" t="s">
        <v>837</v>
      </c>
      <c r="D42" s="7" t="s">
        <v>1373</v>
      </c>
      <c r="E42" s="8">
        <v>6.287805758884E12</v>
      </c>
      <c r="F42" s="9"/>
      <c r="G42" s="8">
        <v>-7.23397612</v>
      </c>
      <c r="H42" s="8">
        <v>110.2724336</v>
      </c>
      <c r="I42" s="9"/>
      <c r="J42" s="8">
        <v>4.89</v>
      </c>
      <c r="K42" s="9"/>
      <c r="L42" s="9"/>
      <c r="M42" s="8">
        <v>-7.23397612</v>
      </c>
      <c r="N42" s="8">
        <v>110.2724</v>
      </c>
      <c r="O42" s="9"/>
      <c r="P42" s="8">
        <v>4.89</v>
      </c>
      <c r="Q42" s="9"/>
      <c r="R42" s="9" t="s">
        <v>839</v>
      </c>
      <c r="S42" s="9"/>
      <c r="T42" s="9"/>
      <c r="U42" s="9"/>
      <c r="V42" s="9"/>
      <c r="W42" s="9"/>
      <c r="X42" s="9"/>
      <c r="Y42" s="9"/>
      <c r="Z42" s="9"/>
      <c r="AA42" s="9"/>
      <c r="AB42" s="9"/>
      <c r="AC42" s="7" t="s">
        <v>1175</v>
      </c>
      <c r="AD42" s="7" t="s">
        <v>1176</v>
      </c>
      <c r="AE42" s="7" t="s">
        <v>1374</v>
      </c>
      <c r="AF42" s="9" t="s">
        <v>1178</v>
      </c>
      <c r="AG42" s="9" t="s">
        <v>1375</v>
      </c>
      <c r="AH42" s="8">
        <v>6.0</v>
      </c>
      <c r="AI42" s="9" t="s">
        <v>845</v>
      </c>
      <c r="AJ42" s="9" t="s">
        <v>934</v>
      </c>
      <c r="AK42" s="8">
        <v>52.0</v>
      </c>
      <c r="AL42" s="9" t="s">
        <v>847</v>
      </c>
      <c r="AM42" s="9" t="s">
        <v>848</v>
      </c>
      <c r="AN42" s="9" t="s">
        <v>986</v>
      </c>
      <c r="AO42" s="9" t="s">
        <v>935</v>
      </c>
      <c r="AP42" s="8">
        <v>0.0</v>
      </c>
      <c r="AQ42" s="8">
        <v>1.0</v>
      </c>
      <c r="AR42" s="8">
        <v>0.0</v>
      </c>
      <c r="AS42" s="8">
        <v>0.0</v>
      </c>
      <c r="AT42" s="8">
        <v>0.0</v>
      </c>
      <c r="AU42" s="8">
        <v>0.0</v>
      </c>
      <c r="AV42" s="8">
        <v>0.0</v>
      </c>
      <c r="AW42" s="8">
        <v>0.0</v>
      </c>
      <c r="AX42" s="9"/>
      <c r="AY42" s="9" t="s">
        <v>850</v>
      </c>
      <c r="AZ42" s="8">
        <v>1.0</v>
      </c>
      <c r="BA42" s="8">
        <v>0.0</v>
      </c>
      <c r="BB42" s="8">
        <v>0.0</v>
      </c>
      <c r="BC42" s="8">
        <v>0.0</v>
      </c>
      <c r="BD42" s="8">
        <v>0.0</v>
      </c>
      <c r="BE42" s="8">
        <v>0.0</v>
      </c>
      <c r="BF42" s="8">
        <v>0.0</v>
      </c>
      <c r="BG42" s="8">
        <v>0.0</v>
      </c>
      <c r="BH42" s="9"/>
      <c r="BI42" s="9" t="s">
        <v>852</v>
      </c>
      <c r="BJ42" s="8">
        <v>2.0</v>
      </c>
      <c r="BK42" s="8">
        <v>4.0</v>
      </c>
      <c r="BL42" s="8">
        <v>1.0</v>
      </c>
      <c r="BM42" s="8">
        <v>0.0</v>
      </c>
      <c r="BN42" s="9" t="s">
        <v>853</v>
      </c>
      <c r="BO42" s="9" t="s">
        <v>854</v>
      </c>
      <c r="BP42" s="8">
        <v>1.0</v>
      </c>
      <c r="BQ42" s="8">
        <v>0.0</v>
      </c>
      <c r="BR42" s="8">
        <v>0.0</v>
      </c>
      <c r="BS42" s="8">
        <v>0.0</v>
      </c>
      <c r="BT42" s="8">
        <v>0.0</v>
      </c>
      <c r="BU42" s="9"/>
      <c r="BV42" s="9" t="s">
        <v>855</v>
      </c>
      <c r="BW42" s="8">
        <v>0.0</v>
      </c>
      <c r="BX42" s="8">
        <v>0.0</v>
      </c>
      <c r="BY42" s="8">
        <v>1.0</v>
      </c>
      <c r="BZ42" s="8">
        <v>0.0</v>
      </c>
      <c r="CA42" s="8">
        <v>0.0</v>
      </c>
      <c r="CB42" s="9"/>
      <c r="CC42" s="9" t="s">
        <v>856</v>
      </c>
      <c r="CD42" s="8">
        <v>0.0</v>
      </c>
      <c r="CE42" s="8">
        <v>0.0</v>
      </c>
      <c r="CF42" s="8">
        <v>0.0</v>
      </c>
      <c r="CG42" s="8">
        <v>0.0</v>
      </c>
      <c r="CH42" s="8">
        <v>0.0</v>
      </c>
      <c r="CI42" s="8">
        <v>1.0</v>
      </c>
      <c r="CJ42" s="8">
        <v>0.0</v>
      </c>
      <c r="CK42" s="9"/>
      <c r="CL42" s="9" t="s">
        <v>857</v>
      </c>
      <c r="CM42" s="8">
        <v>2020.0</v>
      </c>
      <c r="CN42" s="9" t="s">
        <v>1376</v>
      </c>
      <c r="CO42" s="9" t="s">
        <v>1377</v>
      </c>
      <c r="CP42" s="9" t="s">
        <v>860</v>
      </c>
      <c r="CQ42" s="8">
        <v>0.0</v>
      </c>
      <c r="CR42" s="8">
        <v>0.0</v>
      </c>
      <c r="CS42" s="8">
        <v>0.0</v>
      </c>
      <c r="CT42" s="8">
        <v>0.0</v>
      </c>
      <c r="CU42" s="10">
        <v>1.0</v>
      </c>
      <c r="CV42" s="10">
        <v>0.0</v>
      </c>
      <c r="CW42" s="10">
        <v>0.0</v>
      </c>
      <c r="CX42" s="8">
        <v>0.0</v>
      </c>
      <c r="CY42" s="9" t="s">
        <v>860</v>
      </c>
      <c r="CZ42" s="8">
        <v>1.0</v>
      </c>
      <c r="DA42" s="8">
        <v>0.0</v>
      </c>
      <c r="DB42" s="8">
        <v>0.0</v>
      </c>
      <c r="DC42" s="9"/>
      <c r="DD42" s="9" t="s">
        <v>937</v>
      </c>
      <c r="DE42" s="8">
        <v>1.0</v>
      </c>
      <c r="DF42" s="8">
        <v>0.0</v>
      </c>
      <c r="DG42" s="8">
        <v>1.0</v>
      </c>
      <c r="DH42" s="8">
        <v>0.0</v>
      </c>
      <c r="DI42" s="9"/>
      <c r="DJ42" s="9" t="s">
        <v>937</v>
      </c>
      <c r="DK42" s="8">
        <v>1.0</v>
      </c>
      <c r="DL42" s="8">
        <v>0.0</v>
      </c>
      <c r="DM42" s="8">
        <v>1.0</v>
      </c>
      <c r="DN42" s="8">
        <v>0.0</v>
      </c>
      <c r="DO42" s="9"/>
      <c r="DP42" s="8">
        <v>1.0</v>
      </c>
      <c r="DQ42" s="8">
        <v>0.0</v>
      </c>
      <c r="DR42" s="8">
        <v>0.0</v>
      </c>
      <c r="DS42" s="9"/>
      <c r="DT42" s="9"/>
      <c r="DU42" s="9"/>
      <c r="DV42" s="9" t="s">
        <v>938</v>
      </c>
      <c r="DW42" s="9" t="s">
        <v>939</v>
      </c>
      <c r="DX42" s="9" t="s">
        <v>969</v>
      </c>
      <c r="DY42" s="9" t="s">
        <v>1378</v>
      </c>
      <c r="DZ42" s="9"/>
      <c r="EA42" s="9"/>
      <c r="EB42" s="9"/>
      <c r="EC42" s="9"/>
      <c r="ED42" s="9"/>
      <c r="EE42" s="9"/>
      <c r="EF42" s="9"/>
      <c r="EG42" s="9"/>
      <c r="EH42" s="9"/>
      <c r="EI42" s="9" t="s">
        <v>969</v>
      </c>
      <c r="EJ42" s="8">
        <v>0.0</v>
      </c>
      <c r="EK42" s="8">
        <v>0.0</v>
      </c>
      <c r="EL42" s="8">
        <v>0.0</v>
      </c>
      <c r="EM42" s="8">
        <v>0.0</v>
      </c>
      <c r="EN42" s="8">
        <v>1.0</v>
      </c>
      <c r="EO42" s="11" t="s">
        <v>1379</v>
      </c>
      <c r="EP42" s="9" t="s">
        <v>863</v>
      </c>
      <c r="EQ42" s="9" t="s">
        <v>1380</v>
      </c>
      <c r="ER42" s="9" t="s">
        <v>1381</v>
      </c>
      <c r="ES42" s="8">
        <v>0.0</v>
      </c>
      <c r="ET42" s="8">
        <v>1.0</v>
      </c>
      <c r="EU42" s="8">
        <v>0.0</v>
      </c>
      <c r="EV42" s="8">
        <v>0.0</v>
      </c>
      <c r="EW42" s="9"/>
      <c r="EX42" s="9" t="s">
        <v>865</v>
      </c>
      <c r="EY42" s="8">
        <v>1.0</v>
      </c>
      <c r="EZ42" s="8">
        <v>0.0</v>
      </c>
      <c r="FA42" s="8">
        <v>0.0</v>
      </c>
      <c r="FB42" s="9"/>
      <c r="FC42" s="9" t="s">
        <v>942</v>
      </c>
      <c r="FD42" s="9"/>
      <c r="FE42" s="9" t="s">
        <v>867</v>
      </c>
      <c r="FF42" s="9" t="s">
        <v>868</v>
      </c>
      <c r="FG42" s="9" t="s">
        <v>867</v>
      </c>
      <c r="FH42" s="9" t="s">
        <v>943</v>
      </c>
      <c r="FI42" s="9" t="s">
        <v>867</v>
      </c>
      <c r="FJ42" s="9" t="s">
        <v>943</v>
      </c>
      <c r="FK42" s="9" t="s">
        <v>867</v>
      </c>
      <c r="FL42" s="9" t="s">
        <v>943</v>
      </c>
      <c r="FM42" s="9" t="s">
        <v>867</v>
      </c>
      <c r="FN42" s="9" t="s">
        <v>869</v>
      </c>
      <c r="FO42" s="9" t="s">
        <v>867</v>
      </c>
      <c r="FP42" s="9" t="s">
        <v>943</v>
      </c>
      <c r="FQ42" s="9" t="s">
        <v>867</v>
      </c>
      <c r="FR42" s="9" t="s">
        <v>857</v>
      </c>
      <c r="FS42" s="9" t="s">
        <v>867</v>
      </c>
      <c r="FT42" s="9" t="s">
        <v>1130</v>
      </c>
      <c r="FU42" s="9" t="s">
        <v>872</v>
      </c>
      <c r="FV42" s="8">
        <v>1.0</v>
      </c>
      <c r="FW42" s="8">
        <v>0.0</v>
      </c>
      <c r="FX42" s="8">
        <v>0.0</v>
      </c>
      <c r="FY42" s="8">
        <v>0.0</v>
      </c>
      <c r="FZ42" s="9" t="s">
        <v>873</v>
      </c>
      <c r="GA42" s="9" t="s">
        <v>990</v>
      </c>
      <c r="GB42" s="8">
        <v>1.0</v>
      </c>
      <c r="GC42" s="8">
        <v>1.0</v>
      </c>
      <c r="GD42" s="8">
        <v>0.0</v>
      </c>
      <c r="GE42" s="8">
        <v>0.0</v>
      </c>
      <c r="GF42" s="9"/>
      <c r="GG42" s="9" t="s">
        <v>875</v>
      </c>
      <c r="GH42" s="9" t="s">
        <v>881</v>
      </c>
      <c r="GI42" s="9"/>
      <c r="GJ42" s="9"/>
      <c r="GK42" s="9"/>
      <c r="GL42" s="9"/>
      <c r="GM42" s="9"/>
      <c r="GN42" s="9"/>
      <c r="GO42" s="9"/>
      <c r="GP42" s="9" t="s">
        <v>877</v>
      </c>
      <c r="GQ42" s="9" t="s">
        <v>878</v>
      </c>
      <c r="GR42" s="8">
        <v>1.0</v>
      </c>
      <c r="GS42" s="8">
        <v>1.0</v>
      </c>
      <c r="GT42" s="8">
        <v>0.0</v>
      </c>
      <c r="GU42" s="8">
        <v>0.0</v>
      </c>
      <c r="GV42" s="8">
        <v>0.0</v>
      </c>
      <c r="GW42" s="8">
        <v>0.0</v>
      </c>
      <c r="GX42" s="8">
        <v>0.0</v>
      </c>
      <c r="GY42" s="9"/>
      <c r="GZ42" s="9" t="s">
        <v>881</v>
      </c>
      <c r="HA42" s="8">
        <v>150.0</v>
      </c>
      <c r="HB42" s="8">
        <v>1500000.0</v>
      </c>
      <c r="HC42" s="8">
        <v>0.0</v>
      </c>
      <c r="HD42" s="8">
        <v>0.0</v>
      </c>
      <c r="HE42" s="8">
        <v>12.0</v>
      </c>
      <c r="HF42" s="8">
        <v>100000.0</v>
      </c>
      <c r="HG42" s="8">
        <v>0.0</v>
      </c>
      <c r="HH42" s="8">
        <v>0.0</v>
      </c>
      <c r="HI42" s="9"/>
      <c r="HJ42" s="9"/>
      <c r="HK42" s="9"/>
      <c r="HL42" s="9"/>
      <c r="HM42" s="9"/>
      <c r="HN42" s="9"/>
      <c r="HO42" s="9"/>
      <c r="HP42" s="9"/>
      <c r="HQ42" s="9"/>
      <c r="HR42" s="9"/>
      <c r="HS42" s="9"/>
      <c r="HT42" s="9"/>
      <c r="HU42" s="9"/>
      <c r="HV42" s="9"/>
      <c r="HW42" s="9"/>
      <c r="HX42" s="9"/>
      <c r="HY42" s="8">
        <v>0.0</v>
      </c>
      <c r="HZ42" s="8">
        <v>0.0</v>
      </c>
      <c r="IA42" s="8">
        <v>0.0</v>
      </c>
      <c r="IB42" s="8">
        <v>0.0</v>
      </c>
      <c r="IC42" s="9"/>
      <c r="ID42" s="9"/>
      <c r="IE42" s="9"/>
      <c r="IF42" s="9"/>
      <c r="IG42" s="9"/>
      <c r="IH42" s="9"/>
      <c r="II42" s="9"/>
      <c r="IJ42" s="9"/>
      <c r="IK42" s="9" t="s">
        <v>1382</v>
      </c>
      <c r="IL42" s="9" t="s">
        <v>1383</v>
      </c>
      <c r="IM42" s="9" t="s">
        <v>881</v>
      </c>
      <c r="IN42" s="9" t="s">
        <v>881</v>
      </c>
      <c r="IO42" s="9" t="s">
        <v>945</v>
      </c>
      <c r="IP42" s="9"/>
      <c r="IQ42" s="9" t="s">
        <v>945</v>
      </c>
      <c r="IR42" s="9" t="s">
        <v>1384</v>
      </c>
      <c r="IS42" s="8">
        <v>0.0</v>
      </c>
      <c r="IT42" s="8">
        <v>0.0</v>
      </c>
      <c r="IU42" s="8">
        <v>1.0</v>
      </c>
      <c r="IV42" s="9" t="s">
        <v>872</v>
      </c>
      <c r="IW42" s="8">
        <v>1.0</v>
      </c>
      <c r="IX42" s="8">
        <v>0.0</v>
      </c>
      <c r="IY42" s="8">
        <v>0.0</v>
      </c>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872</v>
      </c>
      <c r="KW42" s="8">
        <v>1.0</v>
      </c>
      <c r="KX42" s="8">
        <v>0.0</v>
      </c>
      <c r="KY42" s="8">
        <v>0.0</v>
      </c>
      <c r="KZ42" s="8">
        <v>0.0</v>
      </c>
      <c r="LA42" s="9" t="s">
        <v>884</v>
      </c>
      <c r="LB42" s="9" t="s">
        <v>945</v>
      </c>
      <c r="LC42" s="8">
        <v>0.0</v>
      </c>
      <c r="LD42" s="8">
        <v>0.0</v>
      </c>
      <c r="LE42" s="8">
        <v>0.0</v>
      </c>
      <c r="LF42" s="8">
        <v>0.0</v>
      </c>
      <c r="LG42" s="9" t="s">
        <v>881</v>
      </c>
      <c r="LH42" s="9"/>
      <c r="LI42" s="8">
        <v>0.0</v>
      </c>
      <c r="LJ42" s="9" t="s">
        <v>969</v>
      </c>
      <c r="LK42" s="8">
        <v>0.0</v>
      </c>
      <c r="LL42" s="8">
        <v>0.0</v>
      </c>
      <c r="LM42" s="8">
        <v>0.0</v>
      </c>
      <c r="LN42" s="8">
        <v>0.0</v>
      </c>
      <c r="LO42" s="8">
        <v>0.0</v>
      </c>
      <c r="LP42" s="8">
        <v>0.0</v>
      </c>
      <c r="LQ42" s="8">
        <v>1.0</v>
      </c>
      <c r="LR42" s="9" t="s">
        <v>1385</v>
      </c>
      <c r="LS42" s="8">
        <v>0.0</v>
      </c>
      <c r="LT42" s="8">
        <v>0.0</v>
      </c>
      <c r="LU42" s="8">
        <v>0.0</v>
      </c>
      <c r="LV42" s="8">
        <v>0.0</v>
      </c>
      <c r="LW42" s="8">
        <v>0.0</v>
      </c>
      <c r="LX42" s="8">
        <v>0.0</v>
      </c>
      <c r="LY42" s="8">
        <v>0.0</v>
      </c>
      <c r="LZ42" s="8">
        <v>0.0</v>
      </c>
      <c r="MA42" s="8">
        <v>0.0</v>
      </c>
      <c r="MB42" s="9" t="s">
        <v>881</v>
      </c>
      <c r="MC42" s="8">
        <v>0.0</v>
      </c>
      <c r="MD42" s="8">
        <v>0.0</v>
      </c>
      <c r="ME42" s="8">
        <v>0.0</v>
      </c>
      <c r="MF42" s="8">
        <v>0.0</v>
      </c>
      <c r="MG42" s="8">
        <v>0.0</v>
      </c>
      <c r="MH42" s="8">
        <v>0.0</v>
      </c>
      <c r="MI42" s="9"/>
      <c r="MJ42" s="9"/>
      <c r="MK42" s="9"/>
      <c r="ML42" s="9"/>
      <c r="MM42" s="9"/>
      <c r="MN42" s="9"/>
      <c r="MO42" s="9"/>
      <c r="MP42" s="9"/>
      <c r="MQ42" s="9"/>
      <c r="MR42" s="8">
        <v>0.0</v>
      </c>
      <c r="MS42" s="9"/>
      <c r="MT42" s="8">
        <v>0.0</v>
      </c>
      <c r="MU42" s="9" t="s">
        <v>881</v>
      </c>
      <c r="MV42" s="9"/>
      <c r="MW42" s="9"/>
      <c r="MX42" s="9"/>
      <c r="MY42" s="9"/>
      <c r="MZ42" s="9"/>
      <c r="NA42" s="9"/>
      <c r="NB42" s="9"/>
      <c r="NC42" s="9"/>
      <c r="ND42" s="9"/>
      <c r="NE42" s="9"/>
      <c r="NF42" s="9"/>
      <c r="NG42" s="9"/>
      <c r="NH42" s="9"/>
      <c r="NI42" s="9"/>
      <c r="NJ42" s="9"/>
      <c r="NK42" s="9"/>
      <c r="NL42" s="9" t="s">
        <v>881</v>
      </c>
      <c r="NM42" s="9" t="s">
        <v>1386</v>
      </c>
      <c r="NN42" s="9" t="s">
        <v>1387</v>
      </c>
      <c r="NO42" s="9" t="s">
        <v>895</v>
      </c>
      <c r="NP42" s="9"/>
      <c r="NQ42" s="9"/>
      <c r="NR42" s="9"/>
      <c r="NS42" s="9"/>
      <c r="NT42" s="9"/>
      <c r="NU42" s="9"/>
      <c r="NV42" s="9"/>
      <c r="NW42" s="9"/>
      <c r="NX42" s="9" t="s">
        <v>914</v>
      </c>
      <c r="NY42" s="8">
        <v>0.0</v>
      </c>
      <c r="NZ42" s="8">
        <v>0.0</v>
      </c>
      <c r="OA42" s="8">
        <v>0.0</v>
      </c>
      <c r="OB42" s="8">
        <v>0.0</v>
      </c>
      <c r="OC42" s="8">
        <v>0.0</v>
      </c>
      <c r="OD42" s="8">
        <v>0.0</v>
      </c>
      <c r="OE42" s="9" t="s">
        <v>945</v>
      </c>
      <c r="OF42" s="9" t="s">
        <v>1388</v>
      </c>
      <c r="OG42" s="9" t="s">
        <v>857</v>
      </c>
      <c r="OH42" s="8">
        <v>0.0</v>
      </c>
      <c r="OI42" s="8">
        <v>0.0</v>
      </c>
      <c r="OJ42" s="8">
        <v>0.0</v>
      </c>
      <c r="OK42" s="8">
        <v>0.0</v>
      </c>
      <c r="OL42" s="8">
        <v>0.0</v>
      </c>
      <c r="OM42" s="8">
        <v>0.0</v>
      </c>
      <c r="ON42" s="8">
        <v>0.0</v>
      </c>
      <c r="OO42" s="8">
        <v>0.0</v>
      </c>
      <c r="OP42" s="9" t="str">
        <f>VLOOKUP(AG42,'BUS 2'!$G$1:$CU$424,2,0)</f>
        <v>Sapi pedaging</v>
      </c>
      <c r="OQ42" s="8">
        <f>VLOOKUP(AG42,'BUS 2'!$G$1:$CU$424,3,0)</f>
        <v>1</v>
      </c>
      <c r="OR42" s="8">
        <f>VLOOKUP(AG42,'BUS 2'!$G$1:$CU$424,4,0)</f>
        <v>0</v>
      </c>
      <c r="OS42" s="8">
        <f>VLOOKUP(AG42,'BUS 2'!$G$1:$CU$424,5,0)</f>
        <v>0</v>
      </c>
      <c r="OT42" s="8">
        <f>VLOOKUP(AG42,'BUS 2'!$G$1:$CU$424,6,0)</f>
        <v>0</v>
      </c>
      <c r="OU42" s="8">
        <f>VLOOKUP(AG42,'BUS 2'!$G$1:$CU$424,7,0)</f>
        <v>0</v>
      </c>
      <c r="OV42" s="8">
        <f>VLOOKUP(AG42,'BUS 2'!$G$1:$CU$424,8,0)</f>
        <v>0</v>
      </c>
      <c r="OW42" s="8">
        <f>VLOOKUP(AG42,'BUS 2'!$G$1:$CU$424,9,0)</f>
        <v>0</v>
      </c>
      <c r="OX42" s="8">
        <f>VLOOKUP(AG42,'BUS 2'!$G$1:$CU$424,10,0)</f>
        <v>0</v>
      </c>
      <c r="OY42" s="8">
        <f>VLOOKUP(AG42,'BUS 2'!$G$1:$CU$424,11,0)</f>
        <v>0</v>
      </c>
      <c r="OZ42" s="8" t="str">
        <f>VLOOKUP(AG42,'BUS 2'!$G$1:$CU$424,12,0)</f>
        <v>Sapi pedaging</v>
      </c>
      <c r="PA42" s="8">
        <f>VLOOKUP(AG42,'BUS 2'!$G$1:$CU$424,13,0)</f>
        <v>1</v>
      </c>
      <c r="PB42" s="8">
        <f>VLOOKUP(AG42,'BUS 2'!$G$1:$CU$424,14,0)</f>
        <v>0</v>
      </c>
      <c r="PC42" s="8">
        <f>VLOOKUP(AG42,'BUS 2'!$G$1:$CU$424,15,0)</f>
        <v>0</v>
      </c>
      <c r="PD42" s="8">
        <f>VLOOKUP(AG42,'BUS 2'!$G$1:$CU$424,16,0)</f>
        <v>0</v>
      </c>
      <c r="PE42" s="8">
        <f>VLOOKUP(AG42,'BUS 2'!$G$1:$CU$424,17,0)</f>
        <v>0</v>
      </c>
      <c r="PF42" s="8">
        <f>VLOOKUP(AG42,'BUS 2'!$G$1:$CU$424,18,0)</f>
        <v>0</v>
      </c>
      <c r="PG42" s="8">
        <f>VLOOKUP(AG42,'BUS 2'!$G$1:$CU$424,19,0)</f>
        <v>0</v>
      </c>
      <c r="PH42" s="8">
        <f>VLOOKUP(AG42,'BUS 2'!$G$1:$CU$424,20,0)</f>
        <v>0</v>
      </c>
      <c r="PI42" s="8">
        <f>VLOOKUP(AG42,'BUS 2'!$G$1:$CU$424,21,0)</f>
        <v>0</v>
      </c>
      <c r="PJ42" s="8" t="str">
        <f>VLOOKUP(AG42,'BUS 2'!$G$1:$CU$424,22,0)</f>
        <v>Tidak ada</v>
      </c>
      <c r="PK42" s="8">
        <f>VLOOKUP(AG42,'BUS 2'!$G$1:$CU$424,23,0)</f>
        <v>0</v>
      </c>
      <c r="PL42" s="8">
        <f>VLOOKUP(AG42,'BUS 2'!$G$1:$CU$424,24,0)</f>
        <v>0</v>
      </c>
      <c r="PM42" s="8">
        <f>VLOOKUP(AG42,'BUS 2'!$G$1:$CU$424,25,0)</f>
        <v>0</v>
      </c>
      <c r="PN42" s="8">
        <f>VLOOKUP(AG42,'BUS 2'!$G$1:$CU$424,26,0)</f>
        <v>0</v>
      </c>
      <c r="PO42" s="8">
        <f>VLOOKUP(AG42,'BUS 2'!$G$1:$CU$424,27,0)</f>
        <v>0</v>
      </c>
      <c r="PP42" s="8">
        <f>VLOOKUP(AG42,'BUS 2'!$G$1:$CU$424,28,0)</f>
        <v>0</v>
      </c>
      <c r="PQ42" s="8">
        <f>VLOOKUP(AG42,'BUS 2'!$G$1:$CU$424,29,0)</f>
        <v>0</v>
      </c>
      <c r="PR42" s="8">
        <f>VLOOKUP(AG42,'BUS 2'!$G$1:$CU$424,30,0)</f>
        <v>0</v>
      </c>
      <c r="PS42" s="8">
        <f>VLOOKUP(AG42,'BUS 2'!$G$1:$CU$424,31,0)</f>
        <v>1</v>
      </c>
      <c r="PT42" s="9" t="s">
        <v>900</v>
      </c>
      <c r="PU42" s="8">
        <v>1.0</v>
      </c>
      <c r="PV42" s="8">
        <v>0.0</v>
      </c>
      <c r="PW42" s="8">
        <v>0.0</v>
      </c>
      <c r="PX42" s="8">
        <v>0.0</v>
      </c>
      <c r="PY42" s="8">
        <v>0.0</v>
      </c>
      <c r="PZ42" s="8">
        <v>0.0</v>
      </c>
      <c r="QA42" s="8">
        <v>1.0</v>
      </c>
      <c r="QB42" s="8">
        <v>0.0</v>
      </c>
      <c r="QC42" s="8">
        <v>0.0</v>
      </c>
      <c r="QD42" s="8">
        <v>0.0</v>
      </c>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8">
        <f>VLOOKUP(AG42,'BUS 2'!$G$1:$CU$424,33,0)</f>
        <v>3</v>
      </c>
      <c r="SZ42" s="9" t="str">
        <f>VLOOKUP(AG42,'BUS 2'!$G$1:$CU$424,34,0)</f>
        <v/>
      </c>
      <c r="TA42" s="9" t="str">
        <f>VLOOKUP(AG42,'BUS 2'!$G$1:$CU$424,35,0)</f>
        <v/>
      </c>
      <c r="TB42" s="9" t="str">
        <f>VLOOKUP(AG42,'BUS 2'!$G$1:$CU$424,36,0)</f>
        <v/>
      </c>
      <c r="TC42" s="9" t="str">
        <f>VLOOKUP(AG42,'BUS 2'!$G$1:$CU$424,37,0)</f>
        <v/>
      </c>
      <c r="TD42" s="9" t="str">
        <f>VLOOKUP(AG42,'BUS 2'!$G$1:$CU$424,38,0)</f>
        <v/>
      </c>
      <c r="TE42" s="9" t="str">
        <f>VLOOKUP(AG42,'BUS 2'!$G$1:$CU$424,39,0)</f>
        <v/>
      </c>
      <c r="TF42" s="9" t="str">
        <f>VLOOKUP(AG42,'BUS 2'!$G$1:$CU$424,40,0)</f>
        <v/>
      </c>
      <c r="TG42" s="8">
        <f>VLOOKUP(AG42,'BUS 2'!$G$1:$CU$424,42,0)</f>
        <v>3</v>
      </c>
      <c r="TH42" s="8" t="str">
        <f>VLOOKUP(AG42,'BUS 2'!$G$1:$CU$424,43,0)</f>
        <v/>
      </c>
      <c r="TI42" s="8" t="str">
        <f>VLOOKUP(AG42,'BUS 2'!$G$1:$CU$424,44,0)</f>
        <v/>
      </c>
      <c r="TJ42" s="8" t="str">
        <f>VLOOKUP(AG42,'BUS 2'!$G$1:$CU$424,45,0)</f>
        <v/>
      </c>
      <c r="TK42" s="8" t="str">
        <f>VLOOKUP(AG42,'BUS 2'!$G$1:$CU$424,46,0)</f>
        <v/>
      </c>
      <c r="TL42" s="8" t="str">
        <f>VLOOKUP(AG42,'BUS 2'!$G$1:$CU$424,47,0)</f>
        <v/>
      </c>
      <c r="TM42" s="8" t="str">
        <f>VLOOKUP(AG42,'BUS 2'!$G$1:$CU$424,48,0)</f>
        <v/>
      </c>
      <c r="TN42" s="8" t="str">
        <f>VLOOKUP(AG42,'BUS 2'!$G$1:$CU$424,49,0)</f>
        <v/>
      </c>
      <c r="TO42" s="8" t="str">
        <f>VLOOKUP(AG42,'BUS 2'!$G$1:$CU$424,50,0)</f>
        <v/>
      </c>
      <c r="TP42" s="8" t="str">
        <f>VLOOKUP(AG42,'BUS 2'!$G$1:$CU$424,51,0)</f>
        <v/>
      </c>
      <c r="TQ42" s="8" t="str">
        <f>VLOOKUP(AG42,'BUS 2'!$G$1:$CU$424,52,0)</f>
        <v/>
      </c>
      <c r="TR42" s="8" t="str">
        <f>VLOOKUP(AG42,'BUS 2'!$G$1:$CU$424,53,0)</f>
        <v/>
      </c>
      <c r="TS42" s="9" t="str">
        <f>VLOOKUP(AG42,'BUS 2'!$G$1:$CU$424,54,0)</f>
        <v/>
      </c>
      <c r="TT42" s="9" t="str">
        <f>VLOOKUP(AG42,'BUS 2'!$G$1:$CU$424,55,0)</f>
        <v/>
      </c>
      <c r="TU42" s="9" t="str">
        <f>VLOOKUP(AG42,'BUS 2'!$G$1:$CU$424,56,0)</f>
        <v/>
      </c>
      <c r="TV42" s="9" t="str">
        <f>VLOOKUP(AG42,'BUS 2'!$G$1:$CU$424,57,0)</f>
        <v/>
      </c>
      <c r="TW42" s="9" t="str">
        <f>VLOOKUP(AG42,'BUS 2'!$G$1:$CU$424,58,0)</f>
        <v/>
      </c>
      <c r="TX42" s="9" t="str">
        <f>VLOOKUP(AG42,'BUS 2'!$G$1:$CU$424,59,0)</f>
        <v/>
      </c>
      <c r="TY42" s="9" t="str">
        <f>VLOOKUP(AG42,'BUS 2'!$G$1:$CU$424,60,0)</f>
        <v/>
      </c>
      <c r="TZ42" s="9" t="str">
        <f>VLOOKUP(AG42,'BUS 2'!$G$1:$CU$424,61,0)</f>
        <v/>
      </c>
      <c r="UA42" s="9" t="str">
        <f>VLOOKUP(AG42,'BUS 2'!$G$1:$CU$424,62,0)</f>
        <v/>
      </c>
      <c r="UB42" s="9" t="str">
        <f>VLOOKUP(AG42,'BUS 2'!$G$1:$CU$424,63,0)</f>
        <v/>
      </c>
      <c r="UC42" s="9" t="str">
        <f>VLOOKUP(AG42,'BUS 2'!$G$1:$CU$424,64,0)</f>
        <v/>
      </c>
      <c r="UD42" s="9" t="str">
        <f>VLOOKUP(AG42,'BUS 2'!$G$1:$CU$424,65,0)</f>
        <v/>
      </c>
      <c r="UE42" s="9" t="str">
        <f>VLOOKUP(AG42,'BUS 2'!$G$1:$CU$424,66,0)</f>
        <v/>
      </c>
      <c r="UF42" s="9" t="str">
        <f>VLOOKUP(AG42,'BUS 2'!$G$1:$CU$424,67,0)</f>
        <v/>
      </c>
      <c r="UG42" s="9" t="str">
        <f>VLOOKUP(AG42,'BUS 2'!$G$1:$CU$424,68,0)</f>
        <v/>
      </c>
      <c r="UH42" s="9" t="str">
        <f>VLOOKUP(AG42,'BUS 2'!$G$1:$CU$424,69,0)</f>
        <v/>
      </c>
      <c r="UI42" s="9" t="str">
        <f>VLOOKUP(AG42,'BUS 2'!$G$1:$CU$424,70,0)</f>
        <v/>
      </c>
      <c r="UJ42" s="9" t="str">
        <f>VLOOKUP(AG42,'BUS 2'!$G$1:$CU$424,71,0)</f>
        <v/>
      </c>
      <c r="UK42" s="9" t="str">
        <f>VLOOKUP(AG42,'BUS 2'!$G$1:$CU$424,72,0)</f>
        <v/>
      </c>
      <c r="UL42" s="9" t="str">
        <f>VLOOKUP(AG42,'BUS 2'!$G$1:$CU$424,73,0)</f>
        <v/>
      </c>
      <c r="UM42" s="9" t="str">
        <f>VLOOKUP(AG42,'BUS 2'!$G$1:$CU$424,74,0)</f>
        <v/>
      </c>
      <c r="UN42" s="9" t="str">
        <f>VLOOKUP(AG42,'BUS 2'!$G$1:$CU$424,75,0)</f>
        <v/>
      </c>
      <c r="UO42" s="9" t="str">
        <f>VLOOKUP(AG42,'BUS 2'!$G$1:$CU$424,76,0)</f>
        <v/>
      </c>
      <c r="UP42" s="9" t="str">
        <f>VLOOKUP(AG42,'BUS 2'!$G$1:$CU$424,77,0)</f>
        <v/>
      </c>
      <c r="UQ42" s="9" t="str">
        <f>VLOOKUP(AG42,'BUS 2'!$G$1:$CU$424,78,0)</f>
        <v/>
      </c>
      <c r="UR42" s="9" t="str">
        <f>VLOOKUP(AG42,'BUS 2'!$G$1:$CU$424,79,0)</f>
        <v/>
      </c>
      <c r="US42" s="9" t="str">
        <f>VLOOKUP(AG42,'BUS 2'!$G$1:$CU$424,80,0)</f>
        <v/>
      </c>
      <c r="UT42" s="9" t="str">
        <f>VLOOKUP(AG42,'BUS 2'!$G$1:$CU$424,81,0)</f>
        <v/>
      </c>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t="s">
        <v>881</v>
      </c>
      <c r="AAM42" s="9"/>
      <c r="AAN42" s="9"/>
      <c r="AAO42" s="9"/>
      <c r="AAP42" s="9"/>
      <c r="AAQ42" s="9"/>
      <c r="AAR42" s="9" t="s">
        <v>881</v>
      </c>
      <c r="AAS42" s="9" t="s">
        <v>1389</v>
      </c>
      <c r="AAT42" s="9" t="s">
        <v>1016</v>
      </c>
      <c r="AAU42" s="8">
        <v>0.0</v>
      </c>
      <c r="AAV42" s="8">
        <v>0.0</v>
      </c>
      <c r="AAW42" s="8">
        <v>0.0</v>
      </c>
      <c r="AAX42" s="8">
        <v>0.0</v>
      </c>
      <c r="AAY42" s="8">
        <v>1.0</v>
      </c>
      <c r="AAZ42" s="8">
        <v>0.0</v>
      </c>
      <c r="ABA42" s="8">
        <v>0.0</v>
      </c>
      <c r="ABB42" s="9"/>
      <c r="ABC42" s="9"/>
      <c r="ABD42" s="9"/>
      <c r="ABE42" s="9"/>
      <c r="ABF42" s="9"/>
      <c r="ABG42" s="9"/>
      <c r="ABH42" s="9"/>
      <c r="ABI42" s="9"/>
      <c r="ABJ42" s="9"/>
      <c r="ABK42" s="9"/>
      <c r="ABL42" s="9"/>
      <c r="ABM42" s="9"/>
      <c r="ABN42" s="9"/>
      <c r="ABO42" s="9"/>
      <c r="ABP42" s="9"/>
      <c r="ABQ42" s="11"/>
      <c r="ABR42" s="9"/>
      <c r="ABS42" s="9"/>
      <c r="ABT42" s="9"/>
      <c r="ABU42" s="9"/>
      <c r="ABV42" s="9"/>
      <c r="ABW42" s="9"/>
      <c r="ABX42" s="9"/>
      <c r="ABY42" s="9"/>
      <c r="ABZ42" s="9"/>
      <c r="ACA42" s="9"/>
      <c r="ACB42" s="9"/>
      <c r="ACC42" s="9"/>
      <c r="ACD42" s="9"/>
      <c r="ACE42" s="9"/>
      <c r="ACF42" s="9"/>
      <c r="ACG42" s="9"/>
      <c r="ACH42" s="9"/>
      <c r="ACI42" s="9"/>
      <c r="ACJ42" s="9"/>
      <c r="ACK42" s="9" t="s">
        <v>955</v>
      </c>
      <c r="ACL42" s="8">
        <v>0.0</v>
      </c>
      <c r="ACM42" s="8">
        <v>0.0</v>
      </c>
      <c r="ACN42" s="8">
        <v>0.0</v>
      </c>
      <c r="ACO42" s="8">
        <v>1.0</v>
      </c>
      <c r="ACP42" s="8">
        <v>0.0</v>
      </c>
      <c r="ACQ42" s="8">
        <v>0.0</v>
      </c>
      <c r="ACR42" s="8">
        <v>0.0</v>
      </c>
      <c r="ACS42" s="9"/>
      <c r="ACT42" s="8">
        <v>0.0</v>
      </c>
      <c r="ACU42" s="9" t="s">
        <v>1390</v>
      </c>
      <c r="ACV42" s="9" t="s">
        <v>914</v>
      </c>
      <c r="ACW42" s="9" t="s">
        <v>1391</v>
      </c>
      <c r="ACX42" s="9" t="s">
        <v>958</v>
      </c>
      <c r="ACY42" s="9" t="s">
        <v>915</v>
      </c>
      <c r="ACZ42" s="8">
        <v>0.0</v>
      </c>
      <c r="ADA42" s="8">
        <v>1.0</v>
      </c>
      <c r="ADB42" s="8">
        <v>0.0</v>
      </c>
      <c r="ADC42" s="8">
        <v>0.0</v>
      </c>
      <c r="ADD42" s="9" t="s">
        <v>1392</v>
      </c>
      <c r="ADE42" s="9" t="s">
        <v>1392</v>
      </c>
      <c r="ADF42" s="9" t="s">
        <v>1392</v>
      </c>
      <c r="ADG42" s="9" t="s">
        <v>1392</v>
      </c>
      <c r="ADH42" s="9" t="s">
        <v>881</v>
      </c>
      <c r="ADI42" s="9"/>
      <c r="ADJ42" s="9" t="s">
        <v>1187</v>
      </c>
      <c r="ADK42" s="9"/>
      <c r="ADL42" s="9"/>
      <c r="ADM42" s="9"/>
      <c r="ADN42" s="9"/>
      <c r="ADO42" s="9"/>
      <c r="ADP42" s="9"/>
      <c r="ADQ42" s="9"/>
      <c r="ADR42" s="9"/>
      <c r="ADS42" s="9"/>
      <c r="ADT42" s="9"/>
      <c r="ADU42" s="9" t="s">
        <v>919</v>
      </c>
      <c r="ADV42" s="8">
        <v>0.0</v>
      </c>
      <c r="ADW42" s="8">
        <v>0.0</v>
      </c>
      <c r="ADX42" s="8">
        <v>0.0</v>
      </c>
      <c r="ADY42" s="8">
        <v>0.0</v>
      </c>
      <c r="ADZ42" s="8">
        <v>1.0</v>
      </c>
      <c r="AEA42" s="8">
        <v>0.0</v>
      </c>
      <c r="AEB42" s="8">
        <v>0.0</v>
      </c>
      <c r="AEC42" s="8">
        <v>0.0</v>
      </c>
      <c r="AED42" s="12"/>
      <c r="AEE42" s="13" t="s">
        <v>872</v>
      </c>
      <c r="AEF42" s="14"/>
      <c r="AEG42" s="13" t="s">
        <v>920</v>
      </c>
      <c r="AEH42" s="9"/>
      <c r="AEI42" s="11" t="s">
        <v>1393</v>
      </c>
      <c r="AEJ42" s="9" t="s">
        <v>961</v>
      </c>
      <c r="AEK42" s="13" t="s">
        <v>969</v>
      </c>
      <c r="AEL42" s="15">
        <v>0.0</v>
      </c>
      <c r="AEM42" s="15">
        <v>0.0</v>
      </c>
      <c r="AEN42" s="15">
        <v>0.0</v>
      </c>
      <c r="AEO42" s="15">
        <v>0.0</v>
      </c>
      <c r="AEP42" s="15">
        <v>0.0</v>
      </c>
      <c r="AEQ42" s="15">
        <v>0.0</v>
      </c>
      <c r="AER42" s="15">
        <v>0.0</v>
      </c>
      <c r="AES42" s="15">
        <v>0.0</v>
      </c>
      <c r="AET42" s="15">
        <v>0.0</v>
      </c>
      <c r="AEU42" s="15">
        <v>0.0</v>
      </c>
      <c r="AEV42" s="15">
        <v>0.0</v>
      </c>
      <c r="AEW42" s="15">
        <v>1.0</v>
      </c>
      <c r="AEX42" s="9" t="s">
        <v>1394</v>
      </c>
      <c r="AEY42" s="9" t="s">
        <v>969</v>
      </c>
      <c r="AEZ42" s="9" t="s">
        <v>1395</v>
      </c>
      <c r="AFA42" s="9" t="s">
        <v>924</v>
      </c>
      <c r="AFB42" s="9"/>
      <c r="AFC42" s="9" t="s">
        <v>1396</v>
      </c>
      <c r="AFD42" s="16" t="s">
        <v>1397</v>
      </c>
      <c r="AFE42" s="9" t="s">
        <v>1398</v>
      </c>
      <c r="AFF42" s="16" t="s">
        <v>1399</v>
      </c>
      <c r="AFG42" s="9" t="s">
        <v>1193</v>
      </c>
      <c r="AFH42" s="9"/>
      <c r="AFI42" s="9"/>
    </row>
    <row r="43">
      <c r="A43" s="6">
        <v>46062.0</v>
      </c>
      <c r="B43" s="6">
        <v>46062.0</v>
      </c>
      <c r="C43" s="7" t="s">
        <v>837</v>
      </c>
      <c r="D43" s="7" t="s">
        <v>1400</v>
      </c>
      <c r="E43" s="8">
        <v>6.282220569645E12</v>
      </c>
      <c r="F43" s="9"/>
      <c r="G43" s="8">
        <v>-7.2315486</v>
      </c>
      <c r="H43" s="8">
        <v>110.283637</v>
      </c>
      <c r="I43" s="9"/>
      <c r="J43" s="8">
        <v>3.15</v>
      </c>
      <c r="K43" s="9"/>
      <c r="L43" s="9"/>
      <c r="M43" s="8">
        <v>-7.231677588</v>
      </c>
      <c r="N43" s="8">
        <v>110.2836414</v>
      </c>
      <c r="O43" s="9"/>
      <c r="P43" s="8">
        <v>4.25</v>
      </c>
      <c r="Q43" s="9"/>
      <c r="R43" s="9" t="s">
        <v>839</v>
      </c>
      <c r="S43" s="9"/>
      <c r="T43" s="9"/>
      <c r="U43" s="9"/>
      <c r="V43" s="9"/>
      <c r="W43" s="9"/>
      <c r="X43" s="9"/>
      <c r="Y43" s="9"/>
      <c r="Z43" s="9"/>
      <c r="AA43" s="9"/>
      <c r="AB43" s="9"/>
      <c r="AC43" s="7" t="s">
        <v>1175</v>
      </c>
      <c r="AD43" s="7" t="s">
        <v>1176</v>
      </c>
      <c r="AE43" s="7" t="s">
        <v>1401</v>
      </c>
      <c r="AF43" s="9" t="s">
        <v>1178</v>
      </c>
      <c r="AG43" s="9" t="s">
        <v>1402</v>
      </c>
      <c r="AH43" s="8">
        <v>3.0</v>
      </c>
      <c r="AI43" s="9" t="s">
        <v>845</v>
      </c>
      <c r="AJ43" s="9" t="s">
        <v>846</v>
      </c>
      <c r="AK43" s="8">
        <v>39.0</v>
      </c>
      <c r="AL43" s="9" t="s">
        <v>847</v>
      </c>
      <c r="AM43" s="9" t="s">
        <v>848</v>
      </c>
      <c r="AN43" s="9" t="s">
        <v>986</v>
      </c>
      <c r="AO43" s="9" t="s">
        <v>935</v>
      </c>
      <c r="AP43" s="8">
        <v>0.0</v>
      </c>
      <c r="AQ43" s="8">
        <v>1.0</v>
      </c>
      <c r="AR43" s="8">
        <v>0.0</v>
      </c>
      <c r="AS43" s="8">
        <v>0.0</v>
      </c>
      <c r="AT43" s="8">
        <v>0.0</v>
      </c>
      <c r="AU43" s="8">
        <v>0.0</v>
      </c>
      <c r="AV43" s="8">
        <v>0.0</v>
      </c>
      <c r="AW43" s="8">
        <v>0.0</v>
      </c>
      <c r="AX43" s="9"/>
      <c r="AY43" s="9" t="s">
        <v>850</v>
      </c>
      <c r="AZ43" s="8">
        <v>1.0</v>
      </c>
      <c r="BA43" s="8">
        <v>0.0</v>
      </c>
      <c r="BB43" s="8">
        <v>0.0</v>
      </c>
      <c r="BC43" s="8">
        <v>0.0</v>
      </c>
      <c r="BD43" s="8">
        <v>0.0</v>
      </c>
      <c r="BE43" s="8">
        <v>0.0</v>
      </c>
      <c r="BF43" s="8">
        <v>0.0</v>
      </c>
      <c r="BG43" s="8">
        <v>0.0</v>
      </c>
      <c r="BH43" s="9"/>
      <c r="BI43" s="9" t="s">
        <v>1101</v>
      </c>
      <c r="BJ43" s="8">
        <v>1.0</v>
      </c>
      <c r="BK43" s="8">
        <v>4.0</v>
      </c>
      <c r="BL43" s="8">
        <v>0.0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856</v>
      </c>
      <c r="CD43" s="8">
        <v>0.0</v>
      </c>
      <c r="CE43" s="8">
        <v>0.0</v>
      </c>
      <c r="CF43" s="8">
        <v>0.0</v>
      </c>
      <c r="CG43" s="8">
        <v>0.0</v>
      </c>
      <c r="CH43" s="8">
        <v>0.0</v>
      </c>
      <c r="CI43" s="8">
        <v>1.0</v>
      </c>
      <c r="CJ43" s="8">
        <v>0.0</v>
      </c>
      <c r="CK43" s="9"/>
      <c r="CL43" s="9" t="s">
        <v>857</v>
      </c>
      <c r="CM43" s="8">
        <v>2023.0</v>
      </c>
      <c r="CN43" s="9" t="s">
        <v>858</v>
      </c>
      <c r="CO43" s="9" t="s">
        <v>859</v>
      </c>
      <c r="CP43" s="9" t="s">
        <v>860</v>
      </c>
      <c r="CQ43" s="8">
        <v>0.0</v>
      </c>
      <c r="CR43" s="8">
        <v>0.0</v>
      </c>
      <c r="CS43" s="8">
        <v>0.0</v>
      </c>
      <c r="CT43" s="8">
        <v>0.0</v>
      </c>
      <c r="CU43" s="10">
        <v>1.0</v>
      </c>
      <c r="CV43" s="10">
        <v>0.0</v>
      </c>
      <c r="CW43" s="10">
        <v>0.0</v>
      </c>
      <c r="CX43" s="8">
        <v>0.0</v>
      </c>
      <c r="CY43" s="9" t="s">
        <v>860</v>
      </c>
      <c r="CZ43" s="8">
        <v>1.0</v>
      </c>
      <c r="DA43" s="8">
        <v>0.0</v>
      </c>
      <c r="DB43" s="8">
        <v>0.0</v>
      </c>
      <c r="DC43" s="9"/>
      <c r="DD43" s="9" t="s">
        <v>937</v>
      </c>
      <c r="DE43" s="8">
        <v>1.0</v>
      </c>
      <c r="DF43" s="8">
        <v>0.0</v>
      </c>
      <c r="DG43" s="8">
        <v>1.0</v>
      </c>
      <c r="DH43" s="8">
        <v>0.0</v>
      </c>
      <c r="DI43" s="9"/>
      <c r="DJ43" s="9" t="s">
        <v>937</v>
      </c>
      <c r="DK43" s="8">
        <v>1.0</v>
      </c>
      <c r="DL43" s="8">
        <v>0.0</v>
      </c>
      <c r="DM43" s="8">
        <v>1.0</v>
      </c>
      <c r="DN43" s="8">
        <v>0.0</v>
      </c>
      <c r="DO43" s="9"/>
      <c r="DP43" s="8">
        <v>1.0</v>
      </c>
      <c r="DQ43" s="8">
        <v>0.0</v>
      </c>
      <c r="DR43" s="8">
        <v>0.0</v>
      </c>
      <c r="DS43" s="9"/>
      <c r="DT43" s="9"/>
      <c r="DU43" s="9"/>
      <c r="DV43" s="9" t="s">
        <v>857</v>
      </c>
      <c r="DW43" s="9"/>
      <c r="DX43" s="9"/>
      <c r="DY43" s="9"/>
      <c r="DZ43" s="9"/>
      <c r="EA43" s="9"/>
      <c r="EB43" s="9"/>
      <c r="EC43" s="9"/>
      <c r="ED43" s="9"/>
      <c r="EE43" s="9"/>
      <c r="EF43" s="9"/>
      <c r="EG43" s="9"/>
      <c r="EH43" s="9"/>
      <c r="EI43" s="9" t="s">
        <v>862</v>
      </c>
      <c r="EJ43" s="8">
        <v>0.0</v>
      </c>
      <c r="EK43" s="8">
        <v>0.0</v>
      </c>
      <c r="EL43" s="8">
        <v>0.0</v>
      </c>
      <c r="EM43" s="8">
        <v>1.0</v>
      </c>
      <c r="EN43" s="8">
        <v>0.0</v>
      </c>
      <c r="EO43" s="11"/>
      <c r="EP43" s="9" t="s">
        <v>1403</v>
      </c>
      <c r="EQ43" s="9" t="s">
        <v>864</v>
      </c>
      <c r="ER43" s="9" t="s">
        <v>861</v>
      </c>
      <c r="ES43" s="8">
        <v>1.0</v>
      </c>
      <c r="ET43" s="8">
        <v>0.0</v>
      </c>
      <c r="EU43" s="8">
        <v>0.0</v>
      </c>
      <c r="EV43" s="8">
        <v>0.0</v>
      </c>
      <c r="EW43" s="9"/>
      <c r="EX43" s="9" t="s">
        <v>865</v>
      </c>
      <c r="EY43" s="8">
        <v>1.0</v>
      </c>
      <c r="EZ43" s="8">
        <v>0.0</v>
      </c>
      <c r="FA43" s="8">
        <v>0.0</v>
      </c>
      <c r="FB43" s="9"/>
      <c r="FC43" s="9" t="s">
        <v>1072</v>
      </c>
      <c r="FD43" s="9"/>
      <c r="FE43" s="9" t="s">
        <v>867</v>
      </c>
      <c r="FF43" s="9" t="s">
        <v>868</v>
      </c>
      <c r="FG43" s="9" t="s">
        <v>867</v>
      </c>
      <c r="FH43" s="9" t="s">
        <v>869</v>
      </c>
      <c r="FI43" s="9" t="s">
        <v>867</v>
      </c>
      <c r="FJ43" s="9" t="s">
        <v>868</v>
      </c>
      <c r="FK43" s="9" t="s">
        <v>867</v>
      </c>
      <c r="FL43" s="9" t="s">
        <v>868</v>
      </c>
      <c r="FM43" s="9" t="s">
        <v>867</v>
      </c>
      <c r="FN43" s="9" t="s">
        <v>943</v>
      </c>
      <c r="FO43" s="9" t="s">
        <v>867</v>
      </c>
      <c r="FP43" s="9" t="s">
        <v>870</v>
      </c>
      <c r="FQ43" s="9" t="s">
        <v>867</v>
      </c>
      <c r="FR43" s="9" t="s">
        <v>857</v>
      </c>
      <c r="FS43" s="9" t="s">
        <v>867</v>
      </c>
      <c r="FT43" s="9" t="s">
        <v>871</v>
      </c>
      <c r="FU43" s="9" t="s">
        <v>989</v>
      </c>
      <c r="FV43" s="8">
        <v>1.0</v>
      </c>
      <c r="FW43" s="8">
        <v>1.0</v>
      </c>
      <c r="FX43" s="8">
        <v>0.0</v>
      </c>
      <c r="FY43" s="8">
        <v>0.0</v>
      </c>
      <c r="FZ43" s="9" t="s">
        <v>873</v>
      </c>
      <c r="GA43" s="9" t="s">
        <v>874</v>
      </c>
      <c r="GB43" s="8">
        <v>1.0</v>
      </c>
      <c r="GC43" s="8">
        <v>0.0</v>
      </c>
      <c r="GD43" s="8">
        <v>0.0</v>
      </c>
      <c r="GE43" s="8">
        <v>0.0</v>
      </c>
      <c r="GF43" s="9"/>
      <c r="GG43" s="9" t="s">
        <v>875</v>
      </c>
      <c r="GH43" s="9" t="s">
        <v>857</v>
      </c>
      <c r="GI43" s="9" t="s">
        <v>1264</v>
      </c>
      <c r="GJ43" s="8">
        <v>0.0</v>
      </c>
      <c r="GK43" s="8">
        <v>1.0</v>
      </c>
      <c r="GL43" s="8">
        <v>0.0</v>
      </c>
      <c r="GM43" s="8">
        <v>0.0</v>
      </c>
      <c r="GN43" s="9"/>
      <c r="GO43" s="8">
        <v>10.0</v>
      </c>
      <c r="GP43" s="9" t="s">
        <v>877</v>
      </c>
      <c r="GQ43" s="9" t="s">
        <v>878</v>
      </c>
      <c r="GR43" s="8">
        <v>1.0</v>
      </c>
      <c r="GS43" s="8">
        <v>1.0</v>
      </c>
      <c r="GT43" s="8">
        <v>0.0</v>
      </c>
      <c r="GU43" s="8">
        <v>0.0</v>
      </c>
      <c r="GV43" s="8">
        <v>0.0</v>
      </c>
      <c r="GW43" s="8">
        <v>0.0</v>
      </c>
      <c r="GX43" s="8">
        <v>0.0</v>
      </c>
      <c r="GY43" s="9"/>
      <c r="GZ43" s="9" t="s">
        <v>857</v>
      </c>
      <c r="HA43" s="8">
        <v>15.0</v>
      </c>
      <c r="HB43" s="8">
        <v>150000.0</v>
      </c>
      <c r="HC43" s="8">
        <v>5.0</v>
      </c>
      <c r="HD43" s="8">
        <v>50000.0</v>
      </c>
      <c r="HE43" s="8">
        <v>12.0</v>
      </c>
      <c r="HF43" s="8">
        <v>100000.0</v>
      </c>
      <c r="HG43" s="8">
        <v>3.0</v>
      </c>
      <c r="HH43" s="8">
        <v>25000.0</v>
      </c>
      <c r="HI43" s="9"/>
      <c r="HJ43" s="9"/>
      <c r="HK43" s="9"/>
      <c r="HL43" s="9"/>
      <c r="HM43" s="9"/>
      <c r="HN43" s="9"/>
      <c r="HO43" s="9"/>
      <c r="HP43" s="9"/>
      <c r="HQ43" s="9"/>
      <c r="HR43" s="9"/>
      <c r="HS43" s="9"/>
      <c r="HT43" s="9"/>
      <c r="HU43" s="9"/>
      <c r="HV43" s="9"/>
      <c r="HW43" s="9"/>
      <c r="HX43" s="9"/>
      <c r="HY43" s="8">
        <v>10.0</v>
      </c>
      <c r="HZ43" s="8">
        <v>100000.0</v>
      </c>
      <c r="IA43" s="8">
        <v>9.0</v>
      </c>
      <c r="IB43" s="8">
        <v>75000.0</v>
      </c>
      <c r="IC43" s="9"/>
      <c r="ID43" s="9"/>
      <c r="IE43" s="9"/>
      <c r="IF43" s="9"/>
      <c r="IG43" s="9"/>
      <c r="IH43" s="9"/>
      <c r="II43" s="9"/>
      <c r="IJ43" s="9"/>
      <c r="IK43" s="9" t="s">
        <v>879</v>
      </c>
      <c r="IL43" s="9" t="s">
        <v>880</v>
      </c>
      <c r="IM43" s="9" t="s">
        <v>857</v>
      </c>
      <c r="IN43" s="9" t="s">
        <v>881</v>
      </c>
      <c r="IO43" s="9" t="s">
        <v>1206</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3.0</v>
      </c>
      <c r="LD43" s="8">
        <v>3.0</v>
      </c>
      <c r="LE43" s="8">
        <v>0.0</v>
      </c>
      <c r="LF43" s="8">
        <v>0.0</v>
      </c>
      <c r="LG43" s="9" t="s">
        <v>857</v>
      </c>
      <c r="LH43" s="8">
        <v>100000.0</v>
      </c>
      <c r="LI43" s="9"/>
      <c r="LJ43" s="9" t="s">
        <v>887</v>
      </c>
      <c r="LK43" s="8">
        <v>0.0</v>
      </c>
      <c r="LL43" s="8">
        <v>0.0</v>
      </c>
      <c r="LM43" s="8">
        <v>0.0</v>
      </c>
      <c r="LN43" s="8">
        <v>0.0</v>
      </c>
      <c r="LO43" s="8">
        <v>1.0</v>
      </c>
      <c r="LP43" s="8">
        <v>0.0</v>
      </c>
      <c r="LQ43" s="8">
        <v>0.0</v>
      </c>
      <c r="LR43" s="9"/>
      <c r="LS43" s="8">
        <v>15.0</v>
      </c>
      <c r="LT43" s="8">
        <v>20.0</v>
      </c>
      <c r="LU43" s="8">
        <v>0.0</v>
      </c>
      <c r="LV43" s="8">
        <v>10.0</v>
      </c>
      <c r="LW43" s="8">
        <v>10.0</v>
      </c>
      <c r="LX43" s="8">
        <v>0.0</v>
      </c>
      <c r="LY43" s="8">
        <v>5.0</v>
      </c>
      <c r="LZ43" s="8">
        <v>5.0</v>
      </c>
      <c r="MA43" s="8">
        <v>0.0</v>
      </c>
      <c r="MB43" s="9" t="s">
        <v>857</v>
      </c>
      <c r="MC43" s="8">
        <v>30.0</v>
      </c>
      <c r="MD43" s="8">
        <v>15.0</v>
      </c>
      <c r="ME43" s="8">
        <v>15.0</v>
      </c>
      <c r="MF43" s="8">
        <v>15.0</v>
      </c>
      <c r="MG43" s="8">
        <v>0.0</v>
      </c>
      <c r="MH43" s="8">
        <v>0.0</v>
      </c>
      <c r="MI43" s="9" t="s">
        <v>946</v>
      </c>
      <c r="MJ43" s="8">
        <v>0.0</v>
      </c>
      <c r="MK43" s="8">
        <v>0.0</v>
      </c>
      <c r="ML43" s="8">
        <v>1.0</v>
      </c>
      <c r="MM43" s="8">
        <v>0.0</v>
      </c>
      <c r="MN43" s="8">
        <v>0.0</v>
      </c>
      <c r="MO43" s="8">
        <v>0.0</v>
      </c>
      <c r="MP43" s="9"/>
      <c r="MQ43" s="9"/>
      <c r="MR43" s="9" t="s">
        <v>1404</v>
      </c>
      <c r="MS43" s="9"/>
      <c r="MT43" s="9" t="s">
        <v>991</v>
      </c>
      <c r="MU43" s="9" t="s">
        <v>881</v>
      </c>
      <c r="MV43" s="9"/>
      <c r="MW43" s="9"/>
      <c r="MX43" s="9"/>
      <c r="MY43" s="9"/>
      <c r="MZ43" s="9"/>
      <c r="NA43" s="9"/>
      <c r="NB43" s="9"/>
      <c r="NC43" s="9"/>
      <c r="ND43" s="9"/>
      <c r="NE43" s="9"/>
      <c r="NF43" s="9"/>
      <c r="NG43" s="9"/>
      <c r="NH43" s="9"/>
      <c r="NI43" s="9"/>
      <c r="NJ43" s="9"/>
      <c r="NK43" s="9"/>
      <c r="NL43" s="9" t="s">
        <v>857</v>
      </c>
      <c r="NM43" s="9" t="s">
        <v>893</v>
      </c>
      <c r="NN43" s="9" t="s">
        <v>993</v>
      </c>
      <c r="NO43" s="9" t="s">
        <v>994</v>
      </c>
      <c r="NP43" s="9"/>
      <c r="NQ43" s="9"/>
      <c r="NR43" s="9"/>
      <c r="NS43" s="9"/>
      <c r="NT43" s="9"/>
      <c r="NU43" s="9"/>
      <c r="NV43" s="9" t="s">
        <v>896</v>
      </c>
      <c r="NW43" s="9"/>
      <c r="NX43" s="9" t="s">
        <v>897</v>
      </c>
      <c r="NY43" s="8">
        <v>5.0</v>
      </c>
      <c r="NZ43" s="8">
        <v>5.0</v>
      </c>
      <c r="OA43" s="8">
        <v>0.0</v>
      </c>
      <c r="OB43" s="8">
        <v>5.0</v>
      </c>
      <c r="OC43" s="8">
        <v>5.0</v>
      </c>
      <c r="OD43" s="8">
        <v>0.0</v>
      </c>
      <c r="OE43" s="9" t="s">
        <v>898</v>
      </c>
      <c r="OF43" s="9" t="s">
        <v>1184</v>
      </c>
      <c r="OG43" s="9" t="s">
        <v>857</v>
      </c>
      <c r="OH43" s="8">
        <v>0.0</v>
      </c>
      <c r="OI43" s="8">
        <v>7.0</v>
      </c>
      <c r="OJ43" s="8">
        <v>0.0</v>
      </c>
      <c r="OK43" s="8">
        <v>0.0</v>
      </c>
      <c r="OL43" s="8">
        <v>0.0</v>
      </c>
      <c r="OM43" s="8">
        <v>0.0</v>
      </c>
      <c r="ON43" s="8">
        <v>0.0</v>
      </c>
      <c r="OO43" s="8">
        <v>0.0</v>
      </c>
      <c r="OP43" s="9" t="str">
        <f>VLOOKUP(AG43,'BUS 2'!$G$1:$CU$424,2,0)</f>
        <v>Sapi perah</v>
      </c>
      <c r="OQ43" s="8">
        <f>VLOOKUP(AG43,'BUS 2'!$G$1:$CU$424,3,0)</f>
        <v>0</v>
      </c>
      <c r="OR43" s="8">
        <f>VLOOKUP(AG43,'BUS 2'!$G$1:$CU$424,4,0)</f>
        <v>1</v>
      </c>
      <c r="OS43" s="8">
        <f>VLOOKUP(AG43,'BUS 2'!$G$1:$CU$424,5,0)</f>
        <v>0</v>
      </c>
      <c r="OT43" s="8">
        <f>VLOOKUP(AG43,'BUS 2'!$G$1:$CU$424,6,0)</f>
        <v>0</v>
      </c>
      <c r="OU43" s="8">
        <f>VLOOKUP(AG43,'BUS 2'!$G$1:$CU$424,7,0)</f>
        <v>0</v>
      </c>
      <c r="OV43" s="8">
        <f>VLOOKUP(AG43,'BUS 2'!$G$1:$CU$424,8,0)</f>
        <v>0</v>
      </c>
      <c r="OW43" s="8">
        <f>VLOOKUP(AG43,'BUS 2'!$G$1:$CU$424,9,0)</f>
        <v>0</v>
      </c>
      <c r="OX43" s="8">
        <f>VLOOKUP(AG43,'BUS 2'!$G$1:$CU$424,10,0)</f>
        <v>0</v>
      </c>
      <c r="OY43" s="8">
        <f>VLOOKUP(AG43,'BUS 2'!$G$1:$CU$424,11,0)</f>
        <v>0</v>
      </c>
      <c r="OZ43" s="8" t="str">
        <f>VLOOKUP(AG43,'BUS 2'!$G$1:$CU$424,12,0)</f>
        <v>Sapi perah</v>
      </c>
      <c r="PA43" s="8">
        <f>VLOOKUP(AG43,'BUS 2'!$G$1:$CU$424,13,0)</f>
        <v>0</v>
      </c>
      <c r="PB43" s="8">
        <f>VLOOKUP(AG43,'BUS 2'!$G$1:$CU$424,14,0)</f>
        <v>1</v>
      </c>
      <c r="PC43" s="8">
        <f>VLOOKUP(AG43,'BUS 2'!$G$1:$CU$424,15,0)</f>
        <v>0</v>
      </c>
      <c r="PD43" s="8">
        <f>VLOOKUP(AG43,'BUS 2'!$G$1:$CU$424,16,0)</f>
        <v>0</v>
      </c>
      <c r="PE43" s="8">
        <f>VLOOKUP(AG43,'BUS 2'!$G$1:$CU$424,17,0)</f>
        <v>0</v>
      </c>
      <c r="PF43" s="8">
        <f>VLOOKUP(AG43,'BUS 2'!$G$1:$CU$424,18,0)</f>
        <v>0</v>
      </c>
      <c r="PG43" s="8">
        <f>VLOOKUP(AG43,'BUS 2'!$G$1:$CU$424,19,0)</f>
        <v>0</v>
      </c>
      <c r="PH43" s="8">
        <f>VLOOKUP(AG43,'BUS 2'!$G$1:$CU$424,20,0)</f>
        <v>0</v>
      </c>
      <c r="PI43" s="8">
        <f>VLOOKUP(AG43,'BUS 2'!$G$1:$CU$424,21,0)</f>
        <v>0</v>
      </c>
      <c r="PJ43" s="8" t="str">
        <f>VLOOKUP(AG43,'BUS 2'!$G$1:$CU$424,22,0)</f>
        <v>Tidak ada</v>
      </c>
      <c r="PK43" s="8">
        <f>VLOOKUP(AG43,'BUS 2'!$G$1:$CU$424,23,0)</f>
        <v>0</v>
      </c>
      <c r="PL43" s="8">
        <f>VLOOKUP(AG43,'BUS 2'!$G$1:$CU$424,24,0)</f>
        <v>0</v>
      </c>
      <c r="PM43" s="8">
        <f>VLOOKUP(AG43,'BUS 2'!$G$1:$CU$424,25,0)</f>
        <v>0</v>
      </c>
      <c r="PN43" s="8">
        <f>VLOOKUP(AG43,'BUS 2'!$G$1:$CU$424,26,0)</f>
        <v>0</v>
      </c>
      <c r="PO43" s="8">
        <f>VLOOKUP(AG43,'BUS 2'!$G$1:$CU$424,27,0)</f>
        <v>0</v>
      </c>
      <c r="PP43" s="8">
        <f>VLOOKUP(AG43,'BUS 2'!$G$1:$CU$424,28,0)</f>
        <v>0</v>
      </c>
      <c r="PQ43" s="8">
        <f>VLOOKUP(AG43,'BUS 2'!$G$1:$CU$424,29,0)</f>
        <v>0</v>
      </c>
      <c r="PR43" s="8">
        <f>VLOOKUP(AG43,'BUS 2'!$G$1:$CU$424,30,0)</f>
        <v>0</v>
      </c>
      <c r="PS43" s="8">
        <f>VLOOKUP(AG43,'BUS 2'!$G$1:$CU$424,31,0)</f>
        <v>1</v>
      </c>
      <c r="PT43" s="9"/>
      <c r="PU43" s="9"/>
      <c r="PV43" s="9"/>
      <c r="PW43" s="9"/>
      <c r="PX43" s="9"/>
      <c r="PY43" s="9"/>
      <c r="PZ43" s="9"/>
      <c r="QA43" s="9"/>
      <c r="QB43" s="9"/>
      <c r="QC43" s="9"/>
      <c r="QD43" s="9"/>
      <c r="QE43" s="9" t="s">
        <v>900</v>
      </c>
      <c r="QF43" s="8">
        <v>0.0</v>
      </c>
      <c r="QG43" s="8">
        <v>0.0</v>
      </c>
      <c r="QH43" s="8">
        <v>0.0</v>
      </c>
      <c r="QI43" s="8">
        <v>0.0</v>
      </c>
      <c r="QJ43" s="8">
        <v>0.0</v>
      </c>
      <c r="QK43" s="8">
        <v>1.0</v>
      </c>
      <c r="QL43" s="8">
        <v>0.0</v>
      </c>
      <c r="QM43" s="8">
        <v>0.0</v>
      </c>
      <c r="QN43" s="8">
        <v>0.0</v>
      </c>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8" t="str">
        <f>VLOOKUP(AG43,'BUS 2'!$G$1:$CU$424,33,0)</f>
        <v/>
      </c>
      <c r="SZ43" s="9">
        <f>VLOOKUP(AG43,'BUS 2'!$G$1:$CU$424,34,0)</f>
        <v>7</v>
      </c>
      <c r="TA43" s="9" t="str">
        <f>VLOOKUP(AG43,'BUS 2'!$G$1:$CU$424,35,0)</f>
        <v/>
      </c>
      <c r="TB43" s="9" t="str">
        <f>VLOOKUP(AG43,'BUS 2'!$G$1:$CU$424,36,0)</f>
        <v/>
      </c>
      <c r="TC43" s="9" t="str">
        <f>VLOOKUP(AG43,'BUS 2'!$G$1:$CU$424,37,0)</f>
        <v/>
      </c>
      <c r="TD43" s="9" t="str">
        <f>VLOOKUP(AG43,'BUS 2'!$G$1:$CU$424,38,0)</f>
        <v/>
      </c>
      <c r="TE43" s="9" t="str">
        <f>VLOOKUP(AG43,'BUS 2'!$G$1:$CU$424,39,0)</f>
        <v/>
      </c>
      <c r="TF43" s="9" t="str">
        <f>VLOOKUP(AG43,'BUS 2'!$G$1:$CU$424,40,0)</f>
        <v/>
      </c>
      <c r="TG43" s="8" t="str">
        <f>VLOOKUP(AG43,'BUS 2'!$G$1:$CU$424,42,0)</f>
        <v/>
      </c>
      <c r="TH43" s="8">
        <f>VLOOKUP(AG43,'BUS 2'!$G$1:$CU$424,43,0)</f>
        <v>7</v>
      </c>
      <c r="TI43" s="8" t="str">
        <f>VLOOKUP(AG43,'BUS 2'!$G$1:$CU$424,44,0)</f>
        <v/>
      </c>
      <c r="TJ43" s="8" t="str">
        <f>VLOOKUP(AG43,'BUS 2'!$G$1:$CU$424,45,0)</f>
        <v/>
      </c>
      <c r="TK43" s="8" t="str">
        <f>VLOOKUP(AG43,'BUS 2'!$G$1:$CU$424,46,0)</f>
        <v/>
      </c>
      <c r="TL43" s="8" t="str">
        <f>VLOOKUP(AG43,'BUS 2'!$G$1:$CU$424,47,0)</f>
        <v/>
      </c>
      <c r="TM43" s="8" t="str">
        <f>VLOOKUP(AG43,'BUS 2'!$G$1:$CU$424,48,0)</f>
        <v/>
      </c>
      <c r="TN43" s="8" t="str">
        <f>VLOOKUP(AG43,'BUS 2'!$G$1:$CU$424,49,0)</f>
        <v/>
      </c>
      <c r="TO43" s="8" t="str">
        <f>VLOOKUP(AG43,'BUS 2'!$G$1:$CU$424,50,0)</f>
        <v/>
      </c>
      <c r="TP43" s="8" t="str">
        <f>VLOOKUP(AG43,'BUS 2'!$G$1:$CU$424,51,0)</f>
        <v/>
      </c>
      <c r="TQ43" s="8" t="str">
        <f>VLOOKUP(AG43,'BUS 2'!$G$1:$CU$424,52,0)</f>
        <v/>
      </c>
      <c r="TR43" s="8" t="str">
        <f>VLOOKUP(AG43,'BUS 2'!$G$1:$CU$424,53,0)</f>
        <v/>
      </c>
      <c r="TS43" s="9" t="str">
        <f>VLOOKUP(AG43,'BUS 2'!$G$1:$CU$424,54,0)</f>
        <v/>
      </c>
      <c r="TT43" s="9" t="str">
        <f>VLOOKUP(AG43,'BUS 2'!$G$1:$CU$424,55,0)</f>
        <v/>
      </c>
      <c r="TU43" s="9" t="str">
        <f>VLOOKUP(AG43,'BUS 2'!$G$1:$CU$424,56,0)</f>
        <v/>
      </c>
      <c r="TV43" s="9" t="str">
        <f>VLOOKUP(AG43,'BUS 2'!$G$1:$CU$424,57,0)</f>
        <v/>
      </c>
      <c r="TW43" s="9" t="str">
        <f>VLOOKUP(AG43,'BUS 2'!$G$1:$CU$424,58,0)</f>
        <v/>
      </c>
      <c r="TX43" s="9" t="str">
        <f>VLOOKUP(AG43,'BUS 2'!$G$1:$CU$424,59,0)</f>
        <v/>
      </c>
      <c r="TY43" s="9" t="str">
        <f>VLOOKUP(AG43,'BUS 2'!$G$1:$CU$424,60,0)</f>
        <v/>
      </c>
      <c r="TZ43" s="9" t="str">
        <f>VLOOKUP(AG43,'BUS 2'!$G$1:$CU$424,61,0)</f>
        <v/>
      </c>
      <c r="UA43" s="9" t="str">
        <f>VLOOKUP(AG43,'BUS 2'!$G$1:$CU$424,62,0)</f>
        <v/>
      </c>
      <c r="UB43" s="9" t="str">
        <f>VLOOKUP(AG43,'BUS 2'!$G$1:$CU$424,63,0)</f>
        <v/>
      </c>
      <c r="UC43" s="9" t="str">
        <f>VLOOKUP(AG43,'BUS 2'!$G$1:$CU$424,64,0)</f>
        <v/>
      </c>
      <c r="UD43" s="9" t="str">
        <f>VLOOKUP(AG43,'BUS 2'!$G$1:$CU$424,65,0)</f>
        <v/>
      </c>
      <c r="UE43" s="9" t="str">
        <f>VLOOKUP(AG43,'BUS 2'!$G$1:$CU$424,66,0)</f>
        <v/>
      </c>
      <c r="UF43" s="9" t="str">
        <f>VLOOKUP(AG43,'BUS 2'!$G$1:$CU$424,67,0)</f>
        <v/>
      </c>
      <c r="UG43" s="9" t="str">
        <f>VLOOKUP(AG43,'BUS 2'!$G$1:$CU$424,68,0)</f>
        <v/>
      </c>
      <c r="UH43" s="9" t="str">
        <f>VLOOKUP(AG43,'BUS 2'!$G$1:$CU$424,69,0)</f>
        <v/>
      </c>
      <c r="UI43" s="9" t="str">
        <f>VLOOKUP(AG43,'BUS 2'!$G$1:$CU$424,70,0)</f>
        <v/>
      </c>
      <c r="UJ43" s="9" t="str">
        <f>VLOOKUP(AG43,'BUS 2'!$G$1:$CU$424,71,0)</f>
        <v/>
      </c>
      <c r="UK43" s="9" t="str">
        <f>VLOOKUP(AG43,'BUS 2'!$G$1:$CU$424,72,0)</f>
        <v/>
      </c>
      <c r="UL43" s="9" t="str">
        <f>VLOOKUP(AG43,'BUS 2'!$G$1:$CU$424,73,0)</f>
        <v/>
      </c>
      <c r="UM43" s="9" t="str">
        <f>VLOOKUP(AG43,'BUS 2'!$G$1:$CU$424,74,0)</f>
        <v/>
      </c>
      <c r="UN43" s="9" t="str">
        <f>VLOOKUP(AG43,'BUS 2'!$G$1:$CU$424,75,0)</f>
        <v/>
      </c>
      <c r="UO43" s="9" t="str">
        <f>VLOOKUP(AG43,'BUS 2'!$G$1:$CU$424,76,0)</f>
        <v/>
      </c>
      <c r="UP43" s="9" t="str">
        <f>VLOOKUP(AG43,'BUS 2'!$G$1:$CU$424,77,0)</f>
        <v/>
      </c>
      <c r="UQ43" s="9" t="str">
        <f>VLOOKUP(AG43,'BUS 2'!$G$1:$CU$424,78,0)</f>
        <v/>
      </c>
      <c r="UR43" s="9" t="str">
        <f>VLOOKUP(AG43,'BUS 2'!$G$1:$CU$424,79,0)</f>
        <v/>
      </c>
      <c r="US43" s="9" t="str">
        <f>VLOOKUP(AG43,'BUS 2'!$G$1:$CU$424,80,0)</f>
        <v/>
      </c>
      <c r="UT43" s="9" t="str">
        <f>VLOOKUP(AG43,'BUS 2'!$G$1:$CU$424,81,0)</f>
        <v/>
      </c>
      <c r="UU43" s="9"/>
      <c r="UV43" s="9" t="s">
        <v>901</v>
      </c>
      <c r="UW43" s="9"/>
      <c r="UX43" s="9"/>
      <c r="UY43" s="9"/>
      <c r="UZ43" s="9"/>
      <c r="VA43" s="9"/>
      <c r="VB43" s="9"/>
      <c r="VC43" s="9"/>
      <c r="VD43" s="9" t="s">
        <v>950</v>
      </c>
      <c r="VE43" s="9"/>
      <c r="VF43" s="9"/>
      <c r="VG43" s="9"/>
      <c r="VH43" s="9"/>
      <c r="VI43" s="9"/>
      <c r="VJ43" s="9"/>
      <c r="VK43" s="9"/>
      <c r="VL43" s="9" t="s">
        <v>1158</v>
      </c>
      <c r="VM43" s="9"/>
      <c r="VN43" s="9"/>
      <c r="VO43" s="9"/>
      <c r="VP43" s="9"/>
      <c r="VQ43" s="9"/>
      <c r="VR43" s="9"/>
      <c r="VS43" s="9"/>
      <c r="VT43" s="9"/>
      <c r="VU43" s="9"/>
      <c r="VV43" s="9"/>
      <c r="VW43" s="9"/>
      <c r="VX43" s="9"/>
      <c r="VY43" s="9"/>
      <c r="VZ43" s="9"/>
      <c r="WA43" s="9"/>
      <c r="WB43" s="9"/>
      <c r="WC43" s="9"/>
      <c r="WD43" s="9"/>
      <c r="WE43" s="9"/>
      <c r="WF43" s="9" t="s">
        <v>1207</v>
      </c>
      <c r="WG43" s="8">
        <v>0.0</v>
      </c>
      <c r="WH43" s="8">
        <v>0.0</v>
      </c>
      <c r="WI43" s="8">
        <v>0.0</v>
      </c>
      <c r="WJ43" s="8">
        <v>1.0</v>
      </c>
      <c r="WK43" s="8">
        <v>1.0</v>
      </c>
      <c r="WL43" s="8">
        <v>1.0</v>
      </c>
      <c r="WM43" s="8">
        <v>0.0</v>
      </c>
      <c r="WN43" s="8">
        <v>0.0</v>
      </c>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8">
        <v>60.0</v>
      </c>
      <c r="ZP43" s="9"/>
      <c r="ZQ43" s="9"/>
      <c r="ZR43" s="9"/>
      <c r="ZS43" s="9"/>
      <c r="ZT43" s="9"/>
      <c r="ZU43" s="9"/>
      <c r="ZV43" s="9"/>
      <c r="ZW43" s="8">
        <v>2.0</v>
      </c>
      <c r="ZX43" s="9"/>
      <c r="ZY43" s="9"/>
      <c r="ZZ43" s="9"/>
      <c r="AAA43" s="9"/>
      <c r="AAB43" s="9"/>
      <c r="AAC43" s="9"/>
      <c r="AAD43" s="9"/>
      <c r="AAE43" s="9" t="s">
        <v>1186</v>
      </c>
      <c r="AAF43" s="9"/>
      <c r="AAG43" s="9"/>
      <c r="AAH43" s="9"/>
      <c r="AAI43" s="9"/>
      <c r="AAJ43" s="9"/>
      <c r="AAK43" s="9"/>
      <c r="AAL43" s="9" t="s">
        <v>857</v>
      </c>
      <c r="AAM43" s="9" t="s">
        <v>1033</v>
      </c>
      <c r="AAN43" s="8">
        <v>1.0</v>
      </c>
      <c r="AAO43" s="8">
        <v>1.0</v>
      </c>
      <c r="AAP43" s="8">
        <v>60.0</v>
      </c>
      <c r="AAQ43" s="8">
        <v>60.0</v>
      </c>
      <c r="AAR43" s="9" t="s">
        <v>857</v>
      </c>
      <c r="AAS43" s="9" t="s">
        <v>867</v>
      </c>
      <c r="AAT43" s="9" t="s">
        <v>1287</v>
      </c>
      <c r="AAU43" s="8">
        <v>1.0</v>
      </c>
      <c r="AAV43" s="8">
        <v>0.0</v>
      </c>
      <c r="AAW43" s="8">
        <v>0.0</v>
      </c>
      <c r="AAX43" s="8">
        <v>1.0</v>
      </c>
      <c r="AAY43" s="8">
        <v>0.0</v>
      </c>
      <c r="AAZ43" s="8">
        <v>0.0</v>
      </c>
      <c r="ABA43" s="8">
        <v>0.0</v>
      </c>
      <c r="ABB43" s="9" t="s">
        <v>907</v>
      </c>
      <c r="ABC43" s="8">
        <v>1.0</v>
      </c>
      <c r="ABD43" s="8">
        <v>0.0</v>
      </c>
      <c r="ABE43" s="8">
        <v>0.0</v>
      </c>
      <c r="ABF43" s="8">
        <v>0.0</v>
      </c>
      <c r="ABG43" s="8">
        <v>0.0</v>
      </c>
      <c r="ABH43" s="9"/>
      <c r="ABI43" s="9"/>
      <c r="ABJ43" s="9"/>
      <c r="ABK43" s="9"/>
      <c r="ABL43" s="9"/>
      <c r="ABM43" s="9"/>
      <c r="ABN43" s="9"/>
      <c r="ABO43" s="9"/>
      <c r="ABP43" s="9"/>
      <c r="ABQ43" s="11" t="s">
        <v>908</v>
      </c>
      <c r="ABR43" s="9" t="s">
        <v>1075</v>
      </c>
      <c r="ABS43" s="8">
        <v>4000.0</v>
      </c>
      <c r="ABT43" s="8">
        <v>300.0</v>
      </c>
      <c r="ABU43" s="8">
        <v>60.0</v>
      </c>
      <c r="ABV43" s="8">
        <v>60.0</v>
      </c>
      <c r="ABW43" s="9" t="s">
        <v>1199</v>
      </c>
      <c r="ABX43" s="9"/>
      <c r="ABY43" s="8">
        <v>40.0</v>
      </c>
      <c r="ABZ43" s="8">
        <v>4000.0</v>
      </c>
      <c r="ACA43" s="8">
        <v>5.0</v>
      </c>
      <c r="ACB43" s="8">
        <v>4000.0</v>
      </c>
      <c r="ACC43" s="8">
        <v>500.0</v>
      </c>
      <c r="ACD43" s="8">
        <v>700.0</v>
      </c>
      <c r="ACE43" s="9" t="s">
        <v>857</v>
      </c>
      <c r="ACF43" s="9" t="s">
        <v>911</v>
      </c>
      <c r="ACG43" s="9" t="s">
        <v>911</v>
      </c>
      <c r="ACH43" s="9" t="s">
        <v>911</v>
      </c>
      <c r="ACI43" s="9"/>
      <c r="ACJ43" s="9"/>
      <c r="ACK43" s="9" t="s">
        <v>976</v>
      </c>
      <c r="ACL43" s="8">
        <v>0.0</v>
      </c>
      <c r="ACM43" s="8">
        <v>0.0</v>
      </c>
      <c r="ACN43" s="8">
        <v>1.0</v>
      </c>
      <c r="ACO43" s="8">
        <v>1.0</v>
      </c>
      <c r="ACP43" s="8">
        <v>0.0</v>
      </c>
      <c r="ACQ43" s="8">
        <v>0.0</v>
      </c>
      <c r="ACR43" s="8">
        <v>0.0</v>
      </c>
      <c r="ACS43" s="9"/>
      <c r="ACT43" s="9" t="s">
        <v>912</v>
      </c>
      <c r="ACU43" s="9" t="s">
        <v>1050</v>
      </c>
      <c r="ACV43" s="9" t="s">
        <v>957</v>
      </c>
      <c r="ACW43" s="9" t="s">
        <v>915</v>
      </c>
      <c r="ACX43" s="9" t="s">
        <v>916</v>
      </c>
      <c r="ACY43" s="9" t="s">
        <v>1017</v>
      </c>
      <c r="ACZ43" s="8">
        <v>1.0</v>
      </c>
      <c r="ADA43" s="8">
        <v>1.0</v>
      </c>
      <c r="ADB43" s="8">
        <v>1.0</v>
      </c>
      <c r="ADC43" s="8">
        <v>0.0</v>
      </c>
      <c r="ADD43" s="9" t="s">
        <v>1187</v>
      </c>
      <c r="ADE43" s="9" t="s">
        <v>1187</v>
      </c>
      <c r="ADF43" s="9" t="s">
        <v>1187</v>
      </c>
      <c r="ADG43" s="9" t="s">
        <v>1187</v>
      </c>
      <c r="ADH43" s="9" t="s">
        <v>881</v>
      </c>
      <c r="ADI43" s="9"/>
      <c r="ADJ43" s="9" t="s">
        <v>1187</v>
      </c>
      <c r="ADK43" s="9"/>
      <c r="ADL43" s="9"/>
      <c r="ADM43" s="9"/>
      <c r="ADN43" s="9"/>
      <c r="ADO43" s="9"/>
      <c r="ADP43" s="9"/>
      <c r="ADQ43" s="9"/>
      <c r="ADR43" s="9"/>
      <c r="ADS43" s="9"/>
      <c r="ADT43" s="9"/>
      <c r="ADU43" s="9" t="s">
        <v>919</v>
      </c>
      <c r="ADV43" s="8">
        <v>0.0</v>
      </c>
      <c r="ADW43" s="8">
        <v>0.0</v>
      </c>
      <c r="ADX43" s="8">
        <v>0.0</v>
      </c>
      <c r="ADY43" s="8">
        <v>0.0</v>
      </c>
      <c r="ADZ43" s="8">
        <v>1.0</v>
      </c>
      <c r="AEA43" s="8">
        <v>0.0</v>
      </c>
      <c r="AEB43" s="8">
        <v>0.0</v>
      </c>
      <c r="AEC43" s="8">
        <v>0.0</v>
      </c>
      <c r="AED43" s="12"/>
      <c r="AEE43" s="17" t="s">
        <v>872</v>
      </c>
      <c r="AEF43" s="9"/>
      <c r="AEG43" s="17" t="s">
        <v>920</v>
      </c>
      <c r="AEH43" s="9"/>
      <c r="AEI43" s="11" t="s">
        <v>921</v>
      </c>
      <c r="AEJ43" s="9" t="s">
        <v>871</v>
      </c>
      <c r="AEK43" s="17" t="s">
        <v>1108</v>
      </c>
      <c r="AEL43" s="18">
        <v>1.0</v>
      </c>
      <c r="AEM43" s="18">
        <v>1.0</v>
      </c>
      <c r="AEN43" s="18">
        <v>1.0</v>
      </c>
      <c r="AEO43" s="18">
        <v>1.0</v>
      </c>
      <c r="AEP43" s="18">
        <v>1.0</v>
      </c>
      <c r="AEQ43" s="18">
        <v>1.0</v>
      </c>
      <c r="AER43" s="18">
        <v>1.0</v>
      </c>
      <c r="AES43" s="18">
        <v>1.0</v>
      </c>
      <c r="AET43" s="18">
        <v>1.0</v>
      </c>
      <c r="AEU43" s="18">
        <v>0.0</v>
      </c>
      <c r="AEV43" s="18">
        <v>0.0</v>
      </c>
      <c r="AEW43" s="18">
        <v>0.0</v>
      </c>
      <c r="AEX43" s="9"/>
      <c r="AEY43" s="9" t="s">
        <v>923</v>
      </c>
      <c r="AEZ43" s="9"/>
      <c r="AFA43" s="9" t="s">
        <v>1188</v>
      </c>
      <c r="AFB43" s="9"/>
      <c r="AFC43" s="9" t="s">
        <v>1405</v>
      </c>
      <c r="AFD43" s="16" t="s">
        <v>1406</v>
      </c>
      <c r="AFE43" s="9" t="s">
        <v>1407</v>
      </c>
      <c r="AFF43" s="16" t="s">
        <v>1408</v>
      </c>
      <c r="AFG43" s="9" t="s">
        <v>1193</v>
      </c>
      <c r="AFH43" s="9"/>
      <c r="AFI43" s="9" t="s">
        <v>1409</v>
      </c>
    </row>
    <row r="44">
      <c r="A44" s="6">
        <v>46062.0</v>
      </c>
      <c r="B44" s="6">
        <v>46062.0</v>
      </c>
      <c r="C44" s="7" t="s">
        <v>837</v>
      </c>
      <c r="D44" s="7" t="s">
        <v>1410</v>
      </c>
      <c r="E44" s="8">
        <v>6.28132821607E11</v>
      </c>
      <c r="F44" s="9"/>
      <c r="G44" s="8">
        <v>-7.233894612</v>
      </c>
      <c r="H44" s="8">
        <v>110.2837566</v>
      </c>
      <c r="I44" s="9"/>
      <c r="J44" s="8">
        <v>1.88</v>
      </c>
      <c r="K44" s="9"/>
      <c r="L44" s="9"/>
      <c r="M44" s="8">
        <v>-7.233894612</v>
      </c>
      <c r="N44" s="8">
        <v>110.2837566</v>
      </c>
      <c r="O44" s="9"/>
      <c r="P44" s="8">
        <v>1.88</v>
      </c>
      <c r="Q44" s="9"/>
      <c r="R44" s="9" t="s">
        <v>839</v>
      </c>
      <c r="S44" s="9"/>
      <c r="T44" s="9"/>
      <c r="U44" s="9"/>
      <c r="V44" s="9"/>
      <c r="W44" s="9"/>
      <c r="X44" s="9"/>
      <c r="Y44" s="9"/>
      <c r="Z44" s="9"/>
      <c r="AA44" s="9"/>
      <c r="AB44" s="9"/>
      <c r="AC44" s="7" t="s">
        <v>1175</v>
      </c>
      <c r="AD44" s="7" t="s">
        <v>1176</v>
      </c>
      <c r="AE44" s="7" t="s">
        <v>1401</v>
      </c>
      <c r="AF44" s="9" t="s">
        <v>1178</v>
      </c>
      <c r="AG44" s="9" t="s">
        <v>1411</v>
      </c>
      <c r="AH44" s="8">
        <v>3.0</v>
      </c>
      <c r="AI44" s="9" t="s">
        <v>845</v>
      </c>
      <c r="AJ44" s="9" t="s">
        <v>846</v>
      </c>
      <c r="AK44" s="8">
        <v>59.0</v>
      </c>
      <c r="AL44" s="9" t="s">
        <v>847</v>
      </c>
      <c r="AM44" s="9" t="s">
        <v>848</v>
      </c>
      <c r="AN44" s="9" t="s">
        <v>849</v>
      </c>
      <c r="AO44" s="9" t="s">
        <v>935</v>
      </c>
      <c r="AP44" s="8">
        <v>0.0</v>
      </c>
      <c r="AQ44" s="8">
        <v>1.0</v>
      </c>
      <c r="AR44" s="8">
        <v>0.0</v>
      </c>
      <c r="AS44" s="8">
        <v>0.0</v>
      </c>
      <c r="AT44" s="8">
        <v>0.0</v>
      </c>
      <c r="AU44" s="8">
        <v>0.0</v>
      </c>
      <c r="AV44" s="8">
        <v>0.0</v>
      </c>
      <c r="AW44" s="8">
        <v>0.0</v>
      </c>
      <c r="AX44" s="9"/>
      <c r="AY44" s="9" t="s">
        <v>935</v>
      </c>
      <c r="AZ44" s="8">
        <v>0.0</v>
      </c>
      <c r="BA44" s="8">
        <v>1.0</v>
      </c>
      <c r="BB44" s="8">
        <v>0.0</v>
      </c>
      <c r="BC44" s="8">
        <v>0.0</v>
      </c>
      <c r="BD44" s="8">
        <v>0.0</v>
      </c>
      <c r="BE44" s="8">
        <v>0.0</v>
      </c>
      <c r="BF44" s="8">
        <v>0.0</v>
      </c>
      <c r="BG44" s="8">
        <v>0.0</v>
      </c>
      <c r="BH44" s="9"/>
      <c r="BI44" s="9" t="s">
        <v>852</v>
      </c>
      <c r="BJ44" s="8">
        <v>1.0</v>
      </c>
      <c r="BK44" s="8">
        <v>2.0</v>
      </c>
      <c r="BL44" s="8">
        <v>0.0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856</v>
      </c>
      <c r="CD44" s="8">
        <v>0.0</v>
      </c>
      <c r="CE44" s="8">
        <v>0.0</v>
      </c>
      <c r="CF44" s="8">
        <v>0.0</v>
      </c>
      <c r="CG44" s="8">
        <v>0.0</v>
      </c>
      <c r="CH44" s="8">
        <v>0.0</v>
      </c>
      <c r="CI44" s="8">
        <v>1.0</v>
      </c>
      <c r="CJ44" s="8">
        <v>0.0</v>
      </c>
      <c r="CK44" s="9"/>
      <c r="CL44" s="9" t="s">
        <v>857</v>
      </c>
      <c r="CM44" s="8">
        <v>2023.0</v>
      </c>
      <c r="CN44" s="9" t="s">
        <v>858</v>
      </c>
      <c r="CO44" s="9" t="s">
        <v>859</v>
      </c>
      <c r="CP44" s="9" t="s">
        <v>860</v>
      </c>
      <c r="CQ44" s="8">
        <v>0.0</v>
      </c>
      <c r="CR44" s="8">
        <v>0.0</v>
      </c>
      <c r="CS44" s="8">
        <v>0.0</v>
      </c>
      <c r="CT44" s="8">
        <v>0.0</v>
      </c>
      <c r="CU44" s="10">
        <v>1.0</v>
      </c>
      <c r="CV44" s="10">
        <v>0.0</v>
      </c>
      <c r="CW44" s="10">
        <v>0.0</v>
      </c>
      <c r="CX44" s="8">
        <v>0.0</v>
      </c>
      <c r="CY44" s="9" t="s">
        <v>860</v>
      </c>
      <c r="CZ44" s="8">
        <v>1.0</v>
      </c>
      <c r="DA44" s="8">
        <v>0.0</v>
      </c>
      <c r="DB44" s="8">
        <v>0.0</v>
      </c>
      <c r="DC44" s="9"/>
      <c r="DD44" s="9" t="s">
        <v>937</v>
      </c>
      <c r="DE44" s="8">
        <v>1.0</v>
      </c>
      <c r="DF44" s="8">
        <v>0.0</v>
      </c>
      <c r="DG44" s="8">
        <v>1.0</v>
      </c>
      <c r="DH44" s="8">
        <v>0.0</v>
      </c>
      <c r="DI44" s="9"/>
      <c r="DJ44" s="9" t="s">
        <v>937</v>
      </c>
      <c r="DK44" s="8">
        <v>1.0</v>
      </c>
      <c r="DL44" s="8">
        <v>0.0</v>
      </c>
      <c r="DM44" s="8">
        <v>1.0</v>
      </c>
      <c r="DN44" s="8">
        <v>0.0</v>
      </c>
      <c r="DO44" s="9"/>
      <c r="DP44" s="8">
        <v>1.0</v>
      </c>
      <c r="DQ44" s="8">
        <v>0.0</v>
      </c>
      <c r="DR44" s="8">
        <v>0.0</v>
      </c>
      <c r="DS44" s="9"/>
      <c r="DT44" s="9"/>
      <c r="DU44" s="9"/>
      <c r="DV44" s="9" t="s">
        <v>857</v>
      </c>
      <c r="DW44" s="9"/>
      <c r="DX44" s="9"/>
      <c r="DY44" s="9"/>
      <c r="DZ44" s="9"/>
      <c r="EA44" s="9"/>
      <c r="EB44" s="9"/>
      <c r="EC44" s="9"/>
      <c r="ED44" s="9"/>
      <c r="EE44" s="9"/>
      <c r="EF44" s="9"/>
      <c r="EG44" s="9"/>
      <c r="EH44" s="9"/>
      <c r="EI44" s="9" t="s">
        <v>862</v>
      </c>
      <c r="EJ44" s="8">
        <v>0.0</v>
      </c>
      <c r="EK44" s="8">
        <v>0.0</v>
      </c>
      <c r="EL44" s="8">
        <v>0.0</v>
      </c>
      <c r="EM44" s="8">
        <v>1.0</v>
      </c>
      <c r="EN44" s="8">
        <v>0.0</v>
      </c>
      <c r="EO44" s="11"/>
      <c r="EP44" s="9" t="s">
        <v>863</v>
      </c>
      <c r="EQ44" s="9" t="s">
        <v>864</v>
      </c>
      <c r="ER44" s="9" t="s">
        <v>861</v>
      </c>
      <c r="ES44" s="8">
        <v>1.0</v>
      </c>
      <c r="ET44" s="8">
        <v>0.0</v>
      </c>
      <c r="EU44" s="8">
        <v>0.0</v>
      </c>
      <c r="EV44" s="8">
        <v>0.0</v>
      </c>
      <c r="EW44" s="9"/>
      <c r="EX44" s="9" t="s">
        <v>865</v>
      </c>
      <c r="EY44" s="8">
        <v>1.0</v>
      </c>
      <c r="EZ44" s="8">
        <v>0.0</v>
      </c>
      <c r="FA44" s="8">
        <v>0.0</v>
      </c>
      <c r="FB44" s="9"/>
      <c r="FC44" s="9" t="s">
        <v>1072</v>
      </c>
      <c r="FD44" s="9"/>
      <c r="FE44" s="9" t="s">
        <v>867</v>
      </c>
      <c r="FF44" s="9" t="s">
        <v>868</v>
      </c>
      <c r="FG44" s="9" t="s">
        <v>867</v>
      </c>
      <c r="FH44" s="9" t="s">
        <v>868</v>
      </c>
      <c r="FI44" s="9" t="s">
        <v>867</v>
      </c>
      <c r="FJ44" s="9" t="s">
        <v>869</v>
      </c>
      <c r="FK44" s="9" t="s">
        <v>867</v>
      </c>
      <c r="FL44" s="9" t="s">
        <v>943</v>
      </c>
      <c r="FM44" s="9" t="s">
        <v>867</v>
      </c>
      <c r="FN44" s="9" t="s">
        <v>943</v>
      </c>
      <c r="FO44" s="9" t="s">
        <v>867</v>
      </c>
      <c r="FP44" s="9" t="s">
        <v>943</v>
      </c>
      <c r="FQ44" s="9" t="s">
        <v>867</v>
      </c>
      <c r="FR44" s="9" t="s">
        <v>857</v>
      </c>
      <c r="FS44" s="9" t="s">
        <v>867</v>
      </c>
      <c r="FT44" s="9" t="s">
        <v>871</v>
      </c>
      <c r="FU44" s="9" t="s">
        <v>989</v>
      </c>
      <c r="FV44" s="8">
        <v>1.0</v>
      </c>
      <c r="FW44" s="8">
        <v>1.0</v>
      </c>
      <c r="FX44" s="8">
        <v>0.0</v>
      </c>
      <c r="FY44" s="8">
        <v>0.0</v>
      </c>
      <c r="FZ44" s="9" t="s">
        <v>873</v>
      </c>
      <c r="GA44" s="9" t="s">
        <v>874</v>
      </c>
      <c r="GB44" s="8">
        <v>1.0</v>
      </c>
      <c r="GC44" s="8">
        <v>0.0</v>
      </c>
      <c r="GD44" s="8">
        <v>0.0</v>
      </c>
      <c r="GE44" s="8">
        <v>0.0</v>
      </c>
      <c r="GF44" s="9"/>
      <c r="GG44" s="9" t="s">
        <v>875</v>
      </c>
      <c r="GH44" s="9" t="s">
        <v>857</v>
      </c>
      <c r="GI44" s="9" t="s">
        <v>1264</v>
      </c>
      <c r="GJ44" s="8">
        <v>0.0</v>
      </c>
      <c r="GK44" s="8">
        <v>1.0</v>
      </c>
      <c r="GL44" s="8">
        <v>0.0</v>
      </c>
      <c r="GM44" s="8">
        <v>0.0</v>
      </c>
      <c r="GN44" s="9"/>
      <c r="GO44" s="8">
        <v>9.0</v>
      </c>
      <c r="GP44" s="9" t="s">
        <v>877</v>
      </c>
      <c r="GQ44" s="9" t="s">
        <v>878</v>
      </c>
      <c r="GR44" s="8">
        <v>1.0</v>
      </c>
      <c r="GS44" s="8">
        <v>1.0</v>
      </c>
      <c r="GT44" s="8">
        <v>0.0</v>
      </c>
      <c r="GU44" s="8">
        <v>0.0</v>
      </c>
      <c r="GV44" s="8">
        <v>0.0</v>
      </c>
      <c r="GW44" s="8">
        <v>0.0</v>
      </c>
      <c r="GX44" s="8">
        <v>0.0</v>
      </c>
      <c r="GY44" s="9"/>
      <c r="GZ44" s="9" t="s">
        <v>857</v>
      </c>
      <c r="HA44" s="8">
        <v>20.0</v>
      </c>
      <c r="HB44" s="8">
        <v>200000.0</v>
      </c>
      <c r="HC44" s="8">
        <v>5.0</v>
      </c>
      <c r="HD44" s="8">
        <v>50000.0</v>
      </c>
      <c r="HE44" s="8">
        <v>12.0</v>
      </c>
      <c r="HF44" s="8">
        <v>100000.0</v>
      </c>
      <c r="HG44" s="8">
        <v>3.0</v>
      </c>
      <c r="HH44" s="8">
        <v>25000.0</v>
      </c>
      <c r="HI44" s="9"/>
      <c r="HJ44" s="9"/>
      <c r="HK44" s="9"/>
      <c r="HL44" s="9"/>
      <c r="HM44" s="9"/>
      <c r="HN44" s="9"/>
      <c r="HO44" s="9"/>
      <c r="HP44" s="9"/>
      <c r="HQ44" s="9"/>
      <c r="HR44" s="9"/>
      <c r="HS44" s="9"/>
      <c r="HT44" s="9"/>
      <c r="HU44" s="9"/>
      <c r="HV44" s="9"/>
      <c r="HW44" s="9"/>
      <c r="HX44" s="9"/>
      <c r="HY44" s="8">
        <v>15.0</v>
      </c>
      <c r="HZ44" s="8">
        <v>150000.0</v>
      </c>
      <c r="IA44" s="8">
        <v>9.0</v>
      </c>
      <c r="IB44" s="8">
        <v>75000.0</v>
      </c>
      <c r="IC44" s="9"/>
      <c r="ID44" s="9"/>
      <c r="IE44" s="9"/>
      <c r="IF44" s="9"/>
      <c r="IG44" s="9"/>
      <c r="IH44" s="9"/>
      <c r="II44" s="9"/>
      <c r="IJ44" s="9"/>
      <c r="IK44" s="9" t="s">
        <v>879</v>
      </c>
      <c r="IL44" s="9" t="s">
        <v>880</v>
      </c>
      <c r="IM44" s="9" t="s">
        <v>857</v>
      </c>
      <c r="IN44" s="9" t="s">
        <v>881</v>
      </c>
      <c r="IO44" s="9" t="s">
        <v>882</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886</v>
      </c>
      <c r="KU44" s="9" t="s">
        <v>886</v>
      </c>
      <c r="KV44" s="9" t="s">
        <v>872</v>
      </c>
      <c r="KW44" s="8">
        <v>1.0</v>
      </c>
      <c r="KX44" s="8">
        <v>0.0</v>
      </c>
      <c r="KY44" s="8">
        <v>0.0</v>
      </c>
      <c r="KZ44" s="8">
        <v>0.0</v>
      </c>
      <c r="LA44" s="9" t="s">
        <v>884</v>
      </c>
      <c r="LB44" s="9" t="s">
        <v>884</v>
      </c>
      <c r="LC44" s="8">
        <v>3.0</v>
      </c>
      <c r="LD44" s="8">
        <v>3.0</v>
      </c>
      <c r="LE44" s="8">
        <v>0.0</v>
      </c>
      <c r="LF44" s="8">
        <v>0.0</v>
      </c>
      <c r="LG44" s="9" t="s">
        <v>857</v>
      </c>
      <c r="LH44" s="8">
        <v>150000.0</v>
      </c>
      <c r="LI44" s="9"/>
      <c r="LJ44" s="9" t="s">
        <v>887</v>
      </c>
      <c r="LK44" s="8">
        <v>0.0</v>
      </c>
      <c r="LL44" s="8">
        <v>0.0</v>
      </c>
      <c r="LM44" s="8">
        <v>0.0</v>
      </c>
      <c r="LN44" s="8">
        <v>0.0</v>
      </c>
      <c r="LO44" s="8">
        <v>1.0</v>
      </c>
      <c r="LP44" s="8">
        <v>0.0</v>
      </c>
      <c r="LQ44" s="8">
        <v>0.0</v>
      </c>
      <c r="LR44" s="9"/>
      <c r="LS44" s="8">
        <v>15.0</v>
      </c>
      <c r="LT44" s="8">
        <v>15.0</v>
      </c>
      <c r="LU44" s="8">
        <v>0.0</v>
      </c>
      <c r="LV44" s="8">
        <v>10.0</v>
      </c>
      <c r="LW44" s="8">
        <v>10.0</v>
      </c>
      <c r="LX44" s="8">
        <v>0.0</v>
      </c>
      <c r="LY44" s="8">
        <v>5.0</v>
      </c>
      <c r="LZ44" s="8">
        <v>5.0</v>
      </c>
      <c r="MA44" s="8">
        <v>0.0</v>
      </c>
      <c r="MB44" s="9" t="s">
        <v>857</v>
      </c>
      <c r="MC44" s="8">
        <v>30.0</v>
      </c>
      <c r="MD44" s="8">
        <v>15.0</v>
      </c>
      <c r="ME44" s="8">
        <v>30.0</v>
      </c>
      <c r="MF44" s="8">
        <v>15.0</v>
      </c>
      <c r="MG44" s="8">
        <v>0.0</v>
      </c>
      <c r="MH44" s="8">
        <v>0.0</v>
      </c>
      <c r="MI44" s="9" t="s">
        <v>946</v>
      </c>
      <c r="MJ44" s="8">
        <v>0.0</v>
      </c>
      <c r="MK44" s="8">
        <v>0.0</v>
      </c>
      <c r="ML44" s="8">
        <v>1.0</v>
      </c>
      <c r="MM44" s="8">
        <v>0.0</v>
      </c>
      <c r="MN44" s="8">
        <v>0.0</v>
      </c>
      <c r="MO44" s="8">
        <v>0.0</v>
      </c>
      <c r="MP44" s="9"/>
      <c r="MQ44" s="9"/>
      <c r="MR44" s="9" t="s">
        <v>1048</v>
      </c>
      <c r="MS44" s="9"/>
      <c r="MT44" s="9" t="s">
        <v>888</v>
      </c>
      <c r="MU44" s="9" t="s">
        <v>881</v>
      </c>
      <c r="MV44" s="9"/>
      <c r="MW44" s="9"/>
      <c r="MX44" s="9"/>
      <c r="MY44" s="9"/>
      <c r="MZ44" s="9"/>
      <c r="NA44" s="9"/>
      <c r="NB44" s="9"/>
      <c r="NC44" s="9"/>
      <c r="ND44" s="9"/>
      <c r="NE44" s="9"/>
      <c r="NF44" s="9"/>
      <c r="NG44" s="9"/>
      <c r="NH44" s="9"/>
      <c r="NI44" s="9"/>
      <c r="NJ44" s="9"/>
      <c r="NK44" s="9"/>
      <c r="NL44" s="9" t="s">
        <v>857</v>
      </c>
      <c r="NM44" s="9" t="s">
        <v>893</v>
      </c>
      <c r="NN44" s="9" t="s">
        <v>993</v>
      </c>
      <c r="NO44" s="9" t="s">
        <v>994</v>
      </c>
      <c r="NP44" s="9"/>
      <c r="NQ44" s="9"/>
      <c r="NR44" s="9"/>
      <c r="NS44" s="9"/>
      <c r="NT44" s="9"/>
      <c r="NU44" s="9"/>
      <c r="NV44" s="9" t="s">
        <v>896</v>
      </c>
      <c r="NW44" s="9"/>
      <c r="NX44" s="9" t="s">
        <v>897</v>
      </c>
      <c r="NY44" s="8">
        <v>40.0</v>
      </c>
      <c r="NZ44" s="8">
        <v>10.0</v>
      </c>
      <c r="OA44" s="8">
        <v>0.0</v>
      </c>
      <c r="OB44" s="8">
        <v>5.0</v>
      </c>
      <c r="OC44" s="8">
        <v>5.0</v>
      </c>
      <c r="OD44" s="8">
        <v>0.0</v>
      </c>
      <c r="OE44" s="9" t="s">
        <v>898</v>
      </c>
      <c r="OF44" s="9" t="s">
        <v>1184</v>
      </c>
      <c r="OG44" s="9" t="s">
        <v>857</v>
      </c>
      <c r="OH44" s="8">
        <v>0.0</v>
      </c>
      <c r="OI44" s="8">
        <v>4.0</v>
      </c>
      <c r="OJ44" s="8">
        <v>0.0</v>
      </c>
      <c r="OK44" s="8">
        <v>0.0</v>
      </c>
      <c r="OL44" s="8">
        <v>0.0</v>
      </c>
      <c r="OM44" s="8">
        <v>0.0</v>
      </c>
      <c r="ON44" s="8">
        <v>0.0</v>
      </c>
      <c r="OO44" s="8">
        <v>0.0</v>
      </c>
      <c r="OP44" s="9" t="str">
        <f>VLOOKUP(AG44,'BUS 2'!$G$1:$CU$424,2,0)</f>
        <v>Sapi perah</v>
      </c>
      <c r="OQ44" s="8">
        <f>VLOOKUP(AG44,'BUS 2'!$G$1:$CU$424,3,0)</f>
        <v>0</v>
      </c>
      <c r="OR44" s="8">
        <f>VLOOKUP(AG44,'BUS 2'!$G$1:$CU$424,4,0)</f>
        <v>1</v>
      </c>
      <c r="OS44" s="8">
        <f>VLOOKUP(AG44,'BUS 2'!$G$1:$CU$424,5,0)</f>
        <v>0</v>
      </c>
      <c r="OT44" s="8">
        <f>VLOOKUP(AG44,'BUS 2'!$G$1:$CU$424,6,0)</f>
        <v>0</v>
      </c>
      <c r="OU44" s="8">
        <f>VLOOKUP(AG44,'BUS 2'!$G$1:$CU$424,7,0)</f>
        <v>0</v>
      </c>
      <c r="OV44" s="8">
        <f>VLOOKUP(AG44,'BUS 2'!$G$1:$CU$424,8,0)</f>
        <v>0</v>
      </c>
      <c r="OW44" s="8">
        <f>VLOOKUP(AG44,'BUS 2'!$G$1:$CU$424,9,0)</f>
        <v>0</v>
      </c>
      <c r="OX44" s="8">
        <f>VLOOKUP(AG44,'BUS 2'!$G$1:$CU$424,10,0)</f>
        <v>0</v>
      </c>
      <c r="OY44" s="8">
        <f>VLOOKUP(AG44,'BUS 2'!$G$1:$CU$424,11,0)</f>
        <v>0</v>
      </c>
      <c r="OZ44" s="8" t="str">
        <f>VLOOKUP(AG44,'BUS 2'!$G$1:$CU$424,12,0)</f>
        <v>Sapi perah</v>
      </c>
      <c r="PA44" s="8">
        <f>VLOOKUP(AG44,'BUS 2'!$G$1:$CU$424,13,0)</f>
        <v>0</v>
      </c>
      <c r="PB44" s="8">
        <f>VLOOKUP(AG44,'BUS 2'!$G$1:$CU$424,14,0)</f>
        <v>1</v>
      </c>
      <c r="PC44" s="8">
        <f>VLOOKUP(AG44,'BUS 2'!$G$1:$CU$424,15,0)</f>
        <v>0</v>
      </c>
      <c r="PD44" s="8">
        <f>VLOOKUP(AG44,'BUS 2'!$G$1:$CU$424,16,0)</f>
        <v>0</v>
      </c>
      <c r="PE44" s="8">
        <f>VLOOKUP(AG44,'BUS 2'!$G$1:$CU$424,17,0)</f>
        <v>0</v>
      </c>
      <c r="PF44" s="8">
        <f>VLOOKUP(AG44,'BUS 2'!$G$1:$CU$424,18,0)</f>
        <v>0</v>
      </c>
      <c r="PG44" s="8">
        <f>VLOOKUP(AG44,'BUS 2'!$G$1:$CU$424,19,0)</f>
        <v>0</v>
      </c>
      <c r="PH44" s="8">
        <f>VLOOKUP(AG44,'BUS 2'!$G$1:$CU$424,20,0)</f>
        <v>0</v>
      </c>
      <c r="PI44" s="8">
        <f>VLOOKUP(AG44,'BUS 2'!$G$1:$CU$424,21,0)</f>
        <v>0</v>
      </c>
      <c r="PJ44" s="8" t="str">
        <f>VLOOKUP(AG44,'BUS 2'!$G$1:$CU$424,22,0)</f>
        <v>Tidak ada</v>
      </c>
      <c r="PK44" s="8">
        <f>VLOOKUP(AG44,'BUS 2'!$G$1:$CU$424,23,0)</f>
        <v>0</v>
      </c>
      <c r="PL44" s="8">
        <f>VLOOKUP(AG44,'BUS 2'!$G$1:$CU$424,24,0)</f>
        <v>0</v>
      </c>
      <c r="PM44" s="8">
        <f>VLOOKUP(AG44,'BUS 2'!$G$1:$CU$424,25,0)</f>
        <v>0</v>
      </c>
      <c r="PN44" s="8">
        <f>VLOOKUP(AG44,'BUS 2'!$G$1:$CU$424,26,0)</f>
        <v>0</v>
      </c>
      <c r="PO44" s="8">
        <f>VLOOKUP(AG44,'BUS 2'!$G$1:$CU$424,27,0)</f>
        <v>0</v>
      </c>
      <c r="PP44" s="8">
        <f>VLOOKUP(AG44,'BUS 2'!$G$1:$CU$424,28,0)</f>
        <v>0</v>
      </c>
      <c r="PQ44" s="8">
        <f>VLOOKUP(AG44,'BUS 2'!$G$1:$CU$424,29,0)</f>
        <v>0</v>
      </c>
      <c r="PR44" s="8">
        <f>VLOOKUP(AG44,'BUS 2'!$G$1:$CU$424,30,0)</f>
        <v>0</v>
      </c>
      <c r="PS44" s="8">
        <f>VLOOKUP(AG44,'BUS 2'!$G$1:$CU$424,31,0)</f>
        <v>1</v>
      </c>
      <c r="PT44" s="9"/>
      <c r="PU44" s="9"/>
      <c r="PV44" s="9"/>
      <c r="PW44" s="9"/>
      <c r="PX44" s="9"/>
      <c r="PY44" s="9"/>
      <c r="PZ44" s="9"/>
      <c r="QA44" s="9"/>
      <c r="QB44" s="9"/>
      <c r="QC44" s="9"/>
      <c r="QD44" s="9"/>
      <c r="QE44" s="9" t="s">
        <v>900</v>
      </c>
      <c r="QF44" s="8">
        <v>0.0</v>
      </c>
      <c r="QG44" s="8">
        <v>0.0</v>
      </c>
      <c r="QH44" s="8">
        <v>0.0</v>
      </c>
      <c r="QI44" s="8">
        <v>0.0</v>
      </c>
      <c r="QJ44" s="8">
        <v>0.0</v>
      </c>
      <c r="QK44" s="8">
        <v>1.0</v>
      </c>
      <c r="QL44" s="8">
        <v>0.0</v>
      </c>
      <c r="QM44" s="8">
        <v>0.0</v>
      </c>
      <c r="QN44" s="8">
        <v>0.0</v>
      </c>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8" t="str">
        <f>VLOOKUP(AG44,'BUS 2'!$G$1:$CU$424,33,0)</f>
        <v/>
      </c>
      <c r="SZ44" s="9">
        <f>VLOOKUP(AG44,'BUS 2'!$G$1:$CU$424,34,0)</f>
        <v>4</v>
      </c>
      <c r="TA44" s="9" t="str">
        <f>VLOOKUP(AG44,'BUS 2'!$G$1:$CU$424,35,0)</f>
        <v/>
      </c>
      <c r="TB44" s="9" t="str">
        <f>VLOOKUP(AG44,'BUS 2'!$G$1:$CU$424,36,0)</f>
        <v/>
      </c>
      <c r="TC44" s="9" t="str">
        <f>VLOOKUP(AG44,'BUS 2'!$G$1:$CU$424,37,0)</f>
        <v/>
      </c>
      <c r="TD44" s="9" t="str">
        <f>VLOOKUP(AG44,'BUS 2'!$G$1:$CU$424,38,0)</f>
        <v/>
      </c>
      <c r="TE44" s="9" t="str">
        <f>VLOOKUP(AG44,'BUS 2'!$G$1:$CU$424,39,0)</f>
        <v/>
      </c>
      <c r="TF44" s="9" t="str">
        <f>VLOOKUP(AG44,'BUS 2'!$G$1:$CU$424,40,0)</f>
        <v/>
      </c>
      <c r="TG44" s="8" t="str">
        <f>VLOOKUP(AG44,'BUS 2'!$G$1:$CU$424,42,0)</f>
        <v/>
      </c>
      <c r="TH44" s="8">
        <f>VLOOKUP(AG44,'BUS 2'!$G$1:$CU$424,43,0)</f>
        <v>4</v>
      </c>
      <c r="TI44" s="8" t="str">
        <f>VLOOKUP(AG44,'BUS 2'!$G$1:$CU$424,44,0)</f>
        <v/>
      </c>
      <c r="TJ44" s="8" t="str">
        <f>VLOOKUP(AG44,'BUS 2'!$G$1:$CU$424,45,0)</f>
        <v/>
      </c>
      <c r="TK44" s="8" t="str">
        <f>VLOOKUP(AG44,'BUS 2'!$G$1:$CU$424,46,0)</f>
        <v/>
      </c>
      <c r="TL44" s="8" t="str">
        <f>VLOOKUP(AG44,'BUS 2'!$G$1:$CU$424,47,0)</f>
        <v/>
      </c>
      <c r="TM44" s="8" t="str">
        <f>VLOOKUP(AG44,'BUS 2'!$G$1:$CU$424,48,0)</f>
        <v/>
      </c>
      <c r="TN44" s="8" t="str">
        <f>VLOOKUP(AG44,'BUS 2'!$G$1:$CU$424,49,0)</f>
        <v/>
      </c>
      <c r="TO44" s="8" t="str">
        <f>VLOOKUP(AG44,'BUS 2'!$G$1:$CU$424,50,0)</f>
        <v/>
      </c>
      <c r="TP44" s="8" t="str">
        <f>VLOOKUP(AG44,'BUS 2'!$G$1:$CU$424,51,0)</f>
        <v/>
      </c>
      <c r="TQ44" s="8" t="str">
        <f>VLOOKUP(AG44,'BUS 2'!$G$1:$CU$424,52,0)</f>
        <v/>
      </c>
      <c r="TR44" s="8" t="str">
        <f>VLOOKUP(AG44,'BUS 2'!$G$1:$CU$424,53,0)</f>
        <v/>
      </c>
      <c r="TS44" s="9" t="str">
        <f>VLOOKUP(AG44,'BUS 2'!$G$1:$CU$424,54,0)</f>
        <v/>
      </c>
      <c r="TT44" s="9" t="str">
        <f>VLOOKUP(AG44,'BUS 2'!$G$1:$CU$424,55,0)</f>
        <v/>
      </c>
      <c r="TU44" s="9" t="str">
        <f>VLOOKUP(AG44,'BUS 2'!$G$1:$CU$424,56,0)</f>
        <v/>
      </c>
      <c r="TV44" s="9" t="str">
        <f>VLOOKUP(AG44,'BUS 2'!$G$1:$CU$424,57,0)</f>
        <v/>
      </c>
      <c r="TW44" s="9" t="str">
        <f>VLOOKUP(AG44,'BUS 2'!$G$1:$CU$424,58,0)</f>
        <v/>
      </c>
      <c r="TX44" s="9" t="str">
        <f>VLOOKUP(AG44,'BUS 2'!$G$1:$CU$424,59,0)</f>
        <v/>
      </c>
      <c r="TY44" s="9" t="str">
        <f>VLOOKUP(AG44,'BUS 2'!$G$1:$CU$424,60,0)</f>
        <v/>
      </c>
      <c r="TZ44" s="9" t="str">
        <f>VLOOKUP(AG44,'BUS 2'!$G$1:$CU$424,61,0)</f>
        <v/>
      </c>
      <c r="UA44" s="9" t="str">
        <f>VLOOKUP(AG44,'BUS 2'!$G$1:$CU$424,62,0)</f>
        <v/>
      </c>
      <c r="UB44" s="9" t="str">
        <f>VLOOKUP(AG44,'BUS 2'!$G$1:$CU$424,63,0)</f>
        <v/>
      </c>
      <c r="UC44" s="9" t="str">
        <f>VLOOKUP(AG44,'BUS 2'!$G$1:$CU$424,64,0)</f>
        <v/>
      </c>
      <c r="UD44" s="9" t="str">
        <f>VLOOKUP(AG44,'BUS 2'!$G$1:$CU$424,65,0)</f>
        <v/>
      </c>
      <c r="UE44" s="9" t="str">
        <f>VLOOKUP(AG44,'BUS 2'!$G$1:$CU$424,66,0)</f>
        <v/>
      </c>
      <c r="UF44" s="9" t="str">
        <f>VLOOKUP(AG44,'BUS 2'!$G$1:$CU$424,67,0)</f>
        <v/>
      </c>
      <c r="UG44" s="9" t="str">
        <f>VLOOKUP(AG44,'BUS 2'!$G$1:$CU$424,68,0)</f>
        <v/>
      </c>
      <c r="UH44" s="9" t="str">
        <f>VLOOKUP(AG44,'BUS 2'!$G$1:$CU$424,69,0)</f>
        <v/>
      </c>
      <c r="UI44" s="9" t="str">
        <f>VLOOKUP(AG44,'BUS 2'!$G$1:$CU$424,70,0)</f>
        <v/>
      </c>
      <c r="UJ44" s="9" t="str">
        <f>VLOOKUP(AG44,'BUS 2'!$G$1:$CU$424,71,0)</f>
        <v/>
      </c>
      <c r="UK44" s="9" t="str">
        <f>VLOOKUP(AG44,'BUS 2'!$G$1:$CU$424,72,0)</f>
        <v/>
      </c>
      <c r="UL44" s="9" t="str">
        <f>VLOOKUP(AG44,'BUS 2'!$G$1:$CU$424,73,0)</f>
        <v/>
      </c>
      <c r="UM44" s="9" t="str">
        <f>VLOOKUP(AG44,'BUS 2'!$G$1:$CU$424,74,0)</f>
        <v/>
      </c>
      <c r="UN44" s="9" t="str">
        <f>VLOOKUP(AG44,'BUS 2'!$G$1:$CU$424,75,0)</f>
        <v/>
      </c>
      <c r="UO44" s="9" t="str">
        <f>VLOOKUP(AG44,'BUS 2'!$G$1:$CU$424,76,0)</f>
        <v/>
      </c>
      <c r="UP44" s="9" t="str">
        <f>VLOOKUP(AG44,'BUS 2'!$G$1:$CU$424,77,0)</f>
        <v/>
      </c>
      <c r="UQ44" s="9" t="str">
        <f>VLOOKUP(AG44,'BUS 2'!$G$1:$CU$424,78,0)</f>
        <v/>
      </c>
      <c r="UR44" s="9" t="str">
        <f>VLOOKUP(AG44,'BUS 2'!$G$1:$CU$424,79,0)</f>
        <v/>
      </c>
      <c r="US44" s="9" t="str">
        <f>VLOOKUP(AG44,'BUS 2'!$G$1:$CU$424,80,0)</f>
        <v/>
      </c>
      <c r="UT44" s="9" t="str">
        <f>VLOOKUP(AG44,'BUS 2'!$G$1:$CU$424,81,0)</f>
        <v/>
      </c>
      <c r="UU44" s="9"/>
      <c r="UV44" s="9" t="s">
        <v>901</v>
      </c>
      <c r="UW44" s="9"/>
      <c r="UX44" s="9"/>
      <c r="UY44" s="9"/>
      <c r="UZ44" s="9"/>
      <c r="VA44" s="9"/>
      <c r="VB44" s="9"/>
      <c r="VC44" s="9"/>
      <c r="VD44" s="9" t="s">
        <v>950</v>
      </c>
      <c r="VE44" s="9"/>
      <c r="VF44" s="9"/>
      <c r="VG44" s="9"/>
      <c r="VH44" s="9"/>
      <c r="VI44" s="9"/>
      <c r="VJ44" s="9"/>
      <c r="VK44" s="9"/>
      <c r="VL44" s="9" t="s">
        <v>1158</v>
      </c>
      <c r="VM44" s="9"/>
      <c r="VN44" s="9"/>
      <c r="VO44" s="9"/>
      <c r="VP44" s="9"/>
      <c r="VQ44" s="9"/>
      <c r="VR44" s="9"/>
      <c r="VS44" s="9"/>
      <c r="VT44" s="9"/>
      <c r="VU44" s="9"/>
      <c r="VV44" s="9"/>
      <c r="VW44" s="9"/>
      <c r="VX44" s="9"/>
      <c r="VY44" s="9"/>
      <c r="VZ44" s="9"/>
      <c r="WA44" s="9"/>
      <c r="WB44" s="9"/>
      <c r="WC44" s="9"/>
      <c r="WD44" s="9"/>
      <c r="WE44" s="9"/>
      <c r="WF44" s="9" t="s">
        <v>1207</v>
      </c>
      <c r="WG44" s="8">
        <v>0.0</v>
      </c>
      <c r="WH44" s="8">
        <v>0.0</v>
      </c>
      <c r="WI44" s="8">
        <v>0.0</v>
      </c>
      <c r="WJ44" s="8">
        <v>1.0</v>
      </c>
      <c r="WK44" s="8">
        <v>1.0</v>
      </c>
      <c r="WL44" s="8">
        <v>1.0</v>
      </c>
      <c r="WM44" s="8">
        <v>0.0</v>
      </c>
      <c r="WN44" s="8">
        <v>0.0</v>
      </c>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8">
        <v>50.0</v>
      </c>
      <c r="ZP44" s="9"/>
      <c r="ZQ44" s="9"/>
      <c r="ZR44" s="9"/>
      <c r="ZS44" s="9"/>
      <c r="ZT44" s="9"/>
      <c r="ZU44" s="9"/>
      <c r="ZV44" s="9"/>
      <c r="ZW44" s="8">
        <v>2.0</v>
      </c>
      <c r="ZX44" s="9"/>
      <c r="ZY44" s="9"/>
      <c r="ZZ44" s="9"/>
      <c r="AAA44" s="9"/>
      <c r="AAB44" s="9"/>
      <c r="AAC44" s="9"/>
      <c r="AAD44" s="9"/>
      <c r="AAE44" s="9" t="s">
        <v>905</v>
      </c>
      <c r="AAF44" s="9"/>
      <c r="AAG44" s="9"/>
      <c r="AAH44" s="9"/>
      <c r="AAI44" s="9"/>
      <c r="AAJ44" s="9"/>
      <c r="AAK44" s="9"/>
      <c r="AAL44" s="9" t="s">
        <v>857</v>
      </c>
      <c r="AAM44" s="9" t="s">
        <v>1033</v>
      </c>
      <c r="AAN44" s="8">
        <v>1.0</v>
      </c>
      <c r="AAO44" s="8">
        <v>1.0</v>
      </c>
      <c r="AAP44" s="8">
        <v>50.0</v>
      </c>
      <c r="AAQ44" s="8">
        <v>50.0</v>
      </c>
      <c r="AAR44" s="9" t="s">
        <v>857</v>
      </c>
      <c r="AAS44" s="9" t="s">
        <v>867</v>
      </c>
      <c r="AAT44" s="9" t="s">
        <v>1074</v>
      </c>
      <c r="AAU44" s="8">
        <v>1.0</v>
      </c>
      <c r="AAV44" s="8">
        <v>0.0</v>
      </c>
      <c r="AAW44" s="8">
        <v>0.0</v>
      </c>
      <c r="AAX44" s="8">
        <v>1.0</v>
      </c>
      <c r="AAY44" s="8">
        <v>1.0</v>
      </c>
      <c r="AAZ44" s="8">
        <v>0.0</v>
      </c>
      <c r="ABA44" s="8">
        <v>0.0</v>
      </c>
      <c r="ABB44" s="9" t="s">
        <v>907</v>
      </c>
      <c r="ABC44" s="8">
        <v>1.0</v>
      </c>
      <c r="ABD44" s="8">
        <v>0.0</v>
      </c>
      <c r="ABE44" s="8">
        <v>0.0</v>
      </c>
      <c r="ABF44" s="8">
        <v>0.0</v>
      </c>
      <c r="ABG44" s="8">
        <v>0.0</v>
      </c>
      <c r="ABH44" s="9"/>
      <c r="ABI44" s="9"/>
      <c r="ABJ44" s="9"/>
      <c r="ABK44" s="9"/>
      <c r="ABL44" s="9"/>
      <c r="ABM44" s="9"/>
      <c r="ABN44" s="9"/>
      <c r="ABO44" s="9"/>
      <c r="ABP44" s="9"/>
      <c r="ABQ44" s="11" t="s">
        <v>953</v>
      </c>
      <c r="ABR44" s="9" t="s">
        <v>1075</v>
      </c>
      <c r="ABS44" s="8">
        <v>2000.0</v>
      </c>
      <c r="ABT44" s="8">
        <v>200.0</v>
      </c>
      <c r="ABU44" s="8">
        <v>50.0</v>
      </c>
      <c r="ABV44" s="8">
        <v>50.0</v>
      </c>
      <c r="ABW44" s="9" t="s">
        <v>1199</v>
      </c>
      <c r="ABX44" s="9"/>
      <c r="ABY44" s="8">
        <v>30.0</v>
      </c>
      <c r="ABZ44" s="8">
        <v>4000.0</v>
      </c>
      <c r="ACA44" s="8">
        <v>5.0</v>
      </c>
      <c r="ACB44" s="8">
        <v>4000.0</v>
      </c>
      <c r="ACC44" s="8">
        <v>400.0</v>
      </c>
      <c r="ACD44" s="8">
        <v>500.0</v>
      </c>
      <c r="ACE44" s="9" t="s">
        <v>857</v>
      </c>
      <c r="ACF44" s="9" t="s">
        <v>911</v>
      </c>
      <c r="ACG44" s="9" t="s">
        <v>911</v>
      </c>
      <c r="ACH44" s="9" t="s">
        <v>911</v>
      </c>
      <c r="ACI44" s="9"/>
      <c r="ACJ44" s="9"/>
      <c r="ACK44" s="9" t="s">
        <v>1215</v>
      </c>
      <c r="ACL44" s="8">
        <v>0.0</v>
      </c>
      <c r="ACM44" s="8">
        <v>1.0</v>
      </c>
      <c r="ACN44" s="8">
        <v>0.0</v>
      </c>
      <c r="ACO44" s="8">
        <v>1.0</v>
      </c>
      <c r="ACP44" s="8">
        <v>0.0</v>
      </c>
      <c r="ACQ44" s="8">
        <v>0.0</v>
      </c>
      <c r="ACR44" s="8">
        <v>0.0</v>
      </c>
      <c r="ACS44" s="9"/>
      <c r="ACT44" s="9" t="s">
        <v>912</v>
      </c>
      <c r="ACU44" s="9" t="s">
        <v>1050</v>
      </c>
      <c r="ACV44" s="9" t="s">
        <v>957</v>
      </c>
      <c r="ACW44" s="9" t="s">
        <v>915</v>
      </c>
      <c r="ACX44" s="9" t="s">
        <v>916</v>
      </c>
      <c r="ACY44" s="9" t="s">
        <v>1035</v>
      </c>
      <c r="ACZ44" s="8">
        <v>1.0</v>
      </c>
      <c r="ADA44" s="8">
        <v>1.0</v>
      </c>
      <c r="ADB44" s="8">
        <v>0.0</v>
      </c>
      <c r="ADC44" s="8">
        <v>0.0</v>
      </c>
      <c r="ADD44" s="9" t="s">
        <v>1187</v>
      </c>
      <c r="ADE44" s="9" t="s">
        <v>1187</v>
      </c>
      <c r="ADF44" s="9" t="s">
        <v>1187</v>
      </c>
      <c r="ADG44" s="9" t="s">
        <v>1187</v>
      </c>
      <c r="ADH44" s="9" t="s">
        <v>881</v>
      </c>
      <c r="ADI44" s="9"/>
      <c r="ADJ44" s="9" t="s">
        <v>917</v>
      </c>
      <c r="ADK44" s="9"/>
      <c r="ADL44" s="9"/>
      <c r="ADM44" s="9"/>
      <c r="ADN44" s="9"/>
      <c r="ADO44" s="9"/>
      <c r="ADP44" s="9"/>
      <c r="ADQ44" s="9"/>
      <c r="ADR44" s="9"/>
      <c r="ADS44" s="9"/>
      <c r="ADT44" s="9"/>
      <c r="ADU44" s="9" t="s">
        <v>919</v>
      </c>
      <c r="ADV44" s="8">
        <v>0.0</v>
      </c>
      <c r="ADW44" s="8">
        <v>0.0</v>
      </c>
      <c r="ADX44" s="8">
        <v>0.0</v>
      </c>
      <c r="ADY44" s="8">
        <v>0.0</v>
      </c>
      <c r="ADZ44" s="8">
        <v>1.0</v>
      </c>
      <c r="AEA44" s="8">
        <v>0.0</v>
      </c>
      <c r="AEB44" s="8">
        <v>0.0</v>
      </c>
      <c r="AEC44" s="8">
        <v>0.0</v>
      </c>
      <c r="AED44" s="12"/>
      <c r="AEE44" s="17" t="s">
        <v>872</v>
      </c>
      <c r="AEF44" s="9"/>
      <c r="AEG44" s="17" t="s">
        <v>920</v>
      </c>
      <c r="AEH44" s="9"/>
      <c r="AEI44" s="11" t="s">
        <v>999</v>
      </c>
      <c r="AEJ44" s="9" t="s">
        <v>871</v>
      </c>
      <c r="AEK44" s="17" t="s">
        <v>1108</v>
      </c>
      <c r="AEL44" s="18">
        <v>1.0</v>
      </c>
      <c r="AEM44" s="18">
        <v>1.0</v>
      </c>
      <c r="AEN44" s="18">
        <v>1.0</v>
      </c>
      <c r="AEO44" s="18">
        <v>1.0</v>
      </c>
      <c r="AEP44" s="18">
        <v>1.0</v>
      </c>
      <c r="AEQ44" s="18">
        <v>1.0</v>
      </c>
      <c r="AER44" s="18">
        <v>1.0</v>
      </c>
      <c r="AES44" s="18">
        <v>1.0</v>
      </c>
      <c r="AET44" s="18">
        <v>1.0</v>
      </c>
      <c r="AEU44" s="18">
        <v>0.0</v>
      </c>
      <c r="AEV44" s="18">
        <v>0.0</v>
      </c>
      <c r="AEW44" s="18">
        <v>0.0</v>
      </c>
      <c r="AEX44" s="9"/>
      <c r="AEY44" s="9" t="s">
        <v>923</v>
      </c>
      <c r="AEZ44" s="9"/>
      <c r="AFA44" s="9" t="s">
        <v>1188</v>
      </c>
      <c r="AFB44" s="9"/>
      <c r="AFC44" s="9" t="s">
        <v>1412</v>
      </c>
      <c r="AFD44" s="16" t="s">
        <v>1413</v>
      </c>
      <c r="AFE44" s="9" t="s">
        <v>1414</v>
      </c>
      <c r="AFF44" s="16" t="s">
        <v>1415</v>
      </c>
      <c r="AFG44" s="9" t="s">
        <v>1193</v>
      </c>
      <c r="AFH44" s="9"/>
      <c r="AFI44" s="9" t="s">
        <v>1409</v>
      </c>
    </row>
    <row r="45">
      <c r="A45" s="6">
        <v>46062.0</v>
      </c>
      <c r="B45" s="6">
        <v>46062.0</v>
      </c>
      <c r="C45" s="7" t="s">
        <v>837</v>
      </c>
      <c r="D45" s="7" t="s">
        <v>1416</v>
      </c>
      <c r="E45" s="8">
        <v>6.28895911406E11</v>
      </c>
      <c r="F45" s="9"/>
      <c r="G45" s="8">
        <v>-7.232339412</v>
      </c>
      <c r="H45" s="8">
        <v>110.284028</v>
      </c>
      <c r="I45" s="9"/>
      <c r="J45" s="8">
        <v>4.84</v>
      </c>
      <c r="K45" s="9"/>
      <c r="L45" s="9"/>
      <c r="M45" s="8">
        <v>-7.2324144</v>
      </c>
      <c r="N45" s="8">
        <v>110.2840848</v>
      </c>
      <c r="O45" s="9"/>
      <c r="P45" s="8">
        <v>4.9</v>
      </c>
      <c r="Q45" s="9"/>
      <c r="R45" s="9" t="s">
        <v>839</v>
      </c>
      <c r="S45" s="9"/>
      <c r="T45" s="9"/>
      <c r="U45" s="9"/>
      <c r="V45" s="9"/>
      <c r="W45" s="9"/>
      <c r="X45" s="9"/>
      <c r="Y45" s="9"/>
      <c r="Z45" s="9"/>
      <c r="AA45" s="9"/>
      <c r="AB45" s="9"/>
      <c r="AC45" s="7" t="s">
        <v>1175</v>
      </c>
      <c r="AD45" s="7" t="s">
        <v>1176</v>
      </c>
      <c r="AE45" s="7" t="s">
        <v>1401</v>
      </c>
      <c r="AF45" s="9" t="s">
        <v>1166</v>
      </c>
      <c r="AG45" s="9" t="s">
        <v>1417</v>
      </c>
      <c r="AH45" s="8">
        <v>15.0</v>
      </c>
      <c r="AI45" s="9" t="s">
        <v>933</v>
      </c>
      <c r="AJ45" s="9" t="s">
        <v>846</v>
      </c>
      <c r="AK45" s="8">
        <v>55.0</v>
      </c>
      <c r="AL45" s="9" t="s">
        <v>847</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2.0</v>
      </c>
      <c r="BK45" s="8">
        <v>2.0</v>
      </c>
      <c r="BL45" s="8">
        <v>2.0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856</v>
      </c>
      <c r="CD45" s="8">
        <v>0.0</v>
      </c>
      <c r="CE45" s="8">
        <v>0.0</v>
      </c>
      <c r="CF45" s="8">
        <v>0.0</v>
      </c>
      <c r="CG45" s="8">
        <v>0.0</v>
      </c>
      <c r="CH45" s="8">
        <v>0.0</v>
      </c>
      <c r="CI45" s="8">
        <v>1.0</v>
      </c>
      <c r="CJ45" s="8">
        <v>0.0</v>
      </c>
      <c r="CK45" s="9"/>
      <c r="CL45" s="9" t="s">
        <v>857</v>
      </c>
      <c r="CM45" s="8">
        <v>2010.0</v>
      </c>
      <c r="CN45" s="9" t="s">
        <v>858</v>
      </c>
      <c r="CO45" s="9" t="s">
        <v>859</v>
      </c>
      <c r="CP45" s="9" t="s">
        <v>860</v>
      </c>
      <c r="CQ45" s="8">
        <v>0.0</v>
      </c>
      <c r="CR45" s="8">
        <v>0.0</v>
      </c>
      <c r="CS45" s="8">
        <v>0.0</v>
      </c>
      <c r="CT45" s="8">
        <v>0.0</v>
      </c>
      <c r="CU45" s="10">
        <v>1.0</v>
      </c>
      <c r="CV45" s="10">
        <v>0.0</v>
      </c>
      <c r="CW45" s="10">
        <v>0.0</v>
      </c>
      <c r="CX45" s="8">
        <v>0.0</v>
      </c>
      <c r="CY45" s="9" t="s">
        <v>860</v>
      </c>
      <c r="CZ45" s="8">
        <v>1.0</v>
      </c>
      <c r="DA45" s="8">
        <v>0.0</v>
      </c>
      <c r="DB45" s="8">
        <v>0.0</v>
      </c>
      <c r="DC45" s="9"/>
      <c r="DD45" s="9" t="s">
        <v>937</v>
      </c>
      <c r="DE45" s="8">
        <v>1.0</v>
      </c>
      <c r="DF45" s="8">
        <v>0.0</v>
      </c>
      <c r="DG45" s="8">
        <v>1.0</v>
      </c>
      <c r="DH45" s="8">
        <v>0.0</v>
      </c>
      <c r="DI45" s="9"/>
      <c r="DJ45" s="9" t="s">
        <v>937</v>
      </c>
      <c r="DK45" s="8">
        <v>1.0</v>
      </c>
      <c r="DL45" s="8">
        <v>0.0</v>
      </c>
      <c r="DM45" s="8">
        <v>1.0</v>
      </c>
      <c r="DN45" s="8">
        <v>0.0</v>
      </c>
      <c r="DO45" s="9"/>
      <c r="DP45" s="8">
        <v>1.0</v>
      </c>
      <c r="DQ45" s="8">
        <v>0.0</v>
      </c>
      <c r="DR45" s="8">
        <v>0.0</v>
      </c>
      <c r="DS45" s="9"/>
      <c r="DT45" s="9"/>
      <c r="DU45" s="9"/>
      <c r="DV45" s="9" t="s">
        <v>857</v>
      </c>
      <c r="DW45" s="9"/>
      <c r="DX45" s="9"/>
      <c r="DY45" s="9"/>
      <c r="DZ45" s="9"/>
      <c r="EA45" s="9"/>
      <c r="EB45" s="9"/>
      <c r="EC45" s="9"/>
      <c r="ED45" s="9"/>
      <c r="EE45" s="9"/>
      <c r="EF45" s="9"/>
      <c r="EG45" s="9"/>
      <c r="EH45" s="9"/>
      <c r="EI45" s="9" t="s">
        <v>862</v>
      </c>
      <c r="EJ45" s="8">
        <v>0.0</v>
      </c>
      <c r="EK45" s="8">
        <v>0.0</v>
      </c>
      <c r="EL45" s="8">
        <v>0.0</v>
      </c>
      <c r="EM45" s="8">
        <v>1.0</v>
      </c>
      <c r="EN45" s="8">
        <v>0.0</v>
      </c>
      <c r="EO45" s="11"/>
      <c r="EP45" s="9" t="s">
        <v>863</v>
      </c>
      <c r="EQ45" s="9" t="s">
        <v>864</v>
      </c>
      <c r="ER45" s="9" t="s">
        <v>861</v>
      </c>
      <c r="ES45" s="8">
        <v>1.0</v>
      </c>
      <c r="ET45" s="8">
        <v>0.0</v>
      </c>
      <c r="EU45" s="8">
        <v>0.0</v>
      </c>
      <c r="EV45" s="8">
        <v>0.0</v>
      </c>
      <c r="EW45" s="9"/>
      <c r="EX45" s="9" t="s">
        <v>865</v>
      </c>
      <c r="EY45" s="8">
        <v>1.0</v>
      </c>
      <c r="EZ45" s="8">
        <v>0.0</v>
      </c>
      <c r="FA45" s="8">
        <v>0.0</v>
      </c>
      <c r="FB45" s="9"/>
      <c r="FC45" s="9" t="s">
        <v>1072</v>
      </c>
      <c r="FD45" s="9"/>
      <c r="FE45" s="9" t="s">
        <v>867</v>
      </c>
      <c r="FF45" s="9" t="s">
        <v>868</v>
      </c>
      <c r="FG45" s="9" t="s">
        <v>867</v>
      </c>
      <c r="FH45" s="9" t="s">
        <v>868</v>
      </c>
      <c r="FI45" s="9" t="s">
        <v>867</v>
      </c>
      <c r="FJ45" s="9" t="s">
        <v>943</v>
      </c>
      <c r="FK45" s="9" t="s">
        <v>867</v>
      </c>
      <c r="FL45" s="9" t="s">
        <v>943</v>
      </c>
      <c r="FM45" s="9" t="s">
        <v>867</v>
      </c>
      <c r="FN45" s="9" t="s">
        <v>943</v>
      </c>
      <c r="FO45" s="9" t="s">
        <v>867</v>
      </c>
      <c r="FP45" s="9" t="s">
        <v>870</v>
      </c>
      <c r="FQ45" s="9" t="s">
        <v>867</v>
      </c>
      <c r="FR45" s="9" t="s">
        <v>857</v>
      </c>
      <c r="FS45" s="9" t="s">
        <v>867</v>
      </c>
      <c r="FT45" s="9" t="s">
        <v>871</v>
      </c>
      <c r="FU45" s="9" t="s">
        <v>989</v>
      </c>
      <c r="FV45" s="8">
        <v>1.0</v>
      </c>
      <c r="FW45" s="8">
        <v>1.0</v>
      </c>
      <c r="FX45" s="8">
        <v>0.0</v>
      </c>
      <c r="FY45" s="8">
        <v>0.0</v>
      </c>
      <c r="FZ45" s="9" t="s">
        <v>873</v>
      </c>
      <c r="GA45" s="9" t="s">
        <v>990</v>
      </c>
      <c r="GB45" s="8">
        <v>1.0</v>
      </c>
      <c r="GC45" s="8">
        <v>1.0</v>
      </c>
      <c r="GD45" s="8">
        <v>0.0</v>
      </c>
      <c r="GE45" s="8">
        <v>0.0</v>
      </c>
      <c r="GF45" s="9"/>
      <c r="GG45" s="9" t="s">
        <v>875</v>
      </c>
      <c r="GH45" s="9" t="s">
        <v>857</v>
      </c>
      <c r="GI45" s="9" t="s">
        <v>876</v>
      </c>
      <c r="GJ45" s="8">
        <v>1.0</v>
      </c>
      <c r="GK45" s="8">
        <v>0.0</v>
      </c>
      <c r="GL45" s="8">
        <v>0.0</v>
      </c>
      <c r="GM45" s="8">
        <v>0.0</v>
      </c>
      <c r="GN45" s="9"/>
      <c r="GO45" s="8">
        <v>9.0</v>
      </c>
      <c r="GP45" s="9" t="s">
        <v>877</v>
      </c>
      <c r="GQ45" s="9" t="s">
        <v>1418</v>
      </c>
      <c r="GR45" s="8">
        <v>0.0</v>
      </c>
      <c r="GS45" s="8">
        <v>1.0</v>
      </c>
      <c r="GT45" s="8">
        <v>0.0</v>
      </c>
      <c r="GU45" s="8">
        <v>0.0</v>
      </c>
      <c r="GV45" s="8">
        <v>0.0</v>
      </c>
      <c r="GW45" s="8">
        <v>0.0</v>
      </c>
      <c r="GX45" s="8">
        <v>0.0</v>
      </c>
      <c r="GY45" s="9"/>
      <c r="GZ45" s="9" t="s">
        <v>857</v>
      </c>
      <c r="HA45" s="8">
        <v>20.0</v>
      </c>
      <c r="HB45" s="8">
        <v>20000.0</v>
      </c>
      <c r="HC45" s="8">
        <v>5.0</v>
      </c>
      <c r="HD45" s="8">
        <v>50000.0</v>
      </c>
      <c r="HE45" s="9"/>
      <c r="HF45" s="9"/>
      <c r="HG45" s="9"/>
      <c r="HH45" s="9"/>
      <c r="HI45" s="9"/>
      <c r="HJ45" s="9"/>
      <c r="HK45" s="9"/>
      <c r="HL45" s="9"/>
      <c r="HM45" s="9"/>
      <c r="HN45" s="9"/>
      <c r="HO45" s="9"/>
      <c r="HP45" s="9"/>
      <c r="HQ45" s="9"/>
      <c r="HR45" s="9"/>
      <c r="HS45" s="9"/>
      <c r="HT45" s="9"/>
      <c r="HU45" s="9"/>
      <c r="HV45" s="9"/>
      <c r="HW45" s="9"/>
      <c r="HX45" s="9"/>
      <c r="HY45" s="8">
        <v>15.0</v>
      </c>
      <c r="HZ45" s="8">
        <v>150000.0</v>
      </c>
      <c r="IA45" s="9"/>
      <c r="IB45" s="9"/>
      <c r="IC45" s="9"/>
      <c r="ID45" s="9"/>
      <c r="IE45" s="9"/>
      <c r="IF45" s="9"/>
      <c r="IG45" s="9"/>
      <c r="IH45" s="9"/>
      <c r="II45" s="9"/>
      <c r="IJ45" s="9"/>
      <c r="IK45" s="9" t="s">
        <v>879</v>
      </c>
      <c r="IL45" s="9" t="s">
        <v>880</v>
      </c>
      <c r="IM45" s="9" t="s">
        <v>857</v>
      </c>
      <c r="IN45" s="9" t="s">
        <v>881</v>
      </c>
      <c r="IO45" s="9" t="s">
        <v>882</v>
      </c>
      <c r="IP45" s="9" t="s">
        <v>1419</v>
      </c>
      <c r="IQ45" s="9" t="s">
        <v>1356</v>
      </c>
      <c r="IR45" s="9" t="s">
        <v>872</v>
      </c>
      <c r="IS45" s="8">
        <v>1.0</v>
      </c>
      <c r="IT45" s="8">
        <v>0.0</v>
      </c>
      <c r="IU45" s="8">
        <v>0.0</v>
      </c>
      <c r="IV45" s="9" t="s">
        <v>1014</v>
      </c>
      <c r="IW45" s="8">
        <v>0.0</v>
      </c>
      <c r="IX45" s="8">
        <v>1.0</v>
      </c>
      <c r="IY45" s="8">
        <v>0.0</v>
      </c>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884</v>
      </c>
      <c r="KT45" s="9" t="s">
        <v>886</v>
      </c>
      <c r="KU45" s="9" t="s">
        <v>886</v>
      </c>
      <c r="KV45" s="9" t="s">
        <v>872</v>
      </c>
      <c r="KW45" s="8">
        <v>1.0</v>
      </c>
      <c r="KX45" s="8">
        <v>0.0</v>
      </c>
      <c r="KY45" s="8">
        <v>0.0</v>
      </c>
      <c r="KZ45" s="8">
        <v>0.0</v>
      </c>
      <c r="LA45" s="9" t="s">
        <v>884</v>
      </c>
      <c r="LB45" s="9" t="s">
        <v>884</v>
      </c>
      <c r="LC45" s="8">
        <v>3.0</v>
      </c>
      <c r="LD45" s="8">
        <v>3.0</v>
      </c>
      <c r="LE45" s="8">
        <v>0.0</v>
      </c>
      <c r="LF45" s="8">
        <v>0.0</v>
      </c>
      <c r="LG45" s="9" t="s">
        <v>857</v>
      </c>
      <c r="LH45" s="8">
        <v>100000.0</v>
      </c>
      <c r="LI45" s="9"/>
      <c r="LJ45" s="9" t="s">
        <v>887</v>
      </c>
      <c r="LK45" s="8">
        <v>0.0</v>
      </c>
      <c r="LL45" s="8">
        <v>0.0</v>
      </c>
      <c r="LM45" s="8">
        <v>0.0</v>
      </c>
      <c r="LN45" s="8">
        <v>0.0</v>
      </c>
      <c r="LO45" s="8">
        <v>1.0</v>
      </c>
      <c r="LP45" s="8">
        <v>0.0</v>
      </c>
      <c r="LQ45" s="8">
        <v>0.0</v>
      </c>
      <c r="LR45" s="9"/>
      <c r="LS45" s="8">
        <v>15.0</v>
      </c>
      <c r="LT45" s="8">
        <v>15.0</v>
      </c>
      <c r="LU45" s="8">
        <v>0.0</v>
      </c>
      <c r="LV45" s="8">
        <v>5.0</v>
      </c>
      <c r="LW45" s="8">
        <v>5.0</v>
      </c>
      <c r="LX45" s="8">
        <v>0.0</v>
      </c>
      <c r="LY45" s="8">
        <v>5.0</v>
      </c>
      <c r="LZ45" s="8">
        <v>5.0</v>
      </c>
      <c r="MA45" s="8">
        <v>0.0</v>
      </c>
      <c r="MB45" s="9" t="s">
        <v>857</v>
      </c>
      <c r="MC45" s="8">
        <v>30.0</v>
      </c>
      <c r="MD45" s="8">
        <v>15.0</v>
      </c>
      <c r="ME45" s="8">
        <v>30.0</v>
      </c>
      <c r="MF45" s="8">
        <v>15.0</v>
      </c>
      <c r="MG45" s="8">
        <v>0.0</v>
      </c>
      <c r="MH45" s="8">
        <v>0.0</v>
      </c>
      <c r="MI45" s="9" t="s">
        <v>946</v>
      </c>
      <c r="MJ45" s="8">
        <v>0.0</v>
      </c>
      <c r="MK45" s="8">
        <v>0.0</v>
      </c>
      <c r="ML45" s="8">
        <v>1.0</v>
      </c>
      <c r="MM45" s="8">
        <v>0.0</v>
      </c>
      <c r="MN45" s="8">
        <v>0.0</v>
      </c>
      <c r="MO45" s="8">
        <v>0.0</v>
      </c>
      <c r="MP45" s="9"/>
      <c r="MQ45" s="9"/>
      <c r="MR45" s="9" t="s">
        <v>1420</v>
      </c>
      <c r="MS45" s="9"/>
      <c r="MT45" s="9" t="s">
        <v>1421</v>
      </c>
      <c r="MU45" s="9" t="s">
        <v>881</v>
      </c>
      <c r="MV45" s="9"/>
      <c r="MW45" s="9"/>
      <c r="MX45" s="9"/>
      <c r="MY45" s="9"/>
      <c r="MZ45" s="9"/>
      <c r="NA45" s="9"/>
      <c r="NB45" s="9"/>
      <c r="NC45" s="9"/>
      <c r="ND45" s="9"/>
      <c r="NE45" s="9"/>
      <c r="NF45" s="9"/>
      <c r="NG45" s="9"/>
      <c r="NH45" s="9"/>
      <c r="NI45" s="9"/>
      <c r="NJ45" s="9"/>
      <c r="NK45" s="9"/>
      <c r="NL45" s="9" t="s">
        <v>857</v>
      </c>
      <c r="NM45" s="9" t="s">
        <v>893</v>
      </c>
      <c r="NN45" s="9" t="s">
        <v>1141</v>
      </c>
      <c r="NO45" s="9" t="s">
        <v>973</v>
      </c>
      <c r="NP45" s="9"/>
      <c r="NQ45" s="9"/>
      <c r="NR45" s="9"/>
      <c r="NS45" s="9"/>
      <c r="NT45" s="9"/>
      <c r="NU45" s="9"/>
      <c r="NV45" s="9" t="s">
        <v>896</v>
      </c>
      <c r="NW45" s="9"/>
      <c r="NX45" s="9" t="s">
        <v>897</v>
      </c>
      <c r="NY45" s="8">
        <v>40.0</v>
      </c>
      <c r="NZ45" s="8">
        <v>20.0</v>
      </c>
      <c r="OA45" s="8">
        <v>0.0</v>
      </c>
      <c r="OB45" s="8">
        <v>5.0</v>
      </c>
      <c r="OC45" s="8">
        <v>5.0</v>
      </c>
      <c r="OD45" s="8">
        <v>0.0</v>
      </c>
      <c r="OE45" s="9" t="s">
        <v>898</v>
      </c>
      <c r="OF45" s="9" t="s">
        <v>899</v>
      </c>
      <c r="OG45" s="9" t="s">
        <v>857</v>
      </c>
      <c r="OH45" s="8">
        <v>0.0</v>
      </c>
      <c r="OI45" s="8">
        <v>4.0</v>
      </c>
      <c r="OJ45" s="8">
        <v>0.0</v>
      </c>
      <c r="OK45" s="8">
        <v>0.0</v>
      </c>
      <c r="OL45" s="8">
        <v>0.0</v>
      </c>
      <c r="OM45" s="8">
        <v>0.0</v>
      </c>
      <c r="ON45" s="8">
        <v>0.0</v>
      </c>
      <c r="OO45" s="8">
        <v>0.0</v>
      </c>
      <c r="OP45" s="9" t="str">
        <f>VLOOKUP(AG45,'BUS 2'!$G$1:$CU$424,2,0)</f>
        <v>Sapi perah</v>
      </c>
      <c r="OQ45" s="8">
        <f>VLOOKUP(AG45,'BUS 2'!$G$1:$CU$424,3,0)</f>
        <v>0</v>
      </c>
      <c r="OR45" s="8">
        <f>VLOOKUP(AG45,'BUS 2'!$G$1:$CU$424,4,0)</f>
        <v>1</v>
      </c>
      <c r="OS45" s="8">
        <f>VLOOKUP(AG45,'BUS 2'!$G$1:$CU$424,5,0)</f>
        <v>0</v>
      </c>
      <c r="OT45" s="8">
        <f>VLOOKUP(AG45,'BUS 2'!$G$1:$CU$424,6,0)</f>
        <v>0</v>
      </c>
      <c r="OU45" s="8">
        <f>VLOOKUP(AG45,'BUS 2'!$G$1:$CU$424,7,0)</f>
        <v>0</v>
      </c>
      <c r="OV45" s="8">
        <f>VLOOKUP(AG45,'BUS 2'!$G$1:$CU$424,8,0)</f>
        <v>0</v>
      </c>
      <c r="OW45" s="8">
        <f>VLOOKUP(AG45,'BUS 2'!$G$1:$CU$424,9,0)</f>
        <v>0</v>
      </c>
      <c r="OX45" s="8">
        <f>VLOOKUP(AG45,'BUS 2'!$G$1:$CU$424,10,0)</f>
        <v>0</v>
      </c>
      <c r="OY45" s="8">
        <f>VLOOKUP(AG45,'BUS 2'!$G$1:$CU$424,11,0)</f>
        <v>0</v>
      </c>
      <c r="OZ45" s="8" t="str">
        <f>VLOOKUP(AG45,'BUS 2'!$G$1:$CU$424,12,0)</f>
        <v>Sapi perah</v>
      </c>
      <c r="PA45" s="8">
        <f>VLOOKUP(AG45,'BUS 2'!$G$1:$CU$424,13,0)</f>
        <v>0</v>
      </c>
      <c r="PB45" s="8">
        <f>VLOOKUP(AG45,'BUS 2'!$G$1:$CU$424,14,0)</f>
        <v>1</v>
      </c>
      <c r="PC45" s="8">
        <f>VLOOKUP(AG45,'BUS 2'!$G$1:$CU$424,15,0)</f>
        <v>0</v>
      </c>
      <c r="PD45" s="8">
        <f>VLOOKUP(AG45,'BUS 2'!$G$1:$CU$424,16,0)</f>
        <v>0</v>
      </c>
      <c r="PE45" s="8">
        <f>VLOOKUP(AG45,'BUS 2'!$G$1:$CU$424,17,0)</f>
        <v>0</v>
      </c>
      <c r="PF45" s="8">
        <f>VLOOKUP(AG45,'BUS 2'!$G$1:$CU$424,18,0)</f>
        <v>0</v>
      </c>
      <c r="PG45" s="8">
        <f>VLOOKUP(AG45,'BUS 2'!$G$1:$CU$424,19,0)</f>
        <v>0</v>
      </c>
      <c r="PH45" s="8">
        <f>VLOOKUP(AG45,'BUS 2'!$G$1:$CU$424,20,0)</f>
        <v>0</v>
      </c>
      <c r="PI45" s="8">
        <f>VLOOKUP(AG45,'BUS 2'!$G$1:$CU$424,21,0)</f>
        <v>0</v>
      </c>
      <c r="PJ45" s="8" t="str">
        <f>VLOOKUP(AG45,'BUS 2'!$G$1:$CU$424,22,0)</f>
        <v>Tidak ada</v>
      </c>
      <c r="PK45" s="8">
        <f>VLOOKUP(AG45,'BUS 2'!$G$1:$CU$424,23,0)</f>
        <v>0</v>
      </c>
      <c r="PL45" s="8">
        <f>VLOOKUP(AG45,'BUS 2'!$G$1:$CU$424,24,0)</f>
        <v>0</v>
      </c>
      <c r="PM45" s="8">
        <f>VLOOKUP(AG45,'BUS 2'!$G$1:$CU$424,25,0)</f>
        <v>0</v>
      </c>
      <c r="PN45" s="8">
        <f>VLOOKUP(AG45,'BUS 2'!$G$1:$CU$424,26,0)</f>
        <v>0</v>
      </c>
      <c r="PO45" s="8">
        <f>VLOOKUP(AG45,'BUS 2'!$G$1:$CU$424,27,0)</f>
        <v>0</v>
      </c>
      <c r="PP45" s="8">
        <f>VLOOKUP(AG45,'BUS 2'!$G$1:$CU$424,28,0)</f>
        <v>0</v>
      </c>
      <c r="PQ45" s="8">
        <f>VLOOKUP(AG45,'BUS 2'!$G$1:$CU$424,29,0)</f>
        <v>0</v>
      </c>
      <c r="PR45" s="8">
        <f>VLOOKUP(AG45,'BUS 2'!$G$1:$CU$424,30,0)</f>
        <v>0</v>
      </c>
      <c r="PS45" s="8">
        <f>VLOOKUP(AG45,'BUS 2'!$G$1:$CU$424,31,0)</f>
        <v>1</v>
      </c>
      <c r="PT45" s="9"/>
      <c r="PU45" s="9"/>
      <c r="PV45" s="9"/>
      <c r="PW45" s="9"/>
      <c r="PX45" s="9"/>
      <c r="PY45" s="9"/>
      <c r="PZ45" s="9"/>
      <c r="QA45" s="9"/>
      <c r="QB45" s="9"/>
      <c r="QC45" s="9"/>
      <c r="QD45" s="9"/>
      <c r="QE45" s="9" t="s">
        <v>900</v>
      </c>
      <c r="QF45" s="8">
        <v>0.0</v>
      </c>
      <c r="QG45" s="8">
        <v>0.0</v>
      </c>
      <c r="QH45" s="8">
        <v>0.0</v>
      </c>
      <c r="QI45" s="8">
        <v>0.0</v>
      </c>
      <c r="QJ45" s="8">
        <v>0.0</v>
      </c>
      <c r="QK45" s="8">
        <v>1.0</v>
      </c>
      <c r="QL45" s="8">
        <v>0.0</v>
      </c>
      <c r="QM45" s="8">
        <v>0.0</v>
      </c>
      <c r="QN45" s="8">
        <v>0.0</v>
      </c>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8" t="str">
        <f>VLOOKUP(AG45,'BUS 2'!$G$1:$CU$424,33,0)</f>
        <v/>
      </c>
      <c r="SZ45" s="9">
        <f>VLOOKUP(AG45,'BUS 2'!$G$1:$CU$424,34,0)</f>
        <v>4</v>
      </c>
      <c r="TA45" s="9" t="str">
        <f>VLOOKUP(AG45,'BUS 2'!$G$1:$CU$424,35,0)</f>
        <v/>
      </c>
      <c r="TB45" s="9" t="str">
        <f>VLOOKUP(AG45,'BUS 2'!$G$1:$CU$424,36,0)</f>
        <v/>
      </c>
      <c r="TC45" s="9" t="str">
        <f>VLOOKUP(AG45,'BUS 2'!$G$1:$CU$424,37,0)</f>
        <v/>
      </c>
      <c r="TD45" s="9" t="str">
        <f>VLOOKUP(AG45,'BUS 2'!$G$1:$CU$424,38,0)</f>
        <v/>
      </c>
      <c r="TE45" s="9" t="str">
        <f>VLOOKUP(AG45,'BUS 2'!$G$1:$CU$424,39,0)</f>
        <v/>
      </c>
      <c r="TF45" s="9" t="str">
        <f>VLOOKUP(AG45,'BUS 2'!$G$1:$CU$424,40,0)</f>
        <v/>
      </c>
      <c r="TG45" s="8" t="str">
        <f>VLOOKUP(AG45,'BUS 2'!$G$1:$CU$424,42,0)</f>
        <v/>
      </c>
      <c r="TH45" s="8">
        <f>VLOOKUP(AG45,'BUS 2'!$G$1:$CU$424,43,0)</f>
        <v>4</v>
      </c>
      <c r="TI45" s="8" t="str">
        <f>VLOOKUP(AG45,'BUS 2'!$G$1:$CU$424,44,0)</f>
        <v/>
      </c>
      <c r="TJ45" s="8" t="str">
        <f>VLOOKUP(AG45,'BUS 2'!$G$1:$CU$424,45,0)</f>
        <v/>
      </c>
      <c r="TK45" s="8" t="str">
        <f>VLOOKUP(AG45,'BUS 2'!$G$1:$CU$424,46,0)</f>
        <v/>
      </c>
      <c r="TL45" s="8" t="str">
        <f>VLOOKUP(AG45,'BUS 2'!$G$1:$CU$424,47,0)</f>
        <v/>
      </c>
      <c r="TM45" s="8" t="str">
        <f>VLOOKUP(AG45,'BUS 2'!$G$1:$CU$424,48,0)</f>
        <v/>
      </c>
      <c r="TN45" s="8" t="str">
        <f>VLOOKUP(AG45,'BUS 2'!$G$1:$CU$424,49,0)</f>
        <v/>
      </c>
      <c r="TO45" s="8" t="str">
        <f>VLOOKUP(AG45,'BUS 2'!$G$1:$CU$424,50,0)</f>
        <v/>
      </c>
      <c r="TP45" s="8" t="str">
        <f>VLOOKUP(AG45,'BUS 2'!$G$1:$CU$424,51,0)</f>
        <v/>
      </c>
      <c r="TQ45" s="8" t="str">
        <f>VLOOKUP(AG45,'BUS 2'!$G$1:$CU$424,52,0)</f>
        <v/>
      </c>
      <c r="TR45" s="8" t="str">
        <f>VLOOKUP(AG45,'BUS 2'!$G$1:$CU$424,53,0)</f>
        <v/>
      </c>
      <c r="TS45" s="9" t="str">
        <f>VLOOKUP(AG45,'BUS 2'!$G$1:$CU$424,54,0)</f>
        <v/>
      </c>
      <c r="TT45" s="9" t="str">
        <f>VLOOKUP(AG45,'BUS 2'!$G$1:$CU$424,55,0)</f>
        <v/>
      </c>
      <c r="TU45" s="9" t="str">
        <f>VLOOKUP(AG45,'BUS 2'!$G$1:$CU$424,56,0)</f>
        <v/>
      </c>
      <c r="TV45" s="9" t="str">
        <f>VLOOKUP(AG45,'BUS 2'!$G$1:$CU$424,57,0)</f>
        <v/>
      </c>
      <c r="TW45" s="9" t="str">
        <f>VLOOKUP(AG45,'BUS 2'!$G$1:$CU$424,58,0)</f>
        <v/>
      </c>
      <c r="TX45" s="9" t="str">
        <f>VLOOKUP(AG45,'BUS 2'!$G$1:$CU$424,59,0)</f>
        <v/>
      </c>
      <c r="TY45" s="9" t="str">
        <f>VLOOKUP(AG45,'BUS 2'!$G$1:$CU$424,60,0)</f>
        <v/>
      </c>
      <c r="TZ45" s="9" t="str">
        <f>VLOOKUP(AG45,'BUS 2'!$G$1:$CU$424,61,0)</f>
        <v/>
      </c>
      <c r="UA45" s="9" t="str">
        <f>VLOOKUP(AG45,'BUS 2'!$G$1:$CU$424,62,0)</f>
        <v/>
      </c>
      <c r="UB45" s="9" t="str">
        <f>VLOOKUP(AG45,'BUS 2'!$G$1:$CU$424,63,0)</f>
        <v/>
      </c>
      <c r="UC45" s="9" t="str">
        <f>VLOOKUP(AG45,'BUS 2'!$G$1:$CU$424,64,0)</f>
        <v/>
      </c>
      <c r="UD45" s="9" t="str">
        <f>VLOOKUP(AG45,'BUS 2'!$G$1:$CU$424,65,0)</f>
        <v/>
      </c>
      <c r="UE45" s="9" t="str">
        <f>VLOOKUP(AG45,'BUS 2'!$G$1:$CU$424,66,0)</f>
        <v/>
      </c>
      <c r="UF45" s="9" t="str">
        <f>VLOOKUP(AG45,'BUS 2'!$G$1:$CU$424,67,0)</f>
        <v/>
      </c>
      <c r="UG45" s="9" t="str">
        <f>VLOOKUP(AG45,'BUS 2'!$G$1:$CU$424,68,0)</f>
        <v/>
      </c>
      <c r="UH45" s="9" t="str">
        <f>VLOOKUP(AG45,'BUS 2'!$G$1:$CU$424,69,0)</f>
        <v/>
      </c>
      <c r="UI45" s="9" t="str">
        <f>VLOOKUP(AG45,'BUS 2'!$G$1:$CU$424,70,0)</f>
        <v/>
      </c>
      <c r="UJ45" s="9" t="str">
        <f>VLOOKUP(AG45,'BUS 2'!$G$1:$CU$424,71,0)</f>
        <v/>
      </c>
      <c r="UK45" s="9" t="str">
        <f>VLOOKUP(AG45,'BUS 2'!$G$1:$CU$424,72,0)</f>
        <v/>
      </c>
      <c r="UL45" s="9" t="str">
        <f>VLOOKUP(AG45,'BUS 2'!$G$1:$CU$424,73,0)</f>
        <v/>
      </c>
      <c r="UM45" s="9" t="str">
        <f>VLOOKUP(AG45,'BUS 2'!$G$1:$CU$424,74,0)</f>
        <v/>
      </c>
      <c r="UN45" s="9" t="str">
        <f>VLOOKUP(AG45,'BUS 2'!$G$1:$CU$424,75,0)</f>
        <v/>
      </c>
      <c r="UO45" s="9" t="str">
        <f>VLOOKUP(AG45,'BUS 2'!$G$1:$CU$424,76,0)</f>
        <v/>
      </c>
      <c r="UP45" s="9" t="str">
        <f>VLOOKUP(AG45,'BUS 2'!$G$1:$CU$424,77,0)</f>
        <v/>
      </c>
      <c r="UQ45" s="9" t="str">
        <f>VLOOKUP(AG45,'BUS 2'!$G$1:$CU$424,78,0)</f>
        <v/>
      </c>
      <c r="UR45" s="9" t="str">
        <f>VLOOKUP(AG45,'BUS 2'!$G$1:$CU$424,79,0)</f>
        <v/>
      </c>
      <c r="US45" s="9" t="str">
        <f>VLOOKUP(AG45,'BUS 2'!$G$1:$CU$424,80,0)</f>
        <v/>
      </c>
      <c r="UT45" s="9" t="str">
        <f>VLOOKUP(AG45,'BUS 2'!$G$1:$CU$424,81,0)</f>
        <v/>
      </c>
      <c r="UU45" s="9"/>
      <c r="UV45" s="9" t="s">
        <v>901</v>
      </c>
      <c r="UW45" s="9"/>
      <c r="UX45" s="9"/>
      <c r="UY45" s="9"/>
      <c r="UZ45" s="9"/>
      <c r="VA45" s="9"/>
      <c r="VB45" s="9"/>
      <c r="VC45" s="9"/>
      <c r="VD45" s="9" t="s">
        <v>950</v>
      </c>
      <c r="VE45" s="9"/>
      <c r="VF45" s="9"/>
      <c r="VG45" s="9"/>
      <c r="VH45" s="9"/>
      <c r="VI45" s="9"/>
      <c r="VJ45" s="9"/>
      <c r="VK45" s="9"/>
      <c r="VL45" s="9" t="s">
        <v>1158</v>
      </c>
      <c r="VM45" s="9"/>
      <c r="VN45" s="9"/>
      <c r="VO45" s="9"/>
      <c r="VP45" s="9"/>
      <c r="VQ45" s="9"/>
      <c r="VR45" s="9"/>
      <c r="VS45" s="9"/>
      <c r="VT45" s="9"/>
      <c r="VU45" s="9"/>
      <c r="VV45" s="9"/>
      <c r="VW45" s="9"/>
      <c r="VX45" s="9"/>
      <c r="VY45" s="9"/>
      <c r="VZ45" s="9"/>
      <c r="WA45" s="9"/>
      <c r="WB45" s="9"/>
      <c r="WC45" s="9"/>
      <c r="WD45" s="9"/>
      <c r="WE45" s="9"/>
      <c r="WF45" s="9" t="s">
        <v>1214</v>
      </c>
      <c r="WG45" s="8">
        <v>0.0</v>
      </c>
      <c r="WH45" s="8">
        <v>0.0</v>
      </c>
      <c r="WI45" s="8">
        <v>1.0</v>
      </c>
      <c r="WJ45" s="8">
        <v>1.0</v>
      </c>
      <c r="WK45" s="8">
        <v>0.0</v>
      </c>
      <c r="WL45" s="8">
        <v>1.0</v>
      </c>
      <c r="WM45" s="8">
        <v>0.0</v>
      </c>
      <c r="WN45" s="8">
        <v>0.0</v>
      </c>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8">
        <v>50.0</v>
      </c>
      <c r="ZP45" s="9"/>
      <c r="ZQ45" s="9"/>
      <c r="ZR45" s="9"/>
      <c r="ZS45" s="9"/>
      <c r="ZT45" s="9"/>
      <c r="ZU45" s="9"/>
      <c r="ZV45" s="9"/>
      <c r="ZW45" s="8">
        <v>2.0</v>
      </c>
      <c r="ZX45" s="9"/>
      <c r="ZY45" s="9"/>
      <c r="ZZ45" s="9"/>
      <c r="AAA45" s="9"/>
      <c r="AAB45" s="9"/>
      <c r="AAC45" s="9"/>
      <c r="AAD45" s="9"/>
      <c r="AAE45" s="9" t="s">
        <v>1186</v>
      </c>
      <c r="AAF45" s="9"/>
      <c r="AAG45" s="9"/>
      <c r="AAH45" s="9"/>
      <c r="AAI45" s="9"/>
      <c r="AAJ45" s="9"/>
      <c r="AAK45" s="9"/>
      <c r="AAL45" s="9" t="s">
        <v>857</v>
      </c>
      <c r="AAM45" s="9" t="s">
        <v>1033</v>
      </c>
      <c r="AAN45" s="8">
        <v>1.0</v>
      </c>
      <c r="AAO45" s="8">
        <v>1.0</v>
      </c>
      <c r="AAP45" s="8">
        <v>50.0</v>
      </c>
      <c r="AAQ45" s="8">
        <v>50.0</v>
      </c>
      <c r="AAR45" s="9" t="s">
        <v>857</v>
      </c>
      <c r="AAS45" s="9" t="s">
        <v>867</v>
      </c>
      <c r="AAT45" s="9" t="s">
        <v>1074</v>
      </c>
      <c r="AAU45" s="8">
        <v>1.0</v>
      </c>
      <c r="AAV45" s="8">
        <v>0.0</v>
      </c>
      <c r="AAW45" s="8">
        <v>0.0</v>
      </c>
      <c r="AAX45" s="8">
        <v>1.0</v>
      </c>
      <c r="AAY45" s="8">
        <v>1.0</v>
      </c>
      <c r="AAZ45" s="8">
        <v>0.0</v>
      </c>
      <c r="ABA45" s="8">
        <v>0.0</v>
      </c>
      <c r="ABB45" s="9" t="s">
        <v>907</v>
      </c>
      <c r="ABC45" s="8">
        <v>1.0</v>
      </c>
      <c r="ABD45" s="8">
        <v>0.0</v>
      </c>
      <c r="ABE45" s="8">
        <v>0.0</v>
      </c>
      <c r="ABF45" s="8">
        <v>0.0</v>
      </c>
      <c r="ABG45" s="8">
        <v>0.0</v>
      </c>
      <c r="ABH45" s="9"/>
      <c r="ABI45" s="9"/>
      <c r="ABJ45" s="9"/>
      <c r="ABK45" s="9"/>
      <c r="ABL45" s="9"/>
      <c r="ABM45" s="9"/>
      <c r="ABN45" s="9"/>
      <c r="ABO45" s="9"/>
      <c r="ABP45" s="9"/>
      <c r="ABQ45" s="11" t="s">
        <v>953</v>
      </c>
      <c r="ABR45" s="9" t="s">
        <v>1075</v>
      </c>
      <c r="ABS45" s="8">
        <v>2500.0</v>
      </c>
      <c r="ABT45" s="8">
        <v>300.0</v>
      </c>
      <c r="ABU45" s="8">
        <v>50.0</v>
      </c>
      <c r="ABV45" s="8">
        <v>50.0</v>
      </c>
      <c r="ABW45" s="9" t="s">
        <v>1199</v>
      </c>
      <c r="ABX45" s="9"/>
      <c r="ABY45" s="8">
        <v>30.0</v>
      </c>
      <c r="ABZ45" s="8">
        <v>4000.0</v>
      </c>
      <c r="ACA45" s="8">
        <v>5.0</v>
      </c>
      <c r="ACB45" s="8">
        <v>4000.0</v>
      </c>
      <c r="ACC45" s="8">
        <v>400.0</v>
      </c>
      <c r="ACD45" s="8">
        <v>450.0</v>
      </c>
      <c r="ACE45" s="9" t="s">
        <v>857</v>
      </c>
      <c r="ACF45" s="9" t="s">
        <v>911</v>
      </c>
      <c r="ACG45" s="9" t="s">
        <v>911</v>
      </c>
      <c r="ACH45" s="9" t="s">
        <v>911</v>
      </c>
      <c r="ACI45" s="9"/>
      <c r="ACJ45" s="9"/>
      <c r="ACK45" s="9" t="s">
        <v>1215</v>
      </c>
      <c r="ACL45" s="8">
        <v>0.0</v>
      </c>
      <c r="ACM45" s="8">
        <v>1.0</v>
      </c>
      <c r="ACN45" s="8">
        <v>0.0</v>
      </c>
      <c r="ACO45" s="8">
        <v>1.0</v>
      </c>
      <c r="ACP45" s="8">
        <v>0.0</v>
      </c>
      <c r="ACQ45" s="8">
        <v>0.0</v>
      </c>
      <c r="ACR45" s="8">
        <v>0.0</v>
      </c>
      <c r="ACS45" s="9"/>
      <c r="ACT45" s="9" t="s">
        <v>912</v>
      </c>
      <c r="ACU45" s="9" t="s">
        <v>1050</v>
      </c>
      <c r="ACV45" s="9" t="s">
        <v>957</v>
      </c>
      <c r="ACW45" s="9" t="s">
        <v>915</v>
      </c>
      <c r="ACX45" s="9" t="s">
        <v>916</v>
      </c>
      <c r="ACY45" s="9" t="s">
        <v>1017</v>
      </c>
      <c r="ACZ45" s="8">
        <v>1.0</v>
      </c>
      <c r="ADA45" s="8">
        <v>1.0</v>
      </c>
      <c r="ADB45" s="8">
        <v>1.0</v>
      </c>
      <c r="ADC45" s="8">
        <v>0.0</v>
      </c>
      <c r="ADD45" s="9" t="s">
        <v>917</v>
      </c>
      <c r="ADE45" s="9" t="s">
        <v>917</v>
      </c>
      <c r="ADF45" s="9" t="s">
        <v>917</v>
      </c>
      <c r="ADG45" s="9" t="s">
        <v>917</v>
      </c>
      <c r="ADH45" s="9" t="s">
        <v>881</v>
      </c>
      <c r="ADI45" s="9"/>
      <c r="ADJ45" s="9" t="s">
        <v>917</v>
      </c>
      <c r="ADK45" s="9"/>
      <c r="ADL45" s="9"/>
      <c r="ADM45" s="9"/>
      <c r="ADN45" s="9"/>
      <c r="ADO45" s="9"/>
      <c r="ADP45" s="9"/>
      <c r="ADQ45" s="9"/>
      <c r="ADR45" s="9"/>
      <c r="ADS45" s="9"/>
      <c r="ADT45" s="9"/>
      <c r="ADU45" s="9" t="s">
        <v>919</v>
      </c>
      <c r="ADV45" s="8">
        <v>0.0</v>
      </c>
      <c r="ADW45" s="8">
        <v>0.0</v>
      </c>
      <c r="ADX45" s="8">
        <v>0.0</v>
      </c>
      <c r="ADY45" s="8">
        <v>0.0</v>
      </c>
      <c r="ADZ45" s="8">
        <v>1.0</v>
      </c>
      <c r="AEA45" s="8">
        <v>0.0</v>
      </c>
      <c r="AEB45" s="8">
        <v>0.0</v>
      </c>
      <c r="AEC45" s="8">
        <v>0.0</v>
      </c>
      <c r="AED45" s="12"/>
      <c r="AEE45" s="17" t="s">
        <v>872</v>
      </c>
      <c r="AEF45" s="9"/>
      <c r="AEG45" s="17" t="s">
        <v>920</v>
      </c>
      <c r="AEH45" s="9"/>
      <c r="AEI45" s="11" t="s">
        <v>917</v>
      </c>
      <c r="AEJ45" s="9" t="s">
        <v>961</v>
      </c>
      <c r="AEK45" s="17" t="s">
        <v>1422</v>
      </c>
      <c r="AEL45" s="18">
        <v>1.0</v>
      </c>
      <c r="AEM45" s="18">
        <v>1.0</v>
      </c>
      <c r="AEN45" s="18">
        <v>1.0</v>
      </c>
      <c r="AEO45" s="18">
        <v>1.0</v>
      </c>
      <c r="AEP45" s="18">
        <v>1.0</v>
      </c>
      <c r="AEQ45" s="18">
        <v>1.0</v>
      </c>
      <c r="AER45" s="18">
        <v>0.0</v>
      </c>
      <c r="AES45" s="18">
        <v>0.0</v>
      </c>
      <c r="AET45" s="18">
        <v>0.0</v>
      </c>
      <c r="AEU45" s="18">
        <v>0.0</v>
      </c>
      <c r="AEV45" s="18">
        <v>0.0</v>
      </c>
      <c r="AEW45" s="18">
        <v>0.0</v>
      </c>
      <c r="AEX45" s="9"/>
      <c r="AEY45" s="9" t="s">
        <v>923</v>
      </c>
      <c r="AEZ45" s="9"/>
      <c r="AFA45" s="9" t="s">
        <v>924</v>
      </c>
      <c r="AFB45" s="9"/>
      <c r="AFC45" s="9" t="s">
        <v>1423</v>
      </c>
      <c r="AFD45" s="16" t="s">
        <v>1424</v>
      </c>
      <c r="AFE45" s="9" t="s">
        <v>1425</v>
      </c>
      <c r="AFF45" s="16" t="s">
        <v>1426</v>
      </c>
      <c r="AFG45" s="9" t="s">
        <v>1193</v>
      </c>
      <c r="AFH45" s="9"/>
      <c r="AFI45" s="9"/>
    </row>
    <row r="46">
      <c r="A46" s="6">
        <v>46062.0</v>
      </c>
      <c r="B46" s="6">
        <v>46062.0</v>
      </c>
      <c r="C46" s="7" t="s">
        <v>837</v>
      </c>
      <c r="D46" s="7" t="s">
        <v>1427</v>
      </c>
      <c r="E46" s="8">
        <v>6.2812285509669E13</v>
      </c>
      <c r="F46" s="9"/>
      <c r="G46" s="8">
        <v>-7.232487012</v>
      </c>
      <c r="H46" s="8">
        <v>110.2855482</v>
      </c>
      <c r="I46" s="9"/>
      <c r="J46" s="8">
        <v>4.6</v>
      </c>
      <c r="K46" s="9"/>
      <c r="L46" s="9"/>
      <c r="M46" s="8">
        <v>-7.232431788</v>
      </c>
      <c r="N46" s="8">
        <v>110.2855566</v>
      </c>
      <c r="O46" s="9"/>
      <c r="P46" s="8">
        <v>4.46</v>
      </c>
      <c r="Q46" s="9"/>
      <c r="R46" s="9" t="s">
        <v>839</v>
      </c>
      <c r="S46" s="9"/>
      <c r="T46" s="9"/>
      <c r="U46" s="9"/>
      <c r="V46" s="9"/>
      <c r="W46" s="9"/>
      <c r="X46" s="9"/>
      <c r="Y46" s="9"/>
      <c r="Z46" s="9"/>
      <c r="AA46" s="9"/>
      <c r="AB46" s="9"/>
      <c r="AC46" s="7" t="s">
        <v>1175</v>
      </c>
      <c r="AD46" s="7" t="s">
        <v>1176</v>
      </c>
      <c r="AE46" s="7" t="s">
        <v>1401</v>
      </c>
      <c r="AF46" s="9" t="s">
        <v>1178</v>
      </c>
      <c r="AG46" s="9" t="s">
        <v>1428</v>
      </c>
      <c r="AH46" s="8">
        <v>3.0</v>
      </c>
      <c r="AI46" s="9" t="s">
        <v>845</v>
      </c>
      <c r="AJ46" s="9" t="s">
        <v>846</v>
      </c>
      <c r="AK46" s="8">
        <v>49.0</v>
      </c>
      <c r="AL46" s="9" t="s">
        <v>847</v>
      </c>
      <c r="AM46" s="9" t="s">
        <v>848</v>
      </c>
      <c r="AN46" s="9" t="s">
        <v>986</v>
      </c>
      <c r="AO46" s="9" t="s">
        <v>935</v>
      </c>
      <c r="AP46" s="8">
        <v>0.0</v>
      </c>
      <c r="AQ46" s="8">
        <v>1.0</v>
      </c>
      <c r="AR46" s="8">
        <v>0.0</v>
      </c>
      <c r="AS46" s="8">
        <v>0.0</v>
      </c>
      <c r="AT46" s="8">
        <v>0.0</v>
      </c>
      <c r="AU46" s="8">
        <v>0.0</v>
      </c>
      <c r="AV46" s="8">
        <v>0.0</v>
      </c>
      <c r="AW46" s="8">
        <v>0.0</v>
      </c>
      <c r="AX46" s="9"/>
      <c r="AY46" s="9" t="s">
        <v>1429</v>
      </c>
      <c r="AZ46" s="8">
        <v>0.0</v>
      </c>
      <c r="BA46" s="8">
        <v>1.0</v>
      </c>
      <c r="BB46" s="8">
        <v>0.0</v>
      </c>
      <c r="BC46" s="8">
        <v>1.0</v>
      </c>
      <c r="BD46" s="8">
        <v>0.0</v>
      </c>
      <c r="BE46" s="8">
        <v>0.0</v>
      </c>
      <c r="BF46" s="8">
        <v>0.0</v>
      </c>
      <c r="BG46" s="8">
        <v>0.0</v>
      </c>
      <c r="BH46" s="9"/>
      <c r="BI46" s="9" t="s">
        <v>1101</v>
      </c>
      <c r="BJ46" s="8">
        <v>1.0</v>
      </c>
      <c r="BK46" s="8">
        <v>1.0</v>
      </c>
      <c r="BL46" s="8">
        <v>1.0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856</v>
      </c>
      <c r="CD46" s="8">
        <v>0.0</v>
      </c>
      <c r="CE46" s="8">
        <v>0.0</v>
      </c>
      <c r="CF46" s="8">
        <v>0.0</v>
      </c>
      <c r="CG46" s="8">
        <v>0.0</v>
      </c>
      <c r="CH46" s="8">
        <v>0.0</v>
      </c>
      <c r="CI46" s="8">
        <v>1.0</v>
      </c>
      <c r="CJ46" s="8">
        <v>0.0</v>
      </c>
      <c r="CK46" s="9"/>
      <c r="CL46" s="9" t="s">
        <v>857</v>
      </c>
      <c r="CM46" s="8">
        <v>2023.0</v>
      </c>
      <c r="CN46" s="9" t="s">
        <v>858</v>
      </c>
      <c r="CO46" s="9" t="s">
        <v>859</v>
      </c>
      <c r="CP46" s="9" t="s">
        <v>860</v>
      </c>
      <c r="CQ46" s="8">
        <v>0.0</v>
      </c>
      <c r="CR46" s="8">
        <v>0.0</v>
      </c>
      <c r="CS46" s="8">
        <v>0.0</v>
      </c>
      <c r="CT46" s="8">
        <v>0.0</v>
      </c>
      <c r="CU46" s="10">
        <v>1.0</v>
      </c>
      <c r="CV46" s="10">
        <v>0.0</v>
      </c>
      <c r="CW46" s="10">
        <v>0.0</v>
      </c>
      <c r="CX46" s="8">
        <v>0.0</v>
      </c>
      <c r="CY46" s="9" t="s">
        <v>860</v>
      </c>
      <c r="CZ46" s="8">
        <v>1.0</v>
      </c>
      <c r="DA46" s="8">
        <v>0.0</v>
      </c>
      <c r="DB46" s="8">
        <v>0.0</v>
      </c>
      <c r="DC46" s="9"/>
      <c r="DD46" s="9" t="s">
        <v>937</v>
      </c>
      <c r="DE46" s="8">
        <v>1.0</v>
      </c>
      <c r="DF46" s="8">
        <v>0.0</v>
      </c>
      <c r="DG46" s="8">
        <v>1.0</v>
      </c>
      <c r="DH46" s="8">
        <v>0.0</v>
      </c>
      <c r="DI46" s="9"/>
      <c r="DJ46" s="9" t="s">
        <v>937</v>
      </c>
      <c r="DK46" s="8">
        <v>1.0</v>
      </c>
      <c r="DL46" s="8">
        <v>0.0</v>
      </c>
      <c r="DM46" s="8">
        <v>1.0</v>
      </c>
      <c r="DN46" s="8">
        <v>0.0</v>
      </c>
      <c r="DO46" s="9"/>
      <c r="DP46" s="8">
        <v>1.0</v>
      </c>
      <c r="DQ46" s="8">
        <v>0.0</v>
      </c>
      <c r="DR46" s="8">
        <v>0.0</v>
      </c>
      <c r="DS46" s="9"/>
      <c r="DT46" s="9"/>
      <c r="DU46" s="9"/>
      <c r="DV46" s="9" t="s">
        <v>857</v>
      </c>
      <c r="DW46" s="9"/>
      <c r="DX46" s="9"/>
      <c r="DY46" s="9"/>
      <c r="DZ46" s="9"/>
      <c r="EA46" s="9"/>
      <c r="EB46" s="9"/>
      <c r="EC46" s="9"/>
      <c r="ED46" s="9"/>
      <c r="EE46" s="9"/>
      <c r="EF46" s="9"/>
      <c r="EG46" s="9"/>
      <c r="EH46" s="9"/>
      <c r="EI46" s="9" t="s">
        <v>862</v>
      </c>
      <c r="EJ46" s="8">
        <v>0.0</v>
      </c>
      <c r="EK46" s="8">
        <v>0.0</v>
      </c>
      <c r="EL46" s="8">
        <v>0.0</v>
      </c>
      <c r="EM46" s="8">
        <v>1.0</v>
      </c>
      <c r="EN46" s="8">
        <v>0.0</v>
      </c>
      <c r="EO46" s="11"/>
      <c r="EP46" s="9" t="s">
        <v>863</v>
      </c>
      <c r="EQ46" s="9" t="s">
        <v>864</v>
      </c>
      <c r="ER46" s="9" t="s">
        <v>861</v>
      </c>
      <c r="ES46" s="8">
        <v>1.0</v>
      </c>
      <c r="ET46" s="8">
        <v>0.0</v>
      </c>
      <c r="EU46" s="8">
        <v>0.0</v>
      </c>
      <c r="EV46" s="8">
        <v>0.0</v>
      </c>
      <c r="EW46" s="9"/>
      <c r="EX46" s="9" t="s">
        <v>865</v>
      </c>
      <c r="EY46" s="8">
        <v>1.0</v>
      </c>
      <c r="EZ46" s="8">
        <v>0.0</v>
      </c>
      <c r="FA46" s="8">
        <v>0.0</v>
      </c>
      <c r="FB46" s="9"/>
      <c r="FC46" s="9" t="s">
        <v>1072</v>
      </c>
      <c r="FD46" s="9"/>
      <c r="FE46" s="9" t="s">
        <v>867</v>
      </c>
      <c r="FF46" s="9" t="s">
        <v>868</v>
      </c>
      <c r="FG46" s="9" t="s">
        <v>867</v>
      </c>
      <c r="FH46" s="9" t="s">
        <v>868</v>
      </c>
      <c r="FI46" s="9" t="s">
        <v>867</v>
      </c>
      <c r="FJ46" s="9" t="s">
        <v>868</v>
      </c>
      <c r="FK46" s="9" t="s">
        <v>867</v>
      </c>
      <c r="FL46" s="9" t="s">
        <v>869</v>
      </c>
      <c r="FM46" s="9" t="s">
        <v>867</v>
      </c>
      <c r="FN46" s="9" t="s">
        <v>943</v>
      </c>
      <c r="FO46" s="9" t="s">
        <v>867</v>
      </c>
      <c r="FP46" s="9" t="s">
        <v>943</v>
      </c>
      <c r="FQ46" s="9" t="s">
        <v>867</v>
      </c>
      <c r="FR46" s="9" t="s">
        <v>857</v>
      </c>
      <c r="FS46" s="9" t="s">
        <v>867</v>
      </c>
      <c r="FT46" s="9" t="s">
        <v>871</v>
      </c>
      <c r="FU46" s="9" t="s">
        <v>989</v>
      </c>
      <c r="FV46" s="8">
        <v>1.0</v>
      </c>
      <c r="FW46" s="8">
        <v>1.0</v>
      </c>
      <c r="FX46" s="8">
        <v>0.0</v>
      </c>
      <c r="FY46" s="8">
        <v>0.0</v>
      </c>
      <c r="FZ46" s="9" t="s">
        <v>1197</v>
      </c>
      <c r="GA46" s="9" t="s">
        <v>874</v>
      </c>
      <c r="GB46" s="8">
        <v>1.0</v>
      </c>
      <c r="GC46" s="8">
        <v>0.0</v>
      </c>
      <c r="GD46" s="8">
        <v>0.0</v>
      </c>
      <c r="GE46" s="8">
        <v>0.0</v>
      </c>
      <c r="GF46" s="9"/>
      <c r="GG46" s="9" t="s">
        <v>875</v>
      </c>
      <c r="GH46" s="9" t="s">
        <v>857</v>
      </c>
      <c r="GI46" s="9" t="s">
        <v>1264</v>
      </c>
      <c r="GJ46" s="8">
        <v>0.0</v>
      </c>
      <c r="GK46" s="8">
        <v>1.0</v>
      </c>
      <c r="GL46" s="8">
        <v>0.0</v>
      </c>
      <c r="GM46" s="8">
        <v>0.0</v>
      </c>
      <c r="GN46" s="9"/>
      <c r="GO46" s="8">
        <v>9.0</v>
      </c>
      <c r="GP46" s="9" t="s">
        <v>877</v>
      </c>
      <c r="GQ46" s="9" t="s">
        <v>878</v>
      </c>
      <c r="GR46" s="8">
        <v>1.0</v>
      </c>
      <c r="GS46" s="8">
        <v>1.0</v>
      </c>
      <c r="GT46" s="8">
        <v>0.0</v>
      </c>
      <c r="GU46" s="8">
        <v>0.0</v>
      </c>
      <c r="GV46" s="8">
        <v>0.0</v>
      </c>
      <c r="GW46" s="8">
        <v>0.0</v>
      </c>
      <c r="GX46" s="8">
        <v>0.0</v>
      </c>
      <c r="GY46" s="9"/>
      <c r="GZ46" s="9" t="s">
        <v>857</v>
      </c>
      <c r="HA46" s="8">
        <v>15.0</v>
      </c>
      <c r="HB46" s="8">
        <v>150000.0</v>
      </c>
      <c r="HC46" s="8">
        <v>5.0</v>
      </c>
      <c r="HD46" s="8">
        <v>50000.0</v>
      </c>
      <c r="HE46" s="8">
        <v>12.0</v>
      </c>
      <c r="HF46" s="8">
        <v>100000.0</v>
      </c>
      <c r="HG46" s="8">
        <v>3.0</v>
      </c>
      <c r="HH46" s="8">
        <v>25000.0</v>
      </c>
      <c r="HI46" s="9"/>
      <c r="HJ46" s="9"/>
      <c r="HK46" s="9"/>
      <c r="HL46" s="9"/>
      <c r="HM46" s="9"/>
      <c r="HN46" s="9"/>
      <c r="HO46" s="9"/>
      <c r="HP46" s="9"/>
      <c r="HQ46" s="9"/>
      <c r="HR46" s="9"/>
      <c r="HS46" s="9"/>
      <c r="HT46" s="9"/>
      <c r="HU46" s="9"/>
      <c r="HV46" s="9"/>
      <c r="HW46" s="9"/>
      <c r="HX46" s="9"/>
      <c r="HY46" s="8">
        <v>10.0</v>
      </c>
      <c r="HZ46" s="8">
        <v>100000.0</v>
      </c>
      <c r="IA46" s="8">
        <v>9.0</v>
      </c>
      <c r="IB46" s="8">
        <v>75000.0</v>
      </c>
      <c r="IC46" s="9"/>
      <c r="ID46" s="9"/>
      <c r="IE46" s="9"/>
      <c r="IF46" s="9"/>
      <c r="IG46" s="9"/>
      <c r="IH46" s="9"/>
      <c r="II46" s="9"/>
      <c r="IJ46" s="9"/>
      <c r="IK46" s="9" t="s">
        <v>879</v>
      </c>
      <c r="IL46" s="9" t="s">
        <v>880</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1180</v>
      </c>
      <c r="KT46" s="9" t="s">
        <v>886</v>
      </c>
      <c r="KU46" s="9" t="s">
        <v>886</v>
      </c>
      <c r="KV46" s="9" t="s">
        <v>999</v>
      </c>
      <c r="KW46" s="8">
        <v>0.0</v>
      </c>
      <c r="KX46" s="8">
        <v>0.0</v>
      </c>
      <c r="KY46" s="8">
        <v>0.0</v>
      </c>
      <c r="KZ46" s="8">
        <v>1.0</v>
      </c>
      <c r="LA46" s="9" t="s">
        <v>884</v>
      </c>
      <c r="LB46" s="9" t="s">
        <v>884</v>
      </c>
      <c r="LC46" s="8">
        <v>3.0</v>
      </c>
      <c r="LD46" s="8">
        <v>3.0</v>
      </c>
      <c r="LE46" s="8">
        <v>0.0</v>
      </c>
      <c r="LF46" s="8">
        <v>0.0</v>
      </c>
      <c r="LG46" s="9" t="s">
        <v>857</v>
      </c>
      <c r="LH46" s="8">
        <v>100000.0</v>
      </c>
      <c r="LI46" s="9"/>
      <c r="LJ46" s="9" t="s">
        <v>887</v>
      </c>
      <c r="LK46" s="8">
        <v>0.0</v>
      </c>
      <c r="LL46" s="8">
        <v>0.0</v>
      </c>
      <c r="LM46" s="8">
        <v>0.0</v>
      </c>
      <c r="LN46" s="8">
        <v>0.0</v>
      </c>
      <c r="LO46" s="8">
        <v>1.0</v>
      </c>
      <c r="LP46" s="8">
        <v>0.0</v>
      </c>
      <c r="LQ46" s="8">
        <v>0.0</v>
      </c>
      <c r="LR46" s="9"/>
      <c r="LS46" s="8">
        <v>15.0</v>
      </c>
      <c r="LT46" s="8">
        <v>20.0</v>
      </c>
      <c r="LU46" s="8">
        <v>0.0</v>
      </c>
      <c r="LV46" s="8">
        <v>7.0</v>
      </c>
      <c r="LW46" s="8">
        <v>7.0</v>
      </c>
      <c r="LX46" s="8">
        <v>0.0</v>
      </c>
      <c r="LY46" s="8">
        <v>6.0</v>
      </c>
      <c r="LZ46" s="8">
        <v>6.0</v>
      </c>
      <c r="MA46" s="8">
        <v>0.0</v>
      </c>
      <c r="MB46" s="9" t="s">
        <v>857</v>
      </c>
      <c r="MC46" s="8">
        <v>30.0</v>
      </c>
      <c r="MD46" s="8">
        <v>15.0</v>
      </c>
      <c r="ME46" s="8">
        <v>30.0</v>
      </c>
      <c r="MF46" s="8">
        <v>15.0</v>
      </c>
      <c r="MG46" s="8">
        <v>0.0</v>
      </c>
      <c r="MH46" s="8">
        <v>0.0</v>
      </c>
      <c r="MI46" s="9" t="s">
        <v>946</v>
      </c>
      <c r="MJ46" s="8">
        <v>0.0</v>
      </c>
      <c r="MK46" s="8">
        <v>0.0</v>
      </c>
      <c r="ML46" s="8">
        <v>1.0</v>
      </c>
      <c r="MM46" s="8">
        <v>0.0</v>
      </c>
      <c r="MN46" s="8">
        <v>0.0</v>
      </c>
      <c r="MO46" s="8">
        <v>0.0</v>
      </c>
      <c r="MP46" s="9"/>
      <c r="MQ46" s="9"/>
      <c r="MR46" s="9" t="s">
        <v>888</v>
      </c>
      <c r="MS46" s="9"/>
      <c r="MT46" s="9" t="s">
        <v>972</v>
      </c>
      <c r="MU46" s="9" t="s">
        <v>881</v>
      </c>
      <c r="MV46" s="9"/>
      <c r="MW46" s="9"/>
      <c r="MX46" s="9"/>
      <c r="MY46" s="9"/>
      <c r="MZ46" s="9"/>
      <c r="NA46" s="9"/>
      <c r="NB46" s="9"/>
      <c r="NC46" s="9"/>
      <c r="ND46" s="9"/>
      <c r="NE46" s="9"/>
      <c r="NF46" s="9"/>
      <c r="NG46" s="9"/>
      <c r="NH46" s="9"/>
      <c r="NI46" s="9"/>
      <c r="NJ46" s="9"/>
      <c r="NK46" s="9"/>
      <c r="NL46" s="9" t="s">
        <v>857</v>
      </c>
      <c r="NM46" s="9" t="s">
        <v>893</v>
      </c>
      <c r="NN46" s="9" t="s">
        <v>993</v>
      </c>
      <c r="NO46" s="9" t="s">
        <v>994</v>
      </c>
      <c r="NP46" s="9"/>
      <c r="NQ46" s="9"/>
      <c r="NR46" s="9"/>
      <c r="NS46" s="9"/>
      <c r="NT46" s="9"/>
      <c r="NU46" s="9"/>
      <c r="NV46" s="9" t="s">
        <v>896</v>
      </c>
      <c r="NW46" s="9"/>
      <c r="NX46" s="9" t="s">
        <v>897</v>
      </c>
      <c r="NY46" s="8">
        <v>40.0</v>
      </c>
      <c r="NZ46" s="8">
        <v>20.0</v>
      </c>
      <c r="OA46" s="8">
        <v>0.0</v>
      </c>
      <c r="OB46" s="8">
        <v>5.0</v>
      </c>
      <c r="OC46" s="8">
        <v>5.0</v>
      </c>
      <c r="OD46" s="8">
        <v>0.0</v>
      </c>
      <c r="OE46" s="9" t="s">
        <v>898</v>
      </c>
      <c r="OF46" s="9" t="s">
        <v>1184</v>
      </c>
      <c r="OG46" s="9" t="s">
        <v>857</v>
      </c>
      <c r="OH46" s="8">
        <v>0.0</v>
      </c>
      <c r="OI46" s="8">
        <v>3.0</v>
      </c>
      <c r="OJ46" s="8">
        <v>0.0</v>
      </c>
      <c r="OK46" s="8">
        <v>0.0</v>
      </c>
      <c r="OL46" s="8">
        <v>0.0</v>
      </c>
      <c r="OM46" s="8">
        <v>0.0</v>
      </c>
      <c r="ON46" s="8">
        <v>0.0</v>
      </c>
      <c r="OO46" s="8">
        <v>0.0</v>
      </c>
      <c r="OP46" s="9" t="str">
        <f>VLOOKUP(AG46,'BUS 2'!$G$1:$CU$424,2,0)</f>
        <v>Sapi perah</v>
      </c>
      <c r="OQ46" s="8">
        <f>VLOOKUP(AG46,'BUS 2'!$G$1:$CU$424,3,0)</f>
        <v>0</v>
      </c>
      <c r="OR46" s="8">
        <f>VLOOKUP(AG46,'BUS 2'!$G$1:$CU$424,4,0)</f>
        <v>1</v>
      </c>
      <c r="OS46" s="8">
        <f>VLOOKUP(AG46,'BUS 2'!$G$1:$CU$424,5,0)</f>
        <v>0</v>
      </c>
      <c r="OT46" s="8">
        <f>VLOOKUP(AG46,'BUS 2'!$G$1:$CU$424,6,0)</f>
        <v>0</v>
      </c>
      <c r="OU46" s="8">
        <f>VLOOKUP(AG46,'BUS 2'!$G$1:$CU$424,7,0)</f>
        <v>0</v>
      </c>
      <c r="OV46" s="8">
        <f>VLOOKUP(AG46,'BUS 2'!$G$1:$CU$424,8,0)</f>
        <v>0</v>
      </c>
      <c r="OW46" s="8">
        <f>VLOOKUP(AG46,'BUS 2'!$G$1:$CU$424,9,0)</f>
        <v>0</v>
      </c>
      <c r="OX46" s="8">
        <f>VLOOKUP(AG46,'BUS 2'!$G$1:$CU$424,10,0)</f>
        <v>0</v>
      </c>
      <c r="OY46" s="8">
        <f>VLOOKUP(AG46,'BUS 2'!$G$1:$CU$424,11,0)</f>
        <v>0</v>
      </c>
      <c r="OZ46" s="8" t="str">
        <f>VLOOKUP(AG46,'BUS 2'!$G$1:$CU$424,12,0)</f>
        <v>Sapi perah</v>
      </c>
      <c r="PA46" s="8">
        <f>VLOOKUP(AG46,'BUS 2'!$G$1:$CU$424,13,0)</f>
        <v>0</v>
      </c>
      <c r="PB46" s="8">
        <f>VLOOKUP(AG46,'BUS 2'!$G$1:$CU$424,14,0)</f>
        <v>1</v>
      </c>
      <c r="PC46" s="8">
        <f>VLOOKUP(AG46,'BUS 2'!$G$1:$CU$424,15,0)</f>
        <v>0</v>
      </c>
      <c r="PD46" s="8">
        <f>VLOOKUP(AG46,'BUS 2'!$G$1:$CU$424,16,0)</f>
        <v>0</v>
      </c>
      <c r="PE46" s="8">
        <f>VLOOKUP(AG46,'BUS 2'!$G$1:$CU$424,17,0)</f>
        <v>0</v>
      </c>
      <c r="PF46" s="8">
        <f>VLOOKUP(AG46,'BUS 2'!$G$1:$CU$424,18,0)</f>
        <v>0</v>
      </c>
      <c r="PG46" s="8">
        <f>VLOOKUP(AG46,'BUS 2'!$G$1:$CU$424,19,0)</f>
        <v>0</v>
      </c>
      <c r="PH46" s="8">
        <f>VLOOKUP(AG46,'BUS 2'!$G$1:$CU$424,20,0)</f>
        <v>0</v>
      </c>
      <c r="PI46" s="8">
        <f>VLOOKUP(AG46,'BUS 2'!$G$1:$CU$424,21,0)</f>
        <v>0</v>
      </c>
      <c r="PJ46" s="8" t="str">
        <f>VLOOKUP(AG46,'BUS 2'!$G$1:$CU$424,22,0)</f>
        <v>Tidak ada</v>
      </c>
      <c r="PK46" s="8">
        <f>VLOOKUP(AG46,'BUS 2'!$G$1:$CU$424,23,0)</f>
        <v>0</v>
      </c>
      <c r="PL46" s="8">
        <f>VLOOKUP(AG46,'BUS 2'!$G$1:$CU$424,24,0)</f>
        <v>0</v>
      </c>
      <c r="PM46" s="8">
        <f>VLOOKUP(AG46,'BUS 2'!$G$1:$CU$424,25,0)</f>
        <v>0</v>
      </c>
      <c r="PN46" s="8">
        <f>VLOOKUP(AG46,'BUS 2'!$G$1:$CU$424,26,0)</f>
        <v>0</v>
      </c>
      <c r="PO46" s="8">
        <f>VLOOKUP(AG46,'BUS 2'!$G$1:$CU$424,27,0)</f>
        <v>0</v>
      </c>
      <c r="PP46" s="8">
        <f>VLOOKUP(AG46,'BUS 2'!$G$1:$CU$424,28,0)</f>
        <v>0</v>
      </c>
      <c r="PQ46" s="8">
        <f>VLOOKUP(AG46,'BUS 2'!$G$1:$CU$424,29,0)</f>
        <v>0</v>
      </c>
      <c r="PR46" s="8">
        <f>VLOOKUP(AG46,'BUS 2'!$G$1:$CU$424,30,0)</f>
        <v>0</v>
      </c>
      <c r="PS46" s="8">
        <f>VLOOKUP(AG46,'BUS 2'!$G$1:$CU$424,31,0)</f>
        <v>1</v>
      </c>
      <c r="PT46" s="9"/>
      <c r="PU46" s="9"/>
      <c r="PV46" s="9"/>
      <c r="PW46" s="9"/>
      <c r="PX46" s="9"/>
      <c r="PY46" s="9"/>
      <c r="PZ46" s="9"/>
      <c r="QA46" s="9"/>
      <c r="QB46" s="9"/>
      <c r="QC46" s="9"/>
      <c r="QD46" s="9"/>
      <c r="QE46" s="9" t="s">
        <v>900</v>
      </c>
      <c r="QF46" s="8">
        <v>0.0</v>
      </c>
      <c r="QG46" s="8">
        <v>0.0</v>
      </c>
      <c r="QH46" s="8">
        <v>0.0</v>
      </c>
      <c r="QI46" s="8">
        <v>0.0</v>
      </c>
      <c r="QJ46" s="8">
        <v>0.0</v>
      </c>
      <c r="QK46" s="8">
        <v>1.0</v>
      </c>
      <c r="QL46" s="8">
        <v>0.0</v>
      </c>
      <c r="QM46" s="8">
        <v>0.0</v>
      </c>
      <c r="QN46" s="8">
        <v>0.0</v>
      </c>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8" t="str">
        <f>VLOOKUP(AG46,'BUS 2'!$G$1:$CU$424,33,0)</f>
        <v/>
      </c>
      <c r="SZ46" s="9">
        <f>VLOOKUP(AG46,'BUS 2'!$G$1:$CU$424,34,0)</f>
        <v>3</v>
      </c>
      <c r="TA46" s="9" t="str">
        <f>VLOOKUP(AG46,'BUS 2'!$G$1:$CU$424,35,0)</f>
        <v/>
      </c>
      <c r="TB46" s="9" t="str">
        <f>VLOOKUP(AG46,'BUS 2'!$G$1:$CU$424,36,0)</f>
        <v/>
      </c>
      <c r="TC46" s="9" t="str">
        <f>VLOOKUP(AG46,'BUS 2'!$G$1:$CU$424,37,0)</f>
        <v/>
      </c>
      <c r="TD46" s="9" t="str">
        <f>VLOOKUP(AG46,'BUS 2'!$G$1:$CU$424,38,0)</f>
        <v/>
      </c>
      <c r="TE46" s="9" t="str">
        <f>VLOOKUP(AG46,'BUS 2'!$G$1:$CU$424,39,0)</f>
        <v/>
      </c>
      <c r="TF46" s="9" t="str">
        <f>VLOOKUP(AG46,'BUS 2'!$G$1:$CU$424,40,0)</f>
        <v/>
      </c>
      <c r="TG46" s="8" t="str">
        <f>VLOOKUP(AG46,'BUS 2'!$G$1:$CU$424,42,0)</f>
        <v/>
      </c>
      <c r="TH46" s="8">
        <f>VLOOKUP(AG46,'BUS 2'!$G$1:$CU$424,43,0)</f>
        <v>3</v>
      </c>
      <c r="TI46" s="8" t="str">
        <f>VLOOKUP(AG46,'BUS 2'!$G$1:$CU$424,44,0)</f>
        <v/>
      </c>
      <c r="TJ46" s="8" t="str">
        <f>VLOOKUP(AG46,'BUS 2'!$G$1:$CU$424,45,0)</f>
        <v/>
      </c>
      <c r="TK46" s="8" t="str">
        <f>VLOOKUP(AG46,'BUS 2'!$G$1:$CU$424,46,0)</f>
        <v/>
      </c>
      <c r="TL46" s="8" t="str">
        <f>VLOOKUP(AG46,'BUS 2'!$G$1:$CU$424,47,0)</f>
        <v/>
      </c>
      <c r="TM46" s="8" t="str">
        <f>VLOOKUP(AG46,'BUS 2'!$G$1:$CU$424,48,0)</f>
        <v/>
      </c>
      <c r="TN46" s="8" t="str">
        <f>VLOOKUP(AG46,'BUS 2'!$G$1:$CU$424,49,0)</f>
        <v/>
      </c>
      <c r="TO46" s="8" t="str">
        <f>VLOOKUP(AG46,'BUS 2'!$G$1:$CU$424,50,0)</f>
        <v/>
      </c>
      <c r="TP46" s="8" t="str">
        <f>VLOOKUP(AG46,'BUS 2'!$G$1:$CU$424,51,0)</f>
        <v/>
      </c>
      <c r="TQ46" s="8" t="str">
        <f>VLOOKUP(AG46,'BUS 2'!$G$1:$CU$424,52,0)</f>
        <v/>
      </c>
      <c r="TR46" s="8" t="str">
        <f>VLOOKUP(AG46,'BUS 2'!$G$1:$CU$424,53,0)</f>
        <v/>
      </c>
      <c r="TS46" s="9" t="str">
        <f>VLOOKUP(AG46,'BUS 2'!$G$1:$CU$424,54,0)</f>
        <v/>
      </c>
      <c r="TT46" s="9" t="str">
        <f>VLOOKUP(AG46,'BUS 2'!$G$1:$CU$424,55,0)</f>
        <v/>
      </c>
      <c r="TU46" s="9" t="str">
        <f>VLOOKUP(AG46,'BUS 2'!$G$1:$CU$424,56,0)</f>
        <v/>
      </c>
      <c r="TV46" s="9" t="str">
        <f>VLOOKUP(AG46,'BUS 2'!$G$1:$CU$424,57,0)</f>
        <v/>
      </c>
      <c r="TW46" s="9" t="str">
        <f>VLOOKUP(AG46,'BUS 2'!$G$1:$CU$424,58,0)</f>
        <v/>
      </c>
      <c r="TX46" s="9" t="str">
        <f>VLOOKUP(AG46,'BUS 2'!$G$1:$CU$424,59,0)</f>
        <v/>
      </c>
      <c r="TY46" s="9" t="str">
        <f>VLOOKUP(AG46,'BUS 2'!$G$1:$CU$424,60,0)</f>
        <v/>
      </c>
      <c r="TZ46" s="9" t="str">
        <f>VLOOKUP(AG46,'BUS 2'!$G$1:$CU$424,61,0)</f>
        <v/>
      </c>
      <c r="UA46" s="9" t="str">
        <f>VLOOKUP(AG46,'BUS 2'!$G$1:$CU$424,62,0)</f>
        <v/>
      </c>
      <c r="UB46" s="9" t="str">
        <f>VLOOKUP(AG46,'BUS 2'!$G$1:$CU$424,63,0)</f>
        <v/>
      </c>
      <c r="UC46" s="9" t="str">
        <f>VLOOKUP(AG46,'BUS 2'!$G$1:$CU$424,64,0)</f>
        <v/>
      </c>
      <c r="UD46" s="9" t="str">
        <f>VLOOKUP(AG46,'BUS 2'!$G$1:$CU$424,65,0)</f>
        <v/>
      </c>
      <c r="UE46" s="9" t="str">
        <f>VLOOKUP(AG46,'BUS 2'!$G$1:$CU$424,66,0)</f>
        <v/>
      </c>
      <c r="UF46" s="9" t="str">
        <f>VLOOKUP(AG46,'BUS 2'!$G$1:$CU$424,67,0)</f>
        <v/>
      </c>
      <c r="UG46" s="9" t="str">
        <f>VLOOKUP(AG46,'BUS 2'!$G$1:$CU$424,68,0)</f>
        <v/>
      </c>
      <c r="UH46" s="9" t="str">
        <f>VLOOKUP(AG46,'BUS 2'!$G$1:$CU$424,69,0)</f>
        <v/>
      </c>
      <c r="UI46" s="9" t="str">
        <f>VLOOKUP(AG46,'BUS 2'!$G$1:$CU$424,70,0)</f>
        <v/>
      </c>
      <c r="UJ46" s="9" t="str">
        <f>VLOOKUP(AG46,'BUS 2'!$G$1:$CU$424,71,0)</f>
        <v/>
      </c>
      <c r="UK46" s="9" t="str">
        <f>VLOOKUP(AG46,'BUS 2'!$G$1:$CU$424,72,0)</f>
        <v/>
      </c>
      <c r="UL46" s="9" t="str">
        <f>VLOOKUP(AG46,'BUS 2'!$G$1:$CU$424,73,0)</f>
        <v/>
      </c>
      <c r="UM46" s="9" t="str">
        <f>VLOOKUP(AG46,'BUS 2'!$G$1:$CU$424,74,0)</f>
        <v/>
      </c>
      <c r="UN46" s="9" t="str">
        <f>VLOOKUP(AG46,'BUS 2'!$G$1:$CU$424,75,0)</f>
        <v/>
      </c>
      <c r="UO46" s="9" t="str">
        <f>VLOOKUP(AG46,'BUS 2'!$G$1:$CU$424,76,0)</f>
        <v/>
      </c>
      <c r="UP46" s="9" t="str">
        <f>VLOOKUP(AG46,'BUS 2'!$G$1:$CU$424,77,0)</f>
        <v/>
      </c>
      <c r="UQ46" s="9" t="str">
        <f>VLOOKUP(AG46,'BUS 2'!$G$1:$CU$424,78,0)</f>
        <v/>
      </c>
      <c r="UR46" s="9" t="str">
        <f>VLOOKUP(AG46,'BUS 2'!$G$1:$CU$424,79,0)</f>
        <v/>
      </c>
      <c r="US46" s="9" t="str">
        <f>VLOOKUP(AG46,'BUS 2'!$G$1:$CU$424,80,0)</f>
        <v/>
      </c>
      <c r="UT46" s="9" t="str">
        <f>VLOOKUP(AG46,'BUS 2'!$G$1:$CU$424,81,0)</f>
        <v/>
      </c>
      <c r="UU46" s="9"/>
      <c r="UV46" s="9" t="s">
        <v>901</v>
      </c>
      <c r="UW46" s="9"/>
      <c r="UX46" s="9"/>
      <c r="UY46" s="9"/>
      <c r="UZ46" s="9"/>
      <c r="VA46" s="9"/>
      <c r="VB46" s="9"/>
      <c r="VC46" s="9"/>
      <c r="VD46" s="9" t="s">
        <v>950</v>
      </c>
      <c r="VE46" s="9"/>
      <c r="VF46" s="9"/>
      <c r="VG46" s="9"/>
      <c r="VH46" s="9"/>
      <c r="VI46" s="9"/>
      <c r="VJ46" s="9"/>
      <c r="VK46" s="9"/>
      <c r="VL46" s="9" t="s">
        <v>1158</v>
      </c>
      <c r="VM46" s="9"/>
      <c r="VN46" s="9"/>
      <c r="VO46" s="9"/>
      <c r="VP46" s="9"/>
      <c r="VQ46" s="9"/>
      <c r="VR46" s="9"/>
      <c r="VS46" s="9"/>
      <c r="VT46" s="9"/>
      <c r="VU46" s="9"/>
      <c r="VV46" s="9"/>
      <c r="VW46" s="9"/>
      <c r="VX46" s="9"/>
      <c r="VY46" s="9"/>
      <c r="VZ46" s="9"/>
      <c r="WA46" s="9"/>
      <c r="WB46" s="9"/>
      <c r="WC46" s="9"/>
      <c r="WD46" s="9"/>
      <c r="WE46" s="9"/>
      <c r="WF46" s="9" t="s">
        <v>1340</v>
      </c>
      <c r="WG46" s="8">
        <v>0.0</v>
      </c>
      <c r="WH46" s="8">
        <v>0.0</v>
      </c>
      <c r="WI46" s="8">
        <v>1.0</v>
      </c>
      <c r="WJ46" s="8">
        <v>0.0</v>
      </c>
      <c r="WK46" s="8">
        <v>1.0</v>
      </c>
      <c r="WL46" s="8">
        <v>0.0</v>
      </c>
      <c r="WM46" s="8">
        <v>0.0</v>
      </c>
      <c r="WN46" s="8">
        <v>0.0</v>
      </c>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8">
        <v>2.0</v>
      </c>
      <c r="ZX46" s="9"/>
      <c r="ZY46" s="9"/>
      <c r="ZZ46" s="9"/>
      <c r="AAA46" s="9"/>
      <c r="AAB46" s="9"/>
      <c r="AAC46" s="9"/>
      <c r="AAD46" s="9"/>
      <c r="AAE46" s="9" t="s">
        <v>905</v>
      </c>
      <c r="AAF46" s="9"/>
      <c r="AAG46" s="9"/>
      <c r="AAH46" s="9"/>
      <c r="AAI46" s="9"/>
      <c r="AAJ46" s="9"/>
      <c r="AAK46" s="9"/>
      <c r="AAL46" s="9" t="s">
        <v>857</v>
      </c>
      <c r="AAM46" s="9" t="s">
        <v>1033</v>
      </c>
      <c r="AAN46" s="8">
        <v>1.0</v>
      </c>
      <c r="AAO46" s="8">
        <v>1.0</v>
      </c>
      <c r="AAP46" s="8">
        <v>50.0</v>
      </c>
      <c r="AAQ46" s="8">
        <v>50.0</v>
      </c>
      <c r="AAR46" s="9" t="s">
        <v>857</v>
      </c>
      <c r="AAS46" s="9" t="s">
        <v>867</v>
      </c>
      <c r="AAT46" s="9" t="s">
        <v>1287</v>
      </c>
      <c r="AAU46" s="8">
        <v>1.0</v>
      </c>
      <c r="AAV46" s="8">
        <v>0.0</v>
      </c>
      <c r="AAW46" s="8">
        <v>0.0</v>
      </c>
      <c r="AAX46" s="8">
        <v>1.0</v>
      </c>
      <c r="AAY46" s="8">
        <v>0.0</v>
      </c>
      <c r="AAZ46" s="8">
        <v>0.0</v>
      </c>
      <c r="ABA46" s="8">
        <v>0.0</v>
      </c>
      <c r="ABB46" s="9" t="s">
        <v>907</v>
      </c>
      <c r="ABC46" s="8">
        <v>1.0</v>
      </c>
      <c r="ABD46" s="8">
        <v>0.0</v>
      </c>
      <c r="ABE46" s="8">
        <v>0.0</v>
      </c>
      <c r="ABF46" s="8">
        <v>0.0</v>
      </c>
      <c r="ABG46" s="8">
        <v>0.0</v>
      </c>
      <c r="ABH46" s="9"/>
      <c r="ABI46" s="9"/>
      <c r="ABJ46" s="9"/>
      <c r="ABK46" s="9"/>
      <c r="ABL46" s="9"/>
      <c r="ABM46" s="9"/>
      <c r="ABN46" s="9"/>
      <c r="ABO46" s="9"/>
      <c r="ABP46" s="9"/>
      <c r="ABQ46" s="11" t="s">
        <v>953</v>
      </c>
      <c r="ABR46" s="9" t="s">
        <v>1075</v>
      </c>
      <c r="ABS46" s="8">
        <v>3000.0</v>
      </c>
      <c r="ABT46" s="8">
        <v>300.0</v>
      </c>
      <c r="ABU46" s="8">
        <v>50.0</v>
      </c>
      <c r="ABV46" s="8">
        <v>50.0</v>
      </c>
      <c r="ABW46" s="9" t="s">
        <v>1199</v>
      </c>
      <c r="ABX46" s="9"/>
      <c r="ABY46" s="8">
        <v>40.0</v>
      </c>
      <c r="ABZ46" s="8">
        <v>4000.0</v>
      </c>
      <c r="ACA46" s="8">
        <v>10.0</v>
      </c>
      <c r="ACB46" s="8">
        <v>4000.0</v>
      </c>
      <c r="ACC46" s="8">
        <v>500.0</v>
      </c>
      <c r="ACD46" s="8">
        <v>550.0</v>
      </c>
      <c r="ACE46" s="9" t="s">
        <v>857</v>
      </c>
      <c r="ACF46" s="9" t="s">
        <v>911</v>
      </c>
      <c r="ACG46" s="9" t="s">
        <v>911</v>
      </c>
      <c r="ACH46" s="9" t="s">
        <v>1034</v>
      </c>
      <c r="ACI46" s="9"/>
      <c r="ACJ46" s="9"/>
      <c r="ACK46" s="9" t="s">
        <v>1304</v>
      </c>
      <c r="ACL46" s="8">
        <v>0.0</v>
      </c>
      <c r="ACM46" s="8">
        <v>1.0</v>
      </c>
      <c r="ACN46" s="8">
        <v>1.0</v>
      </c>
      <c r="ACO46" s="8">
        <v>0.0</v>
      </c>
      <c r="ACP46" s="8">
        <v>0.0</v>
      </c>
      <c r="ACQ46" s="8">
        <v>0.0</v>
      </c>
      <c r="ACR46" s="8">
        <v>0.0</v>
      </c>
      <c r="ACS46" s="9"/>
      <c r="ACT46" s="9" t="s">
        <v>912</v>
      </c>
      <c r="ACU46" s="9" t="s">
        <v>913</v>
      </c>
      <c r="ACV46" s="9" t="s">
        <v>996</v>
      </c>
      <c r="ACW46" s="9" t="s">
        <v>915</v>
      </c>
      <c r="ACX46" s="9" t="s">
        <v>916</v>
      </c>
      <c r="ACY46" s="9" t="s">
        <v>1035</v>
      </c>
      <c r="ACZ46" s="8">
        <v>1.0</v>
      </c>
      <c r="ADA46" s="8">
        <v>1.0</v>
      </c>
      <c r="ADB46" s="8">
        <v>0.0</v>
      </c>
      <c r="ADC46" s="8">
        <v>0.0</v>
      </c>
      <c r="ADD46" s="9" t="s">
        <v>1187</v>
      </c>
      <c r="ADE46" s="9" t="s">
        <v>1187</v>
      </c>
      <c r="ADF46" s="9" t="s">
        <v>1187</v>
      </c>
      <c r="ADG46" s="9" t="s">
        <v>1187</v>
      </c>
      <c r="ADH46" s="9" t="s">
        <v>881</v>
      </c>
      <c r="ADI46" s="9"/>
      <c r="ADJ46" s="9" t="s">
        <v>1187</v>
      </c>
      <c r="ADK46" s="9"/>
      <c r="ADL46" s="9"/>
      <c r="ADM46" s="9"/>
      <c r="ADN46" s="9"/>
      <c r="ADO46" s="9"/>
      <c r="ADP46" s="9"/>
      <c r="ADQ46" s="9"/>
      <c r="ADR46" s="9"/>
      <c r="ADS46" s="9"/>
      <c r="ADT46" s="9"/>
      <c r="ADU46" s="9" t="s">
        <v>919</v>
      </c>
      <c r="ADV46" s="8">
        <v>0.0</v>
      </c>
      <c r="ADW46" s="8">
        <v>0.0</v>
      </c>
      <c r="ADX46" s="8">
        <v>0.0</v>
      </c>
      <c r="ADY46" s="8">
        <v>0.0</v>
      </c>
      <c r="ADZ46" s="8">
        <v>1.0</v>
      </c>
      <c r="AEA46" s="8">
        <v>0.0</v>
      </c>
      <c r="AEB46" s="8">
        <v>0.0</v>
      </c>
      <c r="AEC46" s="8">
        <v>0.0</v>
      </c>
      <c r="AED46" s="12"/>
      <c r="AEE46" s="17" t="s">
        <v>872</v>
      </c>
      <c r="AEF46" s="9"/>
      <c r="AEG46" s="17" t="s">
        <v>920</v>
      </c>
      <c r="AEH46" s="9"/>
      <c r="AEI46" s="11" t="s">
        <v>917</v>
      </c>
      <c r="AEJ46" s="9" t="s">
        <v>871</v>
      </c>
      <c r="AEK46" s="17" t="s">
        <v>1076</v>
      </c>
      <c r="AEL46" s="18">
        <v>1.0</v>
      </c>
      <c r="AEM46" s="18">
        <v>1.0</v>
      </c>
      <c r="AEN46" s="18">
        <v>1.0</v>
      </c>
      <c r="AEO46" s="18">
        <v>1.0</v>
      </c>
      <c r="AEP46" s="18">
        <v>1.0</v>
      </c>
      <c r="AEQ46" s="18">
        <v>1.0</v>
      </c>
      <c r="AER46" s="18">
        <v>1.0</v>
      </c>
      <c r="AES46" s="18">
        <v>1.0</v>
      </c>
      <c r="AET46" s="18">
        <v>0.0</v>
      </c>
      <c r="AEU46" s="18">
        <v>0.0</v>
      </c>
      <c r="AEV46" s="18">
        <v>0.0</v>
      </c>
      <c r="AEW46" s="18">
        <v>0.0</v>
      </c>
      <c r="AEX46" s="9"/>
      <c r="AEY46" s="9" t="s">
        <v>1305</v>
      </c>
      <c r="AEZ46" s="9"/>
      <c r="AFA46" s="9" t="s">
        <v>1188</v>
      </c>
      <c r="AFB46" s="9"/>
      <c r="AFC46" s="9" t="s">
        <v>1430</v>
      </c>
      <c r="AFD46" s="16" t="s">
        <v>1431</v>
      </c>
      <c r="AFE46" s="9" t="s">
        <v>1432</v>
      </c>
      <c r="AFF46" s="16" t="s">
        <v>1433</v>
      </c>
      <c r="AFG46" s="9" t="s">
        <v>1137</v>
      </c>
      <c r="AFH46" s="9"/>
      <c r="AFI46" s="9"/>
    </row>
    <row r="47">
      <c r="A47" s="6">
        <v>46062.0</v>
      </c>
      <c r="B47" s="6">
        <v>46062.0</v>
      </c>
      <c r="C47" s="7" t="s">
        <v>837</v>
      </c>
      <c r="D47" s="7" t="s">
        <v>1434</v>
      </c>
      <c r="E47" s="8">
        <v>6.285701460813E12</v>
      </c>
      <c r="F47" s="9"/>
      <c r="G47" s="8">
        <v>-7.232807988</v>
      </c>
      <c r="H47" s="8">
        <v>110.291011</v>
      </c>
      <c r="I47" s="9"/>
      <c r="J47" s="8">
        <v>4.9</v>
      </c>
      <c r="K47" s="9"/>
      <c r="L47" s="9"/>
      <c r="M47" s="8">
        <v>-7.2327546</v>
      </c>
      <c r="N47" s="8">
        <v>110.291009</v>
      </c>
      <c r="O47" s="9"/>
      <c r="P47" s="8">
        <v>4.47</v>
      </c>
      <c r="Q47" s="9"/>
      <c r="R47" s="9" t="s">
        <v>839</v>
      </c>
      <c r="S47" s="9"/>
      <c r="T47" s="9"/>
      <c r="U47" s="9"/>
      <c r="V47" s="9"/>
      <c r="W47" s="9"/>
      <c r="X47" s="9"/>
      <c r="Y47" s="9"/>
      <c r="Z47" s="9"/>
      <c r="AA47" s="9"/>
      <c r="AB47" s="9"/>
      <c r="AC47" s="7" t="s">
        <v>1175</v>
      </c>
      <c r="AD47" s="7" t="s">
        <v>1176</v>
      </c>
      <c r="AE47" s="7" t="s">
        <v>1401</v>
      </c>
      <c r="AF47" s="9" t="s">
        <v>1178</v>
      </c>
      <c r="AG47" s="9" t="s">
        <v>1435</v>
      </c>
      <c r="AH47" s="8">
        <v>3.0</v>
      </c>
      <c r="AI47" s="9" t="s">
        <v>845</v>
      </c>
      <c r="AJ47" s="9" t="s">
        <v>846</v>
      </c>
      <c r="AK47" s="8">
        <v>30.0</v>
      </c>
      <c r="AL47" s="9" t="s">
        <v>847</v>
      </c>
      <c r="AM47" s="9" t="s">
        <v>848</v>
      </c>
      <c r="AN47" s="9" t="s">
        <v>1009</v>
      </c>
      <c r="AO47" s="9" t="s">
        <v>935</v>
      </c>
      <c r="AP47" s="8">
        <v>0.0</v>
      </c>
      <c r="AQ47" s="8">
        <v>1.0</v>
      </c>
      <c r="AR47" s="8">
        <v>0.0</v>
      </c>
      <c r="AS47" s="8">
        <v>0.0</v>
      </c>
      <c r="AT47" s="8">
        <v>0.0</v>
      </c>
      <c r="AU47" s="8">
        <v>0.0</v>
      </c>
      <c r="AV47" s="8">
        <v>0.0</v>
      </c>
      <c r="AW47" s="8">
        <v>0.0</v>
      </c>
      <c r="AX47" s="9"/>
      <c r="AY47" s="9" t="s">
        <v>1436</v>
      </c>
      <c r="AZ47" s="8">
        <v>1.0</v>
      </c>
      <c r="BA47" s="8">
        <v>0.0</v>
      </c>
      <c r="BB47" s="8">
        <v>0.0</v>
      </c>
      <c r="BC47" s="8">
        <v>1.0</v>
      </c>
      <c r="BD47" s="8">
        <v>0.0</v>
      </c>
      <c r="BE47" s="8">
        <v>0.0</v>
      </c>
      <c r="BF47" s="8">
        <v>0.0</v>
      </c>
      <c r="BG47" s="8">
        <v>0.0</v>
      </c>
      <c r="BH47" s="9"/>
      <c r="BI47" s="9" t="s">
        <v>852</v>
      </c>
      <c r="BJ47" s="8">
        <v>1.0</v>
      </c>
      <c r="BK47" s="8">
        <v>2.0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856</v>
      </c>
      <c r="CD47" s="8">
        <v>0.0</v>
      </c>
      <c r="CE47" s="8">
        <v>0.0</v>
      </c>
      <c r="CF47" s="8">
        <v>0.0</v>
      </c>
      <c r="CG47" s="8">
        <v>0.0</v>
      </c>
      <c r="CH47" s="8">
        <v>0.0</v>
      </c>
      <c r="CI47" s="8">
        <v>1.0</v>
      </c>
      <c r="CJ47" s="8">
        <v>0.0</v>
      </c>
      <c r="CK47" s="9"/>
      <c r="CL47" s="9" t="s">
        <v>857</v>
      </c>
      <c r="CM47" s="8">
        <v>2023.0</v>
      </c>
      <c r="CN47" s="9" t="s">
        <v>858</v>
      </c>
      <c r="CO47" s="9" t="s">
        <v>859</v>
      </c>
      <c r="CP47" s="9" t="s">
        <v>860</v>
      </c>
      <c r="CQ47" s="8">
        <v>0.0</v>
      </c>
      <c r="CR47" s="8">
        <v>0.0</v>
      </c>
      <c r="CS47" s="8">
        <v>0.0</v>
      </c>
      <c r="CT47" s="8">
        <v>0.0</v>
      </c>
      <c r="CU47" s="10">
        <v>1.0</v>
      </c>
      <c r="CV47" s="10">
        <v>0.0</v>
      </c>
      <c r="CW47" s="10">
        <v>0.0</v>
      </c>
      <c r="CX47" s="8">
        <v>0.0</v>
      </c>
      <c r="CY47" s="9" t="s">
        <v>860</v>
      </c>
      <c r="CZ47" s="8">
        <v>1.0</v>
      </c>
      <c r="DA47" s="8">
        <v>0.0</v>
      </c>
      <c r="DB47" s="8">
        <v>0.0</v>
      </c>
      <c r="DC47" s="9"/>
      <c r="DD47" s="9" t="s">
        <v>937</v>
      </c>
      <c r="DE47" s="8">
        <v>1.0</v>
      </c>
      <c r="DF47" s="8">
        <v>0.0</v>
      </c>
      <c r="DG47" s="8">
        <v>1.0</v>
      </c>
      <c r="DH47" s="8">
        <v>0.0</v>
      </c>
      <c r="DI47" s="9"/>
      <c r="DJ47" s="9" t="s">
        <v>937</v>
      </c>
      <c r="DK47" s="8">
        <v>1.0</v>
      </c>
      <c r="DL47" s="8">
        <v>0.0</v>
      </c>
      <c r="DM47" s="8">
        <v>1.0</v>
      </c>
      <c r="DN47" s="8">
        <v>0.0</v>
      </c>
      <c r="DO47" s="9"/>
      <c r="DP47" s="8">
        <v>1.0</v>
      </c>
      <c r="DQ47" s="8">
        <v>0.0</v>
      </c>
      <c r="DR47" s="8">
        <v>0.0</v>
      </c>
      <c r="DS47" s="9"/>
      <c r="DT47" s="9"/>
      <c r="DU47" s="9"/>
      <c r="DV47" s="9" t="s">
        <v>857</v>
      </c>
      <c r="DW47" s="9"/>
      <c r="DX47" s="9"/>
      <c r="DY47" s="9"/>
      <c r="DZ47" s="9"/>
      <c r="EA47" s="9"/>
      <c r="EB47" s="9"/>
      <c r="EC47" s="9"/>
      <c r="ED47" s="9"/>
      <c r="EE47" s="9"/>
      <c r="EF47" s="9"/>
      <c r="EG47" s="9"/>
      <c r="EH47" s="9"/>
      <c r="EI47" s="9" t="s">
        <v>862</v>
      </c>
      <c r="EJ47" s="8">
        <v>0.0</v>
      </c>
      <c r="EK47" s="8">
        <v>0.0</v>
      </c>
      <c r="EL47" s="8">
        <v>0.0</v>
      </c>
      <c r="EM47" s="8">
        <v>1.0</v>
      </c>
      <c r="EN47" s="8">
        <v>0.0</v>
      </c>
      <c r="EO47" s="11"/>
      <c r="EP47" s="9" t="s">
        <v>863</v>
      </c>
      <c r="EQ47" s="9" t="s">
        <v>864</v>
      </c>
      <c r="ER47" s="9" t="s">
        <v>861</v>
      </c>
      <c r="ES47" s="8">
        <v>1.0</v>
      </c>
      <c r="ET47" s="8">
        <v>0.0</v>
      </c>
      <c r="EU47" s="8">
        <v>0.0</v>
      </c>
      <c r="EV47" s="8">
        <v>0.0</v>
      </c>
      <c r="EW47" s="9"/>
      <c r="EX47" s="9" t="s">
        <v>865</v>
      </c>
      <c r="EY47" s="8">
        <v>1.0</v>
      </c>
      <c r="EZ47" s="8">
        <v>0.0</v>
      </c>
      <c r="FA47" s="8">
        <v>0.0</v>
      </c>
      <c r="FB47" s="9"/>
      <c r="FC47" s="9" t="s">
        <v>1072</v>
      </c>
      <c r="FD47" s="9"/>
      <c r="FE47" s="9" t="s">
        <v>867</v>
      </c>
      <c r="FF47" s="9" t="s">
        <v>868</v>
      </c>
      <c r="FG47" s="9" t="s">
        <v>867</v>
      </c>
      <c r="FH47" s="9" t="s">
        <v>868</v>
      </c>
      <c r="FI47" s="9" t="s">
        <v>867</v>
      </c>
      <c r="FJ47" s="9" t="s">
        <v>868</v>
      </c>
      <c r="FK47" s="9" t="s">
        <v>867</v>
      </c>
      <c r="FL47" s="9" t="s">
        <v>943</v>
      </c>
      <c r="FM47" s="9" t="s">
        <v>867</v>
      </c>
      <c r="FN47" s="9" t="s">
        <v>870</v>
      </c>
      <c r="FO47" s="9" t="s">
        <v>867</v>
      </c>
      <c r="FP47" s="9" t="s">
        <v>943</v>
      </c>
      <c r="FQ47" s="9" t="s">
        <v>867</v>
      </c>
      <c r="FR47" s="9" t="s">
        <v>857</v>
      </c>
      <c r="FS47" s="9" t="s">
        <v>867</v>
      </c>
      <c r="FT47" s="9" t="s">
        <v>871</v>
      </c>
      <c r="FU47" s="9" t="s">
        <v>989</v>
      </c>
      <c r="FV47" s="8">
        <v>1.0</v>
      </c>
      <c r="FW47" s="8">
        <v>1.0</v>
      </c>
      <c r="FX47" s="8">
        <v>0.0</v>
      </c>
      <c r="FY47" s="8">
        <v>0.0</v>
      </c>
      <c r="FZ47" s="9" t="s">
        <v>1197</v>
      </c>
      <c r="GA47" s="9" t="s">
        <v>874</v>
      </c>
      <c r="GB47" s="8">
        <v>1.0</v>
      </c>
      <c r="GC47" s="8">
        <v>0.0</v>
      </c>
      <c r="GD47" s="8">
        <v>0.0</v>
      </c>
      <c r="GE47" s="8">
        <v>0.0</v>
      </c>
      <c r="GF47" s="9"/>
      <c r="GG47" s="9" t="s">
        <v>875</v>
      </c>
      <c r="GH47" s="9" t="s">
        <v>857</v>
      </c>
      <c r="GI47" s="9" t="s">
        <v>876</v>
      </c>
      <c r="GJ47" s="8">
        <v>1.0</v>
      </c>
      <c r="GK47" s="8">
        <v>0.0</v>
      </c>
      <c r="GL47" s="8">
        <v>0.0</v>
      </c>
      <c r="GM47" s="8">
        <v>0.0</v>
      </c>
      <c r="GN47" s="9"/>
      <c r="GO47" s="8">
        <v>9.0</v>
      </c>
      <c r="GP47" s="9" t="s">
        <v>877</v>
      </c>
      <c r="GQ47" s="9" t="s">
        <v>878</v>
      </c>
      <c r="GR47" s="8">
        <v>1.0</v>
      </c>
      <c r="GS47" s="8">
        <v>1.0</v>
      </c>
      <c r="GT47" s="8">
        <v>0.0</v>
      </c>
      <c r="GU47" s="8">
        <v>0.0</v>
      </c>
      <c r="GV47" s="8">
        <v>0.0</v>
      </c>
      <c r="GW47" s="8">
        <v>0.0</v>
      </c>
      <c r="GX47" s="8">
        <v>0.0</v>
      </c>
      <c r="GY47" s="9"/>
      <c r="GZ47" s="9" t="s">
        <v>857</v>
      </c>
      <c r="HA47" s="8">
        <v>10.0</v>
      </c>
      <c r="HB47" s="8">
        <v>100000.0</v>
      </c>
      <c r="HC47" s="8">
        <v>5.0</v>
      </c>
      <c r="HD47" s="8">
        <v>50000.0</v>
      </c>
      <c r="HE47" s="8">
        <v>12.0</v>
      </c>
      <c r="HF47" s="8">
        <v>100000.0</v>
      </c>
      <c r="HG47" s="8">
        <v>3.0</v>
      </c>
      <c r="HH47" s="8">
        <v>25000.0</v>
      </c>
      <c r="HI47" s="9"/>
      <c r="HJ47" s="9"/>
      <c r="HK47" s="9"/>
      <c r="HL47" s="9"/>
      <c r="HM47" s="9"/>
      <c r="HN47" s="9"/>
      <c r="HO47" s="9"/>
      <c r="HP47" s="9"/>
      <c r="HQ47" s="9"/>
      <c r="HR47" s="9"/>
      <c r="HS47" s="9"/>
      <c r="HT47" s="9"/>
      <c r="HU47" s="9"/>
      <c r="HV47" s="9"/>
      <c r="HW47" s="9"/>
      <c r="HX47" s="9"/>
      <c r="HY47" s="8">
        <v>5.0</v>
      </c>
      <c r="HZ47" s="8">
        <v>50000.0</v>
      </c>
      <c r="IA47" s="8">
        <v>9.0</v>
      </c>
      <c r="IB47" s="8">
        <v>75000.0</v>
      </c>
      <c r="IC47" s="9"/>
      <c r="ID47" s="9"/>
      <c r="IE47" s="9"/>
      <c r="IF47" s="9"/>
      <c r="IG47" s="9"/>
      <c r="IH47" s="9"/>
      <c r="II47" s="9"/>
      <c r="IJ47" s="9"/>
      <c r="IK47" s="9" t="s">
        <v>879</v>
      </c>
      <c r="IL47" s="9" t="s">
        <v>880</v>
      </c>
      <c r="IM47" s="9" t="s">
        <v>857</v>
      </c>
      <c r="IN47" s="9" t="s">
        <v>881</v>
      </c>
      <c r="IO47" s="9" t="s">
        <v>882</v>
      </c>
      <c r="IP47" s="9"/>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3.0</v>
      </c>
      <c r="LD47" s="8">
        <v>3.0</v>
      </c>
      <c r="LE47" s="8">
        <v>0.0</v>
      </c>
      <c r="LF47" s="8">
        <v>0.0</v>
      </c>
      <c r="LG47" s="9" t="s">
        <v>857</v>
      </c>
      <c r="LH47" s="8">
        <v>100000.0</v>
      </c>
      <c r="LI47" s="9"/>
      <c r="LJ47" s="9" t="s">
        <v>887</v>
      </c>
      <c r="LK47" s="8">
        <v>0.0</v>
      </c>
      <c r="LL47" s="8">
        <v>0.0</v>
      </c>
      <c r="LM47" s="8">
        <v>0.0</v>
      </c>
      <c r="LN47" s="8">
        <v>0.0</v>
      </c>
      <c r="LO47" s="8">
        <v>1.0</v>
      </c>
      <c r="LP47" s="8">
        <v>0.0</v>
      </c>
      <c r="LQ47" s="8">
        <v>0.0</v>
      </c>
      <c r="LR47" s="9"/>
      <c r="LS47" s="8">
        <v>15.0</v>
      </c>
      <c r="LT47" s="8">
        <v>15.0</v>
      </c>
      <c r="LU47" s="8">
        <v>0.0</v>
      </c>
      <c r="LV47" s="8">
        <v>6.0</v>
      </c>
      <c r="LW47" s="8">
        <v>6.0</v>
      </c>
      <c r="LX47" s="8">
        <v>0.0</v>
      </c>
      <c r="LY47" s="8">
        <v>7.0</v>
      </c>
      <c r="LZ47" s="8">
        <v>7.0</v>
      </c>
      <c r="MA47" s="8">
        <v>0.0</v>
      </c>
      <c r="MB47" s="9" t="s">
        <v>857</v>
      </c>
      <c r="MC47" s="8">
        <v>30.0</v>
      </c>
      <c r="MD47" s="8">
        <v>15.0</v>
      </c>
      <c r="ME47" s="8">
        <v>30.0</v>
      </c>
      <c r="MF47" s="8">
        <v>15.0</v>
      </c>
      <c r="MG47" s="8">
        <v>0.0</v>
      </c>
      <c r="MH47" s="8">
        <v>0.0</v>
      </c>
      <c r="MI47" s="9" t="s">
        <v>946</v>
      </c>
      <c r="MJ47" s="8">
        <v>0.0</v>
      </c>
      <c r="MK47" s="8">
        <v>0.0</v>
      </c>
      <c r="ML47" s="8">
        <v>1.0</v>
      </c>
      <c r="MM47" s="8">
        <v>0.0</v>
      </c>
      <c r="MN47" s="8">
        <v>0.0</v>
      </c>
      <c r="MO47" s="8">
        <v>0.0</v>
      </c>
      <c r="MP47" s="9"/>
      <c r="MQ47" s="9"/>
      <c r="MR47" s="9" t="s">
        <v>888</v>
      </c>
      <c r="MS47" s="9"/>
      <c r="MT47" s="9" t="s">
        <v>1437</v>
      </c>
      <c r="MU47" s="9" t="s">
        <v>881</v>
      </c>
      <c r="MV47" s="9"/>
      <c r="MW47" s="9"/>
      <c r="MX47" s="9"/>
      <c r="MY47" s="9"/>
      <c r="MZ47" s="9"/>
      <c r="NA47" s="9"/>
      <c r="NB47" s="9"/>
      <c r="NC47" s="9"/>
      <c r="ND47" s="9"/>
      <c r="NE47" s="9"/>
      <c r="NF47" s="9"/>
      <c r="NG47" s="9"/>
      <c r="NH47" s="9"/>
      <c r="NI47" s="9"/>
      <c r="NJ47" s="9"/>
      <c r="NK47" s="9"/>
      <c r="NL47" s="9" t="s">
        <v>857</v>
      </c>
      <c r="NM47" s="9" t="s">
        <v>893</v>
      </c>
      <c r="NN47" s="9" t="s">
        <v>993</v>
      </c>
      <c r="NO47" s="9" t="s">
        <v>994</v>
      </c>
      <c r="NP47" s="9"/>
      <c r="NQ47" s="9"/>
      <c r="NR47" s="9"/>
      <c r="NS47" s="9"/>
      <c r="NT47" s="9"/>
      <c r="NU47" s="9"/>
      <c r="NV47" s="9" t="s">
        <v>896</v>
      </c>
      <c r="NW47" s="9"/>
      <c r="NX47" s="9" t="s">
        <v>897</v>
      </c>
      <c r="NY47" s="8">
        <v>40.0</v>
      </c>
      <c r="NZ47" s="8">
        <v>20.0</v>
      </c>
      <c r="OA47" s="8">
        <v>0.0</v>
      </c>
      <c r="OB47" s="8">
        <v>5.0</v>
      </c>
      <c r="OC47" s="8">
        <v>5.0</v>
      </c>
      <c r="OD47" s="8">
        <v>0.0</v>
      </c>
      <c r="OE47" s="9" t="s">
        <v>898</v>
      </c>
      <c r="OF47" s="9" t="s">
        <v>1184</v>
      </c>
      <c r="OG47" s="9" t="s">
        <v>857</v>
      </c>
      <c r="OH47" s="8">
        <v>0.0</v>
      </c>
      <c r="OI47" s="8">
        <v>2.0</v>
      </c>
      <c r="OJ47" s="8">
        <v>0.0</v>
      </c>
      <c r="OK47" s="8">
        <v>0.0</v>
      </c>
      <c r="OL47" s="8">
        <v>0.0</v>
      </c>
      <c r="OM47" s="8">
        <v>0.0</v>
      </c>
      <c r="ON47" s="8">
        <v>0.0</v>
      </c>
      <c r="OO47" s="8">
        <v>0.0</v>
      </c>
      <c r="OP47" s="9" t="str">
        <f>VLOOKUP(AG47,'BUS 2'!$G$1:$CU$424,2,0)</f>
        <v>Sapi perah</v>
      </c>
      <c r="OQ47" s="8">
        <f>VLOOKUP(AG47,'BUS 2'!$G$1:$CU$424,3,0)</f>
        <v>0</v>
      </c>
      <c r="OR47" s="8">
        <f>VLOOKUP(AG47,'BUS 2'!$G$1:$CU$424,4,0)</f>
        <v>1</v>
      </c>
      <c r="OS47" s="8">
        <f>VLOOKUP(AG47,'BUS 2'!$G$1:$CU$424,5,0)</f>
        <v>0</v>
      </c>
      <c r="OT47" s="8">
        <f>VLOOKUP(AG47,'BUS 2'!$G$1:$CU$424,6,0)</f>
        <v>0</v>
      </c>
      <c r="OU47" s="8">
        <f>VLOOKUP(AG47,'BUS 2'!$G$1:$CU$424,7,0)</f>
        <v>0</v>
      </c>
      <c r="OV47" s="8">
        <f>VLOOKUP(AG47,'BUS 2'!$G$1:$CU$424,8,0)</f>
        <v>0</v>
      </c>
      <c r="OW47" s="8">
        <f>VLOOKUP(AG47,'BUS 2'!$G$1:$CU$424,9,0)</f>
        <v>0</v>
      </c>
      <c r="OX47" s="8">
        <f>VLOOKUP(AG47,'BUS 2'!$G$1:$CU$424,10,0)</f>
        <v>0</v>
      </c>
      <c r="OY47" s="8">
        <f>VLOOKUP(AG47,'BUS 2'!$G$1:$CU$424,11,0)</f>
        <v>0</v>
      </c>
      <c r="OZ47" s="8" t="str">
        <f>VLOOKUP(AG47,'BUS 2'!$G$1:$CU$424,12,0)</f>
        <v>Sapi perah</v>
      </c>
      <c r="PA47" s="8">
        <f>VLOOKUP(AG47,'BUS 2'!$G$1:$CU$424,13,0)</f>
        <v>0</v>
      </c>
      <c r="PB47" s="8">
        <f>VLOOKUP(AG47,'BUS 2'!$G$1:$CU$424,14,0)</f>
        <v>1</v>
      </c>
      <c r="PC47" s="8">
        <f>VLOOKUP(AG47,'BUS 2'!$G$1:$CU$424,15,0)</f>
        <v>0</v>
      </c>
      <c r="PD47" s="8">
        <f>VLOOKUP(AG47,'BUS 2'!$G$1:$CU$424,16,0)</f>
        <v>0</v>
      </c>
      <c r="PE47" s="8">
        <f>VLOOKUP(AG47,'BUS 2'!$G$1:$CU$424,17,0)</f>
        <v>0</v>
      </c>
      <c r="PF47" s="8">
        <f>VLOOKUP(AG47,'BUS 2'!$G$1:$CU$424,18,0)</f>
        <v>0</v>
      </c>
      <c r="PG47" s="8">
        <f>VLOOKUP(AG47,'BUS 2'!$G$1:$CU$424,19,0)</f>
        <v>0</v>
      </c>
      <c r="PH47" s="8">
        <f>VLOOKUP(AG47,'BUS 2'!$G$1:$CU$424,20,0)</f>
        <v>0</v>
      </c>
      <c r="PI47" s="8">
        <f>VLOOKUP(AG47,'BUS 2'!$G$1:$CU$424,21,0)</f>
        <v>0</v>
      </c>
      <c r="PJ47" s="8" t="str">
        <f>VLOOKUP(AG47,'BUS 2'!$G$1:$CU$424,22,0)</f>
        <v>Tidak ada</v>
      </c>
      <c r="PK47" s="8">
        <f>VLOOKUP(AG47,'BUS 2'!$G$1:$CU$424,23,0)</f>
        <v>0</v>
      </c>
      <c r="PL47" s="8">
        <f>VLOOKUP(AG47,'BUS 2'!$G$1:$CU$424,24,0)</f>
        <v>0</v>
      </c>
      <c r="PM47" s="8">
        <f>VLOOKUP(AG47,'BUS 2'!$G$1:$CU$424,25,0)</f>
        <v>0</v>
      </c>
      <c r="PN47" s="8">
        <f>VLOOKUP(AG47,'BUS 2'!$G$1:$CU$424,26,0)</f>
        <v>0</v>
      </c>
      <c r="PO47" s="8">
        <f>VLOOKUP(AG47,'BUS 2'!$G$1:$CU$424,27,0)</f>
        <v>0</v>
      </c>
      <c r="PP47" s="8">
        <f>VLOOKUP(AG47,'BUS 2'!$G$1:$CU$424,28,0)</f>
        <v>0</v>
      </c>
      <c r="PQ47" s="8">
        <f>VLOOKUP(AG47,'BUS 2'!$G$1:$CU$424,29,0)</f>
        <v>0</v>
      </c>
      <c r="PR47" s="8">
        <f>VLOOKUP(AG47,'BUS 2'!$G$1:$CU$424,30,0)</f>
        <v>0</v>
      </c>
      <c r="PS47" s="8">
        <f>VLOOKUP(AG47,'BUS 2'!$G$1:$CU$424,31,0)</f>
        <v>1</v>
      </c>
      <c r="PT47" s="9"/>
      <c r="PU47" s="9"/>
      <c r="PV47" s="9"/>
      <c r="PW47" s="9"/>
      <c r="PX47" s="9"/>
      <c r="PY47" s="9"/>
      <c r="PZ47" s="9"/>
      <c r="QA47" s="9"/>
      <c r="QB47" s="9"/>
      <c r="QC47" s="9"/>
      <c r="QD47" s="9"/>
      <c r="QE47" s="9" t="s">
        <v>900</v>
      </c>
      <c r="QF47" s="8">
        <v>0.0</v>
      </c>
      <c r="QG47" s="8">
        <v>0.0</v>
      </c>
      <c r="QH47" s="8">
        <v>0.0</v>
      </c>
      <c r="QI47" s="8">
        <v>0.0</v>
      </c>
      <c r="QJ47" s="8">
        <v>0.0</v>
      </c>
      <c r="QK47" s="8">
        <v>1.0</v>
      </c>
      <c r="QL47" s="8">
        <v>0.0</v>
      </c>
      <c r="QM47" s="8">
        <v>0.0</v>
      </c>
      <c r="QN47" s="8">
        <v>0.0</v>
      </c>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8" t="str">
        <f>VLOOKUP(AG47,'BUS 2'!$G$1:$CU$424,33,0)</f>
        <v/>
      </c>
      <c r="SZ47" s="9">
        <f>VLOOKUP(AG47,'BUS 2'!$G$1:$CU$424,34,0)</f>
        <v>2</v>
      </c>
      <c r="TA47" s="9" t="str">
        <f>VLOOKUP(AG47,'BUS 2'!$G$1:$CU$424,35,0)</f>
        <v/>
      </c>
      <c r="TB47" s="9" t="str">
        <f>VLOOKUP(AG47,'BUS 2'!$G$1:$CU$424,36,0)</f>
        <v/>
      </c>
      <c r="TC47" s="9" t="str">
        <f>VLOOKUP(AG47,'BUS 2'!$G$1:$CU$424,37,0)</f>
        <v/>
      </c>
      <c r="TD47" s="9" t="str">
        <f>VLOOKUP(AG47,'BUS 2'!$G$1:$CU$424,38,0)</f>
        <v/>
      </c>
      <c r="TE47" s="9" t="str">
        <f>VLOOKUP(AG47,'BUS 2'!$G$1:$CU$424,39,0)</f>
        <v/>
      </c>
      <c r="TF47" s="9" t="str">
        <f>VLOOKUP(AG47,'BUS 2'!$G$1:$CU$424,40,0)</f>
        <v/>
      </c>
      <c r="TG47" s="8" t="str">
        <f>VLOOKUP(AG47,'BUS 2'!$G$1:$CU$424,42,0)</f>
        <v/>
      </c>
      <c r="TH47" s="8">
        <f>VLOOKUP(AG47,'BUS 2'!$G$1:$CU$424,43,0)</f>
        <v>2</v>
      </c>
      <c r="TI47" s="8" t="str">
        <f>VLOOKUP(AG47,'BUS 2'!$G$1:$CU$424,44,0)</f>
        <v/>
      </c>
      <c r="TJ47" s="8" t="str">
        <f>VLOOKUP(AG47,'BUS 2'!$G$1:$CU$424,45,0)</f>
        <v/>
      </c>
      <c r="TK47" s="8" t="str">
        <f>VLOOKUP(AG47,'BUS 2'!$G$1:$CU$424,46,0)</f>
        <v/>
      </c>
      <c r="TL47" s="8" t="str">
        <f>VLOOKUP(AG47,'BUS 2'!$G$1:$CU$424,47,0)</f>
        <v/>
      </c>
      <c r="TM47" s="8" t="str">
        <f>VLOOKUP(AG47,'BUS 2'!$G$1:$CU$424,48,0)</f>
        <v/>
      </c>
      <c r="TN47" s="8" t="str">
        <f>VLOOKUP(AG47,'BUS 2'!$G$1:$CU$424,49,0)</f>
        <v/>
      </c>
      <c r="TO47" s="8" t="str">
        <f>VLOOKUP(AG47,'BUS 2'!$G$1:$CU$424,50,0)</f>
        <v/>
      </c>
      <c r="TP47" s="8" t="str">
        <f>VLOOKUP(AG47,'BUS 2'!$G$1:$CU$424,51,0)</f>
        <v/>
      </c>
      <c r="TQ47" s="8" t="str">
        <f>VLOOKUP(AG47,'BUS 2'!$G$1:$CU$424,52,0)</f>
        <v/>
      </c>
      <c r="TR47" s="8" t="str">
        <f>VLOOKUP(AG47,'BUS 2'!$G$1:$CU$424,53,0)</f>
        <v/>
      </c>
      <c r="TS47" s="9" t="str">
        <f>VLOOKUP(AG47,'BUS 2'!$G$1:$CU$424,54,0)</f>
        <v/>
      </c>
      <c r="TT47" s="9" t="str">
        <f>VLOOKUP(AG47,'BUS 2'!$G$1:$CU$424,55,0)</f>
        <v/>
      </c>
      <c r="TU47" s="9" t="str">
        <f>VLOOKUP(AG47,'BUS 2'!$G$1:$CU$424,56,0)</f>
        <v/>
      </c>
      <c r="TV47" s="9" t="str">
        <f>VLOOKUP(AG47,'BUS 2'!$G$1:$CU$424,57,0)</f>
        <v/>
      </c>
      <c r="TW47" s="9" t="str">
        <f>VLOOKUP(AG47,'BUS 2'!$G$1:$CU$424,58,0)</f>
        <v/>
      </c>
      <c r="TX47" s="9" t="str">
        <f>VLOOKUP(AG47,'BUS 2'!$G$1:$CU$424,59,0)</f>
        <v/>
      </c>
      <c r="TY47" s="9" t="str">
        <f>VLOOKUP(AG47,'BUS 2'!$G$1:$CU$424,60,0)</f>
        <v/>
      </c>
      <c r="TZ47" s="9" t="str">
        <f>VLOOKUP(AG47,'BUS 2'!$G$1:$CU$424,61,0)</f>
        <v/>
      </c>
      <c r="UA47" s="9" t="str">
        <f>VLOOKUP(AG47,'BUS 2'!$G$1:$CU$424,62,0)</f>
        <v/>
      </c>
      <c r="UB47" s="9" t="str">
        <f>VLOOKUP(AG47,'BUS 2'!$G$1:$CU$424,63,0)</f>
        <v/>
      </c>
      <c r="UC47" s="9" t="str">
        <f>VLOOKUP(AG47,'BUS 2'!$G$1:$CU$424,64,0)</f>
        <v/>
      </c>
      <c r="UD47" s="9" t="str">
        <f>VLOOKUP(AG47,'BUS 2'!$G$1:$CU$424,65,0)</f>
        <v/>
      </c>
      <c r="UE47" s="9" t="str">
        <f>VLOOKUP(AG47,'BUS 2'!$G$1:$CU$424,66,0)</f>
        <v/>
      </c>
      <c r="UF47" s="9" t="str">
        <f>VLOOKUP(AG47,'BUS 2'!$G$1:$CU$424,67,0)</f>
        <v/>
      </c>
      <c r="UG47" s="9" t="str">
        <f>VLOOKUP(AG47,'BUS 2'!$G$1:$CU$424,68,0)</f>
        <v/>
      </c>
      <c r="UH47" s="9" t="str">
        <f>VLOOKUP(AG47,'BUS 2'!$G$1:$CU$424,69,0)</f>
        <v/>
      </c>
      <c r="UI47" s="9" t="str">
        <f>VLOOKUP(AG47,'BUS 2'!$G$1:$CU$424,70,0)</f>
        <v/>
      </c>
      <c r="UJ47" s="9" t="str">
        <f>VLOOKUP(AG47,'BUS 2'!$G$1:$CU$424,71,0)</f>
        <v/>
      </c>
      <c r="UK47" s="9" t="str">
        <f>VLOOKUP(AG47,'BUS 2'!$G$1:$CU$424,72,0)</f>
        <v/>
      </c>
      <c r="UL47" s="9" t="str">
        <f>VLOOKUP(AG47,'BUS 2'!$G$1:$CU$424,73,0)</f>
        <v/>
      </c>
      <c r="UM47" s="9" t="str">
        <f>VLOOKUP(AG47,'BUS 2'!$G$1:$CU$424,74,0)</f>
        <v/>
      </c>
      <c r="UN47" s="9" t="str">
        <f>VLOOKUP(AG47,'BUS 2'!$G$1:$CU$424,75,0)</f>
        <v/>
      </c>
      <c r="UO47" s="9" t="str">
        <f>VLOOKUP(AG47,'BUS 2'!$G$1:$CU$424,76,0)</f>
        <v/>
      </c>
      <c r="UP47" s="9" t="str">
        <f>VLOOKUP(AG47,'BUS 2'!$G$1:$CU$424,77,0)</f>
        <v/>
      </c>
      <c r="UQ47" s="9" t="str">
        <f>VLOOKUP(AG47,'BUS 2'!$G$1:$CU$424,78,0)</f>
        <v/>
      </c>
      <c r="UR47" s="9" t="str">
        <f>VLOOKUP(AG47,'BUS 2'!$G$1:$CU$424,79,0)</f>
        <v/>
      </c>
      <c r="US47" s="9" t="str">
        <f>VLOOKUP(AG47,'BUS 2'!$G$1:$CU$424,80,0)</f>
        <v/>
      </c>
      <c r="UT47" s="9" t="str">
        <f>VLOOKUP(AG47,'BUS 2'!$G$1:$CU$424,81,0)</f>
        <v/>
      </c>
      <c r="UU47" s="9"/>
      <c r="UV47" s="9" t="s">
        <v>901</v>
      </c>
      <c r="UW47" s="9"/>
      <c r="UX47" s="9"/>
      <c r="UY47" s="9"/>
      <c r="UZ47" s="9"/>
      <c r="VA47" s="9"/>
      <c r="VB47" s="9"/>
      <c r="VC47" s="9"/>
      <c r="VD47" s="9" t="s">
        <v>950</v>
      </c>
      <c r="VE47" s="9"/>
      <c r="VF47" s="9"/>
      <c r="VG47" s="9"/>
      <c r="VH47" s="9"/>
      <c r="VI47" s="9"/>
      <c r="VJ47" s="9"/>
      <c r="VK47" s="9"/>
      <c r="VL47" s="9" t="s">
        <v>1158</v>
      </c>
      <c r="VM47" s="9"/>
      <c r="VN47" s="9"/>
      <c r="VO47" s="9"/>
      <c r="VP47" s="9"/>
      <c r="VQ47" s="9"/>
      <c r="VR47" s="9"/>
      <c r="VS47" s="9"/>
      <c r="VT47" s="9"/>
      <c r="VU47" s="9"/>
      <c r="VV47" s="9"/>
      <c r="VW47" s="9"/>
      <c r="VX47" s="9"/>
      <c r="VY47" s="9"/>
      <c r="VZ47" s="9"/>
      <c r="WA47" s="9"/>
      <c r="WB47" s="9"/>
      <c r="WC47" s="9"/>
      <c r="WD47" s="9"/>
      <c r="WE47" s="9"/>
      <c r="WF47" s="9" t="s">
        <v>1207</v>
      </c>
      <c r="WG47" s="8">
        <v>0.0</v>
      </c>
      <c r="WH47" s="8">
        <v>0.0</v>
      </c>
      <c r="WI47" s="8">
        <v>0.0</v>
      </c>
      <c r="WJ47" s="8">
        <v>1.0</v>
      </c>
      <c r="WK47" s="8">
        <v>1.0</v>
      </c>
      <c r="WL47" s="8">
        <v>1.0</v>
      </c>
      <c r="WM47" s="8">
        <v>0.0</v>
      </c>
      <c r="WN47" s="8">
        <v>0.0</v>
      </c>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8">
        <v>50.0</v>
      </c>
      <c r="ZP47" s="9"/>
      <c r="ZQ47" s="9"/>
      <c r="ZR47" s="9"/>
      <c r="ZS47" s="9"/>
      <c r="ZT47" s="9"/>
      <c r="ZU47" s="9"/>
      <c r="ZV47" s="9"/>
      <c r="ZW47" s="8">
        <v>2.0</v>
      </c>
      <c r="ZX47" s="9"/>
      <c r="ZY47" s="9"/>
      <c r="ZZ47" s="9"/>
      <c r="AAA47" s="9"/>
      <c r="AAB47" s="9"/>
      <c r="AAC47" s="9"/>
      <c r="AAD47" s="9"/>
      <c r="AAE47" s="9" t="s">
        <v>1186</v>
      </c>
      <c r="AAF47" s="9"/>
      <c r="AAG47" s="9"/>
      <c r="AAH47" s="9"/>
      <c r="AAI47" s="9"/>
      <c r="AAJ47" s="9"/>
      <c r="AAK47" s="9"/>
      <c r="AAL47" s="9" t="s">
        <v>857</v>
      </c>
      <c r="AAM47" s="9" t="s">
        <v>1033</v>
      </c>
      <c r="AAN47" s="8">
        <v>1.0</v>
      </c>
      <c r="AAO47" s="8">
        <v>1.0</v>
      </c>
      <c r="AAP47" s="8">
        <v>40.0</v>
      </c>
      <c r="AAQ47" s="8">
        <v>40.0</v>
      </c>
      <c r="AAR47" s="9" t="s">
        <v>857</v>
      </c>
      <c r="AAS47" s="9" t="s">
        <v>867</v>
      </c>
      <c r="AAT47" s="9" t="s">
        <v>1287</v>
      </c>
      <c r="AAU47" s="8">
        <v>1.0</v>
      </c>
      <c r="AAV47" s="8">
        <v>0.0</v>
      </c>
      <c r="AAW47" s="8">
        <v>0.0</v>
      </c>
      <c r="AAX47" s="8">
        <v>1.0</v>
      </c>
      <c r="AAY47" s="8">
        <v>0.0</v>
      </c>
      <c r="AAZ47" s="8">
        <v>0.0</v>
      </c>
      <c r="ABA47" s="8">
        <v>0.0</v>
      </c>
      <c r="ABB47" s="9" t="s">
        <v>907</v>
      </c>
      <c r="ABC47" s="8">
        <v>1.0</v>
      </c>
      <c r="ABD47" s="8">
        <v>0.0</v>
      </c>
      <c r="ABE47" s="8">
        <v>0.0</v>
      </c>
      <c r="ABF47" s="8">
        <v>0.0</v>
      </c>
      <c r="ABG47" s="8">
        <v>0.0</v>
      </c>
      <c r="ABH47" s="9"/>
      <c r="ABI47" s="9"/>
      <c r="ABJ47" s="9"/>
      <c r="ABK47" s="9"/>
      <c r="ABL47" s="9"/>
      <c r="ABM47" s="9"/>
      <c r="ABN47" s="9"/>
      <c r="ABO47" s="9"/>
      <c r="ABP47" s="9"/>
      <c r="ABQ47" s="11" t="s">
        <v>953</v>
      </c>
      <c r="ABR47" s="9" t="s">
        <v>1075</v>
      </c>
      <c r="ABS47" s="8">
        <v>2000.0</v>
      </c>
      <c r="ABT47" s="8">
        <v>100.0</v>
      </c>
      <c r="ABU47" s="8">
        <v>40.0</v>
      </c>
      <c r="ABV47" s="8">
        <v>40.0</v>
      </c>
      <c r="ABW47" s="9" t="s">
        <v>1199</v>
      </c>
      <c r="ABX47" s="9"/>
      <c r="ABY47" s="8">
        <v>30.0</v>
      </c>
      <c r="ABZ47" s="8">
        <v>4000.0</v>
      </c>
      <c r="ACA47" s="8">
        <v>10.0</v>
      </c>
      <c r="ACB47" s="8">
        <v>4000.0</v>
      </c>
      <c r="ACC47" s="8">
        <v>300.0</v>
      </c>
      <c r="ACD47" s="8">
        <v>350.0</v>
      </c>
      <c r="ACE47" s="9" t="s">
        <v>857</v>
      </c>
      <c r="ACF47" s="9" t="s">
        <v>911</v>
      </c>
      <c r="ACG47" s="9" t="s">
        <v>911</v>
      </c>
      <c r="ACH47" s="9" t="s">
        <v>911</v>
      </c>
      <c r="ACI47" s="9"/>
      <c r="ACJ47" s="9"/>
      <c r="ACK47" s="9" t="s">
        <v>1215</v>
      </c>
      <c r="ACL47" s="8">
        <v>0.0</v>
      </c>
      <c r="ACM47" s="8">
        <v>1.0</v>
      </c>
      <c r="ACN47" s="8">
        <v>0.0</v>
      </c>
      <c r="ACO47" s="8">
        <v>1.0</v>
      </c>
      <c r="ACP47" s="8">
        <v>0.0</v>
      </c>
      <c r="ACQ47" s="8">
        <v>0.0</v>
      </c>
      <c r="ACR47" s="8">
        <v>0.0</v>
      </c>
      <c r="ACS47" s="9"/>
      <c r="ACT47" s="9" t="s">
        <v>912</v>
      </c>
      <c r="ACU47" s="9" t="s">
        <v>1050</v>
      </c>
      <c r="ACV47" s="9" t="s">
        <v>957</v>
      </c>
      <c r="ACW47" s="9" t="s">
        <v>915</v>
      </c>
      <c r="ACX47" s="9" t="s">
        <v>916</v>
      </c>
      <c r="ACY47" s="9" t="s">
        <v>896</v>
      </c>
      <c r="ACZ47" s="8">
        <v>1.0</v>
      </c>
      <c r="ADA47" s="8">
        <v>0.0</v>
      </c>
      <c r="ADB47" s="8">
        <v>0.0</v>
      </c>
      <c r="ADC47" s="8">
        <v>0.0</v>
      </c>
      <c r="ADD47" s="9" t="s">
        <v>1187</v>
      </c>
      <c r="ADE47" s="9" t="s">
        <v>1187</v>
      </c>
      <c r="ADF47" s="9" t="s">
        <v>1187</v>
      </c>
      <c r="ADG47" s="9" t="s">
        <v>1187</v>
      </c>
      <c r="ADH47" s="9" t="s">
        <v>881</v>
      </c>
      <c r="ADI47" s="9"/>
      <c r="ADJ47" s="9" t="s">
        <v>1187</v>
      </c>
      <c r="ADK47" s="9"/>
      <c r="ADL47" s="9"/>
      <c r="ADM47" s="9"/>
      <c r="ADN47" s="9"/>
      <c r="ADO47" s="9"/>
      <c r="ADP47" s="9"/>
      <c r="ADQ47" s="9"/>
      <c r="ADR47" s="9"/>
      <c r="ADS47" s="9"/>
      <c r="ADT47" s="9"/>
      <c r="ADU47" s="9" t="s">
        <v>919</v>
      </c>
      <c r="ADV47" s="8">
        <v>0.0</v>
      </c>
      <c r="ADW47" s="8">
        <v>0.0</v>
      </c>
      <c r="ADX47" s="8">
        <v>0.0</v>
      </c>
      <c r="ADY47" s="8">
        <v>0.0</v>
      </c>
      <c r="ADZ47" s="8">
        <v>1.0</v>
      </c>
      <c r="AEA47" s="8">
        <v>0.0</v>
      </c>
      <c r="AEB47" s="8">
        <v>0.0</v>
      </c>
      <c r="AEC47" s="8">
        <v>0.0</v>
      </c>
      <c r="AED47" s="12"/>
      <c r="AEE47" s="17" t="s">
        <v>872</v>
      </c>
      <c r="AEF47" s="9"/>
      <c r="AEG47" s="17" t="s">
        <v>920</v>
      </c>
      <c r="AEH47" s="9"/>
      <c r="AEI47" s="11" t="s">
        <v>999</v>
      </c>
      <c r="AEJ47" s="9" t="s">
        <v>871</v>
      </c>
      <c r="AEK47" s="17" t="s">
        <v>1108</v>
      </c>
      <c r="AEL47" s="18">
        <v>1.0</v>
      </c>
      <c r="AEM47" s="18">
        <v>1.0</v>
      </c>
      <c r="AEN47" s="18">
        <v>1.0</v>
      </c>
      <c r="AEO47" s="18">
        <v>1.0</v>
      </c>
      <c r="AEP47" s="18">
        <v>1.0</v>
      </c>
      <c r="AEQ47" s="18">
        <v>1.0</v>
      </c>
      <c r="AER47" s="18">
        <v>1.0</v>
      </c>
      <c r="AES47" s="18">
        <v>1.0</v>
      </c>
      <c r="AET47" s="18">
        <v>1.0</v>
      </c>
      <c r="AEU47" s="18">
        <v>0.0</v>
      </c>
      <c r="AEV47" s="18">
        <v>0.0</v>
      </c>
      <c r="AEW47" s="18">
        <v>0.0</v>
      </c>
      <c r="AEX47" s="9"/>
      <c r="AEY47" s="9" t="s">
        <v>923</v>
      </c>
      <c r="AEZ47" s="9"/>
      <c r="AFA47" s="9" t="s">
        <v>1188</v>
      </c>
      <c r="AFB47" s="9"/>
      <c r="AFC47" s="9" t="s">
        <v>1438</v>
      </c>
      <c r="AFD47" s="16" t="s">
        <v>1439</v>
      </c>
      <c r="AFE47" s="9" t="s">
        <v>1440</v>
      </c>
      <c r="AFF47" s="16" t="s">
        <v>1441</v>
      </c>
      <c r="AFG47" s="9" t="s">
        <v>1137</v>
      </c>
      <c r="AFH47" s="9"/>
      <c r="AFI47" s="9"/>
    </row>
    <row r="48">
      <c r="A48" s="6">
        <v>46062.0</v>
      </c>
      <c r="B48" s="6">
        <v>46063.0</v>
      </c>
      <c r="C48" s="7" t="s">
        <v>837</v>
      </c>
      <c r="D48" s="7" t="s">
        <v>1442</v>
      </c>
      <c r="E48" s="8">
        <v>6.2882077254553E13</v>
      </c>
      <c r="F48" s="9"/>
      <c r="G48" s="8">
        <v>-7.21472</v>
      </c>
      <c r="H48" s="8">
        <v>110.2514082</v>
      </c>
      <c r="I48" s="9"/>
      <c r="J48" s="8">
        <v>2.23</v>
      </c>
      <c r="K48" s="9"/>
      <c r="L48" s="9"/>
      <c r="M48" s="8">
        <v>-7.2145684</v>
      </c>
      <c r="N48" s="8">
        <v>110.2513932</v>
      </c>
      <c r="O48" s="9"/>
      <c r="P48" s="8">
        <v>5.0</v>
      </c>
      <c r="Q48" s="9"/>
      <c r="R48" s="9" t="s">
        <v>839</v>
      </c>
      <c r="S48" s="9"/>
      <c r="T48" s="9"/>
      <c r="U48" s="9"/>
      <c r="V48" s="9"/>
      <c r="W48" s="9"/>
      <c r="X48" s="9"/>
      <c r="Y48" s="9"/>
      <c r="Z48" s="9"/>
      <c r="AA48" s="9"/>
      <c r="AB48" s="9"/>
      <c r="AC48" s="7" t="s">
        <v>1175</v>
      </c>
      <c r="AD48" s="7" t="s">
        <v>1176</v>
      </c>
      <c r="AE48" s="7" t="s">
        <v>1279</v>
      </c>
      <c r="AF48" s="9" t="s">
        <v>1178</v>
      </c>
      <c r="AG48" s="9" t="s">
        <v>1443</v>
      </c>
      <c r="AH48" s="8">
        <v>2.0</v>
      </c>
      <c r="AI48" s="9" t="s">
        <v>845</v>
      </c>
      <c r="AJ48" s="9" t="s">
        <v>846</v>
      </c>
      <c r="AK48" s="8">
        <v>45.0</v>
      </c>
      <c r="AL48" s="9" t="s">
        <v>1444</v>
      </c>
      <c r="AM48" s="9" t="s">
        <v>848</v>
      </c>
      <c r="AN48" s="9" t="s">
        <v>986</v>
      </c>
      <c r="AO48" s="9" t="s">
        <v>935</v>
      </c>
      <c r="AP48" s="8">
        <v>0.0</v>
      </c>
      <c r="AQ48" s="8">
        <v>1.0</v>
      </c>
      <c r="AR48" s="8">
        <v>0.0</v>
      </c>
      <c r="AS48" s="8">
        <v>0.0</v>
      </c>
      <c r="AT48" s="8">
        <v>0.0</v>
      </c>
      <c r="AU48" s="8">
        <v>0.0</v>
      </c>
      <c r="AV48" s="8">
        <v>0.0</v>
      </c>
      <c r="AW48" s="8">
        <v>0.0</v>
      </c>
      <c r="AX48" s="9"/>
      <c r="AY48" s="9" t="s">
        <v>1231</v>
      </c>
      <c r="AZ48" s="8">
        <v>0.0</v>
      </c>
      <c r="BA48" s="8">
        <v>0.0</v>
      </c>
      <c r="BB48" s="8">
        <v>0.0</v>
      </c>
      <c r="BC48" s="8">
        <v>1.0</v>
      </c>
      <c r="BD48" s="8">
        <v>0.0</v>
      </c>
      <c r="BE48" s="8">
        <v>0.0</v>
      </c>
      <c r="BF48" s="8">
        <v>0.0</v>
      </c>
      <c r="BG48" s="8">
        <v>0.0</v>
      </c>
      <c r="BH48" s="9"/>
      <c r="BI48" s="9" t="s">
        <v>852</v>
      </c>
      <c r="BJ48" s="8">
        <v>2.0</v>
      </c>
      <c r="BK48" s="8">
        <v>2.0</v>
      </c>
      <c r="BL48" s="8">
        <v>1.0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856</v>
      </c>
      <c r="CD48" s="8">
        <v>0.0</v>
      </c>
      <c r="CE48" s="8">
        <v>0.0</v>
      </c>
      <c r="CF48" s="8">
        <v>0.0</v>
      </c>
      <c r="CG48" s="8">
        <v>0.0</v>
      </c>
      <c r="CH48" s="8">
        <v>0.0</v>
      </c>
      <c r="CI48" s="8">
        <v>1.0</v>
      </c>
      <c r="CJ48" s="8">
        <v>0.0</v>
      </c>
      <c r="CK48" s="9"/>
      <c r="CL48" s="9" t="s">
        <v>857</v>
      </c>
      <c r="CM48" s="8">
        <v>2024.0</v>
      </c>
      <c r="CN48" s="9" t="s">
        <v>858</v>
      </c>
      <c r="CO48" s="9" t="s">
        <v>859</v>
      </c>
      <c r="CP48" s="9" t="s">
        <v>860</v>
      </c>
      <c r="CQ48" s="8">
        <v>0.0</v>
      </c>
      <c r="CR48" s="8">
        <v>0.0</v>
      </c>
      <c r="CS48" s="8">
        <v>0.0</v>
      </c>
      <c r="CT48" s="8">
        <v>0.0</v>
      </c>
      <c r="CU48" s="10">
        <v>1.0</v>
      </c>
      <c r="CV48" s="10">
        <v>0.0</v>
      </c>
      <c r="CW48" s="10">
        <v>0.0</v>
      </c>
      <c r="CX48" s="8">
        <v>0.0</v>
      </c>
      <c r="CY48" s="9" t="s">
        <v>860</v>
      </c>
      <c r="CZ48" s="8">
        <v>1.0</v>
      </c>
      <c r="DA48" s="8">
        <v>0.0</v>
      </c>
      <c r="DB48" s="8">
        <v>0.0</v>
      </c>
      <c r="DC48" s="9"/>
      <c r="DD48" s="9" t="s">
        <v>937</v>
      </c>
      <c r="DE48" s="8">
        <v>1.0</v>
      </c>
      <c r="DF48" s="8">
        <v>0.0</v>
      </c>
      <c r="DG48" s="8">
        <v>1.0</v>
      </c>
      <c r="DH48" s="8">
        <v>0.0</v>
      </c>
      <c r="DI48" s="9"/>
      <c r="DJ48" s="9" t="s">
        <v>937</v>
      </c>
      <c r="DK48" s="8">
        <v>1.0</v>
      </c>
      <c r="DL48" s="8">
        <v>0.0</v>
      </c>
      <c r="DM48" s="8">
        <v>1.0</v>
      </c>
      <c r="DN48" s="8">
        <v>0.0</v>
      </c>
      <c r="DO48" s="9"/>
      <c r="DP48" s="8">
        <v>1.0</v>
      </c>
      <c r="DQ48" s="8">
        <v>0.0</v>
      </c>
      <c r="DR48" s="8">
        <v>0.0</v>
      </c>
      <c r="DS48" s="9"/>
      <c r="DT48" s="9"/>
      <c r="DU48" s="9"/>
      <c r="DV48" s="9" t="s">
        <v>857</v>
      </c>
      <c r="DW48" s="9"/>
      <c r="DX48" s="9"/>
      <c r="DY48" s="9"/>
      <c r="DZ48" s="9"/>
      <c r="EA48" s="9"/>
      <c r="EB48" s="9"/>
      <c r="EC48" s="9"/>
      <c r="ED48" s="9"/>
      <c r="EE48" s="9"/>
      <c r="EF48" s="9"/>
      <c r="EG48" s="9"/>
      <c r="EH48" s="9"/>
      <c r="EI48" s="9" t="s">
        <v>862</v>
      </c>
      <c r="EJ48" s="8">
        <v>0.0</v>
      </c>
      <c r="EK48" s="8">
        <v>0.0</v>
      </c>
      <c r="EL48" s="8">
        <v>0.0</v>
      </c>
      <c r="EM48" s="8">
        <v>1.0</v>
      </c>
      <c r="EN48" s="8">
        <v>0.0</v>
      </c>
      <c r="EO48" s="11"/>
      <c r="EP48" s="9" t="s">
        <v>1403</v>
      </c>
      <c r="EQ48" s="9" t="s">
        <v>864</v>
      </c>
      <c r="ER48" s="9" t="s">
        <v>861</v>
      </c>
      <c r="ES48" s="8">
        <v>1.0</v>
      </c>
      <c r="ET48" s="8">
        <v>0.0</v>
      </c>
      <c r="EU48" s="8">
        <v>0.0</v>
      </c>
      <c r="EV48" s="8">
        <v>0.0</v>
      </c>
      <c r="EW48" s="9"/>
      <c r="EX48" s="9" t="s">
        <v>1013</v>
      </c>
      <c r="EY48" s="8">
        <v>1.0</v>
      </c>
      <c r="EZ48" s="8">
        <v>1.0</v>
      </c>
      <c r="FA48" s="8">
        <v>0.0</v>
      </c>
      <c r="FB48" s="9"/>
      <c r="FC48" s="9" t="s">
        <v>1072</v>
      </c>
      <c r="FD48" s="9"/>
      <c r="FE48" s="9" t="s">
        <v>867</v>
      </c>
      <c r="FF48" s="9" t="s">
        <v>868</v>
      </c>
      <c r="FG48" s="9" t="s">
        <v>867</v>
      </c>
      <c r="FH48" s="9" t="s">
        <v>868</v>
      </c>
      <c r="FI48" s="9" t="s">
        <v>867</v>
      </c>
      <c r="FJ48" s="9" t="s">
        <v>868</v>
      </c>
      <c r="FK48" s="9" t="s">
        <v>867</v>
      </c>
      <c r="FL48" s="9" t="s">
        <v>869</v>
      </c>
      <c r="FM48" s="9" t="s">
        <v>867</v>
      </c>
      <c r="FN48" s="9" t="s">
        <v>943</v>
      </c>
      <c r="FO48" s="9" t="s">
        <v>867</v>
      </c>
      <c r="FP48" s="9" t="s">
        <v>943</v>
      </c>
      <c r="FQ48" s="9" t="s">
        <v>867</v>
      </c>
      <c r="FR48" s="9" t="s">
        <v>857</v>
      </c>
      <c r="FS48" s="9" t="s">
        <v>867</v>
      </c>
      <c r="FT48" s="9" t="s">
        <v>871</v>
      </c>
      <c r="FU48" s="9" t="s">
        <v>989</v>
      </c>
      <c r="FV48" s="8">
        <v>1.0</v>
      </c>
      <c r="FW48" s="8">
        <v>1.0</v>
      </c>
      <c r="FX48" s="8">
        <v>0.0</v>
      </c>
      <c r="FY48" s="8">
        <v>0.0</v>
      </c>
      <c r="FZ48" s="9" t="s">
        <v>873</v>
      </c>
      <c r="GA48" s="9" t="s">
        <v>874</v>
      </c>
      <c r="GB48" s="8">
        <v>1.0</v>
      </c>
      <c r="GC48" s="8">
        <v>0.0</v>
      </c>
      <c r="GD48" s="8">
        <v>0.0</v>
      </c>
      <c r="GE48" s="8">
        <v>0.0</v>
      </c>
      <c r="GF48" s="9"/>
      <c r="GG48" s="9" t="s">
        <v>875</v>
      </c>
      <c r="GH48" s="9" t="s">
        <v>857</v>
      </c>
      <c r="GI48" s="9" t="s">
        <v>1264</v>
      </c>
      <c r="GJ48" s="8">
        <v>0.0</v>
      </c>
      <c r="GK48" s="8">
        <v>1.0</v>
      </c>
      <c r="GL48" s="8">
        <v>0.0</v>
      </c>
      <c r="GM48" s="8">
        <v>0.0</v>
      </c>
      <c r="GN48" s="9"/>
      <c r="GO48" s="8">
        <v>10.0</v>
      </c>
      <c r="GP48" s="9" t="s">
        <v>877</v>
      </c>
      <c r="GQ48" s="9" t="s">
        <v>1102</v>
      </c>
      <c r="GR48" s="8">
        <v>1.0</v>
      </c>
      <c r="GS48" s="8">
        <v>0.0</v>
      </c>
      <c r="GT48" s="8">
        <v>0.0</v>
      </c>
      <c r="GU48" s="8">
        <v>0.0</v>
      </c>
      <c r="GV48" s="8">
        <v>0.0</v>
      </c>
      <c r="GW48" s="8">
        <v>0.0</v>
      </c>
      <c r="GX48" s="8">
        <v>0.0</v>
      </c>
      <c r="GY48" s="9"/>
      <c r="GZ48" s="9" t="s">
        <v>857</v>
      </c>
      <c r="HA48" s="9"/>
      <c r="HB48" s="9"/>
      <c r="HC48" s="9"/>
      <c r="HD48" s="9"/>
      <c r="HE48" s="8">
        <v>12.0</v>
      </c>
      <c r="HF48" s="8">
        <v>100000.0</v>
      </c>
      <c r="HG48" s="8">
        <v>0.0</v>
      </c>
      <c r="HH48" s="8">
        <v>0.0</v>
      </c>
      <c r="HI48" s="9"/>
      <c r="HJ48" s="9"/>
      <c r="HK48" s="9"/>
      <c r="HL48" s="9"/>
      <c r="HM48" s="9"/>
      <c r="HN48" s="9"/>
      <c r="HO48" s="9"/>
      <c r="HP48" s="9"/>
      <c r="HQ48" s="9"/>
      <c r="HR48" s="9"/>
      <c r="HS48" s="9"/>
      <c r="HT48" s="9"/>
      <c r="HU48" s="9"/>
      <c r="HV48" s="9"/>
      <c r="HW48" s="9"/>
      <c r="HX48" s="9"/>
      <c r="HY48" s="9"/>
      <c r="HZ48" s="9"/>
      <c r="IA48" s="8">
        <v>12.0</v>
      </c>
      <c r="IB48" s="8">
        <v>100000.0</v>
      </c>
      <c r="IC48" s="9"/>
      <c r="ID48" s="9"/>
      <c r="IE48" s="9"/>
      <c r="IF48" s="9"/>
      <c r="IG48" s="9"/>
      <c r="IH48" s="9"/>
      <c r="II48" s="9"/>
      <c r="IJ48" s="9"/>
      <c r="IK48" s="9" t="s">
        <v>879</v>
      </c>
      <c r="IL48" s="9" t="s">
        <v>880</v>
      </c>
      <c r="IM48" s="9" t="s">
        <v>857</v>
      </c>
      <c r="IN48" s="9" t="s">
        <v>881</v>
      </c>
      <c r="IO48" s="9" t="s">
        <v>1206</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1180</v>
      </c>
      <c r="KT48" s="9" t="s">
        <v>886</v>
      </c>
      <c r="KU48" s="9" t="s">
        <v>886</v>
      </c>
      <c r="KV48" s="9" t="s">
        <v>999</v>
      </c>
      <c r="KW48" s="8">
        <v>0.0</v>
      </c>
      <c r="KX48" s="8">
        <v>0.0</v>
      </c>
      <c r="KY48" s="8">
        <v>0.0</v>
      </c>
      <c r="KZ48" s="8">
        <v>1.0</v>
      </c>
      <c r="LA48" s="9" t="s">
        <v>1180</v>
      </c>
      <c r="LB48" s="9" t="s">
        <v>1180</v>
      </c>
      <c r="LC48" s="8">
        <v>3.0</v>
      </c>
      <c r="LD48" s="8">
        <v>3.0</v>
      </c>
      <c r="LE48" s="8">
        <v>0.0</v>
      </c>
      <c r="LF48" s="8">
        <v>0.0</v>
      </c>
      <c r="LG48" s="9" t="s">
        <v>857</v>
      </c>
      <c r="LH48" s="8">
        <v>100000.0</v>
      </c>
      <c r="LI48" s="9"/>
      <c r="LJ48" s="9" t="s">
        <v>887</v>
      </c>
      <c r="LK48" s="8">
        <v>0.0</v>
      </c>
      <c r="LL48" s="8">
        <v>0.0</v>
      </c>
      <c r="LM48" s="8">
        <v>0.0</v>
      </c>
      <c r="LN48" s="8">
        <v>0.0</v>
      </c>
      <c r="LO48" s="8">
        <v>1.0</v>
      </c>
      <c r="LP48" s="8">
        <v>0.0</v>
      </c>
      <c r="LQ48" s="8">
        <v>0.0</v>
      </c>
      <c r="LR48" s="9"/>
      <c r="LS48" s="8">
        <v>15.0</v>
      </c>
      <c r="LT48" s="8">
        <v>15.0</v>
      </c>
      <c r="LU48" s="8">
        <v>0.0</v>
      </c>
      <c r="LV48" s="8">
        <v>6.0</v>
      </c>
      <c r="LW48" s="8">
        <v>6.0</v>
      </c>
      <c r="LX48" s="8">
        <v>0.0</v>
      </c>
      <c r="LY48" s="8">
        <v>5.0</v>
      </c>
      <c r="LZ48" s="8">
        <v>5.0</v>
      </c>
      <c r="MA48" s="8">
        <v>0.0</v>
      </c>
      <c r="MB48" s="9" t="s">
        <v>857</v>
      </c>
      <c r="MC48" s="8">
        <v>30.0</v>
      </c>
      <c r="MD48" s="8">
        <v>15.0</v>
      </c>
      <c r="ME48" s="8">
        <v>30.0</v>
      </c>
      <c r="MF48" s="8">
        <v>15.0</v>
      </c>
      <c r="MG48" s="8">
        <v>0.0</v>
      </c>
      <c r="MH48" s="8">
        <v>0.0</v>
      </c>
      <c r="MI48" s="9" t="s">
        <v>946</v>
      </c>
      <c r="MJ48" s="8">
        <v>0.0</v>
      </c>
      <c r="MK48" s="8">
        <v>0.0</v>
      </c>
      <c r="ML48" s="8">
        <v>1.0</v>
      </c>
      <c r="MM48" s="8">
        <v>0.0</v>
      </c>
      <c r="MN48" s="8">
        <v>0.0</v>
      </c>
      <c r="MO48" s="8">
        <v>0.0</v>
      </c>
      <c r="MP48" s="9"/>
      <c r="MQ48" s="9"/>
      <c r="MR48" s="9" t="s">
        <v>991</v>
      </c>
      <c r="MS48" s="9"/>
      <c r="MT48" s="9" t="s">
        <v>972</v>
      </c>
      <c r="MU48" s="9" t="s">
        <v>881</v>
      </c>
      <c r="MV48" s="9"/>
      <c r="MW48" s="9"/>
      <c r="MX48" s="9"/>
      <c r="MY48" s="9"/>
      <c r="MZ48" s="9"/>
      <c r="NA48" s="9"/>
      <c r="NB48" s="9"/>
      <c r="NC48" s="9"/>
      <c r="ND48" s="9"/>
      <c r="NE48" s="9"/>
      <c r="NF48" s="9"/>
      <c r="NG48" s="9"/>
      <c r="NH48" s="9"/>
      <c r="NI48" s="9"/>
      <c r="NJ48" s="9"/>
      <c r="NK48" s="9"/>
      <c r="NL48" s="9" t="s">
        <v>857</v>
      </c>
      <c r="NM48" s="9" t="s">
        <v>893</v>
      </c>
      <c r="NN48" s="9" t="s">
        <v>993</v>
      </c>
      <c r="NO48" s="9" t="s">
        <v>994</v>
      </c>
      <c r="NP48" s="9"/>
      <c r="NQ48" s="9"/>
      <c r="NR48" s="9"/>
      <c r="NS48" s="9"/>
      <c r="NT48" s="9"/>
      <c r="NU48" s="9"/>
      <c r="NV48" s="9" t="s">
        <v>896</v>
      </c>
      <c r="NW48" s="9"/>
      <c r="NX48" s="9" t="s">
        <v>1183</v>
      </c>
      <c r="NY48" s="8">
        <v>40.0</v>
      </c>
      <c r="NZ48" s="8">
        <v>15.0</v>
      </c>
      <c r="OA48" s="8">
        <v>0.0</v>
      </c>
      <c r="OB48" s="8">
        <v>5.0</v>
      </c>
      <c r="OC48" s="8">
        <v>5.0</v>
      </c>
      <c r="OD48" s="8">
        <v>0.0</v>
      </c>
      <c r="OE48" s="9" t="s">
        <v>1180</v>
      </c>
      <c r="OF48" s="9" t="s">
        <v>1184</v>
      </c>
      <c r="OG48" s="9" t="s">
        <v>857</v>
      </c>
      <c r="OH48" s="8">
        <v>0.0</v>
      </c>
      <c r="OI48" s="8">
        <v>5.0</v>
      </c>
      <c r="OJ48" s="8">
        <v>0.0</v>
      </c>
      <c r="OK48" s="8">
        <v>0.0</v>
      </c>
      <c r="OL48" s="8">
        <v>0.0</v>
      </c>
      <c r="OM48" s="8">
        <v>0.0</v>
      </c>
      <c r="ON48" s="8">
        <v>0.0</v>
      </c>
      <c r="OO48" s="8">
        <v>0.0</v>
      </c>
      <c r="OP48" s="9" t="str">
        <f>VLOOKUP(AG48,'BUS 2'!$G$1:$CU$424,2,0)</f>
        <v>Sapi perah</v>
      </c>
      <c r="OQ48" s="8">
        <f>VLOOKUP(AG48,'BUS 2'!$G$1:$CU$424,3,0)</f>
        <v>0</v>
      </c>
      <c r="OR48" s="8">
        <f>VLOOKUP(AG48,'BUS 2'!$G$1:$CU$424,4,0)</f>
        <v>1</v>
      </c>
      <c r="OS48" s="8">
        <f>VLOOKUP(AG48,'BUS 2'!$G$1:$CU$424,5,0)</f>
        <v>0</v>
      </c>
      <c r="OT48" s="8">
        <f>VLOOKUP(AG48,'BUS 2'!$G$1:$CU$424,6,0)</f>
        <v>0</v>
      </c>
      <c r="OU48" s="8">
        <f>VLOOKUP(AG48,'BUS 2'!$G$1:$CU$424,7,0)</f>
        <v>0</v>
      </c>
      <c r="OV48" s="8">
        <f>VLOOKUP(AG48,'BUS 2'!$G$1:$CU$424,8,0)</f>
        <v>0</v>
      </c>
      <c r="OW48" s="8">
        <f>VLOOKUP(AG48,'BUS 2'!$G$1:$CU$424,9,0)</f>
        <v>0</v>
      </c>
      <c r="OX48" s="8">
        <f>VLOOKUP(AG48,'BUS 2'!$G$1:$CU$424,10,0)</f>
        <v>0</v>
      </c>
      <c r="OY48" s="8">
        <f>VLOOKUP(AG48,'BUS 2'!$G$1:$CU$424,11,0)</f>
        <v>0</v>
      </c>
      <c r="OZ48" s="8" t="str">
        <f>VLOOKUP(AG48,'BUS 2'!$G$1:$CU$424,12,0)</f>
        <v>Sapi perah</v>
      </c>
      <c r="PA48" s="8">
        <f>VLOOKUP(AG48,'BUS 2'!$G$1:$CU$424,13,0)</f>
        <v>0</v>
      </c>
      <c r="PB48" s="8">
        <f>VLOOKUP(AG48,'BUS 2'!$G$1:$CU$424,14,0)</f>
        <v>1</v>
      </c>
      <c r="PC48" s="8">
        <f>VLOOKUP(AG48,'BUS 2'!$G$1:$CU$424,15,0)</f>
        <v>0</v>
      </c>
      <c r="PD48" s="8">
        <f>VLOOKUP(AG48,'BUS 2'!$G$1:$CU$424,16,0)</f>
        <v>0</v>
      </c>
      <c r="PE48" s="8">
        <f>VLOOKUP(AG48,'BUS 2'!$G$1:$CU$424,17,0)</f>
        <v>0</v>
      </c>
      <c r="PF48" s="8">
        <f>VLOOKUP(AG48,'BUS 2'!$G$1:$CU$424,18,0)</f>
        <v>0</v>
      </c>
      <c r="PG48" s="8">
        <f>VLOOKUP(AG48,'BUS 2'!$G$1:$CU$424,19,0)</f>
        <v>0</v>
      </c>
      <c r="PH48" s="8">
        <f>VLOOKUP(AG48,'BUS 2'!$G$1:$CU$424,20,0)</f>
        <v>0</v>
      </c>
      <c r="PI48" s="8">
        <f>VLOOKUP(AG48,'BUS 2'!$G$1:$CU$424,21,0)</f>
        <v>0</v>
      </c>
      <c r="PJ48" s="8" t="str">
        <f>VLOOKUP(AG48,'BUS 2'!$G$1:$CU$424,22,0)</f>
        <v>Tidak ada</v>
      </c>
      <c r="PK48" s="8">
        <f>VLOOKUP(AG48,'BUS 2'!$G$1:$CU$424,23,0)</f>
        <v>0</v>
      </c>
      <c r="PL48" s="8">
        <f>VLOOKUP(AG48,'BUS 2'!$G$1:$CU$424,24,0)</f>
        <v>0</v>
      </c>
      <c r="PM48" s="8">
        <f>VLOOKUP(AG48,'BUS 2'!$G$1:$CU$424,25,0)</f>
        <v>0</v>
      </c>
      <c r="PN48" s="8">
        <f>VLOOKUP(AG48,'BUS 2'!$G$1:$CU$424,26,0)</f>
        <v>0</v>
      </c>
      <c r="PO48" s="8">
        <f>VLOOKUP(AG48,'BUS 2'!$G$1:$CU$424,27,0)</f>
        <v>0</v>
      </c>
      <c r="PP48" s="8">
        <f>VLOOKUP(AG48,'BUS 2'!$G$1:$CU$424,28,0)</f>
        <v>0</v>
      </c>
      <c r="PQ48" s="8">
        <f>VLOOKUP(AG48,'BUS 2'!$G$1:$CU$424,29,0)</f>
        <v>0</v>
      </c>
      <c r="PR48" s="8">
        <f>VLOOKUP(AG48,'BUS 2'!$G$1:$CU$424,30,0)</f>
        <v>0</v>
      </c>
      <c r="PS48" s="8">
        <f>VLOOKUP(AG48,'BUS 2'!$G$1:$CU$424,31,0)</f>
        <v>1</v>
      </c>
      <c r="PT48" s="9"/>
      <c r="PU48" s="9"/>
      <c r="PV48" s="9"/>
      <c r="PW48" s="9"/>
      <c r="PX48" s="9"/>
      <c r="PY48" s="9"/>
      <c r="PZ48" s="9"/>
      <c r="QA48" s="9"/>
      <c r="QB48" s="9"/>
      <c r="QC48" s="9"/>
      <c r="QD48" s="9"/>
      <c r="QE48" s="9" t="s">
        <v>900</v>
      </c>
      <c r="QF48" s="8">
        <v>0.0</v>
      </c>
      <c r="QG48" s="8">
        <v>0.0</v>
      </c>
      <c r="QH48" s="8">
        <v>0.0</v>
      </c>
      <c r="QI48" s="8">
        <v>0.0</v>
      </c>
      <c r="QJ48" s="8">
        <v>0.0</v>
      </c>
      <c r="QK48" s="8">
        <v>1.0</v>
      </c>
      <c r="QL48" s="8">
        <v>0.0</v>
      </c>
      <c r="QM48" s="8">
        <v>0.0</v>
      </c>
      <c r="QN48" s="8">
        <v>0.0</v>
      </c>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8" t="str">
        <f>VLOOKUP(AG48,'BUS 2'!$G$1:$CU$424,33,0)</f>
        <v/>
      </c>
      <c r="SZ48" s="9">
        <f>VLOOKUP(AG48,'BUS 2'!$G$1:$CU$424,34,0)</f>
        <v>5</v>
      </c>
      <c r="TA48" s="9" t="str">
        <f>VLOOKUP(AG48,'BUS 2'!$G$1:$CU$424,35,0)</f>
        <v/>
      </c>
      <c r="TB48" s="9" t="str">
        <f>VLOOKUP(AG48,'BUS 2'!$G$1:$CU$424,36,0)</f>
        <v/>
      </c>
      <c r="TC48" s="9" t="str">
        <f>VLOOKUP(AG48,'BUS 2'!$G$1:$CU$424,37,0)</f>
        <v/>
      </c>
      <c r="TD48" s="9" t="str">
        <f>VLOOKUP(AG48,'BUS 2'!$G$1:$CU$424,38,0)</f>
        <v/>
      </c>
      <c r="TE48" s="9" t="str">
        <f>VLOOKUP(AG48,'BUS 2'!$G$1:$CU$424,39,0)</f>
        <v/>
      </c>
      <c r="TF48" s="9" t="str">
        <f>VLOOKUP(AG48,'BUS 2'!$G$1:$CU$424,40,0)</f>
        <v/>
      </c>
      <c r="TG48" s="8" t="str">
        <f>VLOOKUP(AG48,'BUS 2'!$G$1:$CU$424,42,0)</f>
        <v/>
      </c>
      <c r="TH48" s="8">
        <f>VLOOKUP(AG48,'BUS 2'!$G$1:$CU$424,43,0)</f>
        <v>5</v>
      </c>
      <c r="TI48" s="8" t="str">
        <f>VLOOKUP(AG48,'BUS 2'!$G$1:$CU$424,44,0)</f>
        <v/>
      </c>
      <c r="TJ48" s="8" t="str">
        <f>VLOOKUP(AG48,'BUS 2'!$G$1:$CU$424,45,0)</f>
        <v/>
      </c>
      <c r="TK48" s="8" t="str">
        <f>VLOOKUP(AG48,'BUS 2'!$G$1:$CU$424,46,0)</f>
        <v/>
      </c>
      <c r="TL48" s="8" t="str">
        <f>VLOOKUP(AG48,'BUS 2'!$G$1:$CU$424,47,0)</f>
        <v/>
      </c>
      <c r="TM48" s="8" t="str">
        <f>VLOOKUP(AG48,'BUS 2'!$G$1:$CU$424,48,0)</f>
        <v/>
      </c>
      <c r="TN48" s="8" t="str">
        <f>VLOOKUP(AG48,'BUS 2'!$G$1:$CU$424,49,0)</f>
        <v/>
      </c>
      <c r="TO48" s="8" t="str">
        <f>VLOOKUP(AG48,'BUS 2'!$G$1:$CU$424,50,0)</f>
        <v/>
      </c>
      <c r="TP48" s="8" t="str">
        <f>VLOOKUP(AG48,'BUS 2'!$G$1:$CU$424,51,0)</f>
        <v/>
      </c>
      <c r="TQ48" s="8" t="str">
        <f>VLOOKUP(AG48,'BUS 2'!$G$1:$CU$424,52,0)</f>
        <v/>
      </c>
      <c r="TR48" s="8" t="str">
        <f>VLOOKUP(AG48,'BUS 2'!$G$1:$CU$424,53,0)</f>
        <v/>
      </c>
      <c r="TS48" s="9" t="str">
        <f>VLOOKUP(AG48,'BUS 2'!$G$1:$CU$424,54,0)</f>
        <v/>
      </c>
      <c r="TT48" s="9" t="str">
        <f>VLOOKUP(AG48,'BUS 2'!$G$1:$CU$424,55,0)</f>
        <v/>
      </c>
      <c r="TU48" s="9" t="str">
        <f>VLOOKUP(AG48,'BUS 2'!$G$1:$CU$424,56,0)</f>
        <v/>
      </c>
      <c r="TV48" s="9" t="str">
        <f>VLOOKUP(AG48,'BUS 2'!$G$1:$CU$424,57,0)</f>
        <v/>
      </c>
      <c r="TW48" s="9" t="str">
        <f>VLOOKUP(AG48,'BUS 2'!$G$1:$CU$424,58,0)</f>
        <v/>
      </c>
      <c r="TX48" s="9" t="str">
        <f>VLOOKUP(AG48,'BUS 2'!$G$1:$CU$424,59,0)</f>
        <v/>
      </c>
      <c r="TY48" s="9" t="str">
        <f>VLOOKUP(AG48,'BUS 2'!$G$1:$CU$424,60,0)</f>
        <v/>
      </c>
      <c r="TZ48" s="9" t="str">
        <f>VLOOKUP(AG48,'BUS 2'!$G$1:$CU$424,61,0)</f>
        <v/>
      </c>
      <c r="UA48" s="9" t="str">
        <f>VLOOKUP(AG48,'BUS 2'!$G$1:$CU$424,62,0)</f>
        <v/>
      </c>
      <c r="UB48" s="9" t="str">
        <f>VLOOKUP(AG48,'BUS 2'!$G$1:$CU$424,63,0)</f>
        <v/>
      </c>
      <c r="UC48" s="9" t="str">
        <f>VLOOKUP(AG48,'BUS 2'!$G$1:$CU$424,64,0)</f>
        <v/>
      </c>
      <c r="UD48" s="9" t="str">
        <f>VLOOKUP(AG48,'BUS 2'!$G$1:$CU$424,65,0)</f>
        <v/>
      </c>
      <c r="UE48" s="9" t="str">
        <f>VLOOKUP(AG48,'BUS 2'!$G$1:$CU$424,66,0)</f>
        <v/>
      </c>
      <c r="UF48" s="9" t="str">
        <f>VLOOKUP(AG48,'BUS 2'!$G$1:$CU$424,67,0)</f>
        <v/>
      </c>
      <c r="UG48" s="9" t="str">
        <f>VLOOKUP(AG48,'BUS 2'!$G$1:$CU$424,68,0)</f>
        <v/>
      </c>
      <c r="UH48" s="9" t="str">
        <f>VLOOKUP(AG48,'BUS 2'!$G$1:$CU$424,69,0)</f>
        <v/>
      </c>
      <c r="UI48" s="9" t="str">
        <f>VLOOKUP(AG48,'BUS 2'!$G$1:$CU$424,70,0)</f>
        <v/>
      </c>
      <c r="UJ48" s="9" t="str">
        <f>VLOOKUP(AG48,'BUS 2'!$G$1:$CU$424,71,0)</f>
        <v/>
      </c>
      <c r="UK48" s="9" t="str">
        <f>VLOOKUP(AG48,'BUS 2'!$G$1:$CU$424,72,0)</f>
        <v/>
      </c>
      <c r="UL48" s="9" t="str">
        <f>VLOOKUP(AG48,'BUS 2'!$G$1:$CU$424,73,0)</f>
        <v/>
      </c>
      <c r="UM48" s="9" t="str">
        <f>VLOOKUP(AG48,'BUS 2'!$G$1:$CU$424,74,0)</f>
        <v/>
      </c>
      <c r="UN48" s="9" t="str">
        <f>VLOOKUP(AG48,'BUS 2'!$G$1:$CU$424,75,0)</f>
        <v/>
      </c>
      <c r="UO48" s="9" t="str">
        <f>VLOOKUP(AG48,'BUS 2'!$G$1:$CU$424,76,0)</f>
        <v/>
      </c>
      <c r="UP48" s="9" t="str">
        <f>VLOOKUP(AG48,'BUS 2'!$G$1:$CU$424,77,0)</f>
        <v/>
      </c>
      <c r="UQ48" s="9" t="str">
        <f>VLOOKUP(AG48,'BUS 2'!$G$1:$CU$424,78,0)</f>
        <v/>
      </c>
      <c r="UR48" s="9" t="str">
        <f>VLOOKUP(AG48,'BUS 2'!$G$1:$CU$424,79,0)</f>
        <v/>
      </c>
      <c r="US48" s="9" t="str">
        <f>VLOOKUP(AG48,'BUS 2'!$G$1:$CU$424,80,0)</f>
        <v/>
      </c>
      <c r="UT48" s="9" t="str">
        <f>VLOOKUP(AG48,'BUS 2'!$G$1:$CU$424,81,0)</f>
        <v/>
      </c>
      <c r="UU48" s="9"/>
      <c r="UV48" s="9" t="s">
        <v>901</v>
      </c>
      <c r="UW48" s="9"/>
      <c r="UX48" s="9"/>
      <c r="UY48" s="9"/>
      <c r="UZ48" s="9"/>
      <c r="VA48" s="9"/>
      <c r="VB48" s="9"/>
      <c r="VC48" s="9"/>
      <c r="VD48" s="9" t="s">
        <v>950</v>
      </c>
      <c r="VE48" s="9"/>
      <c r="VF48" s="9"/>
      <c r="VG48" s="9"/>
      <c r="VH48" s="9"/>
      <c r="VI48" s="9"/>
      <c r="VJ48" s="9"/>
      <c r="VK48" s="9"/>
      <c r="VL48" s="9" t="s">
        <v>1158</v>
      </c>
      <c r="VM48" s="9"/>
      <c r="VN48" s="9"/>
      <c r="VO48" s="9"/>
      <c r="VP48" s="9"/>
      <c r="VQ48" s="9"/>
      <c r="VR48" s="9"/>
      <c r="VS48" s="9"/>
      <c r="VT48" s="9"/>
      <c r="VU48" s="9"/>
      <c r="VV48" s="9"/>
      <c r="VW48" s="9"/>
      <c r="VX48" s="9"/>
      <c r="VY48" s="9"/>
      <c r="VZ48" s="9"/>
      <c r="WA48" s="9"/>
      <c r="WB48" s="9"/>
      <c r="WC48" s="9"/>
      <c r="WD48" s="9"/>
      <c r="WE48" s="9"/>
      <c r="WF48" s="9" t="s">
        <v>1207</v>
      </c>
      <c r="WG48" s="8">
        <v>0.0</v>
      </c>
      <c r="WH48" s="8">
        <v>0.0</v>
      </c>
      <c r="WI48" s="8">
        <v>0.0</v>
      </c>
      <c r="WJ48" s="8">
        <v>1.0</v>
      </c>
      <c r="WK48" s="8">
        <v>1.0</v>
      </c>
      <c r="WL48" s="8">
        <v>1.0</v>
      </c>
      <c r="WM48" s="8">
        <v>0.0</v>
      </c>
      <c r="WN48" s="8">
        <v>0.0</v>
      </c>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8">
        <v>60.0</v>
      </c>
      <c r="ZP48" s="9"/>
      <c r="ZQ48" s="9"/>
      <c r="ZR48" s="9"/>
      <c r="ZS48" s="9"/>
      <c r="ZT48" s="9"/>
      <c r="ZU48" s="9"/>
      <c r="ZV48" s="9"/>
      <c r="ZW48" s="8">
        <v>2.0</v>
      </c>
      <c r="ZX48" s="9"/>
      <c r="ZY48" s="9"/>
      <c r="ZZ48" s="9"/>
      <c r="AAA48" s="9"/>
      <c r="AAB48" s="9"/>
      <c r="AAC48" s="9"/>
      <c r="AAD48" s="9"/>
      <c r="AAE48" s="9" t="s">
        <v>1186</v>
      </c>
      <c r="AAF48" s="9"/>
      <c r="AAG48" s="9"/>
      <c r="AAH48" s="9"/>
      <c r="AAI48" s="9"/>
      <c r="AAJ48" s="9"/>
      <c r="AAK48" s="9"/>
      <c r="AAL48" s="9" t="s">
        <v>857</v>
      </c>
      <c r="AAM48" s="9" t="s">
        <v>1033</v>
      </c>
      <c r="AAN48" s="8">
        <v>1.0</v>
      </c>
      <c r="AAO48" s="8">
        <v>1.0</v>
      </c>
      <c r="AAP48" s="8">
        <v>60.0</v>
      </c>
      <c r="AAQ48" s="8">
        <v>60.0</v>
      </c>
      <c r="AAR48" s="9" t="s">
        <v>857</v>
      </c>
      <c r="AAS48" s="9" t="s">
        <v>867</v>
      </c>
      <c r="AAT48" s="9" t="s">
        <v>1074</v>
      </c>
      <c r="AAU48" s="8">
        <v>1.0</v>
      </c>
      <c r="AAV48" s="8">
        <v>0.0</v>
      </c>
      <c r="AAW48" s="8">
        <v>0.0</v>
      </c>
      <c r="AAX48" s="8">
        <v>1.0</v>
      </c>
      <c r="AAY48" s="8">
        <v>1.0</v>
      </c>
      <c r="AAZ48" s="8">
        <v>0.0</v>
      </c>
      <c r="ABA48" s="8">
        <v>0.0</v>
      </c>
      <c r="ABB48" s="9" t="s">
        <v>907</v>
      </c>
      <c r="ABC48" s="8">
        <v>1.0</v>
      </c>
      <c r="ABD48" s="8">
        <v>0.0</v>
      </c>
      <c r="ABE48" s="8">
        <v>0.0</v>
      </c>
      <c r="ABF48" s="8">
        <v>0.0</v>
      </c>
      <c r="ABG48" s="8">
        <v>0.0</v>
      </c>
      <c r="ABH48" s="9"/>
      <c r="ABI48" s="9"/>
      <c r="ABJ48" s="9"/>
      <c r="ABK48" s="9"/>
      <c r="ABL48" s="9"/>
      <c r="ABM48" s="9"/>
      <c r="ABN48" s="9"/>
      <c r="ABO48" s="9"/>
      <c r="ABP48" s="9"/>
      <c r="ABQ48" s="11" t="s">
        <v>953</v>
      </c>
      <c r="ABR48" s="9" t="s">
        <v>1075</v>
      </c>
      <c r="ABS48" s="8">
        <v>3000.0</v>
      </c>
      <c r="ABT48" s="8">
        <v>500.0</v>
      </c>
      <c r="ABU48" s="8">
        <v>60.0</v>
      </c>
      <c r="ABV48" s="8">
        <v>60.0</v>
      </c>
      <c r="ABW48" s="9" t="s">
        <v>1199</v>
      </c>
      <c r="ABX48" s="9"/>
      <c r="ABY48" s="8">
        <v>30.0</v>
      </c>
      <c r="ABZ48" s="8">
        <v>4000.0</v>
      </c>
      <c r="ACA48" s="8">
        <v>10.0</v>
      </c>
      <c r="ACB48" s="8">
        <v>4000.0</v>
      </c>
      <c r="ACC48" s="8">
        <v>500.0</v>
      </c>
      <c r="ACD48" s="8">
        <v>700.0</v>
      </c>
      <c r="ACE48" s="9" t="s">
        <v>857</v>
      </c>
      <c r="ACF48" s="9" t="s">
        <v>1183</v>
      </c>
      <c r="ACG48" s="9" t="s">
        <v>1183</v>
      </c>
      <c r="ACH48" s="9" t="s">
        <v>911</v>
      </c>
      <c r="ACI48" s="9"/>
      <c r="ACJ48" s="9"/>
      <c r="ACK48" s="9" t="s">
        <v>1107</v>
      </c>
      <c r="ACL48" s="8">
        <v>0.0</v>
      </c>
      <c r="ACM48" s="8">
        <v>1.0</v>
      </c>
      <c r="ACN48" s="8">
        <v>1.0</v>
      </c>
      <c r="ACO48" s="8">
        <v>1.0</v>
      </c>
      <c r="ACP48" s="8">
        <v>0.0</v>
      </c>
      <c r="ACQ48" s="8">
        <v>0.0</v>
      </c>
      <c r="ACR48" s="8">
        <v>0.0</v>
      </c>
      <c r="ACS48" s="9"/>
      <c r="ACT48" s="9" t="s">
        <v>912</v>
      </c>
      <c r="ACU48" s="9" t="s">
        <v>1050</v>
      </c>
      <c r="ACV48" s="9" t="s">
        <v>957</v>
      </c>
      <c r="ACW48" s="9" t="s">
        <v>915</v>
      </c>
      <c r="ACX48" s="9" t="s">
        <v>916</v>
      </c>
      <c r="ACY48" s="9" t="s">
        <v>1035</v>
      </c>
      <c r="ACZ48" s="8">
        <v>1.0</v>
      </c>
      <c r="ADA48" s="8">
        <v>1.0</v>
      </c>
      <c r="ADB48" s="8">
        <v>0.0</v>
      </c>
      <c r="ADC48" s="8">
        <v>0.0</v>
      </c>
      <c r="ADD48" s="9" t="s">
        <v>1187</v>
      </c>
      <c r="ADE48" s="9" t="s">
        <v>1187</v>
      </c>
      <c r="ADF48" s="9" t="s">
        <v>1187</v>
      </c>
      <c r="ADG48" s="9" t="s">
        <v>1187</v>
      </c>
      <c r="ADH48" s="9" t="s">
        <v>881</v>
      </c>
      <c r="ADI48" s="9"/>
      <c r="ADJ48" s="9" t="s">
        <v>1187</v>
      </c>
      <c r="ADK48" s="9"/>
      <c r="ADL48" s="9"/>
      <c r="ADM48" s="9"/>
      <c r="ADN48" s="9"/>
      <c r="ADO48" s="9"/>
      <c r="ADP48" s="9"/>
      <c r="ADQ48" s="9"/>
      <c r="ADR48" s="9"/>
      <c r="ADS48" s="9"/>
      <c r="ADT48" s="9"/>
      <c r="ADU48" s="9" t="s">
        <v>919</v>
      </c>
      <c r="ADV48" s="8">
        <v>0.0</v>
      </c>
      <c r="ADW48" s="8">
        <v>0.0</v>
      </c>
      <c r="ADX48" s="8">
        <v>0.0</v>
      </c>
      <c r="ADY48" s="8">
        <v>0.0</v>
      </c>
      <c r="ADZ48" s="8">
        <v>1.0</v>
      </c>
      <c r="AEA48" s="8">
        <v>0.0</v>
      </c>
      <c r="AEB48" s="8">
        <v>0.0</v>
      </c>
      <c r="AEC48" s="8">
        <v>0.0</v>
      </c>
      <c r="AED48" s="12"/>
      <c r="AEE48" s="17" t="s">
        <v>872</v>
      </c>
      <c r="AEF48" s="9"/>
      <c r="AEG48" s="17" t="s">
        <v>920</v>
      </c>
      <c r="AEH48" s="9"/>
      <c r="AEI48" s="11" t="s">
        <v>921</v>
      </c>
      <c r="AEJ48" s="9" t="s">
        <v>871</v>
      </c>
      <c r="AEK48" s="17" t="s">
        <v>1108</v>
      </c>
      <c r="AEL48" s="18">
        <v>1.0</v>
      </c>
      <c r="AEM48" s="18">
        <v>1.0</v>
      </c>
      <c r="AEN48" s="18">
        <v>1.0</v>
      </c>
      <c r="AEO48" s="18">
        <v>1.0</v>
      </c>
      <c r="AEP48" s="18">
        <v>1.0</v>
      </c>
      <c r="AEQ48" s="18">
        <v>1.0</v>
      </c>
      <c r="AER48" s="18">
        <v>1.0</v>
      </c>
      <c r="AES48" s="18">
        <v>1.0</v>
      </c>
      <c r="AET48" s="18">
        <v>1.0</v>
      </c>
      <c r="AEU48" s="18">
        <v>0.0</v>
      </c>
      <c r="AEV48" s="18">
        <v>0.0</v>
      </c>
      <c r="AEW48" s="18">
        <v>0.0</v>
      </c>
      <c r="AEX48" s="9"/>
      <c r="AEY48" s="9" t="s">
        <v>923</v>
      </c>
      <c r="AEZ48" s="9"/>
      <c r="AFA48" s="9" t="s">
        <v>1188</v>
      </c>
      <c r="AFB48" s="9"/>
      <c r="AFC48" s="9" t="s">
        <v>1445</v>
      </c>
      <c r="AFD48" s="16" t="s">
        <v>1446</v>
      </c>
      <c r="AFE48" s="9" t="s">
        <v>1447</v>
      </c>
      <c r="AFF48" s="16" t="s">
        <v>1448</v>
      </c>
      <c r="AFG48" s="9" t="s">
        <v>1193</v>
      </c>
      <c r="AFH48" s="9"/>
      <c r="AFI48" s="9"/>
    </row>
    <row r="49">
      <c r="A49" s="22">
        <v>46063.0</v>
      </c>
      <c r="B49" s="22">
        <v>46063.0</v>
      </c>
      <c r="C49" s="23" t="s">
        <v>837</v>
      </c>
      <c r="D49" s="23" t="s">
        <v>1449</v>
      </c>
      <c r="E49" s="24">
        <v>6.282226379779E12</v>
      </c>
      <c r="F49" s="14"/>
      <c r="G49" s="24">
        <v>-7.2148853</v>
      </c>
      <c r="H49" s="24">
        <v>110.2642462</v>
      </c>
      <c r="I49" s="14"/>
      <c r="J49" s="24">
        <v>4.86</v>
      </c>
      <c r="K49" s="14"/>
      <c r="L49" s="14"/>
      <c r="M49" s="24">
        <v>-7.214891212</v>
      </c>
      <c r="N49" s="24">
        <v>110.2542816</v>
      </c>
      <c r="O49" s="14"/>
      <c r="P49" s="24">
        <v>4.58</v>
      </c>
      <c r="Q49" s="14"/>
      <c r="R49" s="14" t="s">
        <v>839</v>
      </c>
      <c r="S49" s="14"/>
      <c r="T49" s="14"/>
      <c r="U49" s="14"/>
      <c r="V49" s="14"/>
      <c r="W49" s="14"/>
      <c r="X49" s="14"/>
      <c r="Y49" s="14"/>
      <c r="Z49" s="14"/>
      <c r="AA49" s="14"/>
      <c r="AB49" s="14"/>
      <c r="AC49" s="23" t="s">
        <v>1175</v>
      </c>
      <c r="AD49" s="23" t="s">
        <v>1176</v>
      </c>
      <c r="AE49" s="23" t="s">
        <v>1195</v>
      </c>
      <c r="AF49" s="14" t="s">
        <v>1178</v>
      </c>
      <c r="AG49" s="14" t="s">
        <v>1450</v>
      </c>
      <c r="AH49" s="24">
        <v>2.0</v>
      </c>
      <c r="AI49" s="14" t="s">
        <v>845</v>
      </c>
      <c r="AJ49" s="14" t="s">
        <v>846</v>
      </c>
      <c r="AK49" s="24">
        <v>36.0</v>
      </c>
      <c r="AL49" s="14" t="s">
        <v>1444</v>
      </c>
      <c r="AM49" s="14" t="s">
        <v>848</v>
      </c>
      <c r="AN49" s="14" t="s">
        <v>986</v>
      </c>
      <c r="AO49" s="9" t="s">
        <v>1231</v>
      </c>
      <c r="AP49" s="24">
        <v>0.0</v>
      </c>
      <c r="AQ49" s="24">
        <v>0.0</v>
      </c>
      <c r="AR49" s="24">
        <v>0.0</v>
      </c>
      <c r="AS49" s="24">
        <v>1.0</v>
      </c>
      <c r="AT49" s="24">
        <v>0.0</v>
      </c>
      <c r="AU49" s="24">
        <v>0.0</v>
      </c>
      <c r="AV49" s="24">
        <v>0.0</v>
      </c>
      <c r="AW49" s="24">
        <v>0.0</v>
      </c>
      <c r="AX49" s="14"/>
      <c r="AY49" s="14" t="s">
        <v>935</v>
      </c>
      <c r="AZ49" s="24">
        <v>0.0</v>
      </c>
      <c r="BA49" s="24">
        <v>1.0</v>
      </c>
      <c r="BB49" s="24">
        <v>0.0</v>
      </c>
      <c r="BC49" s="24">
        <v>0.0</v>
      </c>
      <c r="BD49" s="24">
        <v>0.0</v>
      </c>
      <c r="BE49" s="24">
        <v>0.0</v>
      </c>
      <c r="BF49" s="24">
        <v>0.0</v>
      </c>
      <c r="BG49" s="24">
        <v>0.0</v>
      </c>
      <c r="BH49" s="14"/>
      <c r="BI49" s="14" t="s">
        <v>852</v>
      </c>
      <c r="BJ49" s="24">
        <v>1.0</v>
      </c>
      <c r="BK49" s="24">
        <v>1.0</v>
      </c>
      <c r="BL49" s="24">
        <v>2.0</v>
      </c>
      <c r="BM49" s="24">
        <v>1.0</v>
      </c>
      <c r="BN49" s="14" t="s">
        <v>853</v>
      </c>
      <c r="BO49" s="14" t="s">
        <v>854</v>
      </c>
      <c r="BP49" s="24">
        <v>1.0</v>
      </c>
      <c r="BQ49" s="24">
        <v>0.0</v>
      </c>
      <c r="BR49" s="24">
        <v>0.0</v>
      </c>
      <c r="BS49" s="24">
        <v>0.0</v>
      </c>
      <c r="BT49" s="24">
        <v>0.0</v>
      </c>
      <c r="BU49" s="14"/>
      <c r="BV49" s="14" t="s">
        <v>855</v>
      </c>
      <c r="BW49" s="24">
        <v>0.0</v>
      </c>
      <c r="BX49" s="24">
        <v>0.0</v>
      </c>
      <c r="BY49" s="24">
        <v>1.0</v>
      </c>
      <c r="BZ49" s="24">
        <v>0.0</v>
      </c>
      <c r="CA49" s="24">
        <v>0.0</v>
      </c>
      <c r="CB49" s="14"/>
      <c r="CC49" s="14" t="s">
        <v>856</v>
      </c>
      <c r="CD49" s="24">
        <v>0.0</v>
      </c>
      <c r="CE49" s="24">
        <v>0.0</v>
      </c>
      <c r="CF49" s="24">
        <v>0.0</v>
      </c>
      <c r="CG49" s="24">
        <v>0.0</v>
      </c>
      <c r="CH49" s="24">
        <v>0.0</v>
      </c>
      <c r="CI49" s="24">
        <v>1.0</v>
      </c>
      <c r="CJ49" s="24">
        <v>0.0</v>
      </c>
      <c r="CK49" s="14"/>
      <c r="CL49" s="14" t="s">
        <v>857</v>
      </c>
      <c r="CM49" s="24">
        <v>2024.0</v>
      </c>
      <c r="CN49" s="14" t="s">
        <v>858</v>
      </c>
      <c r="CO49" s="14" t="s">
        <v>859</v>
      </c>
      <c r="CP49" s="14" t="s">
        <v>860</v>
      </c>
      <c r="CQ49" s="24">
        <v>0.0</v>
      </c>
      <c r="CR49" s="24">
        <v>0.0</v>
      </c>
      <c r="CS49" s="24">
        <v>0.0</v>
      </c>
      <c r="CT49" s="24">
        <v>0.0</v>
      </c>
      <c r="CU49" s="10">
        <v>1.0</v>
      </c>
      <c r="CV49" s="10">
        <v>0.0</v>
      </c>
      <c r="CW49" s="10">
        <v>0.0</v>
      </c>
      <c r="CX49" s="8">
        <v>0.0</v>
      </c>
      <c r="CY49" s="9" t="s">
        <v>860</v>
      </c>
      <c r="CZ49" s="8">
        <v>1.0</v>
      </c>
      <c r="DA49" s="8">
        <v>0.0</v>
      </c>
      <c r="DB49" s="8">
        <v>0.0</v>
      </c>
      <c r="DC49" s="9"/>
      <c r="DD49" s="9" t="s">
        <v>937</v>
      </c>
      <c r="DE49" s="8">
        <v>1.0</v>
      </c>
      <c r="DF49" s="8">
        <v>0.0</v>
      </c>
      <c r="DG49" s="8">
        <v>1.0</v>
      </c>
      <c r="DH49" s="8">
        <v>0.0</v>
      </c>
      <c r="DI49" s="9"/>
      <c r="DJ49" s="9" t="s">
        <v>937</v>
      </c>
      <c r="DK49" s="8">
        <v>1.0</v>
      </c>
      <c r="DL49" s="8">
        <v>0.0</v>
      </c>
      <c r="DM49" s="8">
        <v>1.0</v>
      </c>
      <c r="DN49" s="8">
        <v>0.0</v>
      </c>
      <c r="DO49" s="9"/>
      <c r="DP49" s="8">
        <v>1.0</v>
      </c>
      <c r="DQ49" s="8">
        <v>0.0</v>
      </c>
      <c r="DR49" s="8">
        <v>0.0</v>
      </c>
      <c r="DS49" s="14"/>
      <c r="DT49" s="14"/>
      <c r="DU49" s="14"/>
      <c r="DV49" s="14" t="s">
        <v>857</v>
      </c>
      <c r="DW49" s="14"/>
      <c r="DX49" s="14"/>
      <c r="DY49" s="14"/>
      <c r="DZ49" s="14"/>
      <c r="EA49" s="14"/>
      <c r="EB49" s="14"/>
      <c r="EC49" s="14"/>
      <c r="ED49" s="14"/>
      <c r="EE49" s="14"/>
      <c r="EF49" s="14"/>
      <c r="EG49" s="14"/>
      <c r="EH49" s="14"/>
      <c r="EI49" s="14" t="s">
        <v>862</v>
      </c>
      <c r="EJ49" s="24">
        <v>0.0</v>
      </c>
      <c r="EK49" s="24">
        <v>0.0</v>
      </c>
      <c r="EL49" s="24">
        <v>0.0</v>
      </c>
      <c r="EM49" s="24">
        <v>1.0</v>
      </c>
      <c r="EN49" s="24">
        <v>0.0</v>
      </c>
      <c r="EO49" s="11"/>
      <c r="EP49" s="14" t="s">
        <v>1403</v>
      </c>
      <c r="EQ49" s="14" t="s">
        <v>864</v>
      </c>
      <c r="ER49" s="14" t="s">
        <v>861</v>
      </c>
      <c r="ES49" s="24">
        <v>1.0</v>
      </c>
      <c r="ET49" s="24">
        <v>0.0</v>
      </c>
      <c r="EU49" s="24">
        <v>0.0</v>
      </c>
      <c r="EV49" s="24">
        <v>0.0</v>
      </c>
      <c r="EW49" s="14"/>
      <c r="EX49" s="9" t="s">
        <v>865</v>
      </c>
      <c r="EY49" s="8">
        <v>1.0</v>
      </c>
      <c r="EZ49" s="8">
        <v>0.0</v>
      </c>
      <c r="FA49" s="8">
        <v>0.0</v>
      </c>
      <c r="FB49" s="14"/>
      <c r="FC49" s="14" t="s">
        <v>1072</v>
      </c>
      <c r="FD49" s="14"/>
      <c r="FE49" s="14" t="s">
        <v>867</v>
      </c>
      <c r="FF49" s="14" t="s">
        <v>868</v>
      </c>
      <c r="FG49" s="14" t="s">
        <v>867</v>
      </c>
      <c r="FH49" s="14" t="s">
        <v>868</v>
      </c>
      <c r="FI49" s="14" t="s">
        <v>867</v>
      </c>
      <c r="FJ49" s="14" t="s">
        <v>868</v>
      </c>
      <c r="FK49" s="14" t="s">
        <v>867</v>
      </c>
      <c r="FL49" s="14" t="s">
        <v>943</v>
      </c>
      <c r="FM49" s="14" t="s">
        <v>867</v>
      </c>
      <c r="FN49" s="14" t="s">
        <v>943</v>
      </c>
      <c r="FO49" s="14" t="s">
        <v>867</v>
      </c>
      <c r="FP49" s="14" t="s">
        <v>943</v>
      </c>
      <c r="FQ49" s="14" t="s">
        <v>867</v>
      </c>
      <c r="FR49" s="14" t="s">
        <v>857</v>
      </c>
      <c r="FS49" s="14" t="s">
        <v>867</v>
      </c>
      <c r="FT49" s="14" t="s">
        <v>871</v>
      </c>
      <c r="FU49" s="14" t="s">
        <v>989</v>
      </c>
      <c r="FV49" s="24">
        <v>1.0</v>
      </c>
      <c r="FW49" s="24">
        <v>1.0</v>
      </c>
      <c r="FX49" s="24">
        <v>0.0</v>
      </c>
      <c r="FY49" s="24">
        <v>0.0</v>
      </c>
      <c r="FZ49" s="14" t="s">
        <v>1197</v>
      </c>
      <c r="GA49" s="14" t="s">
        <v>874</v>
      </c>
      <c r="GB49" s="24">
        <v>1.0</v>
      </c>
      <c r="GC49" s="24">
        <v>0.0</v>
      </c>
      <c r="GD49" s="24">
        <v>0.0</v>
      </c>
      <c r="GE49" s="24">
        <v>0.0</v>
      </c>
      <c r="GF49" s="14"/>
      <c r="GG49" s="14" t="s">
        <v>875</v>
      </c>
      <c r="GH49" s="14" t="s">
        <v>857</v>
      </c>
      <c r="GI49" s="14" t="s">
        <v>1264</v>
      </c>
      <c r="GJ49" s="24">
        <v>0.0</v>
      </c>
      <c r="GK49" s="24">
        <v>1.0</v>
      </c>
      <c r="GL49" s="24">
        <v>0.0</v>
      </c>
      <c r="GM49" s="24">
        <v>0.0</v>
      </c>
      <c r="GN49" s="14"/>
      <c r="GO49" s="24">
        <v>9.0</v>
      </c>
      <c r="GP49" s="14" t="s">
        <v>877</v>
      </c>
      <c r="GQ49" s="14" t="s">
        <v>878</v>
      </c>
      <c r="GR49" s="24">
        <v>1.0</v>
      </c>
      <c r="GS49" s="24">
        <v>1.0</v>
      </c>
      <c r="GT49" s="24">
        <v>0.0</v>
      </c>
      <c r="GU49" s="24">
        <v>0.0</v>
      </c>
      <c r="GV49" s="24">
        <v>0.0</v>
      </c>
      <c r="GW49" s="24">
        <v>0.0</v>
      </c>
      <c r="GX49" s="24">
        <v>0.0</v>
      </c>
      <c r="GY49" s="14"/>
      <c r="GZ49" s="14" t="s">
        <v>857</v>
      </c>
      <c r="HA49" s="24">
        <v>20.0</v>
      </c>
      <c r="HB49" s="24">
        <v>200000.0</v>
      </c>
      <c r="HC49" s="24">
        <v>5.0</v>
      </c>
      <c r="HD49" s="24">
        <v>50000.0</v>
      </c>
      <c r="HE49" s="24">
        <v>1.0</v>
      </c>
      <c r="HF49" s="24">
        <v>100000.0</v>
      </c>
      <c r="HG49" s="24">
        <v>3.0</v>
      </c>
      <c r="HH49" s="24">
        <v>25000.0</v>
      </c>
      <c r="HI49" s="14"/>
      <c r="HJ49" s="14"/>
      <c r="HK49" s="14"/>
      <c r="HL49" s="14"/>
      <c r="HM49" s="14"/>
      <c r="HN49" s="14"/>
      <c r="HO49" s="14"/>
      <c r="HP49" s="14"/>
      <c r="HQ49" s="14"/>
      <c r="HR49" s="14"/>
      <c r="HS49" s="14"/>
      <c r="HT49" s="14"/>
      <c r="HU49" s="14"/>
      <c r="HV49" s="14"/>
      <c r="HW49" s="14"/>
      <c r="HX49" s="14"/>
      <c r="HY49" s="24">
        <v>15.0</v>
      </c>
      <c r="HZ49" s="24">
        <v>150000.0</v>
      </c>
      <c r="IA49" s="24">
        <v>9.0</v>
      </c>
      <c r="IB49" s="24">
        <v>75000.0</v>
      </c>
      <c r="IC49" s="14"/>
      <c r="ID49" s="14"/>
      <c r="IE49" s="14"/>
      <c r="IF49" s="14"/>
      <c r="IG49" s="14"/>
      <c r="IH49" s="14"/>
      <c r="II49" s="14"/>
      <c r="IJ49" s="14"/>
      <c r="IK49" s="14" t="s">
        <v>879</v>
      </c>
      <c r="IL49" s="14" t="s">
        <v>880</v>
      </c>
      <c r="IM49" s="14" t="s">
        <v>857</v>
      </c>
      <c r="IN49" s="14" t="s">
        <v>881</v>
      </c>
      <c r="IO49" s="14" t="s">
        <v>882</v>
      </c>
      <c r="IP49" s="14"/>
      <c r="IQ49" s="14" t="s">
        <v>883</v>
      </c>
      <c r="IR49" s="14"/>
      <c r="IS49" s="14"/>
      <c r="IT49" s="14"/>
      <c r="IU49" s="14"/>
      <c r="IV49" s="14"/>
      <c r="IW49" s="14"/>
      <c r="IX49" s="14"/>
      <c r="IY49" s="14"/>
      <c r="IZ49" s="14" t="s">
        <v>883</v>
      </c>
      <c r="JA49" s="14"/>
      <c r="JB49" s="14"/>
      <c r="JC49" s="14"/>
      <c r="JD49" s="14"/>
      <c r="JE49" s="14"/>
      <c r="JF49" s="14"/>
      <c r="JG49" s="14"/>
      <c r="JH49" s="14"/>
      <c r="JI49" s="14" t="s">
        <v>883</v>
      </c>
      <c r="JJ49" s="14"/>
      <c r="JK49" s="14"/>
      <c r="JL49" s="14"/>
      <c r="JM49" s="14"/>
      <c r="JN49" s="14"/>
      <c r="JO49" s="14"/>
      <c r="JP49" s="14"/>
      <c r="JQ49" s="14"/>
      <c r="JR49" s="14" t="s">
        <v>883</v>
      </c>
      <c r="JS49" s="14"/>
      <c r="JT49" s="14"/>
      <c r="JU49" s="14"/>
      <c r="JV49" s="14"/>
      <c r="JW49" s="14"/>
      <c r="JX49" s="14"/>
      <c r="JY49" s="14"/>
      <c r="JZ49" s="14"/>
      <c r="KA49" s="14" t="s">
        <v>883</v>
      </c>
      <c r="KB49" s="14"/>
      <c r="KC49" s="14"/>
      <c r="KD49" s="14"/>
      <c r="KE49" s="14"/>
      <c r="KF49" s="14"/>
      <c r="KG49" s="14"/>
      <c r="KH49" s="14"/>
      <c r="KI49" s="14"/>
      <c r="KJ49" s="14" t="s">
        <v>883</v>
      </c>
      <c r="KK49" s="14"/>
      <c r="KL49" s="14"/>
      <c r="KM49" s="14"/>
      <c r="KN49" s="14"/>
      <c r="KO49" s="14"/>
      <c r="KP49" s="14"/>
      <c r="KQ49" s="14"/>
      <c r="KR49" s="14"/>
      <c r="KS49" s="14" t="s">
        <v>884</v>
      </c>
      <c r="KT49" s="14" t="s">
        <v>886</v>
      </c>
      <c r="KU49" s="14" t="s">
        <v>886</v>
      </c>
      <c r="KV49" s="14" t="s">
        <v>999</v>
      </c>
      <c r="KW49" s="24">
        <v>0.0</v>
      </c>
      <c r="KX49" s="24">
        <v>0.0</v>
      </c>
      <c r="KY49" s="24">
        <v>0.0</v>
      </c>
      <c r="KZ49" s="24">
        <v>1.0</v>
      </c>
      <c r="LA49" s="14" t="s">
        <v>884</v>
      </c>
      <c r="LB49" s="14" t="s">
        <v>884</v>
      </c>
      <c r="LC49" s="24">
        <v>3.0</v>
      </c>
      <c r="LD49" s="24">
        <v>3.0</v>
      </c>
      <c r="LE49" s="24">
        <v>0.0</v>
      </c>
      <c r="LF49" s="24">
        <v>0.0</v>
      </c>
      <c r="LG49" s="14" t="s">
        <v>857</v>
      </c>
      <c r="LH49" s="24">
        <v>100000.0</v>
      </c>
      <c r="LI49" s="14"/>
      <c r="LJ49" s="14" t="s">
        <v>887</v>
      </c>
      <c r="LK49" s="24">
        <v>0.0</v>
      </c>
      <c r="LL49" s="24">
        <v>0.0</v>
      </c>
      <c r="LM49" s="24">
        <v>0.0</v>
      </c>
      <c r="LN49" s="24">
        <v>0.0</v>
      </c>
      <c r="LO49" s="24">
        <v>1.0</v>
      </c>
      <c r="LP49" s="24">
        <v>0.0</v>
      </c>
      <c r="LQ49" s="24">
        <v>0.0</v>
      </c>
      <c r="LR49" s="14"/>
      <c r="LS49" s="24">
        <v>15.0</v>
      </c>
      <c r="LT49" s="24">
        <v>15.0</v>
      </c>
      <c r="LU49" s="24">
        <v>0.0</v>
      </c>
      <c r="LV49" s="24">
        <v>7.0</v>
      </c>
      <c r="LW49" s="24">
        <v>7.0</v>
      </c>
      <c r="LX49" s="24">
        <v>0.0</v>
      </c>
      <c r="LY49" s="24">
        <v>5.0</v>
      </c>
      <c r="LZ49" s="24">
        <v>5.0</v>
      </c>
      <c r="MA49" s="24">
        <v>0.0</v>
      </c>
      <c r="MB49" s="14" t="s">
        <v>857</v>
      </c>
      <c r="MC49" s="24">
        <v>30.0</v>
      </c>
      <c r="MD49" s="24">
        <v>15.0</v>
      </c>
      <c r="ME49" s="24">
        <v>30.0</v>
      </c>
      <c r="MF49" s="24">
        <v>15.0</v>
      </c>
      <c r="MG49" s="24">
        <v>0.0</v>
      </c>
      <c r="MH49" s="24">
        <v>0.0</v>
      </c>
      <c r="MI49" s="14" t="s">
        <v>946</v>
      </c>
      <c r="MJ49" s="24">
        <v>0.0</v>
      </c>
      <c r="MK49" s="24">
        <v>0.0</v>
      </c>
      <c r="ML49" s="24">
        <v>1.0</v>
      </c>
      <c r="MM49" s="24">
        <v>0.0</v>
      </c>
      <c r="MN49" s="24">
        <v>0.0</v>
      </c>
      <c r="MO49" s="24">
        <v>0.0</v>
      </c>
      <c r="MP49" s="14"/>
      <c r="MQ49" s="14"/>
      <c r="MR49" s="14" t="s">
        <v>1182</v>
      </c>
      <c r="MS49" s="14"/>
      <c r="MT49" s="14" t="s">
        <v>991</v>
      </c>
      <c r="MU49" s="14" t="s">
        <v>881</v>
      </c>
      <c r="MV49" s="14"/>
      <c r="MW49" s="14"/>
      <c r="MX49" s="14"/>
      <c r="MY49" s="14"/>
      <c r="MZ49" s="14"/>
      <c r="NA49" s="14"/>
      <c r="NB49" s="14"/>
      <c r="NC49" s="14"/>
      <c r="ND49" s="14"/>
      <c r="NE49" s="14"/>
      <c r="NF49" s="14"/>
      <c r="NG49" s="14"/>
      <c r="NH49" s="14"/>
      <c r="NI49" s="14"/>
      <c r="NJ49" s="14"/>
      <c r="NK49" s="14"/>
      <c r="NL49" s="14" t="s">
        <v>881</v>
      </c>
      <c r="NM49" s="14" t="s">
        <v>893</v>
      </c>
      <c r="NN49" s="14" t="s">
        <v>993</v>
      </c>
      <c r="NO49" s="14" t="s">
        <v>994</v>
      </c>
      <c r="NP49" s="14"/>
      <c r="NQ49" s="14"/>
      <c r="NR49" s="14"/>
      <c r="NS49" s="14"/>
      <c r="NT49" s="14"/>
      <c r="NU49" s="14"/>
      <c r="NV49" s="14" t="s">
        <v>896</v>
      </c>
      <c r="NW49" s="14"/>
      <c r="NX49" s="14" t="s">
        <v>897</v>
      </c>
      <c r="NY49" s="24">
        <v>35.0</v>
      </c>
      <c r="NZ49" s="24">
        <v>15.0</v>
      </c>
      <c r="OA49" s="24">
        <v>0.0</v>
      </c>
      <c r="OB49" s="24">
        <v>5.0</v>
      </c>
      <c r="OC49" s="24">
        <v>5.0</v>
      </c>
      <c r="OD49" s="24">
        <v>0.0</v>
      </c>
      <c r="OE49" s="14" t="s">
        <v>898</v>
      </c>
      <c r="OF49" s="14" t="s">
        <v>1184</v>
      </c>
      <c r="OG49" s="14" t="s">
        <v>857</v>
      </c>
      <c r="OH49" s="24">
        <v>0.0</v>
      </c>
      <c r="OI49" s="24">
        <v>4.0</v>
      </c>
      <c r="OJ49" s="24">
        <v>0.0</v>
      </c>
      <c r="OK49" s="24">
        <v>0.0</v>
      </c>
      <c r="OL49" s="24">
        <v>0.0</v>
      </c>
      <c r="OM49" s="24">
        <v>0.0</v>
      </c>
      <c r="ON49" s="24">
        <v>0.0</v>
      </c>
      <c r="OO49" s="24">
        <v>0.0</v>
      </c>
      <c r="OP49" s="9" t="str">
        <f>VLOOKUP(AG49,'BUS 2'!$G$1:$CU$424,2,0)</f>
        <v>Sapi perah</v>
      </c>
      <c r="OQ49" s="8">
        <f>VLOOKUP(AG49,'BUS 2'!$G$1:$CU$424,3,0)</f>
        <v>0</v>
      </c>
      <c r="OR49" s="8">
        <f>VLOOKUP(AG49,'BUS 2'!$G$1:$CU$424,4,0)</f>
        <v>1</v>
      </c>
      <c r="OS49" s="8">
        <f>VLOOKUP(AG49,'BUS 2'!$G$1:$CU$424,5,0)</f>
        <v>0</v>
      </c>
      <c r="OT49" s="8">
        <f>VLOOKUP(AG49,'BUS 2'!$G$1:$CU$424,6,0)</f>
        <v>0</v>
      </c>
      <c r="OU49" s="8">
        <f>VLOOKUP(AG49,'BUS 2'!$G$1:$CU$424,7,0)</f>
        <v>0</v>
      </c>
      <c r="OV49" s="8">
        <f>VLOOKUP(AG49,'BUS 2'!$G$1:$CU$424,8,0)</f>
        <v>0</v>
      </c>
      <c r="OW49" s="8">
        <f>VLOOKUP(AG49,'BUS 2'!$G$1:$CU$424,9,0)</f>
        <v>0</v>
      </c>
      <c r="OX49" s="8">
        <f>VLOOKUP(AG49,'BUS 2'!$G$1:$CU$424,10,0)</f>
        <v>0</v>
      </c>
      <c r="OY49" s="8">
        <f>VLOOKUP(AG49,'BUS 2'!$G$1:$CU$424,11,0)</f>
        <v>0</v>
      </c>
      <c r="OZ49" s="8" t="str">
        <f>VLOOKUP(AG49,'BUS 2'!$G$1:$CU$424,12,0)</f>
        <v>Sapi perah</v>
      </c>
      <c r="PA49" s="8">
        <f>VLOOKUP(AG49,'BUS 2'!$G$1:$CU$424,13,0)</f>
        <v>0</v>
      </c>
      <c r="PB49" s="8">
        <f>VLOOKUP(AG49,'BUS 2'!$G$1:$CU$424,14,0)</f>
        <v>1</v>
      </c>
      <c r="PC49" s="8">
        <f>VLOOKUP(AG49,'BUS 2'!$G$1:$CU$424,15,0)</f>
        <v>0</v>
      </c>
      <c r="PD49" s="8">
        <f>VLOOKUP(AG49,'BUS 2'!$G$1:$CU$424,16,0)</f>
        <v>0</v>
      </c>
      <c r="PE49" s="8">
        <f>VLOOKUP(AG49,'BUS 2'!$G$1:$CU$424,17,0)</f>
        <v>0</v>
      </c>
      <c r="PF49" s="8">
        <f>VLOOKUP(AG49,'BUS 2'!$G$1:$CU$424,18,0)</f>
        <v>0</v>
      </c>
      <c r="PG49" s="8">
        <f>VLOOKUP(AG49,'BUS 2'!$G$1:$CU$424,19,0)</f>
        <v>0</v>
      </c>
      <c r="PH49" s="8">
        <f>VLOOKUP(AG49,'BUS 2'!$G$1:$CU$424,20,0)</f>
        <v>0</v>
      </c>
      <c r="PI49" s="8">
        <f>VLOOKUP(AG49,'BUS 2'!$G$1:$CU$424,21,0)</f>
        <v>0</v>
      </c>
      <c r="PJ49" s="8" t="str">
        <f>VLOOKUP(AG49,'BUS 2'!$G$1:$CU$424,22,0)</f>
        <v>Tidak ada</v>
      </c>
      <c r="PK49" s="8">
        <f>VLOOKUP(AG49,'BUS 2'!$G$1:$CU$424,23,0)</f>
        <v>0</v>
      </c>
      <c r="PL49" s="8">
        <f>VLOOKUP(AG49,'BUS 2'!$G$1:$CU$424,24,0)</f>
        <v>0</v>
      </c>
      <c r="PM49" s="8">
        <f>VLOOKUP(AG49,'BUS 2'!$G$1:$CU$424,25,0)</f>
        <v>0</v>
      </c>
      <c r="PN49" s="8">
        <f>VLOOKUP(AG49,'BUS 2'!$G$1:$CU$424,26,0)</f>
        <v>0</v>
      </c>
      <c r="PO49" s="8">
        <f>VLOOKUP(AG49,'BUS 2'!$G$1:$CU$424,27,0)</f>
        <v>0</v>
      </c>
      <c r="PP49" s="8">
        <f>VLOOKUP(AG49,'BUS 2'!$G$1:$CU$424,28,0)</f>
        <v>0</v>
      </c>
      <c r="PQ49" s="8">
        <f>VLOOKUP(AG49,'BUS 2'!$G$1:$CU$424,29,0)</f>
        <v>0</v>
      </c>
      <c r="PR49" s="8">
        <f>VLOOKUP(AG49,'BUS 2'!$G$1:$CU$424,30,0)</f>
        <v>0</v>
      </c>
      <c r="PS49" s="8">
        <f>VLOOKUP(AG49,'BUS 2'!$G$1:$CU$424,31,0)</f>
        <v>1</v>
      </c>
      <c r="PT49" s="14"/>
      <c r="PU49" s="14"/>
      <c r="PV49" s="14"/>
      <c r="PW49" s="14"/>
      <c r="PX49" s="14"/>
      <c r="PY49" s="14"/>
      <c r="PZ49" s="14"/>
      <c r="QA49" s="14"/>
      <c r="QB49" s="14"/>
      <c r="QC49" s="14"/>
      <c r="QD49" s="14"/>
      <c r="QE49" s="14" t="s">
        <v>900</v>
      </c>
      <c r="QF49" s="24">
        <v>0.0</v>
      </c>
      <c r="QG49" s="24">
        <v>0.0</v>
      </c>
      <c r="QH49" s="24">
        <v>0.0</v>
      </c>
      <c r="QI49" s="24">
        <v>0.0</v>
      </c>
      <c r="QJ49" s="24">
        <v>0.0</v>
      </c>
      <c r="QK49" s="24">
        <v>1.0</v>
      </c>
      <c r="QL49" s="24">
        <v>0.0</v>
      </c>
      <c r="QM49" s="24">
        <v>0.0</v>
      </c>
      <c r="QN49" s="24">
        <v>0.0</v>
      </c>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14"/>
      <c r="SF49" s="14"/>
      <c r="SG49" s="14"/>
      <c r="SH49" s="14"/>
      <c r="SI49" s="14"/>
      <c r="SJ49" s="14"/>
      <c r="SK49" s="14"/>
      <c r="SL49" s="14"/>
      <c r="SM49" s="14"/>
      <c r="SN49" s="14"/>
      <c r="SO49" s="14"/>
      <c r="SP49" s="14"/>
      <c r="SQ49" s="14"/>
      <c r="SR49" s="14"/>
      <c r="SS49" s="14"/>
      <c r="ST49" s="14"/>
      <c r="SU49" s="14"/>
      <c r="SV49" s="14"/>
      <c r="SW49" s="14"/>
      <c r="SX49" s="14"/>
      <c r="SY49" s="8" t="str">
        <f>VLOOKUP(AG49,'BUS 2'!$G$1:$CU$424,33,0)</f>
        <v/>
      </c>
      <c r="SZ49" s="9">
        <f>VLOOKUP(AG49,'BUS 2'!$G$1:$CU$424,34,0)</f>
        <v>3</v>
      </c>
      <c r="TA49" s="9" t="str">
        <f>VLOOKUP(AG49,'BUS 2'!$G$1:$CU$424,35,0)</f>
        <v/>
      </c>
      <c r="TB49" s="9" t="str">
        <f>VLOOKUP(AG49,'BUS 2'!$G$1:$CU$424,36,0)</f>
        <v/>
      </c>
      <c r="TC49" s="9" t="str">
        <f>VLOOKUP(AG49,'BUS 2'!$G$1:$CU$424,37,0)</f>
        <v/>
      </c>
      <c r="TD49" s="9" t="str">
        <f>VLOOKUP(AG49,'BUS 2'!$G$1:$CU$424,38,0)</f>
        <v/>
      </c>
      <c r="TE49" s="9" t="str">
        <f>VLOOKUP(AG49,'BUS 2'!$G$1:$CU$424,39,0)</f>
        <v/>
      </c>
      <c r="TF49" s="9" t="str">
        <f>VLOOKUP(AG49,'BUS 2'!$G$1:$CU$424,40,0)</f>
        <v/>
      </c>
      <c r="TG49" s="8" t="str">
        <f>VLOOKUP(AG49,'BUS 2'!$G$1:$CU$424,42,0)</f>
        <v/>
      </c>
      <c r="TH49" s="8">
        <f>VLOOKUP(AG49,'BUS 2'!$G$1:$CU$424,43,0)</f>
        <v>3</v>
      </c>
      <c r="TI49" s="8" t="str">
        <f>VLOOKUP(AG49,'BUS 2'!$G$1:$CU$424,44,0)</f>
        <v/>
      </c>
      <c r="TJ49" s="8" t="str">
        <f>VLOOKUP(AG49,'BUS 2'!$G$1:$CU$424,45,0)</f>
        <v/>
      </c>
      <c r="TK49" s="8" t="str">
        <f>VLOOKUP(AG49,'BUS 2'!$G$1:$CU$424,46,0)</f>
        <v/>
      </c>
      <c r="TL49" s="8" t="str">
        <f>VLOOKUP(AG49,'BUS 2'!$G$1:$CU$424,47,0)</f>
        <v/>
      </c>
      <c r="TM49" s="8" t="str">
        <f>VLOOKUP(AG49,'BUS 2'!$G$1:$CU$424,48,0)</f>
        <v/>
      </c>
      <c r="TN49" s="8" t="str">
        <f>VLOOKUP(AG49,'BUS 2'!$G$1:$CU$424,49,0)</f>
        <v/>
      </c>
      <c r="TO49" s="8" t="str">
        <f>VLOOKUP(AG49,'BUS 2'!$G$1:$CU$424,50,0)</f>
        <v/>
      </c>
      <c r="TP49" s="8" t="str">
        <f>VLOOKUP(AG49,'BUS 2'!$G$1:$CU$424,51,0)</f>
        <v/>
      </c>
      <c r="TQ49" s="8" t="str">
        <f>VLOOKUP(AG49,'BUS 2'!$G$1:$CU$424,52,0)</f>
        <v/>
      </c>
      <c r="TR49" s="8" t="str">
        <f>VLOOKUP(AG49,'BUS 2'!$G$1:$CU$424,53,0)</f>
        <v/>
      </c>
      <c r="TS49" s="9" t="str">
        <f>VLOOKUP(AG49,'BUS 2'!$G$1:$CU$424,54,0)</f>
        <v/>
      </c>
      <c r="TT49" s="9" t="str">
        <f>VLOOKUP(AG49,'BUS 2'!$G$1:$CU$424,55,0)</f>
        <v/>
      </c>
      <c r="TU49" s="9" t="str">
        <f>VLOOKUP(AG49,'BUS 2'!$G$1:$CU$424,56,0)</f>
        <v/>
      </c>
      <c r="TV49" s="9" t="str">
        <f>VLOOKUP(AG49,'BUS 2'!$G$1:$CU$424,57,0)</f>
        <v/>
      </c>
      <c r="TW49" s="9" t="str">
        <f>VLOOKUP(AG49,'BUS 2'!$G$1:$CU$424,58,0)</f>
        <v/>
      </c>
      <c r="TX49" s="9" t="str">
        <f>VLOOKUP(AG49,'BUS 2'!$G$1:$CU$424,59,0)</f>
        <v/>
      </c>
      <c r="TY49" s="9" t="str">
        <f>VLOOKUP(AG49,'BUS 2'!$G$1:$CU$424,60,0)</f>
        <v/>
      </c>
      <c r="TZ49" s="9" t="str">
        <f>VLOOKUP(AG49,'BUS 2'!$G$1:$CU$424,61,0)</f>
        <v/>
      </c>
      <c r="UA49" s="9" t="str">
        <f>VLOOKUP(AG49,'BUS 2'!$G$1:$CU$424,62,0)</f>
        <v/>
      </c>
      <c r="UB49" s="9" t="str">
        <f>VLOOKUP(AG49,'BUS 2'!$G$1:$CU$424,63,0)</f>
        <v/>
      </c>
      <c r="UC49" s="9" t="str">
        <f>VLOOKUP(AG49,'BUS 2'!$G$1:$CU$424,64,0)</f>
        <v/>
      </c>
      <c r="UD49" s="9" t="str">
        <f>VLOOKUP(AG49,'BUS 2'!$G$1:$CU$424,65,0)</f>
        <v/>
      </c>
      <c r="UE49" s="9" t="str">
        <f>VLOOKUP(AG49,'BUS 2'!$G$1:$CU$424,66,0)</f>
        <v/>
      </c>
      <c r="UF49" s="9" t="str">
        <f>VLOOKUP(AG49,'BUS 2'!$G$1:$CU$424,67,0)</f>
        <v/>
      </c>
      <c r="UG49" s="9" t="str">
        <f>VLOOKUP(AG49,'BUS 2'!$G$1:$CU$424,68,0)</f>
        <v/>
      </c>
      <c r="UH49" s="9" t="str">
        <f>VLOOKUP(AG49,'BUS 2'!$G$1:$CU$424,69,0)</f>
        <v/>
      </c>
      <c r="UI49" s="9" t="str">
        <f>VLOOKUP(AG49,'BUS 2'!$G$1:$CU$424,70,0)</f>
        <v/>
      </c>
      <c r="UJ49" s="9" t="str">
        <f>VLOOKUP(AG49,'BUS 2'!$G$1:$CU$424,71,0)</f>
        <v/>
      </c>
      <c r="UK49" s="9" t="str">
        <f>VLOOKUP(AG49,'BUS 2'!$G$1:$CU$424,72,0)</f>
        <v/>
      </c>
      <c r="UL49" s="9" t="str">
        <f>VLOOKUP(AG49,'BUS 2'!$G$1:$CU$424,73,0)</f>
        <v/>
      </c>
      <c r="UM49" s="9" t="str">
        <f>VLOOKUP(AG49,'BUS 2'!$G$1:$CU$424,74,0)</f>
        <v/>
      </c>
      <c r="UN49" s="9" t="str">
        <f>VLOOKUP(AG49,'BUS 2'!$G$1:$CU$424,75,0)</f>
        <v/>
      </c>
      <c r="UO49" s="9" t="str">
        <f>VLOOKUP(AG49,'BUS 2'!$G$1:$CU$424,76,0)</f>
        <v/>
      </c>
      <c r="UP49" s="9" t="str">
        <f>VLOOKUP(AG49,'BUS 2'!$G$1:$CU$424,77,0)</f>
        <v/>
      </c>
      <c r="UQ49" s="9" t="str">
        <f>VLOOKUP(AG49,'BUS 2'!$G$1:$CU$424,78,0)</f>
        <v/>
      </c>
      <c r="UR49" s="9" t="str">
        <f>VLOOKUP(AG49,'BUS 2'!$G$1:$CU$424,79,0)</f>
        <v/>
      </c>
      <c r="US49" s="9" t="str">
        <f>VLOOKUP(AG49,'BUS 2'!$G$1:$CU$424,80,0)</f>
        <v/>
      </c>
      <c r="UT49" s="9" t="str">
        <f>VLOOKUP(AG49,'BUS 2'!$G$1:$CU$424,81,0)</f>
        <v/>
      </c>
      <c r="UU49" s="14"/>
      <c r="UV49" s="14" t="s">
        <v>901</v>
      </c>
      <c r="UW49" s="14"/>
      <c r="UX49" s="14"/>
      <c r="UY49" s="14"/>
      <c r="UZ49" s="14"/>
      <c r="VA49" s="14"/>
      <c r="VB49" s="14"/>
      <c r="VC49" s="14"/>
      <c r="VD49" s="14" t="s">
        <v>950</v>
      </c>
      <c r="VE49" s="14"/>
      <c r="VF49" s="14"/>
      <c r="VG49" s="14"/>
      <c r="VH49" s="14"/>
      <c r="VI49" s="14"/>
      <c r="VJ49" s="14"/>
      <c r="VK49" s="14"/>
      <c r="VL49" s="14" t="s">
        <v>903</v>
      </c>
      <c r="VM49" s="14"/>
      <c r="VN49" s="14"/>
      <c r="VO49" s="14"/>
      <c r="VP49" s="14"/>
      <c r="VQ49" s="14"/>
      <c r="VR49" s="14"/>
      <c r="VS49" s="14"/>
      <c r="VT49" s="14"/>
      <c r="VU49" s="14"/>
      <c r="VV49" s="14"/>
      <c r="VW49" s="14"/>
      <c r="VX49" s="14"/>
      <c r="VY49" s="14"/>
      <c r="VZ49" s="14"/>
      <c r="WA49" s="14"/>
      <c r="WB49" s="14"/>
      <c r="WC49" s="14"/>
      <c r="WD49" s="14"/>
      <c r="WE49" s="14"/>
      <c r="WF49" s="14" t="s">
        <v>1303</v>
      </c>
      <c r="WG49" s="24">
        <v>0.0</v>
      </c>
      <c r="WH49" s="24">
        <v>0.0</v>
      </c>
      <c r="WI49" s="24">
        <v>0.0</v>
      </c>
      <c r="WJ49" s="24">
        <v>1.0</v>
      </c>
      <c r="WK49" s="24">
        <v>1.0</v>
      </c>
      <c r="WL49" s="24">
        <v>0.0</v>
      </c>
      <c r="WM49" s="24">
        <v>0.0</v>
      </c>
      <c r="WN49" s="24">
        <v>0.0</v>
      </c>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14"/>
      <c r="ZC49" s="14"/>
      <c r="ZD49" s="14"/>
      <c r="ZE49" s="14"/>
      <c r="ZF49" s="14"/>
      <c r="ZG49" s="14"/>
      <c r="ZH49" s="14"/>
      <c r="ZI49" s="14"/>
      <c r="ZJ49" s="14"/>
      <c r="ZK49" s="14"/>
      <c r="ZL49" s="14"/>
      <c r="ZM49" s="14"/>
      <c r="ZN49" s="14"/>
      <c r="ZO49" s="14"/>
      <c r="ZP49" s="14"/>
      <c r="ZQ49" s="14"/>
      <c r="ZR49" s="14"/>
      <c r="ZS49" s="14"/>
      <c r="ZT49" s="14"/>
      <c r="ZU49" s="14"/>
      <c r="ZV49" s="14"/>
      <c r="ZW49" s="24">
        <v>2.0</v>
      </c>
      <c r="ZX49" s="14"/>
      <c r="ZY49" s="14"/>
      <c r="ZZ49" s="14"/>
      <c r="AAA49" s="14"/>
      <c r="AAB49" s="14"/>
      <c r="AAC49" s="14"/>
      <c r="AAD49" s="14"/>
      <c r="AAE49" s="14" t="s">
        <v>1186</v>
      </c>
      <c r="AAF49" s="14"/>
      <c r="AAG49" s="14"/>
      <c r="AAH49" s="14"/>
      <c r="AAI49" s="14"/>
      <c r="AAJ49" s="14"/>
      <c r="AAK49" s="14"/>
      <c r="AAL49" s="14" t="s">
        <v>857</v>
      </c>
      <c r="AAM49" s="14" t="s">
        <v>1033</v>
      </c>
      <c r="AAN49" s="24">
        <v>1.0</v>
      </c>
      <c r="AAO49" s="24">
        <v>1.0</v>
      </c>
      <c r="AAP49" s="24">
        <v>50.0</v>
      </c>
      <c r="AAQ49" s="24">
        <v>50.0</v>
      </c>
      <c r="AAR49" s="14" t="s">
        <v>857</v>
      </c>
      <c r="AAS49" s="14" t="s">
        <v>867</v>
      </c>
      <c r="AAT49" s="14" t="s">
        <v>1287</v>
      </c>
      <c r="AAU49" s="24">
        <v>1.0</v>
      </c>
      <c r="AAV49" s="24">
        <v>0.0</v>
      </c>
      <c r="AAW49" s="24">
        <v>0.0</v>
      </c>
      <c r="AAX49" s="24">
        <v>1.0</v>
      </c>
      <c r="AAY49" s="24">
        <v>0.0</v>
      </c>
      <c r="AAZ49" s="24">
        <v>0.0</v>
      </c>
      <c r="ABA49" s="24">
        <v>0.0</v>
      </c>
      <c r="ABB49" s="14" t="s">
        <v>907</v>
      </c>
      <c r="ABC49" s="24">
        <v>1.0</v>
      </c>
      <c r="ABD49" s="24">
        <v>0.0</v>
      </c>
      <c r="ABE49" s="24">
        <v>0.0</v>
      </c>
      <c r="ABF49" s="24">
        <v>0.0</v>
      </c>
      <c r="ABG49" s="24">
        <v>0.0</v>
      </c>
      <c r="ABH49" s="14"/>
      <c r="ABI49" s="14"/>
      <c r="ABJ49" s="14"/>
      <c r="ABK49" s="14"/>
      <c r="ABL49" s="14"/>
      <c r="ABM49" s="14"/>
      <c r="ABN49" s="14"/>
      <c r="ABO49" s="14"/>
      <c r="ABP49" s="14"/>
      <c r="ABQ49" s="11" t="s">
        <v>953</v>
      </c>
      <c r="ABR49" s="14" t="s">
        <v>1075</v>
      </c>
      <c r="ABS49" s="24">
        <v>3000.0</v>
      </c>
      <c r="ABT49" s="24">
        <v>200.0</v>
      </c>
      <c r="ABU49" s="24">
        <v>50.0</v>
      </c>
      <c r="ABV49" s="24">
        <v>50.0</v>
      </c>
      <c r="ABW49" s="14" t="s">
        <v>1199</v>
      </c>
      <c r="ABX49" s="14"/>
      <c r="ABY49" s="24">
        <v>20.0</v>
      </c>
      <c r="ABZ49" s="24">
        <v>5.0</v>
      </c>
      <c r="ACA49" s="24">
        <v>5.0</v>
      </c>
      <c r="ACB49" s="24">
        <v>4000.0</v>
      </c>
      <c r="ACC49" s="24">
        <v>500.0</v>
      </c>
      <c r="ACD49" s="24">
        <v>600.0</v>
      </c>
      <c r="ACE49" s="14" t="s">
        <v>857</v>
      </c>
      <c r="ACF49" s="14" t="s">
        <v>1183</v>
      </c>
      <c r="ACG49" s="14" t="s">
        <v>911</v>
      </c>
      <c r="ACH49" s="14" t="s">
        <v>911</v>
      </c>
      <c r="ACI49" s="14"/>
      <c r="ACJ49" s="14"/>
      <c r="ACK49" s="14" t="s">
        <v>976</v>
      </c>
      <c r="ACL49" s="24">
        <v>0.0</v>
      </c>
      <c r="ACM49" s="24">
        <v>0.0</v>
      </c>
      <c r="ACN49" s="24">
        <v>1.0</v>
      </c>
      <c r="ACO49" s="24">
        <v>1.0</v>
      </c>
      <c r="ACP49" s="24">
        <v>0.0</v>
      </c>
      <c r="ACQ49" s="24">
        <v>0.0</v>
      </c>
      <c r="ACR49" s="24">
        <v>0.0</v>
      </c>
      <c r="ACS49" s="14"/>
      <c r="ACT49" s="14" t="s">
        <v>912</v>
      </c>
      <c r="ACU49" s="14" t="s">
        <v>1050</v>
      </c>
      <c r="ACV49" s="14" t="s">
        <v>957</v>
      </c>
      <c r="ACW49" s="14" t="s">
        <v>915</v>
      </c>
      <c r="ACX49" s="14" t="s">
        <v>916</v>
      </c>
      <c r="ACY49" s="14" t="s">
        <v>1035</v>
      </c>
      <c r="ACZ49" s="24">
        <v>1.0</v>
      </c>
      <c r="ADA49" s="24">
        <v>1.0</v>
      </c>
      <c r="ADB49" s="24">
        <v>0.0</v>
      </c>
      <c r="ADC49" s="24">
        <v>0.0</v>
      </c>
      <c r="ADD49" s="14" t="s">
        <v>1187</v>
      </c>
      <c r="ADE49" s="14" t="s">
        <v>1187</v>
      </c>
      <c r="ADF49" s="14" t="s">
        <v>1187</v>
      </c>
      <c r="ADG49" s="14" t="s">
        <v>1187</v>
      </c>
      <c r="ADH49" s="14" t="s">
        <v>881</v>
      </c>
      <c r="ADI49" s="14"/>
      <c r="ADJ49" s="14" t="s">
        <v>1187</v>
      </c>
      <c r="ADK49" s="14"/>
      <c r="ADL49" s="14"/>
      <c r="ADM49" s="14"/>
      <c r="ADN49" s="14"/>
      <c r="ADO49" s="14"/>
      <c r="ADP49" s="14"/>
      <c r="ADQ49" s="14"/>
      <c r="ADR49" s="14"/>
      <c r="ADS49" s="14"/>
      <c r="ADT49" s="14"/>
      <c r="ADU49" s="14" t="s">
        <v>919</v>
      </c>
      <c r="ADV49" s="24">
        <v>0.0</v>
      </c>
      <c r="ADW49" s="24">
        <v>0.0</v>
      </c>
      <c r="ADX49" s="24">
        <v>0.0</v>
      </c>
      <c r="ADY49" s="24">
        <v>0.0</v>
      </c>
      <c r="ADZ49" s="24">
        <v>1.0</v>
      </c>
      <c r="AEA49" s="24">
        <v>0.0</v>
      </c>
      <c r="AEB49" s="24">
        <v>0.0</v>
      </c>
      <c r="AEC49" s="24">
        <v>0.0</v>
      </c>
      <c r="AED49" s="12"/>
      <c r="AEE49" s="17" t="s">
        <v>872</v>
      </c>
      <c r="AEF49" s="9"/>
      <c r="AEG49" s="17" t="s">
        <v>920</v>
      </c>
      <c r="AEH49" s="14"/>
      <c r="AEI49" s="11" t="s">
        <v>999</v>
      </c>
      <c r="AEJ49" s="14" t="s">
        <v>871</v>
      </c>
      <c r="AEK49" s="17" t="s">
        <v>1108</v>
      </c>
      <c r="AEL49" s="18">
        <v>1.0</v>
      </c>
      <c r="AEM49" s="18">
        <v>1.0</v>
      </c>
      <c r="AEN49" s="18">
        <v>1.0</v>
      </c>
      <c r="AEO49" s="18">
        <v>1.0</v>
      </c>
      <c r="AEP49" s="18">
        <v>1.0</v>
      </c>
      <c r="AEQ49" s="18">
        <v>1.0</v>
      </c>
      <c r="AER49" s="18">
        <v>1.0</v>
      </c>
      <c r="AES49" s="18">
        <v>1.0</v>
      </c>
      <c r="AET49" s="18">
        <v>1.0</v>
      </c>
      <c r="AEU49" s="18">
        <v>0.0</v>
      </c>
      <c r="AEV49" s="18">
        <v>0.0</v>
      </c>
      <c r="AEW49" s="18">
        <v>0.0</v>
      </c>
      <c r="AEX49" s="14"/>
      <c r="AEY49" s="14" t="s">
        <v>923</v>
      </c>
      <c r="AEZ49" s="14"/>
      <c r="AFA49" s="14" t="s">
        <v>1188</v>
      </c>
      <c r="AFB49" s="14"/>
      <c r="AFC49" s="14" t="s">
        <v>1451</v>
      </c>
      <c r="AFD49" s="25" t="s">
        <v>1452</v>
      </c>
      <c r="AFE49" s="14" t="s">
        <v>1453</v>
      </c>
      <c r="AFF49" s="25" t="s">
        <v>1454</v>
      </c>
      <c r="AFG49" s="14" t="s">
        <v>1113</v>
      </c>
      <c r="AFH49" s="14"/>
      <c r="AFI49" s="14" t="s">
        <v>1455</v>
      </c>
    </row>
  </sheetData>
  <hyperlinks>
    <hyperlink r:id="rId2" ref="AFD2"/>
    <hyperlink r:id="rId3" ref="AFF2"/>
    <hyperlink r:id="rId4" ref="AFD3"/>
    <hyperlink r:id="rId5" ref="AFF3"/>
    <hyperlink r:id="rId6" ref="AFD4"/>
    <hyperlink r:id="rId7" ref="AFF4"/>
    <hyperlink r:id="rId8" ref="AFD5"/>
    <hyperlink r:id="rId9" ref="AFF5"/>
    <hyperlink r:id="rId10" ref="AFD6"/>
    <hyperlink r:id="rId11" ref="AFF6"/>
    <hyperlink r:id="rId12" ref="AFD7"/>
    <hyperlink r:id="rId13" ref="AFF7"/>
    <hyperlink r:id="rId14" ref="AFD8"/>
    <hyperlink r:id="rId15" ref="AFF8"/>
    <hyperlink r:id="rId16" ref="AFD9"/>
    <hyperlink r:id="rId17" ref="AFF9"/>
    <hyperlink r:id="rId18" ref="AFD10"/>
    <hyperlink r:id="rId19" ref="AFF10"/>
    <hyperlink r:id="rId20" ref="AFD11"/>
    <hyperlink r:id="rId21" ref="AFF11"/>
    <hyperlink r:id="rId22" ref="AFD12"/>
    <hyperlink r:id="rId23" ref="AFF12"/>
    <hyperlink r:id="rId24" ref="AFD13"/>
    <hyperlink r:id="rId25" ref="AFF13"/>
    <hyperlink r:id="rId26" ref="AFD14"/>
    <hyperlink r:id="rId27" ref="AFF14"/>
    <hyperlink r:id="rId28" ref="AFD15"/>
    <hyperlink r:id="rId29" ref="AFF15"/>
    <hyperlink r:id="rId30" ref="AFD16"/>
    <hyperlink r:id="rId31" ref="AFF16"/>
    <hyperlink r:id="rId32" ref="AFD17"/>
    <hyperlink r:id="rId33" ref="AFF17"/>
    <hyperlink r:id="rId34" ref="AFD18"/>
    <hyperlink r:id="rId35" ref="AFF18"/>
    <hyperlink r:id="rId36" ref="AFD19"/>
    <hyperlink r:id="rId37" ref="AFF19"/>
    <hyperlink r:id="rId38" ref="AFD20"/>
    <hyperlink r:id="rId39" ref="AFF20"/>
    <hyperlink r:id="rId40" ref="AFD21"/>
    <hyperlink r:id="rId41" ref="AFF21"/>
    <hyperlink r:id="rId42" ref="AFD22"/>
    <hyperlink r:id="rId43" ref="AFF22"/>
    <hyperlink r:id="rId44" ref="AFD23"/>
    <hyperlink r:id="rId45" ref="AFF23"/>
    <hyperlink r:id="rId46" ref="AFD24"/>
    <hyperlink r:id="rId47" ref="AFF24"/>
    <hyperlink r:id="rId48" ref="AFD25"/>
    <hyperlink r:id="rId49" ref="AFF25"/>
    <hyperlink r:id="rId50" ref="AFD26"/>
    <hyperlink r:id="rId51" ref="AFF26"/>
    <hyperlink r:id="rId52" ref="AFD27"/>
    <hyperlink r:id="rId53" ref="AFF27"/>
    <hyperlink r:id="rId54" ref="AFD28"/>
    <hyperlink r:id="rId55" ref="AFF28"/>
    <hyperlink r:id="rId56" ref="AFD29"/>
    <hyperlink r:id="rId57" ref="AFF29"/>
    <hyperlink r:id="rId58" ref="AFD30"/>
    <hyperlink r:id="rId59" ref="AFF30"/>
    <hyperlink r:id="rId60" ref="AFD31"/>
    <hyperlink r:id="rId61" ref="AFF31"/>
    <hyperlink r:id="rId62" ref="AFD32"/>
    <hyperlink r:id="rId63" ref="AFF32"/>
    <hyperlink r:id="rId64" ref="AFD33"/>
    <hyperlink r:id="rId65" ref="AFF33"/>
    <hyperlink r:id="rId66" ref="AFD34"/>
    <hyperlink r:id="rId67" ref="AFF34"/>
    <hyperlink r:id="rId68" ref="AFD35"/>
    <hyperlink r:id="rId69" ref="AFF35"/>
    <hyperlink r:id="rId70" ref="AFD36"/>
    <hyperlink r:id="rId71" ref="AFF36"/>
    <hyperlink r:id="rId72" ref="AFD37"/>
    <hyperlink r:id="rId73" ref="AFF37"/>
    <hyperlink r:id="rId74" ref="AFD38"/>
    <hyperlink r:id="rId75" ref="AFF38"/>
    <hyperlink r:id="rId76" ref="AFD39"/>
    <hyperlink r:id="rId77" ref="AFF39"/>
    <hyperlink r:id="rId78" ref="AFD40"/>
    <hyperlink r:id="rId79" ref="AFF40"/>
    <hyperlink r:id="rId80" ref="AFD41"/>
    <hyperlink r:id="rId81" ref="AFF41"/>
    <hyperlink r:id="rId82" ref="AFD42"/>
    <hyperlink r:id="rId83" ref="AFF42"/>
    <hyperlink r:id="rId84" ref="AFD43"/>
    <hyperlink r:id="rId85" ref="AFF43"/>
    <hyperlink r:id="rId86" ref="AFD44"/>
    <hyperlink r:id="rId87" ref="AFF44"/>
    <hyperlink r:id="rId88" ref="AFD45"/>
    <hyperlink r:id="rId89" ref="AFF45"/>
    <hyperlink r:id="rId90" ref="AFD46"/>
    <hyperlink r:id="rId91" ref="AFF46"/>
    <hyperlink r:id="rId92" ref="AFD47"/>
    <hyperlink r:id="rId93" ref="AFF47"/>
    <hyperlink r:id="rId94" ref="AFD48"/>
    <hyperlink r:id="rId95" ref="AFF48"/>
    <hyperlink r:id="rId96" ref="AFD49"/>
    <hyperlink r:id="rId97" ref="AFF49"/>
  </hyperlinks>
  <drawing r:id="rId98"/>
  <legacy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8" max="18" width="1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3"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1456</v>
      </c>
      <c r="CR1" s="1" t="s">
        <v>1457</v>
      </c>
      <c r="CS1" s="1" t="s">
        <v>1458</v>
      </c>
      <c r="CT1" s="1" t="s">
        <v>1459</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26"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27"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1" t="s">
        <v>317</v>
      </c>
      <c r="LK1" s="1" t="s">
        <v>318</v>
      </c>
      <c r="LL1" s="1" t="s">
        <v>319</v>
      </c>
      <c r="LM1" s="1" t="s">
        <v>320</v>
      </c>
      <c r="LN1" s="1" t="s">
        <v>321</v>
      </c>
      <c r="LO1" s="1" t="s">
        <v>322</v>
      </c>
      <c r="LP1" s="1" t="s">
        <v>323</v>
      </c>
      <c r="LQ1" s="1" t="s">
        <v>324</v>
      </c>
      <c r="LR1" s="3"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26" t="s">
        <v>350</v>
      </c>
      <c r="MR1" s="26" t="s">
        <v>351</v>
      </c>
      <c r="MS1" s="26" t="s">
        <v>352</v>
      </c>
      <c r="MT1" s="1" t="s">
        <v>353</v>
      </c>
      <c r="MU1" s="1" t="s">
        <v>354</v>
      </c>
      <c r="MV1" s="1" t="s">
        <v>355</v>
      </c>
      <c r="MW1" s="1" t="s">
        <v>356</v>
      </c>
      <c r="MX1" s="1" t="s">
        <v>357</v>
      </c>
      <c r="MY1" s="1" t="s">
        <v>358</v>
      </c>
      <c r="MZ1" s="1" t="s">
        <v>359</v>
      </c>
      <c r="NA1" s="1" t="s">
        <v>360</v>
      </c>
      <c r="NB1" s="1" t="s">
        <v>361</v>
      </c>
      <c r="NC1" s="1" t="s">
        <v>362</v>
      </c>
      <c r="ND1" s="1" t="s">
        <v>363</v>
      </c>
      <c r="NE1" s="1" t="s">
        <v>364</v>
      </c>
      <c r="NF1" s="1" t="s">
        <v>365</v>
      </c>
      <c r="NG1" s="1" t="s">
        <v>366</v>
      </c>
      <c r="NH1" s="1" t="s">
        <v>367</v>
      </c>
      <c r="NI1" s="1" t="s">
        <v>368</v>
      </c>
      <c r="NJ1" s="1" t="s">
        <v>369</v>
      </c>
      <c r="NK1" s="1" t="s">
        <v>370</v>
      </c>
      <c r="NL1" s="1" t="s">
        <v>371</v>
      </c>
      <c r="NM1" s="1" t="s">
        <v>372</v>
      </c>
      <c r="NN1" s="26" t="s">
        <v>373</v>
      </c>
      <c r="NO1" s="26" t="s">
        <v>374</v>
      </c>
      <c r="NP1" s="1" t="s">
        <v>375</v>
      </c>
      <c r="NQ1" s="1" t="s">
        <v>376</v>
      </c>
      <c r="NR1" s="1" t="s">
        <v>377</v>
      </c>
      <c r="NS1" s="1" t="s">
        <v>378</v>
      </c>
      <c r="NT1" s="1" t="s">
        <v>379</v>
      </c>
      <c r="NU1" s="1" t="s">
        <v>380</v>
      </c>
      <c r="NV1" s="26"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4" t="s">
        <v>401</v>
      </c>
      <c r="OQ1" s="4" t="s">
        <v>402</v>
      </c>
      <c r="OR1" s="4" t="s">
        <v>403</v>
      </c>
      <c r="OS1" s="4" t="s">
        <v>404</v>
      </c>
      <c r="OT1" s="4" t="s">
        <v>405</v>
      </c>
      <c r="OU1" s="4" t="s">
        <v>406</v>
      </c>
      <c r="OV1" s="4" t="s">
        <v>407</v>
      </c>
      <c r="OW1" s="4" t="s">
        <v>408</v>
      </c>
      <c r="OX1" s="4" t="s">
        <v>409</v>
      </c>
      <c r="OY1" s="4" t="s">
        <v>410</v>
      </c>
      <c r="OZ1" s="4" t="s">
        <v>411</v>
      </c>
      <c r="PA1" s="4" t="s">
        <v>412</v>
      </c>
      <c r="PB1" s="4" t="s">
        <v>413</v>
      </c>
      <c r="PC1" s="4" t="s">
        <v>414</v>
      </c>
      <c r="PD1" s="4" t="s">
        <v>415</v>
      </c>
      <c r="PE1" s="4" t="s">
        <v>416</v>
      </c>
      <c r="PF1" s="4" t="s">
        <v>417</v>
      </c>
      <c r="PG1" s="4" t="s">
        <v>418</v>
      </c>
      <c r="PH1" s="4" t="s">
        <v>419</v>
      </c>
      <c r="PI1" s="4" t="s">
        <v>420</v>
      </c>
      <c r="PJ1" s="4" t="s">
        <v>421</v>
      </c>
      <c r="PK1" s="4" t="s">
        <v>422</v>
      </c>
      <c r="PL1" s="4" t="s">
        <v>423</v>
      </c>
      <c r="PM1" s="4" t="s">
        <v>424</v>
      </c>
      <c r="PN1" s="4" t="s">
        <v>425</v>
      </c>
      <c r="PO1" s="4" t="s">
        <v>426</v>
      </c>
      <c r="PP1" s="4" t="s">
        <v>427</v>
      </c>
      <c r="PQ1" s="4" t="s">
        <v>428</v>
      </c>
      <c r="PR1" s="4" t="s">
        <v>429</v>
      </c>
      <c r="PS1" s="4" t="s">
        <v>430</v>
      </c>
      <c r="PT1" s="1" t="s">
        <v>431</v>
      </c>
      <c r="PU1" s="1" t="s">
        <v>432</v>
      </c>
      <c r="PV1" s="1" t="s">
        <v>433</v>
      </c>
      <c r="PW1" s="1" t="s">
        <v>434</v>
      </c>
      <c r="PX1" s="1" t="s">
        <v>435</v>
      </c>
      <c r="PY1" s="1" t="s">
        <v>436</v>
      </c>
      <c r="PZ1" s="1" t="s">
        <v>437</v>
      </c>
      <c r="QA1" s="1" t="s">
        <v>438</v>
      </c>
      <c r="QB1" s="1" t="s">
        <v>439</v>
      </c>
      <c r="QC1" s="1" t="s">
        <v>440</v>
      </c>
      <c r="QD1" s="1" t="s">
        <v>441</v>
      </c>
      <c r="QE1" s="28" t="s">
        <v>442</v>
      </c>
      <c r="QF1" s="29" t="s">
        <v>443</v>
      </c>
      <c r="QG1" s="29" t="s">
        <v>444</v>
      </c>
      <c r="QH1" s="29" t="s">
        <v>445</v>
      </c>
      <c r="QI1" s="29" t="s">
        <v>446</v>
      </c>
      <c r="QJ1" s="29" t="s">
        <v>447</v>
      </c>
      <c r="QK1" s="28" t="s">
        <v>448</v>
      </c>
      <c r="QL1" s="28" t="s">
        <v>449</v>
      </c>
      <c r="QM1" s="28" t="s">
        <v>450</v>
      </c>
      <c r="QN1" s="28" t="s">
        <v>451</v>
      </c>
      <c r="QO1" s="28" t="s">
        <v>452</v>
      </c>
      <c r="QP1" s="28" t="s">
        <v>453</v>
      </c>
      <c r="QQ1" s="28" t="s">
        <v>454</v>
      </c>
      <c r="QR1" s="28" t="s">
        <v>455</v>
      </c>
      <c r="QS1" s="28" t="s">
        <v>456</v>
      </c>
      <c r="QT1" s="28" t="s">
        <v>457</v>
      </c>
      <c r="QU1" s="28" t="s">
        <v>458</v>
      </c>
      <c r="QV1" s="28" t="s">
        <v>459</v>
      </c>
      <c r="QW1" s="29" t="s">
        <v>460</v>
      </c>
      <c r="QX1" s="29" t="s">
        <v>461</v>
      </c>
      <c r="QY1" s="29" t="s">
        <v>462</v>
      </c>
      <c r="QZ1" s="29" t="s">
        <v>463</v>
      </c>
      <c r="RA1" s="29" t="s">
        <v>464</v>
      </c>
      <c r="RB1" s="28" t="s">
        <v>465</v>
      </c>
      <c r="RC1" s="28" t="s">
        <v>466</v>
      </c>
      <c r="RD1" s="28" t="s">
        <v>467</v>
      </c>
      <c r="RE1" s="28" t="s">
        <v>468</v>
      </c>
      <c r="RF1" s="28" t="s">
        <v>469</v>
      </c>
      <c r="RG1" s="1" t="s">
        <v>470</v>
      </c>
      <c r="RH1" s="29" t="s">
        <v>471</v>
      </c>
      <c r="RI1" s="29" t="s">
        <v>472</v>
      </c>
      <c r="RJ1" s="29" t="s">
        <v>473</v>
      </c>
      <c r="RK1" s="29" t="s">
        <v>474</v>
      </c>
      <c r="RL1" s="29" t="s">
        <v>475</v>
      </c>
      <c r="RM1" s="1" t="s">
        <v>476</v>
      </c>
      <c r="RN1" s="1" t="s">
        <v>477</v>
      </c>
      <c r="RO1" s="1" t="s">
        <v>478</v>
      </c>
      <c r="RP1" s="1" t="s">
        <v>479</v>
      </c>
      <c r="RQ1" s="1" t="s">
        <v>480</v>
      </c>
      <c r="RR1" s="1" t="s">
        <v>481</v>
      </c>
      <c r="RS1" s="29" t="s">
        <v>482</v>
      </c>
      <c r="RT1" s="29" t="s">
        <v>483</v>
      </c>
      <c r="RU1" s="29" t="s">
        <v>484</v>
      </c>
      <c r="RV1" s="29" t="s">
        <v>485</v>
      </c>
      <c r="RW1" s="29" t="s">
        <v>486</v>
      </c>
      <c r="RX1" s="1" t="s">
        <v>487</v>
      </c>
      <c r="RY1" s="1" t="s">
        <v>488</v>
      </c>
      <c r="RZ1" s="1" t="s">
        <v>489</v>
      </c>
      <c r="SA1" s="1" t="s">
        <v>490</v>
      </c>
      <c r="SB1" s="1" t="s">
        <v>491</v>
      </c>
      <c r="SC1" s="1" t="s">
        <v>492</v>
      </c>
      <c r="SD1" s="29" t="s">
        <v>493</v>
      </c>
      <c r="SE1" s="29" t="s">
        <v>494</v>
      </c>
      <c r="SF1" s="29" t="s">
        <v>495</v>
      </c>
      <c r="SG1" s="29" t="s">
        <v>496</v>
      </c>
      <c r="SH1" s="29" t="s">
        <v>497</v>
      </c>
      <c r="SI1" s="1" t="s">
        <v>498</v>
      </c>
      <c r="SJ1" s="1" t="s">
        <v>499</v>
      </c>
      <c r="SK1" s="1" t="s">
        <v>500</v>
      </c>
      <c r="SL1" s="1" t="s">
        <v>501</v>
      </c>
      <c r="SM1" s="1" t="s">
        <v>502</v>
      </c>
      <c r="SN1" s="1" t="s">
        <v>503</v>
      </c>
      <c r="SO1" s="29" t="s">
        <v>504</v>
      </c>
      <c r="SP1" s="29" t="s">
        <v>505</v>
      </c>
      <c r="SQ1" s="29" t="s">
        <v>506</v>
      </c>
      <c r="SR1" s="29" t="s">
        <v>507</v>
      </c>
      <c r="SS1" s="29" t="s">
        <v>508</v>
      </c>
      <c r="ST1" s="1" t="s">
        <v>509</v>
      </c>
      <c r="SU1" s="1" t="s">
        <v>510</v>
      </c>
      <c r="SV1" s="1" t="s">
        <v>511</v>
      </c>
      <c r="SW1" s="1" t="s">
        <v>512</v>
      </c>
      <c r="SX1" s="1"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E1" s="1" t="s">
        <v>546</v>
      </c>
      <c r="UF1" s="1" t="s">
        <v>547</v>
      </c>
      <c r="UG1" s="1" t="s">
        <v>548</v>
      </c>
      <c r="UH1" s="1" t="s">
        <v>549</v>
      </c>
      <c r="UI1" s="1" t="s">
        <v>550</v>
      </c>
      <c r="UJ1" s="1" t="s">
        <v>551</v>
      </c>
      <c r="UK1" s="1" t="s">
        <v>552</v>
      </c>
      <c r="UL1" s="1" t="s">
        <v>553</v>
      </c>
      <c r="UM1" s="1" t="s">
        <v>554</v>
      </c>
      <c r="UN1" s="1" t="s">
        <v>555</v>
      </c>
      <c r="UO1" s="1" t="s">
        <v>556</v>
      </c>
      <c r="UP1" s="1" t="s">
        <v>557</v>
      </c>
      <c r="UQ1" s="1" t="s">
        <v>558</v>
      </c>
      <c r="UR1" s="1" t="s">
        <v>559</v>
      </c>
      <c r="US1" s="1" t="s">
        <v>560</v>
      </c>
      <c r="UT1" s="1" t="s">
        <v>561</v>
      </c>
      <c r="UU1" s="1" t="s">
        <v>562</v>
      </c>
      <c r="UV1" s="1" t="s">
        <v>563</v>
      </c>
      <c r="UW1" s="1" t="s">
        <v>564</v>
      </c>
      <c r="UX1" s="1" t="s">
        <v>565</v>
      </c>
      <c r="UY1" s="1" t="s">
        <v>566</v>
      </c>
      <c r="UZ1" s="1" t="s">
        <v>567</v>
      </c>
      <c r="VA1" s="1" t="s">
        <v>568</v>
      </c>
      <c r="VB1" s="1" t="s">
        <v>569</v>
      </c>
      <c r="VC1" s="1" t="s">
        <v>570</v>
      </c>
      <c r="VD1" s="1" t="s">
        <v>571</v>
      </c>
      <c r="VE1" s="1" t="s">
        <v>572</v>
      </c>
      <c r="VF1" s="1" t="s">
        <v>573</v>
      </c>
      <c r="VG1" s="1" t="s">
        <v>574</v>
      </c>
      <c r="VH1" s="1" t="s">
        <v>575</v>
      </c>
      <c r="VI1" s="1" t="s">
        <v>576</v>
      </c>
      <c r="VJ1" s="1" t="s">
        <v>577</v>
      </c>
      <c r="VK1" s="1" t="s">
        <v>578</v>
      </c>
      <c r="VL1" s="1" t="s">
        <v>579</v>
      </c>
      <c r="VM1" s="1" t="s">
        <v>580</v>
      </c>
      <c r="VN1" s="1" t="s">
        <v>581</v>
      </c>
      <c r="VO1" s="1" t="s">
        <v>582</v>
      </c>
      <c r="VP1" s="1" t="s">
        <v>583</v>
      </c>
      <c r="VQ1" s="1" t="s">
        <v>584</v>
      </c>
      <c r="VR1" s="1" t="s">
        <v>585</v>
      </c>
      <c r="VS1" s="1" t="s">
        <v>586</v>
      </c>
      <c r="VT1" s="1" t="s">
        <v>587</v>
      </c>
      <c r="VU1" s="1" t="s">
        <v>588</v>
      </c>
      <c r="VV1" s="1" t="s">
        <v>589</v>
      </c>
      <c r="VW1" s="1" t="s">
        <v>590</v>
      </c>
      <c r="VX1" s="1" t="s">
        <v>591</v>
      </c>
      <c r="VY1" s="1" t="s">
        <v>592</v>
      </c>
      <c r="VZ1" s="1" t="s">
        <v>593</v>
      </c>
      <c r="WA1" s="1" t="s">
        <v>594</v>
      </c>
      <c r="WB1" s="1" t="s">
        <v>595</v>
      </c>
      <c r="WC1" s="1" t="s">
        <v>596</v>
      </c>
      <c r="WD1" s="1" t="s">
        <v>597</v>
      </c>
      <c r="WE1" s="1" t="s">
        <v>598</v>
      </c>
      <c r="WF1" s="1" t="s">
        <v>599</v>
      </c>
      <c r="WG1" s="1" t="s">
        <v>600</v>
      </c>
      <c r="WH1" s="1" t="s">
        <v>601</v>
      </c>
      <c r="WI1" s="1" t="s">
        <v>602</v>
      </c>
      <c r="WJ1" s="1" t="s">
        <v>603</v>
      </c>
      <c r="WK1" s="1" t="s">
        <v>604</v>
      </c>
      <c r="WL1" s="1" t="s">
        <v>605</v>
      </c>
      <c r="WM1" s="1" t="s">
        <v>606</v>
      </c>
      <c r="WN1" s="1" t="s">
        <v>607</v>
      </c>
      <c r="WO1" s="1" t="s">
        <v>608</v>
      </c>
      <c r="WP1" s="1" t="s">
        <v>609</v>
      </c>
      <c r="WQ1" s="1" t="s">
        <v>610</v>
      </c>
      <c r="WR1" s="1" t="s">
        <v>611</v>
      </c>
      <c r="WS1" s="1" t="s">
        <v>612</v>
      </c>
      <c r="WT1" s="1" t="s">
        <v>613</v>
      </c>
      <c r="WU1" s="1" t="s">
        <v>614</v>
      </c>
      <c r="WV1" s="1" t="s">
        <v>615</v>
      </c>
      <c r="WW1" s="1" t="s">
        <v>616</v>
      </c>
      <c r="WX1" s="1" t="s">
        <v>617</v>
      </c>
      <c r="WY1" s="1" t="s">
        <v>618</v>
      </c>
      <c r="WZ1" s="1" t="s">
        <v>619</v>
      </c>
      <c r="XA1" s="1" t="s">
        <v>620</v>
      </c>
      <c r="XB1" s="1" t="s">
        <v>621</v>
      </c>
      <c r="XC1" s="1" t="s">
        <v>622</v>
      </c>
      <c r="XD1" s="1" t="s">
        <v>623</v>
      </c>
      <c r="XE1" s="1" t="s">
        <v>624</v>
      </c>
      <c r="XF1" s="1" t="s">
        <v>625</v>
      </c>
      <c r="XG1" s="1" t="s">
        <v>626</v>
      </c>
      <c r="XH1" s="1" t="s">
        <v>627</v>
      </c>
      <c r="XI1" s="1" t="s">
        <v>628</v>
      </c>
      <c r="XJ1" s="1" t="s">
        <v>629</v>
      </c>
      <c r="XK1" s="1" t="s">
        <v>630</v>
      </c>
      <c r="XL1" s="1" t="s">
        <v>631</v>
      </c>
      <c r="XM1" s="1" t="s">
        <v>632</v>
      </c>
      <c r="XN1" s="1" t="s">
        <v>633</v>
      </c>
      <c r="XO1" s="1" t="s">
        <v>634</v>
      </c>
      <c r="XP1" s="1" t="s">
        <v>635</v>
      </c>
      <c r="XQ1" s="1" t="s">
        <v>636</v>
      </c>
      <c r="XR1" s="1" t="s">
        <v>637</v>
      </c>
      <c r="XS1" s="1" t="s">
        <v>638</v>
      </c>
      <c r="XT1" s="1" t="s">
        <v>639</v>
      </c>
      <c r="XU1" s="1" t="s">
        <v>640</v>
      </c>
      <c r="XV1" s="1" t="s">
        <v>641</v>
      </c>
      <c r="XW1" s="1" t="s">
        <v>642</v>
      </c>
      <c r="XX1" s="1" t="s">
        <v>643</v>
      </c>
      <c r="XY1" s="1" t="s">
        <v>644</v>
      </c>
      <c r="XZ1" s="1" t="s">
        <v>645</v>
      </c>
      <c r="YA1" s="1" t="s">
        <v>646</v>
      </c>
      <c r="YB1" s="1" t="s">
        <v>647</v>
      </c>
      <c r="YC1" s="1" t="s">
        <v>648</v>
      </c>
      <c r="YD1" s="1" t="s">
        <v>649</v>
      </c>
      <c r="YE1" s="1" t="s">
        <v>650</v>
      </c>
      <c r="YF1" s="1" t="s">
        <v>651</v>
      </c>
      <c r="YG1" s="1" t="s">
        <v>652</v>
      </c>
      <c r="YH1" s="1" t="s">
        <v>653</v>
      </c>
      <c r="YI1" s="1" t="s">
        <v>654</v>
      </c>
      <c r="YJ1" s="1" t="s">
        <v>655</v>
      </c>
      <c r="YK1" s="1" t="s">
        <v>656</v>
      </c>
      <c r="YL1" s="1" t="s">
        <v>657</v>
      </c>
      <c r="YM1" s="1" t="s">
        <v>658</v>
      </c>
      <c r="YN1" s="1" t="s">
        <v>659</v>
      </c>
      <c r="YO1" s="1" t="s">
        <v>660</v>
      </c>
      <c r="YP1" s="1" t="s">
        <v>661</v>
      </c>
      <c r="YQ1" s="1" t="s">
        <v>662</v>
      </c>
      <c r="YR1" s="1" t="s">
        <v>663</v>
      </c>
      <c r="YS1" s="1" t="s">
        <v>664</v>
      </c>
      <c r="YT1" s="1" t="s">
        <v>665</v>
      </c>
      <c r="YU1" s="1" t="s">
        <v>666</v>
      </c>
      <c r="YV1" s="1" t="s">
        <v>667</v>
      </c>
      <c r="YW1" s="1" t="s">
        <v>668</v>
      </c>
      <c r="YX1" s="1" t="s">
        <v>669</v>
      </c>
      <c r="YY1" s="1" t="s">
        <v>670</v>
      </c>
      <c r="YZ1" s="1" t="s">
        <v>671</v>
      </c>
      <c r="ZA1" s="1" t="s">
        <v>672</v>
      </c>
      <c r="ZB1" s="1" t="s">
        <v>673</v>
      </c>
      <c r="ZC1" s="1" t="s">
        <v>674</v>
      </c>
      <c r="ZD1" s="1" t="s">
        <v>675</v>
      </c>
      <c r="ZE1" s="1" t="s">
        <v>676</v>
      </c>
      <c r="ZF1" s="1" t="s">
        <v>677</v>
      </c>
      <c r="ZG1" s="1" t="s">
        <v>678</v>
      </c>
      <c r="ZH1" s="1" t="s">
        <v>679</v>
      </c>
      <c r="ZI1" s="1" t="s">
        <v>680</v>
      </c>
      <c r="ZJ1" s="1" t="s">
        <v>681</v>
      </c>
      <c r="ZK1" s="1" t="s">
        <v>682</v>
      </c>
      <c r="ZL1" s="1" t="s">
        <v>683</v>
      </c>
      <c r="ZM1" s="1" t="s">
        <v>684</v>
      </c>
      <c r="ZN1" s="1" t="s">
        <v>685</v>
      </c>
      <c r="ZO1" s="1" t="s">
        <v>686</v>
      </c>
      <c r="ZP1" s="1" t="s">
        <v>687</v>
      </c>
      <c r="ZQ1" s="1" t="s">
        <v>688</v>
      </c>
      <c r="ZR1" s="1" t="s">
        <v>689</v>
      </c>
      <c r="ZS1" s="1" t="s">
        <v>690</v>
      </c>
      <c r="ZT1" s="1" t="s">
        <v>691</v>
      </c>
      <c r="ZU1" s="1" t="s">
        <v>692</v>
      </c>
      <c r="ZV1" s="1" t="s">
        <v>693</v>
      </c>
      <c r="ZW1" s="1" t="s">
        <v>694</v>
      </c>
      <c r="ZX1" s="1" t="s">
        <v>695</v>
      </c>
      <c r="ZY1" s="1" t="s">
        <v>696</v>
      </c>
      <c r="ZZ1" s="1" t="s">
        <v>697</v>
      </c>
      <c r="AAA1" s="1" t="s">
        <v>698</v>
      </c>
      <c r="AAB1" s="1" t="s">
        <v>699</v>
      </c>
      <c r="AAC1" s="1" t="s">
        <v>700</v>
      </c>
      <c r="AAD1" s="1" t="s">
        <v>701</v>
      </c>
      <c r="AAE1" s="1" t="s">
        <v>702</v>
      </c>
      <c r="AAF1" s="1" t="s">
        <v>703</v>
      </c>
      <c r="AAG1" s="1" t="s">
        <v>704</v>
      </c>
      <c r="AAH1" s="1" t="s">
        <v>705</v>
      </c>
      <c r="AAI1" s="1" t="s">
        <v>706</v>
      </c>
      <c r="AAJ1" s="1" t="s">
        <v>707</v>
      </c>
      <c r="AAK1" s="1" t="s">
        <v>708</v>
      </c>
      <c r="AAL1" s="1" t="s">
        <v>709</v>
      </c>
      <c r="AAM1" s="1" t="s">
        <v>710</v>
      </c>
      <c r="AAN1" s="1" t="s">
        <v>711</v>
      </c>
      <c r="AAO1" s="1" t="s">
        <v>712</v>
      </c>
      <c r="AAP1" s="1" t="s">
        <v>713</v>
      </c>
      <c r="AAQ1" s="1" t="s">
        <v>714</v>
      </c>
      <c r="AAR1" s="1" t="s">
        <v>715</v>
      </c>
      <c r="AAS1" s="1" t="s">
        <v>716</v>
      </c>
      <c r="AAT1" s="1" t="s">
        <v>717</v>
      </c>
      <c r="AAU1" s="1" t="s">
        <v>718</v>
      </c>
      <c r="AAV1" s="1" t="s">
        <v>719</v>
      </c>
      <c r="AAW1" s="1" t="s">
        <v>720</v>
      </c>
      <c r="AAX1" s="1" t="s">
        <v>721</v>
      </c>
      <c r="AAY1" s="1" t="s">
        <v>722</v>
      </c>
      <c r="AAZ1" s="1" t="s">
        <v>723</v>
      </c>
      <c r="ABA1" s="1" t="s">
        <v>724</v>
      </c>
      <c r="ABB1" s="1" t="s">
        <v>725</v>
      </c>
      <c r="ABC1" s="1" t="s">
        <v>726</v>
      </c>
      <c r="ABD1" s="1" t="s">
        <v>727</v>
      </c>
      <c r="ABE1" s="1" t="s">
        <v>728</v>
      </c>
      <c r="ABF1" s="1" t="s">
        <v>729</v>
      </c>
      <c r="ABG1" s="1" t="s">
        <v>730</v>
      </c>
      <c r="ABH1" s="1" t="s">
        <v>731</v>
      </c>
      <c r="ABI1" s="1" t="s">
        <v>732</v>
      </c>
      <c r="ABJ1" s="1" t="s">
        <v>733</v>
      </c>
      <c r="ABK1" s="1" t="s">
        <v>734</v>
      </c>
      <c r="ABL1" s="1" t="s">
        <v>735</v>
      </c>
      <c r="ABM1" s="1" t="s">
        <v>736</v>
      </c>
      <c r="ABN1" s="1" t="s">
        <v>737</v>
      </c>
      <c r="ABO1" s="1" t="s">
        <v>738</v>
      </c>
      <c r="ABP1" s="1" t="s">
        <v>739</v>
      </c>
      <c r="ABQ1" s="1" t="s">
        <v>740</v>
      </c>
      <c r="ABR1" s="1" t="s">
        <v>741</v>
      </c>
      <c r="ABS1" s="1" t="s">
        <v>742</v>
      </c>
      <c r="ABT1" s="1" t="s">
        <v>743</v>
      </c>
      <c r="ABU1" s="1" t="s">
        <v>744</v>
      </c>
      <c r="ABV1" s="1" t="s">
        <v>745</v>
      </c>
      <c r="ABW1" s="1" t="s">
        <v>746</v>
      </c>
      <c r="ABX1" s="1" t="s">
        <v>747</v>
      </c>
      <c r="ABY1" s="1" t="s">
        <v>748</v>
      </c>
      <c r="ABZ1" s="1" t="s">
        <v>749</v>
      </c>
      <c r="ACA1" s="1" t="s">
        <v>750</v>
      </c>
      <c r="ACB1" s="1" t="s">
        <v>751</v>
      </c>
      <c r="ACC1" s="1" t="s">
        <v>752</v>
      </c>
      <c r="ACD1" s="1" t="s">
        <v>753</v>
      </c>
      <c r="ACE1" s="1" t="s">
        <v>754</v>
      </c>
      <c r="ACF1" s="1" t="s">
        <v>755</v>
      </c>
      <c r="ACG1" s="1" t="s">
        <v>756</v>
      </c>
      <c r="ACH1" s="1" t="s">
        <v>757</v>
      </c>
      <c r="ACI1" s="1" t="s">
        <v>758</v>
      </c>
      <c r="ACJ1" s="1" t="s">
        <v>759</v>
      </c>
      <c r="ACK1" s="1" t="s">
        <v>760</v>
      </c>
      <c r="ACL1" s="1" t="s">
        <v>761</v>
      </c>
      <c r="ACM1" s="1" t="s">
        <v>762</v>
      </c>
      <c r="ACN1" s="1" t="s">
        <v>763</v>
      </c>
      <c r="ACO1" s="1" t="s">
        <v>764</v>
      </c>
      <c r="ACP1" s="1" t="s">
        <v>765</v>
      </c>
      <c r="ACQ1" s="1" t="s">
        <v>766</v>
      </c>
      <c r="ACR1" s="1" t="s">
        <v>767</v>
      </c>
      <c r="ACS1" s="1" t="s">
        <v>768</v>
      </c>
      <c r="ACT1" s="1" t="s">
        <v>769</v>
      </c>
      <c r="ACU1" s="1" t="s">
        <v>770</v>
      </c>
      <c r="ACV1" s="1" t="s">
        <v>771</v>
      </c>
      <c r="ACW1" s="1" t="s">
        <v>772</v>
      </c>
      <c r="ACX1" s="1" t="s">
        <v>773</v>
      </c>
      <c r="ACY1" s="1" t="s">
        <v>774</v>
      </c>
      <c r="ACZ1" s="1" t="s">
        <v>775</v>
      </c>
      <c r="ADA1" s="1" t="s">
        <v>776</v>
      </c>
      <c r="ADB1" s="1" t="s">
        <v>777</v>
      </c>
      <c r="ADC1" s="1" t="s">
        <v>778</v>
      </c>
      <c r="ADD1" s="1" t="s">
        <v>779</v>
      </c>
      <c r="ADE1" s="1" t="s">
        <v>780</v>
      </c>
      <c r="ADF1" s="1" t="s">
        <v>781</v>
      </c>
      <c r="ADG1" s="1" t="s">
        <v>782</v>
      </c>
      <c r="ADH1" s="1" t="s">
        <v>783</v>
      </c>
      <c r="ADI1" s="1" t="s">
        <v>784</v>
      </c>
      <c r="ADJ1" s="1" t="s">
        <v>785</v>
      </c>
      <c r="ADK1" s="1" t="s">
        <v>786</v>
      </c>
      <c r="ADL1" s="1" t="s">
        <v>787</v>
      </c>
      <c r="ADM1" s="1" t="s">
        <v>788</v>
      </c>
      <c r="ADN1" s="1" t="s">
        <v>789</v>
      </c>
      <c r="ADO1" s="1" t="s">
        <v>790</v>
      </c>
      <c r="ADP1" s="1" t="s">
        <v>791</v>
      </c>
      <c r="ADQ1" s="1" t="s">
        <v>792</v>
      </c>
      <c r="ADR1" s="1" t="s">
        <v>793</v>
      </c>
      <c r="ADS1" s="1" t="s">
        <v>794</v>
      </c>
      <c r="ADT1" s="1" t="s">
        <v>795</v>
      </c>
      <c r="ADU1" s="1" t="s">
        <v>796</v>
      </c>
      <c r="ADV1" s="1" t="s">
        <v>797</v>
      </c>
      <c r="ADW1" s="1" t="s">
        <v>798</v>
      </c>
      <c r="ADX1" s="1" t="s">
        <v>799</v>
      </c>
      <c r="ADY1" s="1" t="s">
        <v>800</v>
      </c>
      <c r="ADZ1" s="1" t="s">
        <v>801</v>
      </c>
      <c r="AEA1" s="1" t="s">
        <v>802</v>
      </c>
      <c r="AEB1" s="1" t="s">
        <v>803</v>
      </c>
      <c r="AEC1" s="1" t="s">
        <v>804</v>
      </c>
      <c r="AED1" s="1" t="s">
        <v>805</v>
      </c>
      <c r="AEE1" s="1" t="s">
        <v>806</v>
      </c>
      <c r="AEF1" s="1" t="s">
        <v>807</v>
      </c>
      <c r="AEG1" s="1" t="s">
        <v>808</v>
      </c>
      <c r="AEH1" s="1" t="s">
        <v>809</v>
      </c>
      <c r="AEI1" s="1" t="s">
        <v>810</v>
      </c>
      <c r="AEJ1" s="1" t="s">
        <v>811</v>
      </c>
      <c r="AEK1" s="1" t="s">
        <v>812</v>
      </c>
      <c r="AEL1" s="1" t="s">
        <v>813</v>
      </c>
      <c r="AEM1" s="1" t="s">
        <v>814</v>
      </c>
      <c r="AEN1" s="1" t="s">
        <v>815</v>
      </c>
      <c r="AEO1" s="1" t="s">
        <v>816</v>
      </c>
      <c r="AEP1" s="1" t="s">
        <v>817</v>
      </c>
      <c r="AEQ1" s="1" t="s">
        <v>818</v>
      </c>
      <c r="AER1" s="1" t="s">
        <v>819</v>
      </c>
      <c r="AES1" s="1" t="s">
        <v>820</v>
      </c>
      <c r="AET1" s="1" t="s">
        <v>821</v>
      </c>
      <c r="AEU1" s="1" t="s">
        <v>822</v>
      </c>
      <c r="AEV1" s="1" t="s">
        <v>823</v>
      </c>
      <c r="AEW1" s="1" t="s">
        <v>824</v>
      </c>
      <c r="AEX1" s="1" t="s">
        <v>825</v>
      </c>
      <c r="AEY1" s="1" t="s">
        <v>826</v>
      </c>
      <c r="AEZ1" s="1" t="s">
        <v>827</v>
      </c>
      <c r="AFA1" s="1" t="s">
        <v>828</v>
      </c>
      <c r="AFB1" s="1" t="s">
        <v>829</v>
      </c>
      <c r="AFC1" s="1" t="s">
        <v>830</v>
      </c>
      <c r="AFD1" s="1" t="s">
        <v>831</v>
      </c>
      <c r="AFE1" s="1" t="s">
        <v>832</v>
      </c>
      <c r="AFF1" s="1" t="s">
        <v>833</v>
      </c>
      <c r="AFG1" s="1" t="s">
        <v>834</v>
      </c>
      <c r="AFH1" s="1" t="s">
        <v>835</v>
      </c>
      <c r="AFI1" s="2" t="s">
        <v>836</v>
      </c>
      <c r="AFJ1" s="1" t="s">
        <v>1460</v>
      </c>
      <c r="AFK1" s="1" t="s">
        <v>1461</v>
      </c>
      <c r="AFL1" s="1" t="s">
        <v>1462</v>
      </c>
      <c r="AFM1" s="1" t="s">
        <v>1463</v>
      </c>
      <c r="AFN1" s="1" t="s">
        <v>1464</v>
      </c>
      <c r="AFO1" s="1" t="s">
        <v>1465</v>
      </c>
      <c r="AFP1" s="1" t="s">
        <v>1466</v>
      </c>
      <c r="AFQ1" s="1" t="s">
        <v>1467</v>
      </c>
      <c r="AFR1" s="1" t="s">
        <v>1468</v>
      </c>
      <c r="AFS1" s="1" t="s">
        <v>1469</v>
      </c>
      <c r="AFT1" s="1" t="s">
        <v>1470</v>
      </c>
      <c r="AFU1" s="1" t="s">
        <v>1471</v>
      </c>
      <c r="AFV1" s="1" t="s">
        <v>1472</v>
      </c>
      <c r="AFW1" s="1" t="s">
        <v>1473</v>
      </c>
      <c r="AFX1" s="1" t="s">
        <v>1474</v>
      </c>
      <c r="AFY1" s="1" t="s">
        <v>1475</v>
      </c>
      <c r="AFZ1" s="1" t="s">
        <v>1476</v>
      </c>
      <c r="AGA1" s="1" t="s">
        <v>1477</v>
      </c>
      <c r="AGB1" s="1" t="s">
        <v>1478</v>
      </c>
      <c r="AGC1" s="1" t="s">
        <v>1479</v>
      </c>
      <c r="AGD1" s="1" t="s">
        <v>1480</v>
      </c>
      <c r="AGE1" s="1" t="s">
        <v>1481</v>
      </c>
      <c r="AGF1" s="1" t="s">
        <v>1482</v>
      </c>
      <c r="AGG1" s="1" t="s">
        <v>1483</v>
      </c>
      <c r="AGH1" s="1" t="s">
        <v>1484</v>
      </c>
      <c r="AGI1" s="1" t="s">
        <v>1485</v>
      </c>
      <c r="AGJ1" s="1" t="s">
        <v>1486</v>
      </c>
      <c r="AGK1" s="1" t="s">
        <v>1487</v>
      </c>
      <c r="AGL1" s="1" t="s">
        <v>1488</v>
      </c>
      <c r="AGM1" s="1" t="s">
        <v>1489</v>
      </c>
      <c r="AGN1" s="1" t="s">
        <v>1490</v>
      </c>
      <c r="AGO1" s="1" t="s">
        <v>1491</v>
      </c>
      <c r="AGP1" s="1" t="s">
        <v>1492</v>
      </c>
      <c r="AGQ1" s="1" t="s">
        <v>1493</v>
      </c>
      <c r="AGR1" s="1" t="s">
        <v>1494</v>
      </c>
      <c r="AGS1" s="1" t="s">
        <v>1495</v>
      </c>
      <c r="AGT1" s="1" t="s">
        <v>1496</v>
      </c>
      <c r="AGU1" s="1" t="s">
        <v>1497</v>
      </c>
      <c r="AGV1" s="1" t="s">
        <v>1498</v>
      </c>
      <c r="AGW1" s="1" t="s">
        <v>1499</v>
      </c>
      <c r="AGX1" s="1" t="s">
        <v>1500</v>
      </c>
      <c r="AGY1" s="1" t="s">
        <v>1501</v>
      </c>
      <c r="AGZ1" s="1" t="s">
        <v>1502</v>
      </c>
      <c r="AHA1" s="1" t="s">
        <v>1503</v>
      </c>
      <c r="AHB1" s="1" t="s">
        <v>1504</v>
      </c>
      <c r="AHC1" s="1" t="s">
        <v>1505</v>
      </c>
      <c r="AHD1" s="1" t="s">
        <v>1506</v>
      </c>
      <c r="AHE1" s="1" t="s">
        <v>1507</v>
      </c>
      <c r="AHF1" s="1" t="s">
        <v>1508</v>
      </c>
      <c r="AHG1" s="1" t="s">
        <v>1509</v>
      </c>
      <c r="AHH1" s="1" t="s">
        <v>1510</v>
      </c>
      <c r="AHI1" s="1" t="s">
        <v>1511</v>
      </c>
      <c r="AHJ1" s="1" t="s">
        <v>1512</v>
      </c>
      <c r="AHK1" s="1" t="s">
        <v>1513</v>
      </c>
      <c r="AHL1" s="1" t="s">
        <v>1514</v>
      </c>
      <c r="AHM1" s="1" t="s">
        <v>1515</v>
      </c>
      <c r="AHN1" s="1" t="s">
        <v>1516</v>
      </c>
      <c r="AHO1" s="1" t="s">
        <v>1517</v>
      </c>
      <c r="AHP1" s="1" t="s">
        <v>1518</v>
      </c>
      <c r="AHQ1" s="1" t="s">
        <v>1519</v>
      </c>
      <c r="AHR1" s="1" t="s">
        <v>1520</v>
      </c>
      <c r="AHS1" s="1" t="s">
        <v>1521</v>
      </c>
      <c r="AHT1" s="1" t="s">
        <v>1522</v>
      </c>
      <c r="AHU1" s="1" t="s">
        <v>1523</v>
      </c>
      <c r="AHV1" s="1" t="s">
        <v>1524</v>
      </c>
      <c r="AHW1" s="1" t="s">
        <v>1525</v>
      </c>
      <c r="AHX1" s="1" t="s">
        <v>1526</v>
      </c>
      <c r="AHY1" s="1" t="s">
        <v>1527</v>
      </c>
      <c r="AHZ1" s="1" t="s">
        <v>1528</v>
      </c>
      <c r="AIA1" s="1" t="s">
        <v>1529</v>
      </c>
      <c r="AIB1" s="1" t="s">
        <v>1530</v>
      </c>
      <c r="AIC1" s="1" t="s">
        <v>1531</v>
      </c>
      <c r="AID1" s="1" t="s">
        <v>1532</v>
      </c>
      <c r="AIE1" s="1" t="s">
        <v>1533</v>
      </c>
      <c r="AIF1" s="1" t="s">
        <v>1534</v>
      </c>
      <c r="AIG1" s="1" t="s">
        <v>1535</v>
      </c>
      <c r="AIH1" s="1" t="s">
        <v>1536</v>
      </c>
      <c r="AII1" s="1" t="s">
        <v>1537</v>
      </c>
      <c r="AIJ1" s="1" t="s">
        <v>1538</v>
      </c>
      <c r="AIK1" s="1" t="s">
        <v>1539</v>
      </c>
      <c r="AIL1" s="1" t="s">
        <v>1540</v>
      </c>
      <c r="AIM1" s="1" t="s">
        <v>1541</v>
      </c>
      <c r="AIN1" s="1" t="s">
        <v>1542</v>
      </c>
      <c r="AIO1" s="1" t="s">
        <v>1543</v>
      </c>
      <c r="AIP1" s="1" t="s">
        <v>1544</v>
      </c>
      <c r="AIQ1" s="1" t="s">
        <v>1545</v>
      </c>
      <c r="AIR1" s="1" t="s">
        <v>1546</v>
      </c>
      <c r="AIS1" s="1" t="s">
        <v>1547</v>
      </c>
      <c r="AIT1" s="1" t="s">
        <v>1548</v>
      </c>
      <c r="AIU1" s="1" t="s">
        <v>1549</v>
      </c>
      <c r="AIV1" s="1" t="s">
        <v>1550</v>
      </c>
      <c r="AIW1" s="1" t="s">
        <v>1551</v>
      </c>
      <c r="AIX1" s="1" t="s">
        <v>1552</v>
      </c>
      <c r="AIY1" s="1" t="s">
        <v>1553</v>
      </c>
      <c r="AIZ1" s="1" t="s">
        <v>1554</v>
      </c>
      <c r="AJA1" s="1" t="s">
        <v>1555</v>
      </c>
      <c r="AJB1" s="1" t="s">
        <v>1556</v>
      </c>
      <c r="AJC1" s="1" t="s">
        <v>1557</v>
      </c>
      <c r="AJD1" s="1" t="s">
        <v>1558</v>
      </c>
      <c r="AJE1" s="1" t="s">
        <v>1559</v>
      </c>
      <c r="AJF1" s="1" t="s">
        <v>1560</v>
      </c>
      <c r="AJG1" s="1" t="s">
        <v>1561</v>
      </c>
      <c r="AJH1" s="1" t="s">
        <v>1562</v>
      </c>
      <c r="AJI1" s="1" t="s">
        <v>1563</v>
      </c>
      <c r="AJJ1" s="1" t="s">
        <v>1564</v>
      </c>
      <c r="AJK1" s="1" t="s">
        <v>1565</v>
      </c>
      <c r="AJL1" s="1" t="s">
        <v>1566</v>
      </c>
      <c r="AJM1" s="1" t="s">
        <v>1567</v>
      </c>
      <c r="AJN1" s="1" t="s">
        <v>1568</v>
      </c>
      <c r="AJO1" s="1" t="s">
        <v>1569</v>
      </c>
      <c r="AJP1" s="1" t="s">
        <v>1570</v>
      </c>
      <c r="AJQ1" s="1" t="s">
        <v>1571</v>
      </c>
      <c r="AJR1" s="1" t="s">
        <v>1572</v>
      </c>
      <c r="AJS1" s="1" t="s">
        <v>1573</v>
      </c>
      <c r="AJT1" s="1" t="s">
        <v>1574</v>
      </c>
      <c r="AJU1" s="1" t="s">
        <v>1575</v>
      </c>
      <c r="AJV1" s="1" t="s">
        <v>1576</v>
      </c>
      <c r="AJW1" s="1" t="s">
        <v>1577</v>
      </c>
      <c r="AJX1" s="1" t="s">
        <v>1578</v>
      </c>
      <c r="AJY1" s="1" t="s">
        <v>1579</v>
      </c>
      <c r="AJZ1" s="1" t="s">
        <v>1580</v>
      </c>
      <c r="AKA1" s="1" t="s">
        <v>1581</v>
      </c>
      <c r="AKB1" s="1" t="s">
        <v>1582</v>
      </c>
      <c r="AKC1" s="1" t="s">
        <v>1583</v>
      </c>
      <c r="AKD1" s="1" t="s">
        <v>1584</v>
      </c>
      <c r="AKE1" s="1" t="s">
        <v>1585</v>
      </c>
      <c r="AKF1" s="1" t="s">
        <v>1586</v>
      </c>
      <c r="AKG1" s="1" t="s">
        <v>1587</v>
      </c>
      <c r="AKH1" s="1" t="s">
        <v>1588</v>
      </c>
      <c r="AKI1" s="1" t="s">
        <v>1589</v>
      </c>
      <c r="AKJ1" s="1" t="s">
        <v>1590</v>
      </c>
      <c r="AKK1" s="1" t="s">
        <v>1591</v>
      </c>
      <c r="AKL1" s="1" t="s">
        <v>1592</v>
      </c>
      <c r="AKM1" s="1" t="s">
        <v>1593</v>
      </c>
      <c r="AKN1" s="1" t="s">
        <v>1594</v>
      </c>
      <c r="AKO1" s="1" t="s">
        <v>1595</v>
      </c>
      <c r="AKP1" s="1" t="s">
        <v>1596</v>
      </c>
      <c r="AKQ1" s="1" t="s">
        <v>1597</v>
      </c>
      <c r="AKR1" s="1" t="s">
        <v>1598</v>
      </c>
      <c r="AKS1" s="1" t="s">
        <v>1599</v>
      </c>
      <c r="AKT1" s="1" t="s">
        <v>1600</v>
      </c>
      <c r="AKU1" s="1" t="s">
        <v>1601</v>
      </c>
      <c r="AKV1" s="1" t="s">
        <v>1602</v>
      </c>
      <c r="AKW1" s="1" t="s">
        <v>1603</v>
      </c>
      <c r="AKX1" s="1" t="s">
        <v>1604</v>
      </c>
      <c r="AKY1" s="1" t="s">
        <v>1605</v>
      </c>
      <c r="AKZ1" s="1" t="s">
        <v>1606</v>
      </c>
      <c r="ALA1" s="1" t="s">
        <v>1607</v>
      </c>
      <c r="ALB1" s="1" t="s">
        <v>1608</v>
      </c>
      <c r="ALC1" s="1" t="s">
        <v>1609</v>
      </c>
      <c r="ALD1" s="1" t="s">
        <v>1610</v>
      </c>
      <c r="ALE1" s="1" t="s">
        <v>1611</v>
      </c>
      <c r="ALF1" s="1" t="s">
        <v>1612</v>
      </c>
      <c r="ALG1" s="1" t="s">
        <v>1613</v>
      </c>
      <c r="ALH1" s="1" t="s">
        <v>1614</v>
      </c>
      <c r="ALI1" s="1" t="s">
        <v>1615</v>
      </c>
      <c r="ALJ1" s="1" t="s">
        <v>1616</v>
      </c>
      <c r="ALK1" s="1" t="s">
        <v>1617</v>
      </c>
      <c r="ALL1" s="1" t="s">
        <v>1618</v>
      </c>
      <c r="ALM1" s="1" t="s">
        <v>1619</v>
      </c>
      <c r="ALN1" s="1" t="s">
        <v>1620</v>
      </c>
      <c r="ALO1" s="1" t="s">
        <v>1621</v>
      </c>
      <c r="ALP1" s="1" t="s">
        <v>1622</v>
      </c>
      <c r="ALQ1" s="1" t="s">
        <v>1623</v>
      </c>
      <c r="ALR1" s="1" t="s">
        <v>1624</v>
      </c>
      <c r="ALS1" s="1" t="s">
        <v>1625</v>
      </c>
      <c r="ALT1" s="1" t="s">
        <v>1626</v>
      </c>
      <c r="ALU1" s="1" t="s">
        <v>1627</v>
      </c>
      <c r="ALV1" s="1" t="s">
        <v>1628</v>
      </c>
      <c r="ALW1" s="1" t="s">
        <v>1629</v>
      </c>
      <c r="ALX1" s="1" t="s">
        <v>1630</v>
      </c>
      <c r="ALY1" s="1" t="s">
        <v>1631</v>
      </c>
      <c r="ALZ1" s="1" t="s">
        <v>1632</v>
      </c>
      <c r="AMA1" s="1" t="s">
        <v>1633</v>
      </c>
      <c r="AMB1" s="1" t="s">
        <v>1634</v>
      </c>
      <c r="AMC1" s="1" t="s">
        <v>1635</v>
      </c>
      <c r="AMD1" s="1" t="s">
        <v>1636</v>
      </c>
      <c r="AME1" s="1" t="s">
        <v>1637</v>
      </c>
      <c r="AMF1" s="1" t="s">
        <v>1638</v>
      </c>
      <c r="AMG1" s="1" t="s">
        <v>1639</v>
      </c>
      <c r="AMH1" s="1" t="s">
        <v>1640</v>
      </c>
      <c r="AMI1" s="1" t="s">
        <v>1641</v>
      </c>
      <c r="AMJ1" s="1" t="s">
        <v>1642</v>
      </c>
      <c r="AMK1" s="1" t="s">
        <v>1643</v>
      </c>
      <c r="AML1" s="1" t="s">
        <v>1644</v>
      </c>
      <c r="AMM1" s="1" t="s">
        <v>1645</v>
      </c>
      <c r="AMN1" s="1" t="s">
        <v>1646</v>
      </c>
      <c r="AMO1" s="1" t="s">
        <v>1647</v>
      </c>
      <c r="AMP1" s="1" t="s">
        <v>1648</v>
      </c>
      <c r="AMQ1" s="1" t="s">
        <v>1649</v>
      </c>
      <c r="AMR1" s="1" t="s">
        <v>1650</v>
      </c>
      <c r="AMS1" s="1" t="s">
        <v>1651</v>
      </c>
      <c r="AMT1" s="1" t="s">
        <v>1652</v>
      </c>
      <c r="AMU1" s="1" t="s">
        <v>1653</v>
      </c>
      <c r="AMV1" s="1" t="s">
        <v>1654</v>
      </c>
      <c r="AMW1" s="1" t="s">
        <v>1655</v>
      </c>
      <c r="AMX1" s="1" t="s">
        <v>1656</v>
      </c>
      <c r="AMY1" s="1" t="s">
        <v>1657</v>
      </c>
      <c r="AMZ1" s="1" t="s">
        <v>1658</v>
      </c>
      <c r="ANA1" s="1" t="s">
        <v>1659</v>
      </c>
      <c r="ANB1" s="1" t="s">
        <v>1660</v>
      </c>
      <c r="ANC1" s="1" t="s">
        <v>1661</v>
      </c>
      <c r="AND1" s="1" t="s">
        <v>1662</v>
      </c>
      <c r="ANE1" s="1" t="s">
        <v>1663</v>
      </c>
      <c r="ANF1" s="1" t="s">
        <v>1664</v>
      </c>
      <c r="ANG1" s="1" t="s">
        <v>1665</v>
      </c>
      <c r="ANH1" s="1" t="s">
        <v>1666</v>
      </c>
      <c r="ANI1" s="1" t="s">
        <v>1667</v>
      </c>
      <c r="ANJ1" s="1" t="s">
        <v>1668</v>
      </c>
      <c r="ANK1" s="1" t="s">
        <v>1669</v>
      </c>
      <c r="ANL1" s="1" t="s">
        <v>1670</v>
      </c>
      <c r="ANM1" s="1" t="s">
        <v>1671</v>
      </c>
      <c r="ANN1" s="1" t="s">
        <v>1672</v>
      </c>
      <c r="ANO1" s="1" t="s">
        <v>1673</v>
      </c>
      <c r="ANP1" s="1" t="s">
        <v>1674</v>
      </c>
      <c r="ANQ1" s="1" t="s">
        <v>1675</v>
      </c>
      <c r="ANR1" s="1" t="s">
        <v>1676</v>
      </c>
      <c r="ANS1" s="1" t="s">
        <v>1677</v>
      </c>
      <c r="ANT1" s="1" t="s">
        <v>1678</v>
      </c>
      <c r="ANU1" s="1" t="s">
        <v>1679</v>
      </c>
      <c r="ANV1" s="1" t="s">
        <v>1680</v>
      </c>
      <c r="ANW1" s="1" t="s">
        <v>1681</v>
      </c>
      <c r="ANX1" s="1" t="s">
        <v>1682</v>
      </c>
      <c r="ANY1" s="1" t="s">
        <v>1683</v>
      </c>
      <c r="ANZ1" s="1" t="s">
        <v>1684</v>
      </c>
      <c r="AOA1" s="1" t="s">
        <v>1685</v>
      </c>
      <c r="AOB1" s="1" t="s">
        <v>1686</v>
      </c>
      <c r="AOC1" s="1" t="s">
        <v>1687</v>
      </c>
      <c r="AOD1" s="1" t="s">
        <v>1688</v>
      </c>
      <c r="AOE1" s="1" t="s">
        <v>1689</v>
      </c>
      <c r="AOF1" s="1" t="s">
        <v>1690</v>
      </c>
      <c r="AOG1" s="1" t="s">
        <v>1691</v>
      </c>
      <c r="AOH1" s="1" t="s">
        <v>1692</v>
      </c>
      <c r="AOI1" s="1" t="s">
        <v>1693</v>
      </c>
      <c r="AOJ1" s="1" t="s">
        <v>1694</v>
      </c>
      <c r="AOK1" s="1" t="s">
        <v>1695</v>
      </c>
      <c r="AOL1" s="1" t="s">
        <v>1696</v>
      </c>
      <c r="AOM1" s="1" t="s">
        <v>1697</v>
      </c>
      <c r="AON1" s="1" t="s">
        <v>1698</v>
      </c>
      <c r="AOO1" s="1" t="s">
        <v>1699</v>
      </c>
      <c r="AOP1" s="1" t="s">
        <v>1700</v>
      </c>
      <c r="AOQ1" s="1" t="s">
        <v>1701</v>
      </c>
      <c r="AOR1" s="1" t="s">
        <v>1702</v>
      </c>
      <c r="AOS1" s="1" t="s">
        <v>1703</v>
      </c>
      <c r="AOT1" s="1" t="s">
        <v>1704</v>
      </c>
      <c r="AOU1" s="1" t="s">
        <v>1705</v>
      </c>
      <c r="AOV1" s="1" t="s">
        <v>1706</v>
      </c>
      <c r="AOW1" s="1" t="s">
        <v>1707</v>
      </c>
      <c r="AOX1" s="1" t="s">
        <v>1708</v>
      </c>
      <c r="AOY1" s="1" t="s">
        <v>1709</v>
      </c>
      <c r="AOZ1" s="1" t="s">
        <v>1710</v>
      </c>
      <c r="APA1" s="1" t="s">
        <v>1711</v>
      </c>
      <c r="APB1" s="1" t="s">
        <v>1712</v>
      </c>
      <c r="APC1" s="1" t="s">
        <v>1713</v>
      </c>
      <c r="APD1" s="1" t="s">
        <v>1714</v>
      </c>
      <c r="APE1" s="1" t="s">
        <v>1715</v>
      </c>
      <c r="APF1" s="1" t="s">
        <v>1716</v>
      </c>
      <c r="APG1" s="1" t="s">
        <v>1717</v>
      </c>
      <c r="APH1" s="1" t="s">
        <v>1718</v>
      </c>
      <c r="API1" s="1" t="s">
        <v>1719</v>
      </c>
      <c r="APJ1" s="1" t="s">
        <v>1720</v>
      </c>
      <c r="APK1" s="1" t="s">
        <v>1721</v>
      </c>
      <c r="APL1" s="1" t="s">
        <v>1722</v>
      </c>
      <c r="APM1" s="1" t="s">
        <v>1723</v>
      </c>
      <c r="APN1" s="1" t="s">
        <v>1724</v>
      </c>
      <c r="APO1" s="1" t="s">
        <v>1725</v>
      </c>
      <c r="APP1" s="1" t="s">
        <v>1726</v>
      </c>
      <c r="APQ1" s="1" t="s">
        <v>1727</v>
      </c>
      <c r="APR1" s="1" t="s">
        <v>1728</v>
      </c>
      <c r="APS1" s="1" t="s">
        <v>1729</v>
      </c>
      <c r="APT1" s="1" t="s">
        <v>1730</v>
      </c>
      <c r="APU1" s="1" t="s">
        <v>1731</v>
      </c>
      <c r="APV1" s="1" t="s">
        <v>1732</v>
      </c>
      <c r="APW1" s="1" t="s">
        <v>1733</v>
      </c>
      <c r="APX1" s="1" t="s">
        <v>1734</v>
      </c>
      <c r="APY1" s="1" t="s">
        <v>1735</v>
      </c>
      <c r="APZ1" s="1" t="s">
        <v>1736</v>
      </c>
      <c r="AQA1" s="1" t="s">
        <v>1737</v>
      </c>
      <c r="AQB1" s="1" t="s">
        <v>1738</v>
      </c>
      <c r="AQC1" s="1" t="s">
        <v>1739</v>
      </c>
      <c r="AQD1" s="1" t="s">
        <v>1740</v>
      </c>
      <c r="AQE1" s="1" t="s">
        <v>1741</v>
      </c>
      <c r="AQF1" s="1" t="s">
        <v>1742</v>
      </c>
      <c r="AQG1" s="1" t="s">
        <v>1743</v>
      </c>
      <c r="AQH1" s="1" t="s">
        <v>1744</v>
      </c>
      <c r="AQI1" s="1" t="s">
        <v>1745</v>
      </c>
      <c r="AQJ1" s="1" t="s">
        <v>1746</v>
      </c>
      <c r="AQK1" s="1" t="s">
        <v>1747</v>
      </c>
      <c r="AQL1" s="1" t="s">
        <v>1748</v>
      </c>
      <c r="AQM1" s="1" t="s">
        <v>1749</v>
      </c>
      <c r="AQN1" s="1" t="s">
        <v>1750</v>
      </c>
      <c r="AQO1" s="1" t="s">
        <v>1751</v>
      </c>
      <c r="AQP1" s="1" t="s">
        <v>1752</v>
      </c>
      <c r="AQQ1" s="1" t="s">
        <v>1753</v>
      </c>
      <c r="AQR1" s="1" t="s">
        <v>1754</v>
      </c>
      <c r="AQS1" s="1" t="s">
        <v>1755</v>
      </c>
      <c r="AQT1" s="1" t="s">
        <v>1756</v>
      </c>
      <c r="AQU1" s="1" t="s">
        <v>1757</v>
      </c>
      <c r="AQV1" s="1" t="s">
        <v>1758</v>
      </c>
      <c r="AQW1" s="1" t="s">
        <v>1759</v>
      </c>
      <c r="AQX1" s="1" t="s">
        <v>1760</v>
      </c>
      <c r="AQY1" s="1" t="s">
        <v>1761</v>
      </c>
      <c r="AQZ1" s="1" t="s">
        <v>1762</v>
      </c>
      <c r="ARA1" s="1" t="s">
        <v>1763</v>
      </c>
      <c r="ARB1" s="1" t="s">
        <v>1764</v>
      </c>
      <c r="ARC1" s="1" t="s">
        <v>1765</v>
      </c>
      <c r="ARD1" s="1" t="s">
        <v>1766</v>
      </c>
      <c r="ARE1" s="1" t="s">
        <v>1767</v>
      </c>
      <c r="ARF1" s="1" t="s">
        <v>1768</v>
      </c>
      <c r="ARG1" s="1" t="s">
        <v>1769</v>
      </c>
      <c r="ARH1" s="1" t="s">
        <v>1770</v>
      </c>
      <c r="ARI1" s="1" t="s">
        <v>1771</v>
      </c>
      <c r="ARJ1" s="1" t="s">
        <v>1772</v>
      </c>
      <c r="ARK1" s="1" t="s">
        <v>1773</v>
      </c>
      <c r="ARL1" s="1" t="s">
        <v>1774</v>
      </c>
      <c r="ARM1" s="1" t="s">
        <v>1775</v>
      </c>
      <c r="ARN1" s="1" t="s">
        <v>1776</v>
      </c>
      <c r="ARO1" s="1" t="s">
        <v>1777</v>
      </c>
      <c r="ARP1" s="1" t="s">
        <v>1778</v>
      </c>
      <c r="ARQ1" s="1" t="s">
        <v>1779</v>
      </c>
      <c r="ARR1" s="1" t="s">
        <v>1780</v>
      </c>
      <c r="ARS1" s="1" t="s">
        <v>1781</v>
      </c>
      <c r="ART1" s="1" t="s">
        <v>1782</v>
      </c>
      <c r="ARU1" s="1" t="s">
        <v>1783</v>
      </c>
      <c r="ARV1" s="1" t="s">
        <v>1784</v>
      </c>
      <c r="ARW1" s="1" t="s">
        <v>1785</v>
      </c>
      <c r="ARX1" s="1" t="s">
        <v>1786</v>
      </c>
      <c r="ARY1" s="1" t="s">
        <v>1787</v>
      </c>
      <c r="ARZ1" s="1" t="s">
        <v>1788</v>
      </c>
      <c r="ASA1" s="1" t="s">
        <v>1789</v>
      </c>
      <c r="ASB1" s="1" t="s">
        <v>1790</v>
      </c>
      <c r="ASC1" s="1" t="s">
        <v>1791</v>
      </c>
      <c r="ASD1" s="1" t="s">
        <v>1792</v>
      </c>
      <c r="ASE1" s="1" t="s">
        <v>1793</v>
      </c>
      <c r="ASF1" s="1" t="s">
        <v>1794</v>
      </c>
      <c r="ASG1" s="1" t="s">
        <v>1795</v>
      </c>
      <c r="ASH1" s="1" t="s">
        <v>1796</v>
      </c>
      <c r="ASI1" s="1" t="s">
        <v>1797</v>
      </c>
      <c r="ASJ1" s="1" t="s">
        <v>1798</v>
      </c>
      <c r="ASK1" s="1" t="s">
        <v>1799</v>
      </c>
      <c r="ASL1" s="1" t="s">
        <v>1800</v>
      </c>
      <c r="ASM1" s="1" t="s">
        <v>1801</v>
      </c>
      <c r="ASN1" s="1" t="s">
        <v>1802</v>
      </c>
      <c r="ASO1" s="1" t="s">
        <v>1803</v>
      </c>
      <c r="ASP1" s="1" t="s">
        <v>1804</v>
      </c>
      <c r="ASQ1" s="1" t="s">
        <v>1805</v>
      </c>
      <c r="ASR1" s="1" t="s">
        <v>1806</v>
      </c>
      <c r="ASS1" s="1" t="s">
        <v>1807</v>
      </c>
      <c r="AST1" s="1" t="s">
        <v>1808</v>
      </c>
      <c r="ASU1" s="1" t="s">
        <v>1809</v>
      </c>
      <c r="ASV1" s="1" t="s">
        <v>1810</v>
      </c>
      <c r="ASW1" s="1" t="s">
        <v>1811</v>
      </c>
      <c r="ASX1" s="1" t="s">
        <v>1812</v>
      </c>
      <c r="ASY1" s="1" t="s">
        <v>1813</v>
      </c>
      <c r="ASZ1" s="1" t="s">
        <v>1814</v>
      </c>
      <c r="ATA1" s="1" t="s">
        <v>1815</v>
      </c>
      <c r="ATB1" s="1" t="s">
        <v>1816</v>
      </c>
      <c r="ATC1" s="1" t="s">
        <v>1817</v>
      </c>
      <c r="ATD1" s="1" t="s">
        <v>1818</v>
      </c>
      <c r="ATE1" s="1" t="s">
        <v>1819</v>
      </c>
      <c r="ATF1" s="1" t="s">
        <v>1820</v>
      </c>
      <c r="ATG1" s="1" t="s">
        <v>1821</v>
      </c>
      <c r="ATH1" s="1" t="s">
        <v>1822</v>
      </c>
      <c r="ATI1" s="1" t="s">
        <v>1823</v>
      </c>
      <c r="ATJ1" s="1" t="s">
        <v>1824</v>
      </c>
      <c r="ATK1" s="1" t="s">
        <v>1825</v>
      </c>
      <c r="ATL1" s="1" t="s">
        <v>1826</v>
      </c>
      <c r="ATM1" s="1" t="s">
        <v>1827</v>
      </c>
      <c r="ATN1" s="1" t="s">
        <v>1828</v>
      </c>
      <c r="ATO1" s="1" t="s">
        <v>1829</v>
      </c>
      <c r="ATP1" s="1" t="s">
        <v>1830</v>
      </c>
      <c r="ATQ1" s="1" t="s">
        <v>1831</v>
      </c>
      <c r="ATR1" s="1" t="s">
        <v>1832</v>
      </c>
      <c r="ATS1" s="1" t="s">
        <v>1833</v>
      </c>
      <c r="ATT1" s="1" t="s">
        <v>1834</v>
      </c>
      <c r="ATU1" s="1" t="s">
        <v>1835</v>
      </c>
      <c r="ATV1" s="1" t="s">
        <v>1836</v>
      </c>
      <c r="ATW1" s="1" t="s">
        <v>1837</v>
      </c>
      <c r="ATX1" s="1" t="s">
        <v>1838</v>
      </c>
      <c r="ATY1" s="1" t="s">
        <v>1839</v>
      </c>
      <c r="ATZ1" s="1" t="s">
        <v>1840</v>
      </c>
      <c r="AUA1" s="1" t="s">
        <v>1841</v>
      </c>
      <c r="AUB1" s="1" t="s">
        <v>1842</v>
      </c>
      <c r="AUC1" s="1" t="s">
        <v>1843</v>
      </c>
      <c r="AUD1" s="1" t="s">
        <v>1844</v>
      </c>
      <c r="AUE1" s="1" t="s">
        <v>1845</v>
      </c>
      <c r="AUF1" s="1" t="s">
        <v>1846</v>
      </c>
      <c r="AUG1" s="1" t="s">
        <v>1847</v>
      </c>
      <c r="AUH1" s="1" t="s">
        <v>1848</v>
      </c>
      <c r="AUI1" s="1" t="s">
        <v>1849</v>
      </c>
      <c r="AUJ1" s="1" t="s">
        <v>1850</v>
      </c>
      <c r="AUK1" s="1" t="s">
        <v>1851</v>
      </c>
      <c r="AUL1" s="1" t="s">
        <v>1852</v>
      </c>
      <c r="AUM1" s="1" t="s">
        <v>1853</v>
      </c>
      <c r="AUN1" s="1" t="s">
        <v>1854</v>
      </c>
      <c r="AUO1" s="1" t="s">
        <v>1855</v>
      </c>
      <c r="AUP1" s="1" t="s">
        <v>1856</v>
      </c>
      <c r="AUQ1" s="1" t="s">
        <v>1857</v>
      </c>
      <c r="AUR1" s="1" t="s">
        <v>1858</v>
      </c>
      <c r="AUS1" s="1" t="s">
        <v>1859</v>
      </c>
      <c r="AUT1" s="1" t="s">
        <v>1860</v>
      </c>
      <c r="AUU1" s="1" t="s">
        <v>1861</v>
      </c>
      <c r="AUV1" s="1" t="s">
        <v>1862</v>
      </c>
      <c r="AUW1" s="1" t="s">
        <v>1863</v>
      </c>
      <c r="AUX1" s="1" t="s">
        <v>1864</v>
      </c>
      <c r="AUY1" s="1" t="s">
        <v>1865</v>
      </c>
      <c r="AUZ1" s="1" t="s">
        <v>1866</v>
      </c>
      <c r="AVA1" s="1" t="s">
        <v>1867</v>
      </c>
      <c r="AVB1" s="1" t="s">
        <v>1868</v>
      </c>
      <c r="AVC1" s="1" t="s">
        <v>1869</v>
      </c>
      <c r="AVD1" s="1" t="s">
        <v>1870</v>
      </c>
      <c r="AVE1" s="1" t="s">
        <v>1871</v>
      </c>
      <c r="AVF1" s="1" t="s">
        <v>1872</v>
      </c>
      <c r="AVG1" s="1" t="s">
        <v>1873</v>
      </c>
      <c r="AVH1" s="1" t="s">
        <v>1874</v>
      </c>
      <c r="AVI1" s="1" t="s">
        <v>1875</v>
      </c>
      <c r="AVJ1" s="1" t="s">
        <v>1876</v>
      </c>
      <c r="AVK1" s="1" t="s">
        <v>1877</v>
      </c>
      <c r="AVL1" s="1" t="s">
        <v>1878</v>
      </c>
      <c r="AVM1" s="1" t="s">
        <v>1879</v>
      </c>
      <c r="AVN1" s="1" t="s">
        <v>1880</v>
      </c>
      <c r="AVO1" s="1" t="s">
        <v>1881</v>
      </c>
      <c r="AVP1" s="1" t="s">
        <v>1882</v>
      </c>
      <c r="AVQ1" s="1" t="s">
        <v>1883</v>
      </c>
      <c r="AVR1" s="1" t="s">
        <v>1884</v>
      </c>
      <c r="AVS1" s="1" t="s">
        <v>1885</v>
      </c>
      <c r="AVT1" s="1" t="s">
        <v>1886</v>
      </c>
      <c r="AVU1" s="1" t="s">
        <v>1887</v>
      </c>
      <c r="AVV1" s="1" t="s">
        <v>1888</v>
      </c>
      <c r="AVW1" s="1" t="s">
        <v>1889</v>
      </c>
      <c r="AVX1" s="1" t="s">
        <v>1890</v>
      </c>
      <c r="AVY1" s="1" t="s">
        <v>1891</v>
      </c>
      <c r="AVZ1" s="1" t="s">
        <v>1892</v>
      </c>
      <c r="AWA1" s="1" t="s">
        <v>1893</v>
      </c>
      <c r="AWB1" s="1" t="s">
        <v>1894</v>
      </c>
      <c r="AWC1" s="1" t="s">
        <v>1895</v>
      </c>
      <c r="AWD1" s="1" t="s">
        <v>1896</v>
      </c>
      <c r="AWE1" s="1" t="s">
        <v>1897</v>
      </c>
      <c r="AWF1" s="1" t="s">
        <v>1898</v>
      </c>
      <c r="AWG1" s="1" t="s">
        <v>1899</v>
      </c>
      <c r="AWH1" s="1" t="s">
        <v>1900</v>
      </c>
      <c r="AWI1" s="1" t="s">
        <v>1901</v>
      </c>
      <c r="AWJ1" s="1" t="s">
        <v>1902</v>
      </c>
      <c r="AWK1" s="1" t="s">
        <v>1903</v>
      </c>
      <c r="AWL1" s="1" t="s">
        <v>1904</v>
      </c>
      <c r="AWM1" s="1" t="s">
        <v>1905</v>
      </c>
      <c r="AWN1" s="1" t="s">
        <v>1906</v>
      </c>
      <c r="AWO1" s="1" t="s">
        <v>1907</v>
      </c>
      <c r="AWP1" s="1" t="s">
        <v>1908</v>
      </c>
      <c r="AWQ1" s="1" t="s">
        <v>1909</v>
      </c>
      <c r="AWR1" s="1" t="s">
        <v>1910</v>
      </c>
      <c r="AWS1" s="1" t="s">
        <v>1911</v>
      </c>
      <c r="AWT1" s="1" t="s">
        <v>1912</v>
      </c>
      <c r="AWU1" s="1" t="s">
        <v>1913</v>
      </c>
      <c r="AWV1" s="1" t="s">
        <v>1914</v>
      </c>
      <c r="AWW1" s="1" t="s">
        <v>1915</v>
      </c>
      <c r="AWX1" s="1" t="s">
        <v>1916</v>
      </c>
      <c r="AWY1" s="1" t="s">
        <v>1917</v>
      </c>
      <c r="AWZ1" s="1" t="s">
        <v>1918</v>
      </c>
    </row>
    <row r="2">
      <c r="A2" s="6">
        <v>46048.0</v>
      </c>
      <c r="B2" s="6">
        <v>46051.0</v>
      </c>
      <c r="C2" s="30" t="s">
        <v>1919</v>
      </c>
      <c r="D2" s="30" t="s">
        <v>1920</v>
      </c>
      <c r="E2" s="8">
        <f>+6285298338094</f>
        <v>6285298338094</v>
      </c>
      <c r="F2" s="9" t="s">
        <v>1921</v>
      </c>
      <c r="G2" s="8">
        <v>-5.056441</v>
      </c>
      <c r="H2" s="8">
        <v>119.686273</v>
      </c>
      <c r="I2" s="8">
        <v>260.79</v>
      </c>
      <c r="J2" s="8">
        <v>1.427999973</v>
      </c>
      <c r="K2" s="9"/>
      <c r="L2" s="9" t="s">
        <v>1922</v>
      </c>
      <c r="M2" s="8">
        <v>-5.055387</v>
      </c>
      <c r="N2" s="8">
        <v>119.685641</v>
      </c>
      <c r="O2" s="8">
        <v>62.835</v>
      </c>
      <c r="P2" s="8">
        <v>0.7210000157</v>
      </c>
      <c r="Q2" s="9"/>
      <c r="R2" s="9" t="s">
        <v>1923</v>
      </c>
      <c r="S2" s="8">
        <v>0.0</v>
      </c>
      <c r="T2" s="8">
        <v>0.0</v>
      </c>
      <c r="U2" s="8">
        <v>0.0</v>
      </c>
      <c r="V2" s="8">
        <v>0.0</v>
      </c>
      <c r="W2" s="8">
        <v>0.0</v>
      </c>
      <c r="X2" s="8">
        <v>0.0</v>
      </c>
      <c r="Y2" s="8">
        <v>0.0</v>
      </c>
      <c r="Z2" s="8">
        <v>0.0</v>
      </c>
      <c r="AA2" s="8">
        <v>0.0</v>
      </c>
      <c r="AB2" s="8">
        <v>1.0</v>
      </c>
      <c r="AC2" s="7" t="s">
        <v>1924</v>
      </c>
      <c r="AD2" s="7" t="s">
        <v>1925</v>
      </c>
      <c r="AE2" s="7" t="s">
        <v>1926</v>
      </c>
      <c r="AF2" s="9" t="s">
        <v>1927</v>
      </c>
      <c r="AG2" s="9" t="s">
        <v>1928</v>
      </c>
      <c r="AH2" s="8">
        <v>4.0</v>
      </c>
      <c r="AI2" s="9" t="s">
        <v>845</v>
      </c>
      <c r="AJ2" s="9" t="s">
        <v>846</v>
      </c>
      <c r="AK2" s="8">
        <v>48.0</v>
      </c>
      <c r="AL2" s="9" t="s">
        <v>847</v>
      </c>
      <c r="AM2" s="9" t="s">
        <v>848</v>
      </c>
      <c r="AN2" s="9" t="s">
        <v>986</v>
      </c>
      <c r="AO2" s="9" t="s">
        <v>850</v>
      </c>
      <c r="AP2" s="8">
        <v>1.0</v>
      </c>
      <c r="AQ2" s="8">
        <v>0.0</v>
      </c>
      <c r="AR2" s="8">
        <v>0.0</v>
      </c>
      <c r="AS2" s="8">
        <v>0.0</v>
      </c>
      <c r="AT2" s="8">
        <v>0.0</v>
      </c>
      <c r="AU2" s="8">
        <v>0.0</v>
      </c>
      <c r="AV2" s="8">
        <v>0.0</v>
      </c>
      <c r="AW2" s="8">
        <v>0.0</v>
      </c>
      <c r="AX2" s="9"/>
      <c r="AY2" s="9" t="s">
        <v>935</v>
      </c>
      <c r="AZ2" s="8">
        <v>0.0</v>
      </c>
      <c r="BA2" s="8">
        <v>1.0</v>
      </c>
      <c r="BB2" s="8">
        <v>0.0</v>
      </c>
      <c r="BC2" s="8">
        <v>0.0</v>
      </c>
      <c r="BD2" s="8">
        <v>0.0</v>
      </c>
      <c r="BE2" s="8">
        <v>0.0</v>
      </c>
      <c r="BF2" s="8">
        <v>0.0</v>
      </c>
      <c r="BG2" s="8">
        <v>0.0</v>
      </c>
      <c r="BH2" s="11"/>
      <c r="BI2" s="9" t="s">
        <v>1101</v>
      </c>
      <c r="BJ2" s="8">
        <v>1.0</v>
      </c>
      <c r="BK2" s="8">
        <v>1.0</v>
      </c>
      <c r="BL2" s="8">
        <v>2.0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1929</v>
      </c>
      <c r="CD2" s="8">
        <v>0.0</v>
      </c>
      <c r="CE2" s="8">
        <v>0.0</v>
      </c>
      <c r="CF2" s="8">
        <v>0.0</v>
      </c>
      <c r="CG2" s="8">
        <v>0.0</v>
      </c>
      <c r="CH2" s="8">
        <v>1.0</v>
      </c>
      <c r="CI2" s="8">
        <v>0.0</v>
      </c>
      <c r="CJ2" s="8">
        <v>0.0</v>
      </c>
      <c r="CK2" s="9"/>
      <c r="CL2" s="9" t="s">
        <v>857</v>
      </c>
      <c r="CM2" s="8">
        <v>2022.0</v>
      </c>
      <c r="CN2" s="9" t="s">
        <v>858</v>
      </c>
      <c r="CO2" s="9" t="s">
        <v>859</v>
      </c>
      <c r="CP2" s="9" t="s">
        <v>860</v>
      </c>
      <c r="CQ2" s="9"/>
      <c r="CR2" s="9"/>
      <c r="CS2" s="9"/>
      <c r="CT2" s="9"/>
      <c r="CU2" s="8">
        <v>1.0</v>
      </c>
      <c r="CV2" s="8">
        <v>0.0</v>
      </c>
      <c r="CW2" s="8">
        <v>0.0</v>
      </c>
      <c r="CX2" s="8">
        <v>0.0</v>
      </c>
      <c r="CY2" s="9" t="s">
        <v>1060</v>
      </c>
      <c r="CZ2" s="8">
        <v>1.0</v>
      </c>
      <c r="DA2" s="8">
        <v>1.0</v>
      </c>
      <c r="DB2" s="8">
        <v>0.0</v>
      </c>
      <c r="DC2" s="9"/>
      <c r="DD2" s="9" t="s">
        <v>860</v>
      </c>
      <c r="DE2" s="8">
        <v>1.0</v>
      </c>
      <c r="DF2" s="8">
        <v>0.0</v>
      </c>
      <c r="DG2" s="8">
        <v>0.0</v>
      </c>
      <c r="DH2" s="8">
        <v>0.0</v>
      </c>
      <c r="DI2" s="9"/>
      <c r="DJ2" s="9" t="s">
        <v>861</v>
      </c>
      <c r="DK2" s="8">
        <v>0.0</v>
      </c>
      <c r="DL2" s="8">
        <v>0.0</v>
      </c>
      <c r="DM2" s="8">
        <v>1.0</v>
      </c>
      <c r="DN2" s="8">
        <v>0.0</v>
      </c>
      <c r="DO2" s="9"/>
      <c r="DP2" s="9" t="s">
        <v>857</v>
      </c>
      <c r="DQ2" s="9"/>
      <c r="DR2" s="9"/>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1403</v>
      </c>
      <c r="EQ2" s="9" t="s">
        <v>864</v>
      </c>
      <c r="ER2" s="9" t="s">
        <v>861</v>
      </c>
      <c r="ES2" s="8">
        <v>1.0</v>
      </c>
      <c r="ET2" s="8">
        <v>0.0</v>
      </c>
      <c r="EU2" s="8">
        <v>0.0</v>
      </c>
      <c r="EV2" s="8">
        <v>0.0</v>
      </c>
      <c r="EW2" s="9"/>
      <c r="EX2" s="9" t="s">
        <v>865</v>
      </c>
      <c r="EY2" s="8">
        <v>1.0</v>
      </c>
      <c r="EZ2" s="8">
        <v>0.0</v>
      </c>
      <c r="FA2" s="8">
        <v>0.0</v>
      </c>
      <c r="FB2" s="9"/>
      <c r="FC2" s="9" t="s">
        <v>866</v>
      </c>
      <c r="FD2" s="9"/>
      <c r="FE2" s="9" t="s">
        <v>867</v>
      </c>
      <c r="FF2" s="9" t="s">
        <v>869</v>
      </c>
      <c r="FG2" s="9" t="s">
        <v>867</v>
      </c>
      <c r="FH2" s="9" t="s">
        <v>869</v>
      </c>
      <c r="FI2" s="9" t="s">
        <v>867</v>
      </c>
      <c r="FJ2" s="9" t="s">
        <v>868</v>
      </c>
      <c r="FK2" s="9" t="s">
        <v>867</v>
      </c>
      <c r="FL2" s="9" t="s">
        <v>869</v>
      </c>
      <c r="FM2" s="9" t="s">
        <v>867</v>
      </c>
      <c r="FN2" s="9" t="s">
        <v>869</v>
      </c>
      <c r="FO2" s="9" t="s">
        <v>867</v>
      </c>
      <c r="FP2" s="9" t="s">
        <v>870</v>
      </c>
      <c r="FQ2" s="9" t="s">
        <v>867</v>
      </c>
      <c r="FR2" s="9" t="s">
        <v>857</v>
      </c>
      <c r="FS2" s="9" t="s">
        <v>867</v>
      </c>
      <c r="FT2" s="9" t="s">
        <v>857</v>
      </c>
      <c r="FU2" s="9" t="s">
        <v>872</v>
      </c>
      <c r="FV2" s="8">
        <v>1.0</v>
      </c>
      <c r="FW2" s="8">
        <v>0.0</v>
      </c>
      <c r="FX2" s="8">
        <v>0.0</v>
      </c>
      <c r="FY2" s="8">
        <v>0.0</v>
      </c>
      <c r="FZ2" s="9" t="s">
        <v>1197</v>
      </c>
      <c r="GA2" s="9"/>
      <c r="GB2" s="9"/>
      <c r="GC2" s="9"/>
      <c r="GD2" s="9"/>
      <c r="GE2" s="9"/>
      <c r="GF2" s="9"/>
      <c r="GG2" s="9" t="s">
        <v>875</v>
      </c>
      <c r="GH2" s="9" t="s">
        <v>857</v>
      </c>
      <c r="GI2" s="9" t="s">
        <v>1930</v>
      </c>
      <c r="GJ2" s="8">
        <v>1.0</v>
      </c>
      <c r="GK2" s="8">
        <v>1.0</v>
      </c>
      <c r="GL2" s="8">
        <v>1.0</v>
      </c>
      <c r="GM2" s="8">
        <v>0.0</v>
      </c>
      <c r="GN2" s="9"/>
      <c r="GO2" s="8">
        <v>10.0</v>
      </c>
      <c r="GP2" s="9" t="s">
        <v>1931</v>
      </c>
      <c r="GQ2" s="9" t="s">
        <v>1102</v>
      </c>
      <c r="GR2" s="8">
        <v>1.0</v>
      </c>
      <c r="GS2" s="8">
        <v>0.0</v>
      </c>
      <c r="GT2" s="8">
        <v>0.0</v>
      </c>
      <c r="GU2" s="8">
        <v>0.0</v>
      </c>
      <c r="GV2" s="8">
        <v>0.0</v>
      </c>
      <c r="GW2" s="8">
        <v>0.0</v>
      </c>
      <c r="GX2" s="8">
        <v>0.0</v>
      </c>
      <c r="GY2" s="9"/>
      <c r="GZ2" s="9" t="s">
        <v>857</v>
      </c>
      <c r="HA2" s="9"/>
      <c r="HB2" s="9"/>
      <c r="HC2" s="9"/>
      <c r="HD2" s="9"/>
      <c r="HE2" s="8">
        <v>9.0</v>
      </c>
      <c r="HF2" s="8">
        <v>57000.0</v>
      </c>
      <c r="HG2" s="8">
        <v>1.0</v>
      </c>
      <c r="HH2" s="8">
        <v>23000.0</v>
      </c>
      <c r="HI2" s="9"/>
      <c r="HJ2" s="9"/>
      <c r="HK2" s="9"/>
      <c r="HL2" s="9"/>
      <c r="HM2" s="9"/>
      <c r="HN2" s="9"/>
      <c r="HO2" s="9"/>
      <c r="HP2" s="9"/>
      <c r="HQ2" s="9"/>
      <c r="HR2" s="9"/>
      <c r="HS2" s="9"/>
      <c r="HT2" s="9"/>
      <c r="HU2" s="9"/>
      <c r="HV2" s="9"/>
      <c r="HW2" s="9"/>
      <c r="HX2" s="9"/>
      <c r="HY2" s="9"/>
      <c r="HZ2" s="9"/>
      <c r="IA2" s="8">
        <v>6.0</v>
      </c>
      <c r="IB2" s="8">
        <v>34000.0</v>
      </c>
      <c r="IC2" s="9"/>
      <c r="ID2" s="9"/>
      <c r="IE2" s="9"/>
      <c r="IF2" s="9"/>
      <c r="IG2" s="9"/>
      <c r="IH2" s="9"/>
      <c r="II2" s="9"/>
      <c r="IJ2" s="9"/>
      <c r="IK2" s="9" t="s">
        <v>1932</v>
      </c>
      <c r="IL2" s="9" t="s">
        <v>1366</v>
      </c>
      <c r="IM2" s="9" t="s">
        <v>857</v>
      </c>
      <c r="IN2" s="9" t="s">
        <v>857</v>
      </c>
      <c r="IO2" s="9" t="s">
        <v>1206</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1180</v>
      </c>
      <c r="KT2" s="9" t="s">
        <v>886</v>
      </c>
      <c r="KU2" s="9" t="s">
        <v>886</v>
      </c>
      <c r="KV2" s="9" t="s">
        <v>1384</v>
      </c>
      <c r="KW2" s="8">
        <v>0.0</v>
      </c>
      <c r="KX2" s="8">
        <v>0.0</v>
      </c>
      <c r="KY2" s="8">
        <v>1.0</v>
      </c>
      <c r="KZ2" s="8">
        <v>0.0</v>
      </c>
      <c r="LA2" s="9" t="s">
        <v>1180</v>
      </c>
      <c r="LB2" s="9" t="s">
        <v>1180</v>
      </c>
      <c r="LC2" s="8">
        <v>4.0</v>
      </c>
      <c r="LD2" s="8">
        <v>4.0</v>
      </c>
      <c r="LE2" s="8">
        <v>0.0</v>
      </c>
      <c r="LF2" s="9"/>
      <c r="LG2" s="9" t="s">
        <v>857</v>
      </c>
      <c r="LH2" s="8">
        <v>350000.0</v>
      </c>
      <c r="LI2" s="9"/>
      <c r="LJ2" s="9" t="s">
        <v>1933</v>
      </c>
      <c r="LK2" s="8">
        <v>0.0</v>
      </c>
      <c r="LL2" s="8">
        <v>0.0</v>
      </c>
      <c r="LM2" s="8">
        <v>0.0</v>
      </c>
      <c r="LN2" s="8">
        <v>0.0</v>
      </c>
      <c r="LO2" s="8">
        <v>1.0</v>
      </c>
      <c r="LP2" s="8">
        <v>1.0</v>
      </c>
      <c r="LQ2" s="8">
        <v>0.0</v>
      </c>
      <c r="LR2" s="11"/>
      <c r="LS2" s="8">
        <v>15.0</v>
      </c>
      <c r="LT2" s="8">
        <v>0.0</v>
      </c>
      <c r="LU2" s="8">
        <v>0.0</v>
      </c>
      <c r="LV2" s="8">
        <v>15.0</v>
      </c>
      <c r="LW2" s="8">
        <v>0.0</v>
      </c>
      <c r="LX2" s="8">
        <v>0.0</v>
      </c>
      <c r="LY2" s="8">
        <v>15.0</v>
      </c>
      <c r="LZ2" s="8">
        <v>0.0</v>
      </c>
      <c r="MA2" s="8">
        <v>0.0</v>
      </c>
      <c r="MB2" s="9" t="s">
        <v>857</v>
      </c>
      <c r="MC2" s="8">
        <v>0.0</v>
      </c>
      <c r="MD2" s="8">
        <v>0.0</v>
      </c>
      <c r="ME2" s="8">
        <v>0.0</v>
      </c>
      <c r="MF2" s="8">
        <v>0.0</v>
      </c>
      <c r="MG2" s="8">
        <v>0.0</v>
      </c>
      <c r="MH2" s="8">
        <v>0.0</v>
      </c>
      <c r="MI2" s="9" t="s">
        <v>1934</v>
      </c>
      <c r="MJ2" s="8">
        <v>0.0</v>
      </c>
      <c r="MK2" s="8">
        <v>0.0</v>
      </c>
      <c r="ML2" s="8">
        <v>0.0</v>
      </c>
      <c r="MM2" s="8">
        <v>0.0</v>
      </c>
      <c r="MN2" s="8">
        <v>1.0</v>
      </c>
      <c r="MO2" s="8">
        <v>0.0</v>
      </c>
      <c r="MP2" s="9"/>
      <c r="MQ2" s="17" t="s">
        <v>1935</v>
      </c>
      <c r="MR2" s="31"/>
      <c r="MS2" s="9"/>
      <c r="MT2" s="9" t="s">
        <v>1936</v>
      </c>
      <c r="MU2" s="9" t="s">
        <v>1030</v>
      </c>
      <c r="MV2" s="9" t="s">
        <v>1031</v>
      </c>
      <c r="MW2" s="8">
        <v>0.0</v>
      </c>
      <c r="MX2" s="8">
        <v>1.0</v>
      </c>
      <c r="MY2" s="8">
        <v>0.0</v>
      </c>
      <c r="MZ2" s="8">
        <v>0.0</v>
      </c>
      <c r="NA2" s="9"/>
      <c r="NB2" s="9"/>
      <c r="NC2" s="9"/>
      <c r="ND2" s="9"/>
      <c r="NE2" s="9"/>
      <c r="NF2" s="9"/>
      <c r="NG2" s="9"/>
      <c r="NH2" s="9"/>
      <c r="NI2" s="9"/>
      <c r="NJ2" s="9"/>
      <c r="NK2" s="9"/>
      <c r="NL2" s="9" t="s">
        <v>857</v>
      </c>
      <c r="NM2" s="9" t="s">
        <v>893</v>
      </c>
      <c r="NN2" s="17" t="s">
        <v>1387</v>
      </c>
      <c r="NO2" s="17" t="s">
        <v>994</v>
      </c>
      <c r="NP2" s="9"/>
      <c r="NQ2" s="9"/>
      <c r="NR2" s="9"/>
      <c r="NS2" s="9"/>
      <c r="NT2" s="9"/>
      <c r="NU2" s="9"/>
      <c r="NV2" s="17" t="s">
        <v>896</v>
      </c>
      <c r="NW2" s="9"/>
      <c r="NX2" s="9" t="s">
        <v>897</v>
      </c>
      <c r="NY2" s="8">
        <v>180.0</v>
      </c>
      <c r="NZ2" s="8">
        <v>0.0</v>
      </c>
      <c r="OA2" s="8">
        <v>0.0</v>
      </c>
      <c r="OB2" s="8">
        <v>0.0</v>
      </c>
      <c r="OC2" s="8">
        <v>10.0</v>
      </c>
      <c r="OD2" s="8">
        <v>0.0</v>
      </c>
      <c r="OE2" s="9" t="s">
        <v>898</v>
      </c>
      <c r="OF2" s="9" t="s">
        <v>1184</v>
      </c>
      <c r="OG2" s="9" t="s">
        <v>857</v>
      </c>
      <c r="OH2" s="8">
        <v>2.0</v>
      </c>
      <c r="OI2" s="8">
        <v>0.0</v>
      </c>
      <c r="OJ2" s="8">
        <v>0.0</v>
      </c>
      <c r="OK2" s="8">
        <v>0.0</v>
      </c>
      <c r="OL2" s="8">
        <v>0.0</v>
      </c>
      <c r="OM2" s="8">
        <v>0.0</v>
      </c>
      <c r="ON2" s="9"/>
      <c r="OO2" s="8">
        <v>10.0</v>
      </c>
      <c r="OP2" s="9" t="str">
        <f>VLOOKUP(AG2,'BUS 2'!$G$1:$CU$424,2,0)</f>
        <v>#N/A</v>
      </c>
      <c r="OQ2" s="8" t="str">
        <f>VLOOKUP(AG2,'BUS 2'!$G$1:$CU$424,3,0)</f>
        <v>#N/A</v>
      </c>
      <c r="OR2" s="8" t="str">
        <f>VLOOKUP(AG2,'BUS 2'!$G$1:$CU$424,4,0)</f>
        <v>#N/A</v>
      </c>
      <c r="OS2" s="8" t="str">
        <f>VLOOKUP(AG2,'BUS 2'!$G$1:$CU$424,5,0)</f>
        <v>#N/A</v>
      </c>
      <c r="OT2" s="8" t="str">
        <f>VLOOKUP(AG2,'BUS 2'!$G$1:$CU$424,6,0)</f>
        <v>#N/A</v>
      </c>
      <c r="OU2" s="8" t="str">
        <f>VLOOKUP(AG2,'BUS 2'!$G$1:$CU$424,7,0)</f>
        <v>#N/A</v>
      </c>
      <c r="OV2" s="8" t="str">
        <f>VLOOKUP(AG2,'BUS 2'!$G$1:$CU$424,8,0)</f>
        <v>#N/A</v>
      </c>
      <c r="OW2" s="8" t="str">
        <f>VLOOKUP(AG2,'BUS 2'!$G$1:$CU$424,9,0)</f>
        <v>#N/A</v>
      </c>
      <c r="OX2" s="8" t="str">
        <f>VLOOKUP(AG2,'BUS 2'!$G$1:$CU$424,10,0)</f>
        <v>#N/A</v>
      </c>
      <c r="OY2" s="8" t="str">
        <f>VLOOKUP(AG2,'BUS 2'!$G$1:$CU$424,11,0)</f>
        <v>#N/A</v>
      </c>
      <c r="OZ2" s="8" t="str">
        <f>VLOOKUP(AG2,'BUS 2'!$G$1:$CU$424,12,0)</f>
        <v>#N/A</v>
      </c>
      <c r="PA2" s="8" t="str">
        <f>VLOOKUP(AG2,'BUS 2'!$G$1:$CU$424,13,0)</f>
        <v>#N/A</v>
      </c>
      <c r="PB2" s="8" t="str">
        <f>VLOOKUP(AG2,'BUS 2'!$G$1:$CU$424,14,0)</f>
        <v>#N/A</v>
      </c>
      <c r="PC2" s="8" t="str">
        <f>VLOOKUP(AG2,'BUS 2'!$G$1:$CU$424,15,0)</f>
        <v>#N/A</v>
      </c>
      <c r="PD2" s="8" t="str">
        <f>VLOOKUP(AG2,'BUS 2'!$G$1:$CU$424,16,0)</f>
        <v>#N/A</v>
      </c>
      <c r="PE2" s="8" t="str">
        <f>VLOOKUP(AG2,'BUS 2'!$G$1:$CU$424,17,0)</f>
        <v>#N/A</v>
      </c>
      <c r="PF2" s="8" t="str">
        <f>VLOOKUP(AG2,'BUS 2'!$G$1:$CU$424,18,0)</f>
        <v>#N/A</v>
      </c>
      <c r="PG2" s="8" t="str">
        <f>VLOOKUP(AG2,'BUS 2'!$G$1:$CU$424,19,0)</f>
        <v>#N/A</v>
      </c>
      <c r="PH2" s="8" t="str">
        <f>VLOOKUP(AG2,'BUS 2'!$G$1:$CU$424,20,0)</f>
        <v>#N/A</v>
      </c>
      <c r="PI2" s="8" t="str">
        <f>VLOOKUP(AG2,'BUS 2'!$G$1:$CU$424,21,0)</f>
        <v>#N/A</v>
      </c>
      <c r="PJ2" s="8" t="str">
        <f>VLOOKUP(AG2,'BUS 2'!$G$1:$CU$424,22,0)</f>
        <v>#N/A</v>
      </c>
      <c r="PK2" s="8" t="str">
        <f>VLOOKUP(AG2,'BUS 2'!$G$1:$CU$424,23,0)</f>
        <v>#N/A</v>
      </c>
      <c r="PL2" s="8" t="str">
        <f>VLOOKUP(AG2,'BUS 2'!$G$1:$CU$424,24,0)</f>
        <v>#N/A</v>
      </c>
      <c r="PM2" s="8" t="str">
        <f>VLOOKUP(AG2,'BUS 2'!$G$1:$CU$424,25,0)</f>
        <v>#N/A</v>
      </c>
      <c r="PN2" s="8" t="str">
        <f>VLOOKUP(AG2,'BUS 2'!$G$1:$CU$424,26,0)</f>
        <v>#N/A</v>
      </c>
      <c r="PO2" s="8" t="str">
        <f>VLOOKUP(AG2,'BUS 2'!$G$1:$CU$424,27,0)</f>
        <v>#N/A</v>
      </c>
      <c r="PP2" s="8" t="str">
        <f>VLOOKUP(AG2,'BUS 2'!$G$1:$CU$424,28,0)</f>
        <v>#N/A</v>
      </c>
      <c r="PQ2" s="8" t="str">
        <f>VLOOKUP(AG2,'BUS 2'!$G$1:$CU$424,29,0)</f>
        <v>#N/A</v>
      </c>
      <c r="PR2" s="8" t="str">
        <f>VLOOKUP(AG2,'BUS 2'!$G$1:$CU$424,30,0)</f>
        <v>#N/A</v>
      </c>
      <c r="PS2" s="8" t="str">
        <f>VLOOKUP(AG2,'BUS 2'!$G$1:$CU$424,31,0)</f>
        <v>#N/A</v>
      </c>
      <c r="PT2" s="9"/>
      <c r="PU2" s="9"/>
      <c r="PV2" s="9"/>
      <c r="PW2" s="9"/>
      <c r="PX2" s="9"/>
      <c r="PY2" s="9"/>
      <c r="PZ2" s="9"/>
      <c r="QA2" s="9"/>
      <c r="QB2" s="9"/>
      <c r="QC2" s="9"/>
      <c r="QD2" s="9"/>
      <c r="QE2" s="32"/>
      <c r="QF2" s="31"/>
      <c r="QG2" s="31"/>
      <c r="QH2" s="31"/>
      <c r="QI2" s="31"/>
      <c r="QJ2" s="31"/>
      <c r="QK2" s="32"/>
      <c r="QL2" s="32"/>
      <c r="QM2" s="32"/>
      <c r="QN2" s="32"/>
      <c r="QO2" s="32"/>
      <c r="QP2" s="32"/>
      <c r="QQ2" s="32"/>
      <c r="QR2" s="32"/>
      <c r="QS2" s="32"/>
      <c r="QT2" s="32"/>
      <c r="QU2" s="32"/>
      <c r="QV2" s="32"/>
      <c r="QW2" s="31"/>
      <c r="QX2" s="31"/>
      <c r="QY2" s="31"/>
      <c r="QZ2" s="31"/>
      <c r="RA2" s="31"/>
      <c r="RB2" s="32"/>
      <c r="RC2" s="32"/>
      <c r="RD2" s="32"/>
      <c r="RE2" s="32"/>
      <c r="RF2" s="32"/>
      <c r="RG2" s="9"/>
      <c r="RH2" s="31"/>
      <c r="RI2" s="31"/>
      <c r="RJ2" s="31"/>
      <c r="RK2" s="31"/>
      <c r="RL2" s="31"/>
      <c r="RM2" s="9"/>
      <c r="RN2" s="9"/>
      <c r="RO2" s="9"/>
      <c r="RP2" s="9"/>
      <c r="RQ2" s="9"/>
      <c r="RR2" s="9"/>
      <c r="RS2" s="31"/>
      <c r="RT2" s="31"/>
      <c r="RU2" s="31"/>
      <c r="RV2" s="31"/>
      <c r="RW2" s="31"/>
      <c r="RX2" s="9"/>
      <c r="RY2" s="9"/>
      <c r="RZ2" s="9"/>
      <c r="SA2" s="9"/>
      <c r="SB2" s="9"/>
      <c r="SC2" s="9" t="s">
        <v>900</v>
      </c>
      <c r="SD2" s="31"/>
      <c r="SE2" s="31"/>
      <c r="SF2" s="31"/>
      <c r="SG2" s="31"/>
      <c r="SH2" s="31"/>
      <c r="SI2" s="8">
        <v>1.0</v>
      </c>
      <c r="SJ2" s="8">
        <v>0.0</v>
      </c>
      <c r="SK2" s="8">
        <v>0.0</v>
      </c>
      <c r="SL2" s="8">
        <v>0.0</v>
      </c>
      <c r="SM2" s="9"/>
      <c r="SN2" s="9" t="s">
        <v>900</v>
      </c>
      <c r="SO2" s="31"/>
      <c r="SP2" s="31"/>
      <c r="SQ2" s="31"/>
      <c r="SR2" s="31"/>
      <c r="SS2" s="31"/>
      <c r="ST2" s="8">
        <v>1.0</v>
      </c>
      <c r="SU2" s="8">
        <v>0.0</v>
      </c>
      <c r="SV2" s="8">
        <v>0.0</v>
      </c>
      <c r="SW2" s="8">
        <v>0.0</v>
      </c>
      <c r="SX2" s="9"/>
      <c r="SY2" s="8" t="str">
        <f>VLOOKUP(AG2,'BUS 2'!$G$1:$CU$424,33,0)</f>
        <v>#N/A</v>
      </c>
      <c r="SZ2" s="9" t="str">
        <f>VLOOKUP(AG2,'BUS 2'!$G$1:$CU$424,34,0)</f>
        <v>#N/A</v>
      </c>
      <c r="TA2" s="9" t="str">
        <f>VLOOKUP(AG2,'BUS 2'!$G$1:$CU$424,35,0)</f>
        <v>#N/A</v>
      </c>
      <c r="TB2" s="9" t="str">
        <f>VLOOKUP(AG2,'BUS 2'!$G$1:$CU$424,36,0)</f>
        <v>#N/A</v>
      </c>
      <c r="TC2" s="9" t="str">
        <f>VLOOKUP(AG2,'BUS 2'!$G$1:$CU$424,37,0)</f>
        <v>#N/A</v>
      </c>
      <c r="TD2" s="9" t="str">
        <f>VLOOKUP(AG2,'BUS 2'!$G$1:$CU$424,38,0)</f>
        <v>#N/A</v>
      </c>
      <c r="TE2" s="9" t="str">
        <f>VLOOKUP(AG2,'BUS 2'!$G$1:$CU$424,39,0)</f>
        <v>#N/A</v>
      </c>
      <c r="TF2" s="9" t="str">
        <f>VLOOKUP(AG2,'BUS 2'!$G$1:$CU$424,40,0)</f>
        <v>#N/A</v>
      </c>
      <c r="TG2" s="8" t="str">
        <f>VLOOKUP(AG2,'BUS 2'!$G$1:$CU$424,42,0)</f>
        <v>#N/A</v>
      </c>
      <c r="TH2" s="8" t="str">
        <f>VLOOKUP(AG2,'BUS 2'!$G$1:$CU$424,43,0)</f>
        <v>#N/A</v>
      </c>
      <c r="TI2" s="8" t="str">
        <f>VLOOKUP(AG2,'BUS 2'!$G$1:$CU$424,44,0)</f>
        <v>#N/A</v>
      </c>
      <c r="TJ2" s="8" t="str">
        <f>VLOOKUP(AG2,'BUS 2'!$G$1:$CU$424,45,0)</f>
        <v>#N/A</v>
      </c>
      <c r="TK2" s="8" t="str">
        <f>VLOOKUP(AG2,'BUS 2'!$G$1:$CU$424,46,0)</f>
        <v>#N/A</v>
      </c>
      <c r="TL2" s="8" t="str">
        <f>VLOOKUP(AG2,'BUS 2'!$G$1:$CU$424,47,0)</f>
        <v>#N/A</v>
      </c>
      <c r="TM2" s="8" t="str">
        <f>VLOOKUP(AG2,'BUS 2'!$G$1:$CU$424,48,0)</f>
        <v>#N/A</v>
      </c>
      <c r="TN2" s="8" t="str">
        <f>VLOOKUP(AG2,'BUS 2'!$G$1:$CU$424,49,0)</f>
        <v>#N/A</v>
      </c>
      <c r="TO2" s="8" t="str">
        <f>VLOOKUP(AG2,'BUS 2'!$G$1:$CU$424,50,0)</f>
        <v>#N/A</v>
      </c>
      <c r="TP2" s="8" t="str">
        <f>VLOOKUP(AG2,'BUS 2'!$G$1:$CU$424,51,0)</f>
        <v>#N/A</v>
      </c>
      <c r="TQ2" s="8" t="str">
        <f>VLOOKUP(AG2,'BUS 2'!$G$1:$CU$424,52,0)</f>
        <v>#N/A</v>
      </c>
      <c r="TR2" s="8" t="str">
        <f>VLOOKUP(AG2,'BUS 2'!$G$1:$CU$424,53,0)</f>
        <v>#N/A</v>
      </c>
      <c r="TS2" s="9" t="str">
        <f>VLOOKUP(AG2,'BUS 2'!$G$1:$CU$424,54,0)</f>
        <v>#N/A</v>
      </c>
      <c r="TT2" s="9" t="str">
        <f>VLOOKUP(AG2,'BUS 2'!$G$1:$CU$424,55,0)</f>
        <v>#N/A</v>
      </c>
      <c r="TU2" s="9" t="str">
        <f>VLOOKUP(AG2,'BUS 2'!$G$1:$CU$424,56,0)</f>
        <v>#N/A</v>
      </c>
      <c r="TV2" s="9" t="str">
        <f>VLOOKUP(AG2,'BUS 2'!$G$1:$CU$424,57,0)</f>
        <v>#N/A</v>
      </c>
      <c r="TW2" s="9" t="str">
        <f>VLOOKUP(AG2,'BUS 2'!$G$1:$CU$424,58,0)</f>
        <v>#N/A</v>
      </c>
      <c r="TX2" s="9" t="str">
        <f>VLOOKUP(AG2,'BUS 2'!$G$1:$CU$424,59,0)</f>
        <v>#N/A</v>
      </c>
      <c r="TY2" s="9" t="str">
        <f>VLOOKUP(AG2,'BUS 2'!$G$1:$CU$424,60,0)</f>
        <v>#N/A</v>
      </c>
      <c r="TZ2" s="9" t="str">
        <f>VLOOKUP(AG2,'BUS 2'!$G$1:$CU$424,61,0)</f>
        <v>#N/A</v>
      </c>
      <c r="UA2" s="9" t="str">
        <f>VLOOKUP(AG2,'BUS 2'!$G$1:$CU$424,62,0)</f>
        <v>#N/A</v>
      </c>
      <c r="UB2" s="9" t="str">
        <f>VLOOKUP(AG2,'BUS 2'!$G$1:$CU$424,63,0)</f>
        <v>#N/A</v>
      </c>
      <c r="UC2" s="9" t="str">
        <f>VLOOKUP(AG2,'BUS 2'!$G$1:$CU$424,64,0)</f>
        <v>#N/A</v>
      </c>
      <c r="UD2" s="9" t="str">
        <f>VLOOKUP(AG2,'BUS 2'!$G$1:$CU$424,65,0)</f>
        <v>#N/A</v>
      </c>
      <c r="UE2" s="9" t="str">
        <f>VLOOKUP(AG2,'BUS 2'!$G$1:$CU$424,66,0)</f>
        <v>#N/A</v>
      </c>
      <c r="UF2" s="9" t="str">
        <f>VLOOKUP(AG2,'BUS 2'!$G$1:$CU$424,67,0)</f>
        <v>#N/A</v>
      </c>
      <c r="UG2" s="9" t="str">
        <f>VLOOKUP(AG2,'BUS 2'!$G$1:$CU$424,68,0)</f>
        <v>#N/A</v>
      </c>
      <c r="UH2" s="9" t="str">
        <f>VLOOKUP(AG2,'BUS 2'!$G$1:$CU$424,69,0)</f>
        <v>#N/A</v>
      </c>
      <c r="UI2" s="9" t="str">
        <f>VLOOKUP(AG2,'BUS 2'!$G$1:$CU$424,70,0)</f>
        <v>#N/A</v>
      </c>
      <c r="UJ2" s="9" t="str">
        <f>VLOOKUP(AG2,'BUS 2'!$G$1:$CU$424,71,0)</f>
        <v>#N/A</v>
      </c>
      <c r="UK2" s="9" t="str">
        <f>VLOOKUP(AG2,'BUS 2'!$G$1:$CU$424,72,0)</f>
        <v>#N/A</v>
      </c>
      <c r="UL2" s="9" t="str">
        <f>VLOOKUP(AG2,'BUS 2'!$G$1:$CU$424,73,0)</f>
        <v>#N/A</v>
      </c>
      <c r="UM2" s="9" t="str">
        <f>VLOOKUP(AG2,'BUS 2'!$G$1:$CU$424,74,0)</f>
        <v>#N/A</v>
      </c>
      <c r="UN2" s="9" t="str">
        <f>VLOOKUP(AG2,'BUS 2'!$G$1:$CU$424,75,0)</f>
        <v>#N/A</v>
      </c>
      <c r="UO2" s="9" t="str">
        <f>VLOOKUP(AG2,'BUS 2'!$G$1:$CU$424,76,0)</f>
        <v>#N/A</v>
      </c>
      <c r="UP2" s="9" t="str">
        <f>VLOOKUP(AG2,'BUS 2'!$G$1:$CU$424,77,0)</f>
        <v>#N/A</v>
      </c>
      <c r="UQ2" s="9" t="str">
        <f>VLOOKUP(AG2,'BUS 2'!$G$1:$CU$424,78,0)</f>
        <v>#N/A</v>
      </c>
      <c r="UR2" s="9" t="str">
        <f>VLOOKUP(AG2,'BUS 2'!$G$1:$CU$424,79,0)</f>
        <v>#N/A</v>
      </c>
      <c r="US2" s="9" t="str">
        <f>VLOOKUP(AG2,'BUS 2'!$G$1:$CU$424,80,0)</f>
        <v>#N/A</v>
      </c>
      <c r="UT2" s="9" t="str">
        <f>VLOOKUP(AG2,'BUS 2'!$G$1:$CU$424,81,0)</f>
        <v>#N/A</v>
      </c>
      <c r="UU2" s="9" t="s">
        <v>901</v>
      </c>
      <c r="UV2" s="9"/>
      <c r="UW2" s="9"/>
      <c r="UX2" s="9"/>
      <c r="UY2" s="9"/>
      <c r="UZ2" s="9"/>
      <c r="VA2" s="9" t="s">
        <v>1937</v>
      </c>
      <c r="VB2" s="9" t="s">
        <v>1937</v>
      </c>
      <c r="VC2" s="9" t="s">
        <v>1938</v>
      </c>
      <c r="VD2" s="9"/>
      <c r="VE2" s="9"/>
      <c r="VF2" s="9"/>
      <c r="VG2" s="9"/>
      <c r="VH2" s="9"/>
      <c r="VI2" s="9" t="s">
        <v>1938</v>
      </c>
      <c r="VJ2" s="9" t="s">
        <v>1938</v>
      </c>
      <c r="VK2" s="9" t="s">
        <v>1939</v>
      </c>
      <c r="VL2" s="9"/>
      <c r="VM2" s="9"/>
      <c r="VN2" s="9"/>
      <c r="VO2" s="9"/>
      <c r="VP2" s="9"/>
      <c r="VQ2" s="9" t="s">
        <v>1939</v>
      </c>
      <c r="VR2" s="9" t="s">
        <v>1939</v>
      </c>
      <c r="VS2" s="9" t="s">
        <v>1940</v>
      </c>
      <c r="VT2" s="9"/>
      <c r="VU2" s="9"/>
      <c r="VV2" s="9"/>
      <c r="VW2" s="9"/>
      <c r="VX2" s="8">
        <v>0.0</v>
      </c>
      <c r="VY2" s="8">
        <v>1.0</v>
      </c>
      <c r="VZ2" s="8">
        <v>0.0</v>
      </c>
      <c r="WA2" s="8">
        <v>0.0</v>
      </c>
      <c r="WB2" s="8">
        <v>0.0</v>
      </c>
      <c r="WC2" s="8">
        <v>0.0</v>
      </c>
      <c r="WD2" s="8">
        <v>0.0</v>
      </c>
      <c r="WE2" s="8">
        <v>0.0</v>
      </c>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t="s">
        <v>1941</v>
      </c>
      <c r="YO2" s="9"/>
      <c r="YP2" s="9"/>
      <c r="YQ2" s="9"/>
      <c r="YR2" s="9"/>
      <c r="YS2" s="8">
        <v>0.0</v>
      </c>
      <c r="YT2" s="8">
        <v>0.0</v>
      </c>
      <c r="YU2" s="8">
        <v>0.0</v>
      </c>
      <c r="YV2" s="8">
        <v>0.0</v>
      </c>
      <c r="YW2" s="8">
        <v>0.0</v>
      </c>
      <c r="YX2" s="8">
        <v>0.0</v>
      </c>
      <c r="YY2" s="8">
        <v>0.0</v>
      </c>
      <c r="YZ2" s="8">
        <v>1.0</v>
      </c>
      <c r="ZA2" s="9" t="s">
        <v>1941</v>
      </c>
      <c r="ZB2" s="9"/>
      <c r="ZC2" s="9"/>
      <c r="ZD2" s="9"/>
      <c r="ZE2" s="9"/>
      <c r="ZF2" s="8">
        <v>0.0</v>
      </c>
      <c r="ZG2" s="8">
        <v>0.0</v>
      </c>
      <c r="ZH2" s="8">
        <v>0.0</v>
      </c>
      <c r="ZI2" s="8">
        <v>0.0</v>
      </c>
      <c r="ZJ2" s="8">
        <v>0.0</v>
      </c>
      <c r="ZK2" s="8">
        <v>0.0</v>
      </c>
      <c r="ZL2" s="8">
        <v>0.0</v>
      </c>
      <c r="ZM2" s="8">
        <v>1.0</v>
      </c>
      <c r="ZN2" s="9"/>
      <c r="ZO2" s="9"/>
      <c r="ZP2" s="9"/>
      <c r="ZQ2" s="9"/>
      <c r="ZR2" s="9"/>
      <c r="ZS2" s="9"/>
      <c r="ZT2" s="9"/>
      <c r="ZU2" s="9"/>
      <c r="ZV2" s="8">
        <v>2.0</v>
      </c>
      <c r="ZW2" s="9"/>
      <c r="ZX2" s="9"/>
      <c r="ZY2" s="9"/>
      <c r="ZZ2" s="9"/>
      <c r="AAA2" s="9"/>
      <c r="AAB2" s="8">
        <v>2.0</v>
      </c>
      <c r="AAC2" s="8">
        <v>2.0</v>
      </c>
      <c r="AAD2" s="9" t="s">
        <v>1186</v>
      </c>
      <c r="AAE2" s="9"/>
      <c r="AAF2" s="9"/>
      <c r="AAG2" s="9"/>
      <c r="AAH2" s="9"/>
      <c r="AAI2" s="9"/>
      <c r="AAJ2" s="9" t="s">
        <v>905</v>
      </c>
      <c r="AAK2" s="9" t="s">
        <v>905</v>
      </c>
      <c r="AAL2" s="9" t="s">
        <v>857</v>
      </c>
      <c r="AAM2" s="9" t="s">
        <v>1942</v>
      </c>
      <c r="AAN2" s="8">
        <v>0.0</v>
      </c>
      <c r="AAO2" s="8">
        <v>1.0</v>
      </c>
      <c r="AAP2" s="8">
        <v>25.0</v>
      </c>
      <c r="AAQ2" s="9"/>
      <c r="AAR2" s="9" t="s">
        <v>857</v>
      </c>
      <c r="AAS2" s="9" t="s">
        <v>867</v>
      </c>
      <c r="AAT2" s="9" t="s">
        <v>906</v>
      </c>
      <c r="AAU2" s="8">
        <v>1.0</v>
      </c>
      <c r="AAV2" s="8">
        <v>0.0</v>
      </c>
      <c r="AAW2" s="8">
        <v>0.0</v>
      </c>
      <c r="AAX2" s="8">
        <v>0.0</v>
      </c>
      <c r="AAY2" s="8">
        <v>0.0</v>
      </c>
      <c r="AAZ2" s="8">
        <v>0.0</v>
      </c>
      <c r="ABA2" s="8">
        <v>0.0</v>
      </c>
      <c r="ABB2" s="9" t="s">
        <v>907</v>
      </c>
      <c r="ABC2" s="8">
        <v>1.0</v>
      </c>
      <c r="ABD2" s="8">
        <v>0.0</v>
      </c>
      <c r="ABE2" s="8">
        <v>0.0</v>
      </c>
      <c r="ABF2" s="8">
        <v>0.0</v>
      </c>
      <c r="ABG2" s="8">
        <v>0.0</v>
      </c>
      <c r="ABH2" s="9"/>
      <c r="ABI2" s="9"/>
      <c r="ABJ2" s="9"/>
      <c r="ABK2" s="9"/>
      <c r="ABL2" s="9"/>
      <c r="ABM2" s="9"/>
      <c r="ABN2" s="9"/>
      <c r="ABO2" s="9"/>
      <c r="ABP2" s="9"/>
      <c r="ABQ2" s="9" t="s">
        <v>1943</v>
      </c>
      <c r="ABR2" s="9" t="s">
        <v>1075</v>
      </c>
      <c r="ABS2" s="8">
        <v>2000.0</v>
      </c>
      <c r="ABT2" s="9"/>
      <c r="ABU2" s="8">
        <v>10.0</v>
      </c>
      <c r="ABV2" s="8">
        <v>0.0</v>
      </c>
      <c r="ABW2" s="9" t="s">
        <v>1199</v>
      </c>
      <c r="ABX2" s="9"/>
      <c r="ABY2" s="8">
        <v>150.0</v>
      </c>
      <c r="ABZ2" s="8">
        <v>2250.0</v>
      </c>
      <c r="ACA2" s="8">
        <v>75.0</v>
      </c>
      <c r="ACB2" s="8">
        <v>10000.0</v>
      </c>
      <c r="ACC2" s="8">
        <v>936.0</v>
      </c>
      <c r="ACD2" s="8">
        <v>988.0</v>
      </c>
      <c r="ACE2" s="9" t="s">
        <v>857</v>
      </c>
      <c r="ACF2" s="9" t="s">
        <v>1183</v>
      </c>
      <c r="ACG2" s="9" t="s">
        <v>1183</v>
      </c>
      <c r="ACH2" s="9" t="s">
        <v>1183</v>
      </c>
      <c r="ACI2" s="9"/>
      <c r="ACJ2" s="9"/>
      <c r="ACK2" s="9"/>
      <c r="ACL2" s="9"/>
      <c r="ACM2" s="9"/>
      <c r="ACN2" s="9"/>
      <c r="ACO2" s="9"/>
      <c r="ACP2" s="9"/>
      <c r="ACQ2" s="9"/>
      <c r="ACR2" s="9"/>
      <c r="ACS2" s="9"/>
      <c r="ACT2" s="9" t="s">
        <v>881</v>
      </c>
      <c r="ACU2" s="9" t="s">
        <v>1944</v>
      </c>
      <c r="ACV2" s="9" t="s">
        <v>914</v>
      </c>
      <c r="ACW2" s="9" t="s">
        <v>915</v>
      </c>
      <c r="ACX2" s="9" t="s">
        <v>916</v>
      </c>
      <c r="ACY2" s="9" t="s">
        <v>1017</v>
      </c>
      <c r="ACZ2" s="8">
        <v>1.0</v>
      </c>
      <c r="ADA2" s="8">
        <v>1.0</v>
      </c>
      <c r="ADB2" s="8">
        <v>1.0</v>
      </c>
      <c r="ADC2" s="8">
        <v>0.0</v>
      </c>
      <c r="ADD2" s="9" t="s">
        <v>1187</v>
      </c>
      <c r="ADE2" s="9" t="s">
        <v>917</v>
      </c>
      <c r="ADF2" s="9" t="s">
        <v>917</v>
      </c>
      <c r="ADG2" s="9" t="s">
        <v>917</v>
      </c>
      <c r="ADH2" s="9" t="s">
        <v>881</v>
      </c>
      <c r="ADI2" s="9"/>
      <c r="ADJ2" s="9" t="s">
        <v>917</v>
      </c>
      <c r="ADK2" s="9"/>
      <c r="ADL2" s="9"/>
      <c r="ADM2" s="9"/>
      <c r="ADN2" s="9"/>
      <c r="ADO2" s="9"/>
      <c r="ADP2" s="9"/>
      <c r="ADQ2" s="9"/>
      <c r="ADR2" s="9"/>
      <c r="ADS2" s="9"/>
      <c r="ADT2" s="9"/>
      <c r="ADU2" s="9" t="s">
        <v>919</v>
      </c>
      <c r="ADV2" s="8">
        <v>0.0</v>
      </c>
      <c r="ADW2" s="8">
        <v>0.0</v>
      </c>
      <c r="ADX2" s="8">
        <v>0.0</v>
      </c>
      <c r="ADY2" s="8">
        <v>0.0</v>
      </c>
      <c r="ADZ2" s="8">
        <v>1.0</v>
      </c>
      <c r="AEA2" s="8">
        <v>0.0</v>
      </c>
      <c r="AEB2" s="8">
        <v>0.0</v>
      </c>
      <c r="AEC2" s="8">
        <v>0.0</v>
      </c>
      <c r="AED2" s="9" t="s">
        <v>1945</v>
      </c>
      <c r="AEE2" s="9" t="s">
        <v>872</v>
      </c>
      <c r="AEF2" s="9"/>
      <c r="AEG2" s="9" t="s">
        <v>920</v>
      </c>
      <c r="AEH2" s="9"/>
      <c r="AEI2" s="9" t="s">
        <v>1946</v>
      </c>
      <c r="AEJ2" s="9" t="s">
        <v>961</v>
      </c>
      <c r="AEK2" s="9" t="s">
        <v>1947</v>
      </c>
      <c r="AEL2" s="8">
        <v>1.0</v>
      </c>
      <c r="AEM2" s="8">
        <v>0.0</v>
      </c>
      <c r="AEN2" s="8">
        <v>0.0</v>
      </c>
      <c r="AEO2" s="8">
        <v>0.0</v>
      </c>
      <c r="AEP2" s="8">
        <v>0.0</v>
      </c>
      <c r="AEQ2" s="8">
        <v>0.0</v>
      </c>
      <c r="AER2" s="8">
        <v>1.0</v>
      </c>
      <c r="AES2" s="8">
        <v>1.0</v>
      </c>
      <c r="AET2" s="8">
        <v>0.0</v>
      </c>
      <c r="AEU2" s="8">
        <v>0.0</v>
      </c>
      <c r="AEV2" s="8">
        <v>0.0</v>
      </c>
      <c r="AEW2" s="8">
        <v>0.0</v>
      </c>
      <c r="AEX2" s="9"/>
      <c r="AEY2" s="9" t="s">
        <v>1305</v>
      </c>
      <c r="AEZ2" s="9"/>
      <c r="AFA2" s="9" t="s">
        <v>1188</v>
      </c>
      <c r="AFB2" s="9"/>
      <c r="AFC2" s="9" t="s">
        <v>1948</v>
      </c>
      <c r="AFD2" s="16" t="s">
        <v>1949</v>
      </c>
      <c r="AFE2" s="9" t="s">
        <v>1950</v>
      </c>
      <c r="AFF2" s="16" t="s">
        <v>1949</v>
      </c>
      <c r="AFG2" s="9"/>
      <c r="AFH2" s="9"/>
      <c r="AFI2" s="21" t="s">
        <v>1951</v>
      </c>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t="s">
        <v>1952</v>
      </c>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t="s">
        <v>919</v>
      </c>
      <c r="AVG2" s="9"/>
      <c r="AVH2" s="9"/>
      <c r="AVI2" s="9"/>
      <c r="AVJ2" s="9"/>
      <c r="AVK2" s="9"/>
      <c r="AVL2" s="9"/>
      <c r="AVM2" s="9"/>
      <c r="AVN2" s="9"/>
      <c r="AVO2" s="9"/>
      <c r="AVP2" s="9"/>
      <c r="AVQ2" s="9"/>
      <c r="AVR2" s="9"/>
      <c r="AVS2" s="9"/>
      <c r="AVT2" s="9"/>
      <c r="AVU2" s="9"/>
      <c r="AVV2" s="9"/>
      <c r="AVW2" s="9"/>
      <c r="AVX2" s="9"/>
      <c r="AVY2" s="9"/>
      <c r="AVZ2" s="9"/>
      <c r="AWA2" s="8">
        <v>6.58515687E8</v>
      </c>
      <c r="AWB2" s="9" t="s">
        <v>1953</v>
      </c>
      <c r="AWC2" s="6">
        <v>46051.0</v>
      </c>
      <c r="AWD2" s="9"/>
      <c r="AWE2" s="9"/>
      <c r="AWF2" s="9" t="s">
        <v>1954</v>
      </c>
      <c r="AWG2" s="9"/>
      <c r="AWH2" s="9" t="s">
        <v>1955</v>
      </c>
      <c r="AWI2" s="9"/>
      <c r="AWJ2" s="9" t="s">
        <v>1956</v>
      </c>
      <c r="AWK2" s="8">
        <v>15.0</v>
      </c>
      <c r="AWL2" s="9" t="s">
        <v>1928</v>
      </c>
      <c r="AWM2" s="8">
        <v>0.0</v>
      </c>
      <c r="AWN2" s="9" t="s">
        <v>1957</v>
      </c>
      <c r="AWO2" s="33" t="b">
        <v>1</v>
      </c>
      <c r="AWP2" s="33" t="b">
        <v>1</v>
      </c>
      <c r="AWQ2" s="33" t="b">
        <v>1</v>
      </c>
      <c r="AWR2" s="33" t="b">
        <v>1</v>
      </c>
      <c r="AWS2" s="33" t="b">
        <v>1</v>
      </c>
      <c r="AWT2" s="33" t="b">
        <v>1</v>
      </c>
      <c r="AWU2" s="9"/>
      <c r="AWV2" s="8">
        <v>8.0</v>
      </c>
      <c r="AWW2" s="9"/>
      <c r="AWX2" s="9"/>
      <c r="AWY2" s="9"/>
      <c r="AWZ2" s="9"/>
    </row>
    <row r="3">
      <c r="A3" s="6">
        <v>46049.0</v>
      </c>
      <c r="B3" s="6">
        <v>46069.0</v>
      </c>
      <c r="C3" s="30" t="s">
        <v>1958</v>
      </c>
      <c r="D3" s="30" t="s">
        <v>1959</v>
      </c>
      <c r="E3" s="8">
        <f>+620</f>
        <v>620</v>
      </c>
      <c r="F3" s="9" t="s">
        <v>1960</v>
      </c>
      <c r="G3" s="8">
        <v>-5.497072</v>
      </c>
      <c r="H3" s="8">
        <v>119.535618</v>
      </c>
      <c r="I3" s="8">
        <v>119.2848576</v>
      </c>
      <c r="J3" s="8">
        <v>14.61400032</v>
      </c>
      <c r="K3" s="8">
        <v>0.0</v>
      </c>
      <c r="L3" s="9" t="s">
        <v>1961</v>
      </c>
      <c r="M3" s="8">
        <v>-5.497178</v>
      </c>
      <c r="N3" s="8">
        <v>119.535455</v>
      </c>
      <c r="O3" s="8">
        <v>119.013331</v>
      </c>
      <c r="P3" s="8">
        <v>4.18200016</v>
      </c>
      <c r="Q3" s="8">
        <v>0.0</v>
      </c>
      <c r="R3" s="9" t="s">
        <v>1923</v>
      </c>
      <c r="S3" s="8">
        <v>0.0</v>
      </c>
      <c r="T3" s="8">
        <v>0.0</v>
      </c>
      <c r="U3" s="8">
        <v>0.0</v>
      </c>
      <c r="V3" s="8">
        <v>0.0</v>
      </c>
      <c r="W3" s="8">
        <v>0.0</v>
      </c>
      <c r="X3" s="8">
        <v>0.0</v>
      </c>
      <c r="Y3" s="8">
        <v>0.0</v>
      </c>
      <c r="Z3" s="8">
        <v>0.0</v>
      </c>
      <c r="AA3" s="8">
        <v>0.0</v>
      </c>
      <c r="AB3" s="8">
        <v>1.0</v>
      </c>
      <c r="AC3" s="7" t="s">
        <v>1962</v>
      </c>
      <c r="AD3" s="7" t="s">
        <v>1963</v>
      </c>
      <c r="AE3" s="7" t="s">
        <v>1964</v>
      </c>
      <c r="AF3" s="9" t="s">
        <v>1965</v>
      </c>
      <c r="AG3" s="9" t="s">
        <v>1966</v>
      </c>
      <c r="AH3" s="8">
        <v>9.0</v>
      </c>
      <c r="AI3" s="9" t="s">
        <v>845</v>
      </c>
      <c r="AJ3" s="9" t="s">
        <v>934</v>
      </c>
      <c r="AK3" s="8">
        <v>50.0</v>
      </c>
      <c r="AL3" s="9" t="s">
        <v>847</v>
      </c>
      <c r="AM3" s="9" t="s">
        <v>848</v>
      </c>
      <c r="AN3" s="9" t="s">
        <v>1967</v>
      </c>
      <c r="AO3" s="9" t="s">
        <v>850</v>
      </c>
      <c r="AP3" s="8">
        <v>1.0</v>
      </c>
      <c r="AQ3" s="8">
        <v>0.0</v>
      </c>
      <c r="AR3" s="8">
        <v>0.0</v>
      </c>
      <c r="AS3" s="8">
        <v>0.0</v>
      </c>
      <c r="AT3" s="8">
        <v>0.0</v>
      </c>
      <c r="AU3" s="8">
        <v>0.0</v>
      </c>
      <c r="AV3" s="8">
        <v>0.0</v>
      </c>
      <c r="AW3" s="8">
        <v>0.0</v>
      </c>
      <c r="AX3" s="9"/>
      <c r="AY3" s="9" t="s">
        <v>999</v>
      </c>
      <c r="AZ3" s="8">
        <v>0.0</v>
      </c>
      <c r="BA3" s="8">
        <v>0.0</v>
      </c>
      <c r="BB3" s="8">
        <v>0.0</v>
      </c>
      <c r="BC3" s="8">
        <v>0.0</v>
      </c>
      <c r="BD3" s="8">
        <v>0.0</v>
      </c>
      <c r="BE3" s="8">
        <v>0.0</v>
      </c>
      <c r="BF3" s="8">
        <v>0.0</v>
      </c>
      <c r="BG3" s="8">
        <v>1.0</v>
      </c>
      <c r="BH3" s="11"/>
      <c r="BI3" s="9" t="s">
        <v>1101</v>
      </c>
      <c r="BJ3" s="8">
        <v>2.0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1929</v>
      </c>
      <c r="CD3" s="8">
        <v>0.0</v>
      </c>
      <c r="CE3" s="8">
        <v>0.0</v>
      </c>
      <c r="CF3" s="8">
        <v>0.0</v>
      </c>
      <c r="CG3" s="8">
        <v>0.0</v>
      </c>
      <c r="CH3" s="8">
        <v>1.0</v>
      </c>
      <c r="CI3" s="8">
        <v>0.0</v>
      </c>
      <c r="CJ3" s="8">
        <v>0.0</v>
      </c>
      <c r="CK3" s="9"/>
      <c r="CL3" s="9" t="s">
        <v>857</v>
      </c>
      <c r="CM3" s="8">
        <v>2017.0</v>
      </c>
      <c r="CN3" s="9" t="s">
        <v>858</v>
      </c>
      <c r="CO3" s="9" t="s">
        <v>1968</v>
      </c>
      <c r="CP3" s="9" t="s">
        <v>860</v>
      </c>
      <c r="CQ3" s="8">
        <v>0.0</v>
      </c>
      <c r="CR3" s="8">
        <v>0.0</v>
      </c>
      <c r="CS3" s="8">
        <v>0.0</v>
      </c>
      <c r="CT3" s="8">
        <v>0.0</v>
      </c>
      <c r="CU3" s="8">
        <v>1.0</v>
      </c>
      <c r="CV3" s="8">
        <v>0.0</v>
      </c>
      <c r="CW3" s="8">
        <v>0.0</v>
      </c>
      <c r="CX3" s="8">
        <v>0.0</v>
      </c>
      <c r="CY3" s="9" t="s">
        <v>860</v>
      </c>
      <c r="CZ3" s="8">
        <v>1.0</v>
      </c>
      <c r="DA3" s="8">
        <v>0.0</v>
      </c>
      <c r="DB3" s="8">
        <v>0.0</v>
      </c>
      <c r="DC3" s="9"/>
      <c r="DD3" s="9" t="s">
        <v>860</v>
      </c>
      <c r="DE3" s="8">
        <v>1.0</v>
      </c>
      <c r="DF3" s="8">
        <v>0.0</v>
      </c>
      <c r="DG3" s="8">
        <v>0.0</v>
      </c>
      <c r="DH3" s="8">
        <v>0.0</v>
      </c>
      <c r="DI3" s="9"/>
      <c r="DJ3" s="9" t="s">
        <v>937</v>
      </c>
      <c r="DK3" s="8">
        <v>1.0</v>
      </c>
      <c r="DL3" s="8">
        <v>0.0</v>
      </c>
      <c r="DM3" s="8">
        <v>1.0</v>
      </c>
      <c r="DN3" s="8">
        <v>0.0</v>
      </c>
      <c r="DO3" s="9"/>
      <c r="DP3" s="9" t="s">
        <v>938</v>
      </c>
      <c r="DQ3" s="9" t="s">
        <v>939</v>
      </c>
      <c r="DR3" s="17" t="s">
        <v>1969</v>
      </c>
      <c r="DS3" s="9"/>
      <c r="DT3" s="9"/>
      <c r="DU3" s="9"/>
      <c r="DV3" s="9"/>
      <c r="DW3" s="9"/>
      <c r="DX3" s="9"/>
      <c r="DY3" s="9"/>
      <c r="DZ3" s="9"/>
      <c r="EA3" s="9"/>
      <c r="EB3" s="9"/>
      <c r="EC3" s="9"/>
      <c r="ED3" s="9"/>
      <c r="EE3" s="9"/>
      <c r="EF3" s="9"/>
      <c r="EG3" s="9"/>
      <c r="EH3" s="9"/>
      <c r="EI3" s="31" t="s">
        <v>862</v>
      </c>
      <c r="EJ3" s="8">
        <v>0.0</v>
      </c>
      <c r="EK3" s="8">
        <v>0.0</v>
      </c>
      <c r="EL3" s="8">
        <v>0.0</v>
      </c>
      <c r="EM3" s="8">
        <v>1.0</v>
      </c>
      <c r="EN3" s="8">
        <v>0.0</v>
      </c>
      <c r="EO3" s="9"/>
      <c r="EP3" s="9" t="s">
        <v>863</v>
      </c>
      <c r="EQ3" s="9" t="s">
        <v>1380</v>
      </c>
      <c r="ER3" s="9" t="s">
        <v>969</v>
      </c>
      <c r="ES3" s="8">
        <v>0.0</v>
      </c>
      <c r="ET3" s="8">
        <v>0.0</v>
      </c>
      <c r="EU3" s="8">
        <v>0.0</v>
      </c>
      <c r="EV3" s="8">
        <v>1.0</v>
      </c>
      <c r="EW3" s="9" t="s">
        <v>1970</v>
      </c>
      <c r="EX3" s="9" t="s">
        <v>865</v>
      </c>
      <c r="EY3" s="8">
        <v>1.0</v>
      </c>
      <c r="EZ3" s="8">
        <v>0.0</v>
      </c>
      <c r="FA3" s="8">
        <v>0.0</v>
      </c>
      <c r="FB3" s="9"/>
      <c r="FC3" s="9" t="s">
        <v>1072</v>
      </c>
      <c r="FD3" s="9"/>
      <c r="FE3" s="9" t="s">
        <v>867</v>
      </c>
      <c r="FF3" s="9" t="s">
        <v>869</v>
      </c>
      <c r="FG3" s="9" t="s">
        <v>867</v>
      </c>
      <c r="FH3" s="9" t="s">
        <v>870</v>
      </c>
      <c r="FI3" s="9" t="s">
        <v>867</v>
      </c>
      <c r="FJ3" s="9" t="s">
        <v>868</v>
      </c>
      <c r="FK3" s="9" t="s">
        <v>1971</v>
      </c>
      <c r="FL3" s="9" t="s">
        <v>883</v>
      </c>
      <c r="FM3" s="9" t="s">
        <v>867</v>
      </c>
      <c r="FN3" s="9" t="s">
        <v>868</v>
      </c>
      <c r="FO3" s="9" t="s">
        <v>1971</v>
      </c>
      <c r="FP3" s="9" t="s">
        <v>883</v>
      </c>
      <c r="FQ3" s="9" t="s">
        <v>867</v>
      </c>
      <c r="FR3" s="9" t="s">
        <v>857</v>
      </c>
      <c r="FS3" s="9" t="s">
        <v>867</v>
      </c>
      <c r="FT3" s="9" t="s">
        <v>871</v>
      </c>
      <c r="FU3" s="9" t="s">
        <v>989</v>
      </c>
      <c r="FV3" s="8">
        <v>1.0</v>
      </c>
      <c r="FW3" s="8">
        <v>1.0</v>
      </c>
      <c r="FX3" s="8">
        <v>0.0</v>
      </c>
      <c r="FY3" s="8">
        <v>0.0</v>
      </c>
      <c r="FZ3" s="9" t="s">
        <v>1972</v>
      </c>
      <c r="GA3" s="9" t="s">
        <v>969</v>
      </c>
      <c r="GB3" s="8">
        <v>0.0</v>
      </c>
      <c r="GC3" s="8">
        <v>0.0</v>
      </c>
      <c r="GD3" s="8">
        <v>0.0</v>
      </c>
      <c r="GE3" s="8">
        <v>1.0</v>
      </c>
      <c r="GF3" s="9" t="s">
        <v>1972</v>
      </c>
      <c r="GG3" s="9" t="s">
        <v>883</v>
      </c>
      <c r="GH3" s="9" t="s">
        <v>881</v>
      </c>
      <c r="GI3" s="9"/>
      <c r="GJ3" s="9"/>
      <c r="GK3" s="9"/>
      <c r="GL3" s="9"/>
      <c r="GM3" s="9"/>
      <c r="GN3" s="9"/>
      <c r="GO3" s="9"/>
      <c r="GP3" s="34" t="s">
        <v>1931</v>
      </c>
      <c r="GQ3" s="9" t="s">
        <v>1102</v>
      </c>
      <c r="GR3" s="8">
        <v>1.0</v>
      </c>
      <c r="GS3" s="8">
        <v>0.0</v>
      </c>
      <c r="GT3" s="8">
        <v>0.0</v>
      </c>
      <c r="GU3" s="8">
        <v>0.0</v>
      </c>
      <c r="GV3" s="8">
        <v>0.0</v>
      </c>
      <c r="GW3" s="8">
        <v>0.0</v>
      </c>
      <c r="GX3" s="8">
        <v>0.0</v>
      </c>
      <c r="GY3" s="9"/>
      <c r="GZ3" s="9" t="s">
        <v>857</v>
      </c>
      <c r="HA3" s="9"/>
      <c r="HB3" s="9"/>
      <c r="HC3" s="9"/>
      <c r="HD3" s="9"/>
      <c r="HE3" s="8">
        <v>24.0</v>
      </c>
      <c r="HF3" s="8">
        <v>120000.0</v>
      </c>
      <c r="HG3" s="8">
        <v>6.0</v>
      </c>
      <c r="HH3" s="8">
        <v>40000.0</v>
      </c>
      <c r="HI3" s="9"/>
      <c r="HJ3" s="9"/>
      <c r="HK3" s="9"/>
      <c r="HL3" s="9"/>
      <c r="HM3" s="9"/>
      <c r="HN3" s="9"/>
      <c r="HO3" s="9"/>
      <c r="HP3" s="9"/>
      <c r="HQ3" s="9"/>
      <c r="HR3" s="9"/>
      <c r="HS3" s="9"/>
      <c r="HT3" s="9"/>
      <c r="HU3" s="9"/>
      <c r="HV3" s="9"/>
      <c r="HW3" s="9"/>
      <c r="HX3" s="9"/>
      <c r="HY3" s="9"/>
      <c r="HZ3" s="9"/>
      <c r="IA3" s="8">
        <v>18.0</v>
      </c>
      <c r="IB3" s="8">
        <v>120.0</v>
      </c>
      <c r="IC3" s="9"/>
      <c r="ID3" s="9"/>
      <c r="IE3" s="9"/>
      <c r="IF3" s="9"/>
      <c r="IG3" s="9"/>
      <c r="IH3" s="9"/>
      <c r="II3" s="9"/>
      <c r="IJ3" s="9"/>
      <c r="IK3" s="9" t="s">
        <v>1382</v>
      </c>
      <c r="IL3" s="9" t="s">
        <v>1366</v>
      </c>
      <c r="IM3" s="9" t="s">
        <v>857</v>
      </c>
      <c r="IN3" s="9" t="s">
        <v>881</v>
      </c>
      <c r="IO3" s="9" t="s">
        <v>945</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999</v>
      </c>
      <c r="KW3" s="8">
        <v>0.0</v>
      </c>
      <c r="KX3" s="8">
        <v>0.0</v>
      </c>
      <c r="KY3" s="8">
        <v>0.0</v>
      </c>
      <c r="KZ3" s="8">
        <v>1.0</v>
      </c>
      <c r="LA3" s="9" t="s">
        <v>945</v>
      </c>
      <c r="LB3" s="9" t="s">
        <v>945</v>
      </c>
      <c r="LC3" s="8">
        <v>8.0</v>
      </c>
      <c r="LD3" s="8">
        <v>0.0</v>
      </c>
      <c r="LE3" s="8">
        <v>0.0</v>
      </c>
      <c r="LF3" s="8">
        <v>0.0</v>
      </c>
      <c r="LG3" s="9" t="s">
        <v>881</v>
      </c>
      <c r="LH3" s="9"/>
      <c r="LI3" s="8">
        <v>0.0</v>
      </c>
      <c r="LJ3" s="9" t="s">
        <v>969</v>
      </c>
      <c r="LK3" s="8">
        <v>0.0</v>
      </c>
      <c r="LL3" s="8">
        <v>0.0</v>
      </c>
      <c r="LM3" s="8">
        <v>0.0</v>
      </c>
      <c r="LN3" s="8">
        <v>0.0</v>
      </c>
      <c r="LO3" s="8">
        <v>0.0</v>
      </c>
      <c r="LP3" s="8">
        <v>0.0</v>
      </c>
      <c r="LQ3" s="8">
        <v>1.0</v>
      </c>
      <c r="LR3" s="11" t="s">
        <v>1973</v>
      </c>
      <c r="LS3" s="8">
        <v>10.0</v>
      </c>
      <c r="LT3" s="8">
        <v>0.0</v>
      </c>
      <c r="LU3" s="8">
        <v>0.0</v>
      </c>
      <c r="LV3" s="8">
        <v>10.0</v>
      </c>
      <c r="LW3" s="8">
        <v>10.0</v>
      </c>
      <c r="LX3" s="8">
        <v>0.0</v>
      </c>
      <c r="LY3" s="8">
        <v>10.0</v>
      </c>
      <c r="LZ3" s="8">
        <v>10.0</v>
      </c>
      <c r="MA3" s="8">
        <v>0.0</v>
      </c>
      <c r="MB3" s="9" t="s">
        <v>881</v>
      </c>
      <c r="MC3" s="8">
        <v>0.0</v>
      </c>
      <c r="MD3" s="8">
        <v>0.0</v>
      </c>
      <c r="ME3" s="8">
        <v>0.0</v>
      </c>
      <c r="MF3" s="8">
        <v>0.0</v>
      </c>
      <c r="MG3" s="8">
        <v>0.0</v>
      </c>
      <c r="MH3" s="8">
        <v>0.0</v>
      </c>
      <c r="MI3" s="9"/>
      <c r="MJ3" s="9"/>
      <c r="MK3" s="9"/>
      <c r="ML3" s="9"/>
      <c r="MM3" s="9"/>
      <c r="MN3" s="9"/>
      <c r="MO3" s="9"/>
      <c r="MP3" s="9"/>
      <c r="MQ3" s="9"/>
      <c r="MR3" s="17" t="s">
        <v>1974</v>
      </c>
      <c r="MS3" s="9"/>
      <c r="MT3" s="9" t="s">
        <v>1974</v>
      </c>
      <c r="MU3" s="9" t="s">
        <v>881</v>
      </c>
      <c r="MV3" s="9"/>
      <c r="MW3" s="9"/>
      <c r="MX3" s="9"/>
      <c r="MY3" s="9"/>
      <c r="MZ3" s="9"/>
      <c r="NA3" s="9"/>
      <c r="NB3" s="9"/>
      <c r="NC3" s="9"/>
      <c r="ND3" s="9"/>
      <c r="NE3" s="9"/>
      <c r="NF3" s="9"/>
      <c r="NG3" s="9"/>
      <c r="NH3" s="9"/>
      <c r="NI3" s="9"/>
      <c r="NJ3" s="9"/>
      <c r="NK3" s="9"/>
      <c r="NL3" s="9" t="s">
        <v>857</v>
      </c>
      <c r="NM3" s="9" t="s">
        <v>1386</v>
      </c>
      <c r="NN3" s="17" t="s">
        <v>1975</v>
      </c>
      <c r="NO3" s="17" t="s">
        <v>895</v>
      </c>
      <c r="NP3" s="9"/>
      <c r="NQ3" s="9"/>
      <c r="NR3" s="9"/>
      <c r="NS3" s="9"/>
      <c r="NT3" s="9"/>
      <c r="NU3" s="9"/>
      <c r="NV3" s="9"/>
      <c r="NW3" s="9"/>
      <c r="NX3" s="9" t="s">
        <v>914</v>
      </c>
      <c r="NY3" s="8">
        <v>30.0</v>
      </c>
      <c r="NZ3" s="8">
        <v>0.0</v>
      </c>
      <c r="OA3" s="8">
        <v>0.0</v>
      </c>
      <c r="OB3" s="8">
        <v>20.0</v>
      </c>
      <c r="OC3" s="8">
        <v>30.0</v>
      </c>
      <c r="OD3" s="8">
        <v>0.0</v>
      </c>
      <c r="OE3" s="9" t="s">
        <v>945</v>
      </c>
      <c r="OF3" s="9" t="s">
        <v>1388</v>
      </c>
      <c r="OG3" s="9" t="s">
        <v>857</v>
      </c>
      <c r="OH3" s="8">
        <v>4.0</v>
      </c>
      <c r="OI3" s="8">
        <v>0.0</v>
      </c>
      <c r="OJ3" s="8">
        <v>0.0</v>
      </c>
      <c r="OK3" s="8">
        <v>0.0</v>
      </c>
      <c r="OL3" s="8">
        <v>0.0</v>
      </c>
      <c r="OM3" s="8">
        <v>0.0</v>
      </c>
      <c r="ON3" s="8">
        <v>4.0</v>
      </c>
      <c r="OO3" s="8">
        <v>2.0</v>
      </c>
      <c r="OP3" s="9" t="str">
        <f>VLOOKUP(AG3,'BUS 2'!$G$1:$CU$424,2,0)</f>
        <v>Sapi pedaging Ayam Unggas lainnya</v>
      </c>
      <c r="OQ3" s="8">
        <f>VLOOKUP(AG3,'BUS 2'!$G$1:$CU$424,3,0)</f>
        <v>1</v>
      </c>
      <c r="OR3" s="8">
        <f>VLOOKUP(AG3,'BUS 2'!$G$1:$CU$424,4,0)</f>
        <v>0</v>
      </c>
      <c r="OS3" s="8">
        <f>VLOOKUP(AG3,'BUS 2'!$G$1:$CU$424,5,0)</f>
        <v>0</v>
      </c>
      <c r="OT3" s="8">
        <f>VLOOKUP(AG3,'BUS 2'!$G$1:$CU$424,6,0)</f>
        <v>0</v>
      </c>
      <c r="OU3" s="8">
        <f>VLOOKUP(AG3,'BUS 2'!$G$1:$CU$424,7,0)</f>
        <v>0</v>
      </c>
      <c r="OV3" s="8">
        <f>VLOOKUP(AG3,'BUS 2'!$G$1:$CU$424,8,0)</f>
        <v>0</v>
      </c>
      <c r="OW3" s="8">
        <f>VLOOKUP(AG3,'BUS 2'!$G$1:$CU$424,9,0)</f>
        <v>1</v>
      </c>
      <c r="OX3" s="8">
        <f>VLOOKUP(AG3,'BUS 2'!$G$1:$CU$424,10,0)</f>
        <v>1</v>
      </c>
      <c r="OY3" s="8">
        <f>VLOOKUP(AG3,'BUS 2'!$G$1:$CU$424,11,0)</f>
        <v>0</v>
      </c>
      <c r="OZ3" s="8" t="str">
        <f>VLOOKUP(AG3,'BUS 2'!$G$1:$CU$424,12,0)</f>
        <v>Sapi pedaging Ayam Unggas lainnya</v>
      </c>
      <c r="PA3" s="8">
        <f>VLOOKUP(AG3,'BUS 2'!$G$1:$CU$424,13,0)</f>
        <v>1</v>
      </c>
      <c r="PB3" s="8">
        <f>VLOOKUP(AG3,'BUS 2'!$G$1:$CU$424,14,0)</f>
        <v>0</v>
      </c>
      <c r="PC3" s="8">
        <f>VLOOKUP(AG3,'BUS 2'!$G$1:$CU$424,15,0)</f>
        <v>0</v>
      </c>
      <c r="PD3" s="8">
        <f>VLOOKUP(AG3,'BUS 2'!$G$1:$CU$424,16,0)</f>
        <v>0</v>
      </c>
      <c r="PE3" s="8">
        <f>VLOOKUP(AG3,'BUS 2'!$G$1:$CU$424,17,0)</f>
        <v>0</v>
      </c>
      <c r="PF3" s="8">
        <f>VLOOKUP(AG3,'BUS 2'!$G$1:$CU$424,18,0)</f>
        <v>0</v>
      </c>
      <c r="PG3" s="8">
        <f>VLOOKUP(AG3,'BUS 2'!$G$1:$CU$424,19,0)</f>
        <v>1</v>
      </c>
      <c r="PH3" s="8">
        <f>VLOOKUP(AG3,'BUS 2'!$G$1:$CU$424,20,0)</f>
        <v>1</v>
      </c>
      <c r="PI3" s="8">
        <f>VLOOKUP(AG3,'BUS 2'!$G$1:$CU$424,21,0)</f>
        <v>0</v>
      </c>
      <c r="PJ3" s="8" t="str">
        <f>VLOOKUP(AG3,'BUS 2'!$G$1:$CU$424,22,0)</f>
        <v>Tidak ada</v>
      </c>
      <c r="PK3" s="8">
        <f>VLOOKUP(AG3,'BUS 2'!$G$1:$CU$424,23,0)</f>
        <v>0</v>
      </c>
      <c r="PL3" s="8">
        <f>VLOOKUP(AG3,'BUS 2'!$G$1:$CU$424,24,0)</f>
        <v>0</v>
      </c>
      <c r="PM3" s="8">
        <f>VLOOKUP(AG3,'BUS 2'!$G$1:$CU$424,25,0)</f>
        <v>0</v>
      </c>
      <c r="PN3" s="8">
        <f>VLOOKUP(AG3,'BUS 2'!$G$1:$CU$424,26,0)</f>
        <v>0</v>
      </c>
      <c r="PO3" s="8">
        <f>VLOOKUP(AG3,'BUS 2'!$G$1:$CU$424,27,0)</f>
        <v>0</v>
      </c>
      <c r="PP3" s="8">
        <f>VLOOKUP(AG3,'BUS 2'!$G$1:$CU$424,28,0)</f>
        <v>0</v>
      </c>
      <c r="PQ3" s="8">
        <f>VLOOKUP(AG3,'BUS 2'!$G$1:$CU$424,29,0)</f>
        <v>0</v>
      </c>
      <c r="PR3" s="8">
        <f>VLOOKUP(AG3,'BUS 2'!$G$1:$CU$424,30,0)</f>
        <v>0</v>
      </c>
      <c r="PS3" s="8">
        <f>VLOOKUP(AG3,'BUS 2'!$G$1:$CU$424,31,0)</f>
        <v>1</v>
      </c>
      <c r="PT3" s="9" t="s">
        <v>900</v>
      </c>
      <c r="PU3" s="8">
        <v>0.0</v>
      </c>
      <c r="PV3" s="8">
        <v>0.0</v>
      </c>
      <c r="PW3" s="8">
        <v>0.0</v>
      </c>
      <c r="PX3" s="8">
        <v>0.0</v>
      </c>
      <c r="PY3" s="8">
        <v>0.0</v>
      </c>
      <c r="PZ3" s="8">
        <v>1.0</v>
      </c>
      <c r="QA3" s="8">
        <v>0.0</v>
      </c>
      <c r="QB3" s="8">
        <v>0.0</v>
      </c>
      <c r="QC3" s="8">
        <v>0.0</v>
      </c>
      <c r="QD3" s="9"/>
      <c r="QE3" s="32"/>
      <c r="QF3" s="31"/>
      <c r="QG3" s="31"/>
      <c r="QH3" s="31"/>
      <c r="QI3" s="31"/>
      <c r="QJ3" s="31"/>
      <c r="QK3" s="32"/>
      <c r="QL3" s="32"/>
      <c r="QM3" s="32"/>
      <c r="QN3" s="32"/>
      <c r="QO3" s="32"/>
      <c r="QP3" s="32"/>
      <c r="QQ3" s="32"/>
      <c r="QR3" s="32"/>
      <c r="QS3" s="32"/>
      <c r="QT3" s="32"/>
      <c r="QU3" s="32"/>
      <c r="QV3" s="32"/>
      <c r="QW3" s="31"/>
      <c r="QX3" s="31"/>
      <c r="QY3" s="31"/>
      <c r="QZ3" s="31"/>
      <c r="RA3" s="31"/>
      <c r="RB3" s="32"/>
      <c r="RC3" s="32"/>
      <c r="RD3" s="32"/>
      <c r="RE3" s="32"/>
      <c r="RF3" s="32"/>
      <c r="RG3" s="9"/>
      <c r="RH3" s="31"/>
      <c r="RI3" s="31"/>
      <c r="RJ3" s="31"/>
      <c r="RK3" s="31"/>
      <c r="RL3" s="31"/>
      <c r="RM3" s="9"/>
      <c r="RN3" s="9"/>
      <c r="RO3" s="9"/>
      <c r="RP3" s="9"/>
      <c r="RQ3" s="9"/>
      <c r="RR3" s="9"/>
      <c r="RS3" s="31"/>
      <c r="RT3" s="31"/>
      <c r="RU3" s="31"/>
      <c r="RV3" s="31"/>
      <c r="RW3" s="31"/>
      <c r="RX3" s="9"/>
      <c r="RY3" s="9"/>
      <c r="RZ3" s="9"/>
      <c r="SA3" s="9"/>
      <c r="SB3" s="9"/>
      <c r="SC3" s="9" t="s">
        <v>900</v>
      </c>
      <c r="SD3" s="35">
        <v>0.0</v>
      </c>
      <c r="SE3" s="35">
        <v>0.0</v>
      </c>
      <c r="SF3" s="35">
        <v>0.0</v>
      </c>
      <c r="SG3" s="35">
        <v>0.0</v>
      </c>
      <c r="SH3" s="35">
        <v>0.0</v>
      </c>
      <c r="SI3" s="8">
        <v>1.0</v>
      </c>
      <c r="SJ3" s="8">
        <v>0.0</v>
      </c>
      <c r="SK3" s="8">
        <v>0.0</v>
      </c>
      <c r="SL3" s="8">
        <v>0.0</v>
      </c>
      <c r="SM3" s="9"/>
      <c r="SN3" s="9" t="s">
        <v>900</v>
      </c>
      <c r="SO3" s="35">
        <v>0.0</v>
      </c>
      <c r="SP3" s="35">
        <v>0.0</v>
      </c>
      <c r="SQ3" s="35">
        <v>0.0</v>
      </c>
      <c r="SR3" s="35">
        <v>0.0</v>
      </c>
      <c r="SS3" s="35">
        <v>0.0</v>
      </c>
      <c r="ST3" s="8">
        <v>1.0</v>
      </c>
      <c r="SU3" s="8">
        <v>0.0</v>
      </c>
      <c r="SV3" s="8">
        <v>0.0</v>
      </c>
      <c r="SW3" s="8">
        <v>0.0</v>
      </c>
      <c r="SX3" s="9"/>
      <c r="SY3" s="8">
        <f>VLOOKUP(AG3,'BUS 2'!$G$1:$CU$424,33,0)</f>
        <v>3</v>
      </c>
      <c r="SZ3" s="9" t="str">
        <f>VLOOKUP(AG3,'BUS 2'!$G$1:$CU$424,34,0)</f>
        <v/>
      </c>
      <c r="TA3" s="9" t="str">
        <f>VLOOKUP(AG3,'BUS 2'!$G$1:$CU$424,35,0)</f>
        <v/>
      </c>
      <c r="TB3" s="9" t="str">
        <f>VLOOKUP(AG3,'BUS 2'!$G$1:$CU$424,36,0)</f>
        <v/>
      </c>
      <c r="TC3" s="9" t="str">
        <f>VLOOKUP(AG3,'BUS 2'!$G$1:$CU$424,37,0)</f>
        <v/>
      </c>
      <c r="TD3" s="9" t="str">
        <f>VLOOKUP(AG3,'BUS 2'!$G$1:$CU$424,38,0)</f>
        <v/>
      </c>
      <c r="TE3" s="9">
        <f>VLOOKUP(AG3,'BUS 2'!$G$1:$CU$424,39,0)</f>
        <v>4</v>
      </c>
      <c r="TF3" s="9">
        <f>VLOOKUP(AG3,'BUS 2'!$G$1:$CU$424,40,0)</f>
        <v>2</v>
      </c>
      <c r="TG3" s="8">
        <f>VLOOKUP(AG3,'BUS 2'!$G$1:$CU$424,42,0)</f>
        <v>4</v>
      </c>
      <c r="TH3" s="8" t="str">
        <f>VLOOKUP(AG3,'BUS 2'!$G$1:$CU$424,43,0)</f>
        <v/>
      </c>
      <c r="TI3" s="8" t="str">
        <f>VLOOKUP(AG3,'BUS 2'!$G$1:$CU$424,44,0)</f>
        <v/>
      </c>
      <c r="TJ3" s="8" t="str">
        <f>VLOOKUP(AG3,'BUS 2'!$G$1:$CU$424,45,0)</f>
        <v/>
      </c>
      <c r="TK3" s="8" t="str">
        <f>VLOOKUP(AG3,'BUS 2'!$G$1:$CU$424,46,0)</f>
        <v/>
      </c>
      <c r="TL3" s="8" t="str">
        <f>VLOOKUP(AG3,'BUS 2'!$G$1:$CU$424,47,0)</f>
        <v/>
      </c>
      <c r="TM3" s="8">
        <f>VLOOKUP(AG3,'BUS 2'!$G$1:$CU$424,48,0)</f>
        <v>4</v>
      </c>
      <c r="TN3" s="8">
        <f>VLOOKUP(AG3,'BUS 2'!$G$1:$CU$424,49,0)</f>
        <v>2</v>
      </c>
      <c r="TO3" s="8" t="str">
        <f>VLOOKUP(AG3,'BUS 2'!$G$1:$CU$424,50,0)</f>
        <v/>
      </c>
      <c r="TP3" s="8" t="str">
        <f>VLOOKUP(AG3,'BUS 2'!$G$1:$CU$424,51,0)</f>
        <v/>
      </c>
      <c r="TQ3" s="8" t="str">
        <f>VLOOKUP(AG3,'BUS 2'!$G$1:$CU$424,52,0)</f>
        <v/>
      </c>
      <c r="TR3" s="8" t="str">
        <f>VLOOKUP(AG3,'BUS 2'!$G$1:$CU$424,53,0)</f>
        <v/>
      </c>
      <c r="TS3" s="9" t="str">
        <f>VLOOKUP(AG3,'BUS 2'!$G$1:$CU$424,54,0)</f>
        <v/>
      </c>
      <c r="TT3" s="9" t="str">
        <f>VLOOKUP(AG3,'BUS 2'!$G$1:$CU$424,55,0)</f>
        <v/>
      </c>
      <c r="TU3" s="9" t="str">
        <f>VLOOKUP(AG3,'BUS 2'!$G$1:$CU$424,56,0)</f>
        <v/>
      </c>
      <c r="TV3" s="9" t="str">
        <f>VLOOKUP(AG3,'BUS 2'!$G$1:$CU$424,57,0)</f>
        <v/>
      </c>
      <c r="TW3" s="9" t="str">
        <f>VLOOKUP(AG3,'BUS 2'!$G$1:$CU$424,58,0)</f>
        <v/>
      </c>
      <c r="TX3" s="9" t="str">
        <f>VLOOKUP(AG3,'BUS 2'!$G$1:$CU$424,59,0)</f>
        <v/>
      </c>
      <c r="TY3" s="9" t="str">
        <f>VLOOKUP(AG3,'BUS 2'!$G$1:$CU$424,60,0)</f>
        <v/>
      </c>
      <c r="TZ3" s="9" t="str">
        <f>VLOOKUP(AG3,'BUS 2'!$G$1:$CU$424,61,0)</f>
        <v/>
      </c>
      <c r="UA3" s="9" t="str">
        <f>VLOOKUP(AG3,'BUS 2'!$G$1:$CU$424,62,0)</f>
        <v/>
      </c>
      <c r="UB3" s="9" t="str">
        <f>VLOOKUP(AG3,'BUS 2'!$G$1:$CU$424,63,0)</f>
        <v/>
      </c>
      <c r="UC3" s="9" t="str">
        <f>VLOOKUP(AG3,'BUS 2'!$G$1:$CU$424,64,0)</f>
        <v/>
      </c>
      <c r="UD3" s="9" t="str">
        <f>VLOOKUP(AG3,'BUS 2'!$G$1:$CU$424,65,0)</f>
        <v/>
      </c>
      <c r="UE3" s="9" t="str">
        <f>VLOOKUP(AG3,'BUS 2'!$G$1:$CU$424,66,0)</f>
        <v/>
      </c>
      <c r="UF3" s="9" t="str">
        <f>VLOOKUP(AG3,'BUS 2'!$G$1:$CU$424,67,0)</f>
        <v/>
      </c>
      <c r="UG3" s="9" t="str">
        <f>VLOOKUP(AG3,'BUS 2'!$G$1:$CU$424,68,0)</f>
        <v/>
      </c>
      <c r="UH3" s="9" t="str">
        <f>VLOOKUP(AG3,'BUS 2'!$G$1:$CU$424,69,0)</f>
        <v/>
      </c>
      <c r="UI3" s="9" t="str">
        <f>VLOOKUP(AG3,'BUS 2'!$G$1:$CU$424,70,0)</f>
        <v/>
      </c>
      <c r="UJ3" s="9" t="str">
        <f>VLOOKUP(AG3,'BUS 2'!$G$1:$CU$424,71,0)</f>
        <v/>
      </c>
      <c r="UK3" s="9" t="str">
        <f>VLOOKUP(AG3,'BUS 2'!$G$1:$CU$424,72,0)</f>
        <v/>
      </c>
      <c r="UL3" s="9" t="str">
        <f>VLOOKUP(AG3,'BUS 2'!$G$1:$CU$424,73,0)</f>
        <v/>
      </c>
      <c r="UM3" s="9" t="str">
        <f>VLOOKUP(AG3,'BUS 2'!$G$1:$CU$424,74,0)</f>
        <v/>
      </c>
      <c r="UN3" s="9" t="str">
        <f>VLOOKUP(AG3,'BUS 2'!$G$1:$CU$424,75,0)</f>
        <v/>
      </c>
      <c r="UO3" s="9" t="str">
        <f>VLOOKUP(AG3,'BUS 2'!$G$1:$CU$424,76,0)</f>
        <v/>
      </c>
      <c r="UP3" s="9" t="str">
        <f>VLOOKUP(AG3,'BUS 2'!$G$1:$CU$424,77,0)</f>
        <v/>
      </c>
      <c r="UQ3" s="9" t="str">
        <f>VLOOKUP(AG3,'BUS 2'!$G$1:$CU$424,78,0)</f>
        <v/>
      </c>
      <c r="UR3" s="9" t="str">
        <f>VLOOKUP(AG3,'BUS 2'!$G$1:$CU$424,79,0)</f>
        <v/>
      </c>
      <c r="US3" s="9" t="str">
        <f>VLOOKUP(AG3,'BUS 2'!$G$1:$CU$424,80,0)</f>
        <v/>
      </c>
      <c r="UT3" s="9" t="str">
        <f>VLOOKUP(AG3,'BUS 2'!$G$1:$CU$424,81,0)</f>
        <v/>
      </c>
      <c r="UU3" s="9" t="s">
        <v>1937</v>
      </c>
      <c r="UV3" s="9"/>
      <c r="UW3" s="9"/>
      <c r="UX3" s="9"/>
      <c r="UY3" s="9"/>
      <c r="UZ3" s="9"/>
      <c r="VA3" s="9" t="s">
        <v>1976</v>
      </c>
      <c r="VB3" s="9" t="s">
        <v>1976</v>
      </c>
      <c r="VC3" s="9" t="s">
        <v>1938</v>
      </c>
      <c r="VD3" s="9"/>
      <c r="VE3" s="9"/>
      <c r="VF3" s="9"/>
      <c r="VG3" s="9"/>
      <c r="VH3" s="9"/>
      <c r="VI3" s="9" t="s">
        <v>1938</v>
      </c>
      <c r="VJ3" s="9" t="s">
        <v>1938</v>
      </c>
      <c r="VK3" s="9" t="s">
        <v>1158</v>
      </c>
      <c r="VL3" s="9"/>
      <c r="VM3" s="9"/>
      <c r="VN3" s="9"/>
      <c r="VO3" s="9"/>
      <c r="VP3" s="9"/>
      <c r="VQ3" s="9"/>
      <c r="VR3" s="9"/>
      <c r="VS3" s="9" t="s">
        <v>1941</v>
      </c>
      <c r="VT3" s="8">
        <v>0.0</v>
      </c>
      <c r="VU3" s="8">
        <v>0.0</v>
      </c>
      <c r="VV3" s="8">
        <v>0.0</v>
      </c>
      <c r="VW3" s="8">
        <v>0.0</v>
      </c>
      <c r="VX3" s="8">
        <v>0.0</v>
      </c>
      <c r="VY3" s="8">
        <v>0.0</v>
      </c>
      <c r="VZ3" s="8">
        <v>0.0</v>
      </c>
      <c r="WA3" s="8">
        <v>0.0</v>
      </c>
      <c r="WB3" s="8">
        <v>0.0</v>
      </c>
      <c r="WC3" s="8">
        <v>0.0</v>
      </c>
      <c r="WD3" s="8">
        <v>0.0</v>
      </c>
      <c r="WE3" s="8">
        <v>1.0</v>
      </c>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t="s">
        <v>1941</v>
      </c>
      <c r="YO3" s="8">
        <v>0.0</v>
      </c>
      <c r="YP3" s="8">
        <v>0.0</v>
      </c>
      <c r="YQ3" s="8">
        <v>0.0</v>
      </c>
      <c r="YR3" s="8">
        <v>0.0</v>
      </c>
      <c r="YS3" s="8">
        <v>0.0</v>
      </c>
      <c r="YT3" s="8">
        <v>0.0</v>
      </c>
      <c r="YU3" s="8">
        <v>0.0</v>
      </c>
      <c r="YV3" s="8">
        <v>0.0</v>
      </c>
      <c r="YW3" s="8">
        <v>0.0</v>
      </c>
      <c r="YX3" s="8">
        <v>0.0</v>
      </c>
      <c r="YY3" s="8">
        <v>0.0</v>
      </c>
      <c r="YZ3" s="8">
        <v>1.0</v>
      </c>
      <c r="ZA3" s="9" t="s">
        <v>1941</v>
      </c>
      <c r="ZB3" s="8">
        <v>0.0</v>
      </c>
      <c r="ZC3" s="8">
        <v>0.0</v>
      </c>
      <c r="ZD3" s="8">
        <v>0.0</v>
      </c>
      <c r="ZE3" s="8">
        <v>0.0</v>
      </c>
      <c r="ZF3" s="8">
        <v>0.0</v>
      </c>
      <c r="ZG3" s="8">
        <v>0.0</v>
      </c>
      <c r="ZH3" s="8">
        <v>0.0</v>
      </c>
      <c r="ZI3" s="8">
        <v>0.0</v>
      </c>
      <c r="ZJ3" s="8">
        <v>0.0</v>
      </c>
      <c r="ZK3" s="8">
        <v>0.0</v>
      </c>
      <c r="ZL3" s="8">
        <v>0.0</v>
      </c>
      <c r="ZM3" s="8">
        <v>1.0</v>
      </c>
      <c r="ZN3" s="9"/>
      <c r="ZO3" s="9"/>
      <c r="ZP3" s="9"/>
      <c r="ZQ3" s="9"/>
      <c r="ZR3" s="9"/>
      <c r="ZS3" s="9"/>
      <c r="ZT3" s="9"/>
      <c r="ZU3" s="9"/>
      <c r="ZV3" s="8">
        <v>3.0</v>
      </c>
      <c r="ZW3" s="9"/>
      <c r="ZX3" s="9"/>
      <c r="ZY3" s="9"/>
      <c r="ZZ3" s="9"/>
      <c r="AAA3" s="9"/>
      <c r="AAB3" s="8">
        <v>2.0</v>
      </c>
      <c r="AAC3" s="8">
        <v>2.0</v>
      </c>
      <c r="AAD3" s="9" t="s">
        <v>1186</v>
      </c>
      <c r="AAE3" s="9"/>
      <c r="AAF3" s="9"/>
      <c r="AAG3" s="9"/>
      <c r="AAH3" s="9"/>
      <c r="AAI3" s="9"/>
      <c r="AAJ3" s="9" t="s">
        <v>1186</v>
      </c>
      <c r="AAK3" s="9" t="s">
        <v>1186</v>
      </c>
      <c r="AAL3" s="9" t="s">
        <v>857</v>
      </c>
      <c r="AAM3" s="9" t="s">
        <v>892</v>
      </c>
      <c r="AAN3" s="8">
        <v>1.0</v>
      </c>
      <c r="AAO3" s="8">
        <v>0.0</v>
      </c>
      <c r="AAP3" s="9"/>
      <c r="AAQ3" s="8">
        <v>3.0</v>
      </c>
      <c r="AAR3" s="9" t="s">
        <v>881</v>
      </c>
      <c r="AAS3" s="9" t="s">
        <v>867</v>
      </c>
      <c r="AAT3" s="9" t="s">
        <v>906</v>
      </c>
      <c r="AAU3" s="8">
        <v>1.0</v>
      </c>
      <c r="AAV3" s="8">
        <v>0.0</v>
      </c>
      <c r="AAW3" s="8">
        <v>0.0</v>
      </c>
      <c r="AAX3" s="8">
        <v>0.0</v>
      </c>
      <c r="AAY3" s="8">
        <v>0.0</v>
      </c>
      <c r="AAZ3" s="8">
        <v>0.0</v>
      </c>
      <c r="ABA3" s="8">
        <v>0.0</v>
      </c>
      <c r="ABB3" s="9" t="s">
        <v>1977</v>
      </c>
      <c r="ABC3" s="8">
        <v>0.0</v>
      </c>
      <c r="ABD3" s="8">
        <v>1.0</v>
      </c>
      <c r="ABE3" s="8">
        <v>0.0</v>
      </c>
      <c r="ABF3" s="8">
        <v>1.0</v>
      </c>
      <c r="ABG3" s="8">
        <v>0.0</v>
      </c>
      <c r="ABH3" s="9"/>
      <c r="ABI3" s="9"/>
      <c r="ABJ3" s="9"/>
      <c r="ABK3" s="9"/>
      <c r="ABL3" s="9"/>
      <c r="ABM3" s="9"/>
      <c r="ABN3" s="9"/>
      <c r="ABO3" s="9"/>
      <c r="ABP3" s="9"/>
      <c r="ABQ3" s="9" t="s">
        <v>1978</v>
      </c>
      <c r="ABR3" s="9" t="s">
        <v>1075</v>
      </c>
      <c r="ABS3" s="8">
        <v>3000.0</v>
      </c>
      <c r="ABT3" s="9"/>
      <c r="ABU3" s="8">
        <v>0.0</v>
      </c>
      <c r="ABV3" s="8">
        <v>10.0</v>
      </c>
      <c r="ABW3" s="9" t="s">
        <v>1199</v>
      </c>
      <c r="ABX3" s="9"/>
      <c r="ABY3" s="8">
        <v>25.0</v>
      </c>
      <c r="ABZ3" s="8">
        <v>50000.0</v>
      </c>
      <c r="ACA3" s="8">
        <v>25.0</v>
      </c>
      <c r="ACB3" s="8">
        <v>50000.0</v>
      </c>
      <c r="ACC3" s="8">
        <v>20.0</v>
      </c>
      <c r="ACD3" s="8">
        <v>20.0</v>
      </c>
      <c r="ACE3" s="9" t="s">
        <v>857</v>
      </c>
      <c r="ACF3" s="9" t="s">
        <v>911</v>
      </c>
      <c r="ACG3" s="9" t="s">
        <v>1183</v>
      </c>
      <c r="ACH3" s="9" t="s">
        <v>1183</v>
      </c>
      <c r="ACI3" s="9"/>
      <c r="ACJ3" s="9"/>
      <c r="ACK3" s="9"/>
      <c r="ACL3" s="9"/>
      <c r="ACM3" s="9"/>
      <c r="ACN3" s="9"/>
      <c r="ACO3" s="9"/>
      <c r="ACP3" s="9"/>
      <c r="ACQ3" s="9"/>
      <c r="ACR3" s="9"/>
      <c r="ACS3" s="9"/>
      <c r="ACT3" s="9" t="s">
        <v>999</v>
      </c>
      <c r="ACU3" s="9" t="s">
        <v>913</v>
      </c>
      <c r="ACV3" s="9" t="s">
        <v>914</v>
      </c>
      <c r="ACW3" s="9" t="s">
        <v>1391</v>
      </c>
      <c r="ACX3" s="9" t="s">
        <v>958</v>
      </c>
      <c r="ACY3" s="9" t="s">
        <v>1035</v>
      </c>
      <c r="ACZ3" s="8">
        <v>1.0</v>
      </c>
      <c r="ADA3" s="8">
        <v>1.0</v>
      </c>
      <c r="ADB3" s="8">
        <v>0.0</v>
      </c>
      <c r="ADC3" s="8">
        <v>0.0</v>
      </c>
      <c r="ADD3" s="9" t="s">
        <v>1392</v>
      </c>
      <c r="ADE3" s="9" t="s">
        <v>917</v>
      </c>
      <c r="ADF3" s="9" t="s">
        <v>917</v>
      </c>
      <c r="ADG3" s="9" t="s">
        <v>917</v>
      </c>
      <c r="ADH3" s="9" t="s">
        <v>881</v>
      </c>
      <c r="ADI3" s="9"/>
      <c r="ADJ3" s="9" t="s">
        <v>917</v>
      </c>
      <c r="ADK3" s="9"/>
      <c r="ADL3" s="9"/>
      <c r="ADM3" s="9"/>
      <c r="ADN3" s="9"/>
      <c r="ADO3" s="9"/>
      <c r="ADP3" s="9"/>
      <c r="ADQ3" s="9"/>
      <c r="ADR3" s="9"/>
      <c r="ADS3" s="9"/>
      <c r="ADT3" s="9"/>
      <c r="ADU3" s="9" t="s">
        <v>969</v>
      </c>
      <c r="ADV3" s="8">
        <v>0.0</v>
      </c>
      <c r="ADW3" s="8">
        <v>0.0</v>
      </c>
      <c r="ADX3" s="8">
        <v>0.0</v>
      </c>
      <c r="ADY3" s="8">
        <v>0.0</v>
      </c>
      <c r="ADZ3" s="8">
        <v>0.0</v>
      </c>
      <c r="AEA3" s="8">
        <v>0.0</v>
      </c>
      <c r="AEB3" s="8">
        <v>0.0</v>
      </c>
      <c r="AEC3" s="8">
        <v>1.0</v>
      </c>
      <c r="AED3" s="9" t="s">
        <v>1979</v>
      </c>
      <c r="AEE3" s="9" t="s">
        <v>872</v>
      </c>
      <c r="AEF3" s="9"/>
      <c r="AEG3" s="9" t="s">
        <v>920</v>
      </c>
      <c r="AEH3" s="9"/>
      <c r="AEI3" s="9" t="s">
        <v>999</v>
      </c>
      <c r="AEJ3" s="9" t="s">
        <v>961</v>
      </c>
      <c r="AEK3" s="9" t="s">
        <v>1980</v>
      </c>
      <c r="AEL3" s="8">
        <v>1.0</v>
      </c>
      <c r="AEM3" s="8">
        <v>0.0</v>
      </c>
      <c r="AEN3" s="8">
        <v>1.0</v>
      </c>
      <c r="AEO3" s="8">
        <v>0.0</v>
      </c>
      <c r="AEP3" s="8">
        <v>1.0</v>
      </c>
      <c r="AEQ3" s="8">
        <v>0.0</v>
      </c>
      <c r="AER3" s="8">
        <v>0.0</v>
      </c>
      <c r="AES3" s="8">
        <v>1.0</v>
      </c>
      <c r="AET3" s="8">
        <v>0.0</v>
      </c>
      <c r="AEU3" s="8">
        <v>0.0</v>
      </c>
      <c r="AEV3" s="8">
        <v>0.0</v>
      </c>
      <c r="AEW3" s="8">
        <v>0.0</v>
      </c>
      <c r="AEX3" s="9"/>
      <c r="AEY3" s="9" t="s">
        <v>1981</v>
      </c>
      <c r="AEZ3" s="9"/>
      <c r="AFA3" s="9" t="s">
        <v>924</v>
      </c>
      <c r="AFB3" s="9"/>
      <c r="AFC3" s="9" t="s">
        <v>1982</v>
      </c>
      <c r="AFD3" s="16" t="s">
        <v>1983</v>
      </c>
      <c r="AFE3" s="9" t="s">
        <v>1984</v>
      </c>
      <c r="AFF3" s="16" t="s">
        <v>1985</v>
      </c>
      <c r="AFG3" s="9" t="s">
        <v>1986</v>
      </c>
      <c r="AFH3" s="9"/>
      <c r="AFI3" s="21" t="s">
        <v>1987</v>
      </c>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8">
        <v>6.65482326E8</v>
      </c>
      <c r="AWB3" s="9" t="s">
        <v>1988</v>
      </c>
      <c r="AWC3" s="6">
        <v>46059.0</v>
      </c>
      <c r="AWD3" s="9"/>
      <c r="AWE3" s="9"/>
      <c r="AWF3" s="9" t="s">
        <v>1954</v>
      </c>
      <c r="AWG3" s="9"/>
      <c r="AWH3" s="9" t="s">
        <v>1989</v>
      </c>
      <c r="AWI3" s="9"/>
      <c r="AWJ3" s="9" t="s">
        <v>1990</v>
      </c>
      <c r="AWK3" s="8">
        <v>65.0</v>
      </c>
      <c r="AWL3" s="9" t="s">
        <v>1966</v>
      </c>
      <c r="AWM3" s="8">
        <v>0.0</v>
      </c>
      <c r="AWN3" s="9" t="s">
        <v>1957</v>
      </c>
      <c r="AWO3" s="33" t="b">
        <v>1</v>
      </c>
      <c r="AWP3" s="33" t="b">
        <v>1</v>
      </c>
      <c r="AWQ3" s="33" t="b">
        <v>1</v>
      </c>
      <c r="AWR3" s="33" t="b">
        <v>1</v>
      </c>
      <c r="AWS3" s="33" t="b">
        <v>1</v>
      </c>
      <c r="AWT3" s="33" t="b">
        <v>1</v>
      </c>
      <c r="AWU3" s="9"/>
      <c r="AWV3" s="8">
        <v>18.0</v>
      </c>
      <c r="AWW3" s="9"/>
      <c r="AWX3" s="9"/>
      <c r="AWY3" s="9"/>
      <c r="AWZ3" s="9"/>
    </row>
    <row r="4">
      <c r="A4" s="6">
        <v>46046.0</v>
      </c>
      <c r="B4" s="6">
        <v>46062.0</v>
      </c>
      <c r="C4" s="30" t="s">
        <v>1991</v>
      </c>
      <c r="D4" s="30" t="s">
        <v>1992</v>
      </c>
      <c r="E4" s="8">
        <f>+62882020497091</f>
        <v>62882020497091</v>
      </c>
      <c r="F4" s="9" t="s">
        <v>1993</v>
      </c>
      <c r="G4" s="8">
        <v>-4.794827</v>
      </c>
      <c r="H4" s="8">
        <v>119.538513</v>
      </c>
      <c r="I4" s="8">
        <v>10.2</v>
      </c>
      <c r="J4" s="8">
        <v>3.75</v>
      </c>
      <c r="K4" s="8">
        <v>0.0</v>
      </c>
      <c r="L4" s="9" t="s">
        <v>1994</v>
      </c>
      <c r="M4" s="8">
        <v>-4.795089</v>
      </c>
      <c r="N4" s="8">
        <v>119.538476</v>
      </c>
      <c r="O4" s="8">
        <v>23.7</v>
      </c>
      <c r="P4" s="8">
        <v>3.523999929</v>
      </c>
      <c r="Q4" s="8">
        <v>0.0</v>
      </c>
      <c r="R4" s="9" t="s">
        <v>1923</v>
      </c>
      <c r="S4" s="8">
        <v>0.0</v>
      </c>
      <c r="T4" s="8">
        <v>0.0</v>
      </c>
      <c r="U4" s="8">
        <v>0.0</v>
      </c>
      <c r="V4" s="8">
        <v>0.0</v>
      </c>
      <c r="W4" s="8">
        <v>0.0</v>
      </c>
      <c r="X4" s="8">
        <v>0.0</v>
      </c>
      <c r="Y4" s="8">
        <v>0.0</v>
      </c>
      <c r="Z4" s="8">
        <v>0.0</v>
      </c>
      <c r="AA4" s="8">
        <v>0.0</v>
      </c>
      <c r="AB4" s="8">
        <v>1.0</v>
      </c>
      <c r="AC4" s="7" t="s">
        <v>1995</v>
      </c>
      <c r="AD4" s="7" t="s">
        <v>1996</v>
      </c>
      <c r="AE4" s="7" t="s">
        <v>1997</v>
      </c>
      <c r="AF4" s="9" t="s">
        <v>1998</v>
      </c>
      <c r="AG4" s="9" t="s">
        <v>1999</v>
      </c>
      <c r="AH4" s="8">
        <v>3.0</v>
      </c>
      <c r="AI4" s="9" t="s">
        <v>845</v>
      </c>
      <c r="AJ4" s="9" t="s">
        <v>846</v>
      </c>
      <c r="AK4" s="8">
        <v>58.0</v>
      </c>
      <c r="AL4" s="9" t="s">
        <v>847</v>
      </c>
      <c r="AM4" s="9" t="s">
        <v>848</v>
      </c>
      <c r="AN4" s="9" t="s">
        <v>986</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11"/>
      <c r="BI4" s="9" t="s">
        <v>936</v>
      </c>
      <c r="BJ4" s="8">
        <v>0.0</v>
      </c>
      <c r="BK4" s="8">
        <v>1.0</v>
      </c>
      <c r="BL4" s="8">
        <v>2.0</v>
      </c>
      <c r="BM4" s="8">
        <v>0.0</v>
      </c>
      <c r="BN4" s="9" t="s">
        <v>853</v>
      </c>
      <c r="BO4" s="9" t="s">
        <v>2000</v>
      </c>
      <c r="BP4" s="8">
        <v>0.0</v>
      </c>
      <c r="BQ4" s="8">
        <v>1.0</v>
      </c>
      <c r="BR4" s="8">
        <v>0.0</v>
      </c>
      <c r="BS4" s="8">
        <v>0.0</v>
      </c>
      <c r="BT4" s="8">
        <v>0.0</v>
      </c>
      <c r="BU4" s="9"/>
      <c r="BV4" s="9" t="s">
        <v>1254</v>
      </c>
      <c r="BW4" s="8">
        <v>0.0</v>
      </c>
      <c r="BX4" s="8">
        <v>1.0</v>
      </c>
      <c r="BY4" s="8">
        <v>0.0</v>
      </c>
      <c r="BZ4" s="8">
        <v>0.0</v>
      </c>
      <c r="CA4" s="8">
        <v>0.0</v>
      </c>
      <c r="CB4" s="9"/>
      <c r="CC4" s="9" t="s">
        <v>1929</v>
      </c>
      <c r="CD4" s="8">
        <v>0.0</v>
      </c>
      <c r="CE4" s="8">
        <v>0.0</v>
      </c>
      <c r="CF4" s="8">
        <v>0.0</v>
      </c>
      <c r="CG4" s="8">
        <v>0.0</v>
      </c>
      <c r="CH4" s="8">
        <v>1.0</v>
      </c>
      <c r="CI4" s="8">
        <v>0.0</v>
      </c>
      <c r="CJ4" s="8">
        <v>0.0</v>
      </c>
      <c r="CK4" s="9"/>
      <c r="CL4" s="9" t="s">
        <v>857</v>
      </c>
      <c r="CM4" s="8">
        <v>2023.0</v>
      </c>
      <c r="CN4" s="9" t="s">
        <v>858</v>
      </c>
      <c r="CO4" s="9" t="s">
        <v>1377</v>
      </c>
      <c r="CP4" s="9" t="s">
        <v>860</v>
      </c>
      <c r="CQ4" s="8">
        <v>0.0</v>
      </c>
      <c r="CR4" s="8">
        <v>0.0</v>
      </c>
      <c r="CS4" s="8">
        <v>0.0</v>
      </c>
      <c r="CT4" s="8">
        <v>0.0</v>
      </c>
      <c r="CU4" s="8">
        <v>1.0</v>
      </c>
      <c r="CV4" s="8">
        <v>0.0</v>
      </c>
      <c r="CW4" s="8">
        <v>0.0</v>
      </c>
      <c r="CX4" s="8">
        <v>0.0</v>
      </c>
      <c r="CY4" s="9" t="s">
        <v>1060</v>
      </c>
      <c r="CZ4" s="8">
        <v>1.0</v>
      </c>
      <c r="DA4" s="8">
        <v>1.0</v>
      </c>
      <c r="DB4" s="8">
        <v>0.0</v>
      </c>
      <c r="DC4" s="9"/>
      <c r="DD4" s="9" t="s">
        <v>1060</v>
      </c>
      <c r="DE4" s="8">
        <v>1.0</v>
      </c>
      <c r="DF4" s="8">
        <v>1.0</v>
      </c>
      <c r="DG4" s="8">
        <v>0.0</v>
      </c>
      <c r="DH4" s="8">
        <v>0.0</v>
      </c>
      <c r="DI4" s="9"/>
      <c r="DJ4" s="9" t="s">
        <v>937</v>
      </c>
      <c r="DK4" s="8">
        <v>1.0</v>
      </c>
      <c r="DL4" s="8">
        <v>0.0</v>
      </c>
      <c r="DM4" s="8">
        <v>1.0</v>
      </c>
      <c r="DN4" s="8">
        <v>0.0</v>
      </c>
      <c r="DO4" s="9"/>
      <c r="DP4" s="9" t="s">
        <v>857</v>
      </c>
      <c r="DQ4" s="9"/>
      <c r="DR4" s="9"/>
      <c r="DS4" s="9"/>
      <c r="DT4" s="9"/>
      <c r="DU4" s="9"/>
      <c r="DV4" s="9"/>
      <c r="DW4" s="9"/>
      <c r="DX4" s="9"/>
      <c r="DY4" s="9"/>
      <c r="DZ4" s="9"/>
      <c r="EA4" s="9"/>
      <c r="EB4" s="9"/>
      <c r="EC4" s="9"/>
      <c r="ED4" s="9"/>
      <c r="EE4" s="9"/>
      <c r="EF4" s="9"/>
      <c r="EG4" s="9"/>
      <c r="EH4" s="9"/>
      <c r="EI4" s="9" t="s">
        <v>2001</v>
      </c>
      <c r="EJ4" s="8">
        <v>0.0</v>
      </c>
      <c r="EK4" s="8">
        <v>1.0</v>
      </c>
      <c r="EL4" s="8">
        <v>0.0</v>
      </c>
      <c r="EM4" s="8">
        <v>1.0</v>
      </c>
      <c r="EN4" s="8">
        <v>0.0</v>
      </c>
      <c r="EO4" s="9"/>
      <c r="EP4" s="9" t="s">
        <v>1403</v>
      </c>
      <c r="EQ4" s="9" t="s">
        <v>864</v>
      </c>
      <c r="ER4" s="9" t="s">
        <v>861</v>
      </c>
      <c r="ES4" s="8">
        <v>1.0</v>
      </c>
      <c r="ET4" s="8">
        <v>0.0</v>
      </c>
      <c r="EU4" s="8">
        <v>0.0</v>
      </c>
      <c r="EV4" s="8">
        <v>0.0</v>
      </c>
      <c r="EW4" s="9"/>
      <c r="EX4" s="9" t="s">
        <v>865</v>
      </c>
      <c r="EY4" s="8">
        <v>1.0</v>
      </c>
      <c r="EZ4" s="8">
        <v>0.0</v>
      </c>
      <c r="FA4" s="8">
        <v>0.0</v>
      </c>
      <c r="FB4" s="9"/>
      <c r="FC4" s="9" t="s">
        <v>942</v>
      </c>
      <c r="FD4" s="9"/>
      <c r="FE4" s="9" t="s">
        <v>867</v>
      </c>
      <c r="FF4" s="9" t="s">
        <v>868</v>
      </c>
      <c r="FG4" s="9" t="s">
        <v>867</v>
      </c>
      <c r="FH4" s="9" t="s">
        <v>870</v>
      </c>
      <c r="FI4" s="9" t="s">
        <v>867</v>
      </c>
      <c r="FJ4" s="9" t="s">
        <v>868</v>
      </c>
      <c r="FK4" s="9" t="s">
        <v>867</v>
      </c>
      <c r="FL4" s="9" t="s">
        <v>883</v>
      </c>
      <c r="FM4" s="9" t="s">
        <v>867</v>
      </c>
      <c r="FN4" s="9" t="s">
        <v>870</v>
      </c>
      <c r="FO4" s="9" t="s">
        <v>1971</v>
      </c>
      <c r="FP4" s="9" t="s">
        <v>883</v>
      </c>
      <c r="FQ4" s="9" t="s">
        <v>867</v>
      </c>
      <c r="FR4" s="9" t="s">
        <v>857</v>
      </c>
      <c r="FS4" s="9" t="s">
        <v>867</v>
      </c>
      <c r="FT4" s="9" t="s">
        <v>871</v>
      </c>
      <c r="FU4" s="9" t="s">
        <v>989</v>
      </c>
      <c r="FV4" s="8">
        <v>1.0</v>
      </c>
      <c r="FW4" s="8">
        <v>1.0</v>
      </c>
      <c r="FX4" s="8">
        <v>0.0</v>
      </c>
      <c r="FY4" s="8">
        <v>0.0</v>
      </c>
      <c r="FZ4" s="9" t="s">
        <v>873</v>
      </c>
      <c r="GA4" s="9" t="s">
        <v>990</v>
      </c>
      <c r="GB4" s="8">
        <v>1.0</v>
      </c>
      <c r="GC4" s="8">
        <v>1.0</v>
      </c>
      <c r="GD4" s="8">
        <v>0.0</v>
      </c>
      <c r="GE4" s="8">
        <v>0.0</v>
      </c>
      <c r="GF4" s="9"/>
      <c r="GG4" s="9" t="s">
        <v>875</v>
      </c>
      <c r="GH4" s="9" t="s">
        <v>857</v>
      </c>
      <c r="GI4" s="9" t="s">
        <v>2002</v>
      </c>
      <c r="GJ4" s="8">
        <v>1.0</v>
      </c>
      <c r="GK4" s="8">
        <v>0.0</v>
      </c>
      <c r="GL4" s="8">
        <v>1.0</v>
      </c>
      <c r="GM4" s="8">
        <v>0.0</v>
      </c>
      <c r="GN4" s="9"/>
      <c r="GO4" s="8">
        <v>8.0</v>
      </c>
      <c r="GP4" s="9" t="s">
        <v>1931</v>
      </c>
      <c r="GQ4" s="9" t="s">
        <v>1102</v>
      </c>
      <c r="GR4" s="8">
        <v>1.0</v>
      </c>
      <c r="GS4" s="8">
        <v>0.0</v>
      </c>
      <c r="GT4" s="8">
        <v>0.0</v>
      </c>
      <c r="GU4" s="8">
        <v>0.0</v>
      </c>
      <c r="GV4" s="8">
        <v>0.0</v>
      </c>
      <c r="GW4" s="8">
        <v>0.0</v>
      </c>
      <c r="GX4" s="8">
        <v>0.0</v>
      </c>
      <c r="GY4" s="9"/>
      <c r="GZ4" s="9" t="s">
        <v>857</v>
      </c>
      <c r="HA4" s="9"/>
      <c r="HB4" s="9"/>
      <c r="HC4" s="9"/>
      <c r="HD4" s="9"/>
      <c r="HE4" s="8">
        <v>9.0</v>
      </c>
      <c r="HF4" s="8">
        <v>36000.0</v>
      </c>
      <c r="HG4" s="8">
        <v>6.0</v>
      </c>
      <c r="HH4" s="8">
        <v>40000.0</v>
      </c>
      <c r="HI4" s="9"/>
      <c r="HJ4" s="9"/>
      <c r="HK4" s="9"/>
      <c r="HL4" s="9"/>
      <c r="HM4" s="9"/>
      <c r="HN4" s="9"/>
      <c r="HO4" s="9"/>
      <c r="HP4" s="9"/>
      <c r="HQ4" s="9"/>
      <c r="HR4" s="9"/>
      <c r="HS4" s="9"/>
      <c r="HT4" s="9"/>
      <c r="HU4" s="9"/>
      <c r="HV4" s="9"/>
      <c r="HW4" s="9"/>
      <c r="HX4" s="9"/>
      <c r="HY4" s="9"/>
      <c r="HZ4" s="9"/>
      <c r="IA4" s="8">
        <v>3.0</v>
      </c>
      <c r="IB4" s="8">
        <v>20000.0</v>
      </c>
      <c r="IC4" s="9"/>
      <c r="ID4" s="9"/>
      <c r="IE4" s="9"/>
      <c r="IF4" s="9"/>
      <c r="IG4" s="9"/>
      <c r="IH4" s="9"/>
      <c r="II4" s="9"/>
      <c r="IJ4" s="9"/>
      <c r="IK4" s="9" t="s">
        <v>1382</v>
      </c>
      <c r="IL4" s="9" t="s">
        <v>1366</v>
      </c>
      <c r="IM4" s="9" t="s">
        <v>857</v>
      </c>
      <c r="IN4" s="9" t="s">
        <v>881</v>
      </c>
      <c r="IO4" s="9" t="s">
        <v>945</v>
      </c>
      <c r="IP4" s="9"/>
      <c r="IQ4" s="9" t="s">
        <v>883</v>
      </c>
      <c r="IR4" s="9"/>
      <c r="IS4" s="9"/>
      <c r="IT4" s="9"/>
      <c r="IU4" s="9"/>
      <c r="IV4" s="9"/>
      <c r="IW4" s="9"/>
      <c r="IX4" s="9"/>
      <c r="IY4" s="9"/>
      <c r="IZ4" s="9" t="s">
        <v>1356</v>
      </c>
      <c r="JA4" s="9" t="s">
        <v>1014</v>
      </c>
      <c r="JB4" s="8">
        <v>0.0</v>
      </c>
      <c r="JC4" s="8">
        <v>1.0</v>
      </c>
      <c r="JD4" s="8">
        <v>0.0</v>
      </c>
      <c r="JE4" s="9" t="s">
        <v>1014</v>
      </c>
      <c r="JF4" s="8">
        <v>0.0</v>
      </c>
      <c r="JG4" s="8">
        <v>1.0</v>
      </c>
      <c r="JH4" s="8">
        <v>0.0</v>
      </c>
      <c r="JI4" s="9" t="s">
        <v>883</v>
      </c>
      <c r="JJ4" s="9"/>
      <c r="JK4" s="9"/>
      <c r="JL4" s="9"/>
      <c r="JM4" s="9"/>
      <c r="JN4" s="9"/>
      <c r="JO4" s="9"/>
      <c r="JP4" s="9"/>
      <c r="JQ4" s="9"/>
      <c r="JR4" s="9" t="s">
        <v>883</v>
      </c>
      <c r="JS4" s="9"/>
      <c r="JT4" s="9"/>
      <c r="JU4" s="9"/>
      <c r="JV4" s="9"/>
      <c r="JW4" s="9"/>
      <c r="JX4" s="9"/>
      <c r="JY4" s="9"/>
      <c r="JZ4" s="9"/>
      <c r="KA4" s="9" t="s">
        <v>1356</v>
      </c>
      <c r="KB4" s="9" t="s">
        <v>1014</v>
      </c>
      <c r="KC4" s="8">
        <v>0.0</v>
      </c>
      <c r="KD4" s="8">
        <v>1.0</v>
      </c>
      <c r="KE4" s="8">
        <v>0.0</v>
      </c>
      <c r="KF4" s="9" t="s">
        <v>1014</v>
      </c>
      <c r="KG4" s="8">
        <v>0.0</v>
      </c>
      <c r="KH4" s="8">
        <v>1.0</v>
      </c>
      <c r="KI4" s="8">
        <v>0.0</v>
      </c>
      <c r="KJ4" s="9" t="s">
        <v>883</v>
      </c>
      <c r="KK4" s="9"/>
      <c r="KL4" s="9"/>
      <c r="KM4" s="9"/>
      <c r="KN4" s="9"/>
      <c r="KO4" s="9"/>
      <c r="KP4" s="9"/>
      <c r="KQ4" s="9"/>
      <c r="KR4" s="9"/>
      <c r="KS4" s="9" t="s">
        <v>1180</v>
      </c>
      <c r="KT4" s="9" t="s">
        <v>2003</v>
      </c>
      <c r="KU4" s="9" t="s">
        <v>2003</v>
      </c>
      <c r="KV4" s="9" t="s">
        <v>872</v>
      </c>
      <c r="KW4" s="8">
        <v>1.0</v>
      </c>
      <c r="KX4" s="8">
        <v>0.0</v>
      </c>
      <c r="KY4" s="8">
        <v>0.0</v>
      </c>
      <c r="KZ4" s="8">
        <v>0.0</v>
      </c>
      <c r="LA4" s="9" t="s">
        <v>1180</v>
      </c>
      <c r="LB4" s="9" t="s">
        <v>1180</v>
      </c>
      <c r="LC4" s="8">
        <v>8.0</v>
      </c>
      <c r="LD4" s="8">
        <v>2.0</v>
      </c>
      <c r="LE4" s="8">
        <v>0.0</v>
      </c>
      <c r="LF4" s="8">
        <v>0.0</v>
      </c>
      <c r="LG4" s="9" t="s">
        <v>857</v>
      </c>
      <c r="LH4" s="8">
        <v>400000.0</v>
      </c>
      <c r="LI4" s="9"/>
      <c r="LJ4" s="9" t="s">
        <v>2004</v>
      </c>
      <c r="LK4" s="8">
        <v>1.0</v>
      </c>
      <c r="LL4" s="8">
        <v>0.0</v>
      </c>
      <c r="LM4" s="8">
        <v>0.0</v>
      </c>
      <c r="LN4" s="8">
        <v>0.0</v>
      </c>
      <c r="LO4" s="8">
        <v>1.0</v>
      </c>
      <c r="LP4" s="8">
        <v>1.0</v>
      </c>
      <c r="LQ4" s="8">
        <v>0.0</v>
      </c>
      <c r="LR4" s="11"/>
      <c r="LS4" s="8">
        <v>60.0</v>
      </c>
      <c r="LT4" s="8">
        <v>120.0</v>
      </c>
      <c r="LU4" s="8">
        <v>0.0</v>
      </c>
      <c r="LV4" s="8">
        <v>25.0</v>
      </c>
      <c r="LW4" s="8">
        <v>0.0</v>
      </c>
      <c r="LX4" s="8">
        <v>0.0</v>
      </c>
      <c r="LY4" s="8">
        <v>30.0</v>
      </c>
      <c r="LZ4" s="8">
        <v>0.0</v>
      </c>
      <c r="MA4" s="8">
        <v>0.0</v>
      </c>
      <c r="MB4" s="9" t="s">
        <v>857</v>
      </c>
      <c r="MC4" s="8">
        <v>0.0</v>
      </c>
      <c r="MD4" s="8">
        <v>0.0</v>
      </c>
      <c r="ME4" s="8">
        <v>0.0</v>
      </c>
      <c r="MF4" s="8">
        <v>0.0</v>
      </c>
      <c r="MG4" s="8">
        <v>0.0</v>
      </c>
      <c r="MH4" s="8">
        <v>0.0</v>
      </c>
      <c r="MI4" s="21" t="s">
        <v>2005</v>
      </c>
      <c r="MJ4" s="8">
        <v>0.0</v>
      </c>
      <c r="MK4" s="8">
        <v>0.0</v>
      </c>
      <c r="ML4" s="8">
        <v>1.0</v>
      </c>
      <c r="MM4" s="8">
        <v>0.0</v>
      </c>
      <c r="MN4" s="8">
        <v>1.0</v>
      </c>
      <c r="MO4" s="8">
        <v>0.0</v>
      </c>
      <c r="MP4" s="9"/>
      <c r="MQ4" s="9"/>
      <c r="MR4" s="36" t="s">
        <v>2006</v>
      </c>
      <c r="MS4" s="9"/>
      <c r="MT4" s="9" t="s">
        <v>2007</v>
      </c>
      <c r="MU4" s="9" t="s">
        <v>881</v>
      </c>
      <c r="MV4" s="9"/>
      <c r="MW4" s="9"/>
      <c r="MX4" s="9"/>
      <c r="MY4" s="9"/>
      <c r="MZ4" s="9"/>
      <c r="NA4" s="9"/>
      <c r="NB4" s="9"/>
      <c r="NC4" s="9"/>
      <c r="ND4" s="9"/>
      <c r="NE4" s="9"/>
      <c r="NF4" s="9"/>
      <c r="NG4" s="9"/>
      <c r="NH4" s="9"/>
      <c r="NI4" s="9"/>
      <c r="NJ4" s="9"/>
      <c r="NK4" s="9"/>
      <c r="NL4" s="9" t="s">
        <v>881</v>
      </c>
      <c r="NM4" s="9" t="s">
        <v>1386</v>
      </c>
      <c r="NN4" s="17" t="s">
        <v>1975</v>
      </c>
      <c r="NO4" s="17" t="s">
        <v>895</v>
      </c>
      <c r="NP4" s="9"/>
      <c r="NQ4" s="9"/>
      <c r="NR4" s="9"/>
      <c r="NS4" s="9"/>
      <c r="NT4" s="9"/>
      <c r="NU4" s="9"/>
      <c r="NV4" s="9"/>
      <c r="NW4" s="9"/>
      <c r="NX4" s="9" t="s">
        <v>897</v>
      </c>
      <c r="NY4" s="8">
        <v>35.0</v>
      </c>
      <c r="NZ4" s="8">
        <v>0.0</v>
      </c>
      <c r="OA4" s="8">
        <v>0.0</v>
      </c>
      <c r="OB4" s="8">
        <v>5.0</v>
      </c>
      <c r="OC4" s="8">
        <v>10.0</v>
      </c>
      <c r="OD4" s="8">
        <v>0.0</v>
      </c>
      <c r="OE4" s="9" t="s">
        <v>898</v>
      </c>
      <c r="OF4" s="9" t="s">
        <v>899</v>
      </c>
      <c r="OG4" s="9" t="s">
        <v>857</v>
      </c>
      <c r="OH4" s="8">
        <v>2.0</v>
      </c>
      <c r="OI4" s="8">
        <v>0.0</v>
      </c>
      <c r="OJ4" s="8">
        <v>0.0</v>
      </c>
      <c r="OK4" s="8">
        <v>0.0</v>
      </c>
      <c r="OL4" s="8">
        <v>0.0</v>
      </c>
      <c r="OM4" s="8">
        <v>0.0</v>
      </c>
      <c r="ON4" s="8">
        <v>7.0</v>
      </c>
      <c r="OO4" s="8">
        <v>20.0</v>
      </c>
      <c r="OP4" s="9" t="str">
        <f>VLOOKUP(AG4,'BUS 2'!$G$1:$CU$424,2,0)</f>
        <v>Ayam Unggas lainnya</v>
      </c>
      <c r="OQ4" s="8">
        <f>VLOOKUP(AG4,'BUS 2'!$G$1:$CU$424,3,0)</f>
        <v>0</v>
      </c>
      <c r="OR4" s="8">
        <f>VLOOKUP(AG4,'BUS 2'!$G$1:$CU$424,4,0)</f>
        <v>0</v>
      </c>
      <c r="OS4" s="8">
        <f>VLOOKUP(AG4,'BUS 2'!$G$1:$CU$424,5,0)</f>
        <v>0</v>
      </c>
      <c r="OT4" s="8">
        <f>VLOOKUP(AG4,'BUS 2'!$G$1:$CU$424,6,0)</f>
        <v>0</v>
      </c>
      <c r="OU4" s="8">
        <f>VLOOKUP(AG4,'BUS 2'!$G$1:$CU$424,7,0)</f>
        <v>0</v>
      </c>
      <c r="OV4" s="8">
        <f>VLOOKUP(AG4,'BUS 2'!$G$1:$CU$424,8,0)</f>
        <v>0</v>
      </c>
      <c r="OW4" s="8">
        <f>VLOOKUP(AG4,'BUS 2'!$G$1:$CU$424,9,0)</f>
        <v>1</v>
      </c>
      <c r="OX4" s="8">
        <f>VLOOKUP(AG4,'BUS 2'!$G$1:$CU$424,10,0)</f>
        <v>1</v>
      </c>
      <c r="OY4" s="8">
        <f>VLOOKUP(AG4,'BUS 2'!$G$1:$CU$424,11,0)</f>
        <v>0</v>
      </c>
      <c r="OZ4" s="8" t="str">
        <f>VLOOKUP(AG4,'BUS 2'!$G$1:$CU$424,12,0)</f>
        <v>Sapi pedaging Ayam Unggas lainnya</v>
      </c>
      <c r="PA4" s="8">
        <f>VLOOKUP(AG4,'BUS 2'!$G$1:$CU$424,13,0)</f>
        <v>1</v>
      </c>
      <c r="PB4" s="8">
        <f>VLOOKUP(AG4,'BUS 2'!$G$1:$CU$424,14,0)</f>
        <v>0</v>
      </c>
      <c r="PC4" s="8">
        <f>VLOOKUP(AG4,'BUS 2'!$G$1:$CU$424,15,0)</f>
        <v>0</v>
      </c>
      <c r="PD4" s="8">
        <f>VLOOKUP(AG4,'BUS 2'!$G$1:$CU$424,16,0)</f>
        <v>0</v>
      </c>
      <c r="PE4" s="8">
        <f>VLOOKUP(AG4,'BUS 2'!$G$1:$CU$424,17,0)</f>
        <v>0</v>
      </c>
      <c r="PF4" s="8">
        <f>VLOOKUP(AG4,'BUS 2'!$G$1:$CU$424,18,0)</f>
        <v>0</v>
      </c>
      <c r="PG4" s="8">
        <f>VLOOKUP(AG4,'BUS 2'!$G$1:$CU$424,19,0)</f>
        <v>1</v>
      </c>
      <c r="PH4" s="8">
        <f>VLOOKUP(AG4,'BUS 2'!$G$1:$CU$424,20,0)</f>
        <v>1</v>
      </c>
      <c r="PI4" s="8">
        <f>VLOOKUP(AG4,'BUS 2'!$G$1:$CU$424,21,0)</f>
        <v>0</v>
      </c>
      <c r="PJ4" s="8" t="str">
        <f>VLOOKUP(AG4,'BUS 2'!$G$1:$CU$424,22,0)</f>
        <v>Sapi pedaging Ayam Unggas lainnya</v>
      </c>
      <c r="PK4" s="8">
        <f>VLOOKUP(AG4,'BUS 2'!$G$1:$CU$424,23,0)</f>
        <v>1</v>
      </c>
      <c r="PL4" s="8">
        <f>VLOOKUP(AG4,'BUS 2'!$G$1:$CU$424,24,0)</f>
        <v>0</v>
      </c>
      <c r="PM4" s="8">
        <f>VLOOKUP(AG4,'BUS 2'!$G$1:$CU$424,25,0)</f>
        <v>0</v>
      </c>
      <c r="PN4" s="8">
        <f>VLOOKUP(AG4,'BUS 2'!$G$1:$CU$424,26,0)</f>
        <v>0</v>
      </c>
      <c r="PO4" s="8">
        <f>VLOOKUP(AG4,'BUS 2'!$G$1:$CU$424,27,0)</f>
        <v>0</v>
      </c>
      <c r="PP4" s="8">
        <f>VLOOKUP(AG4,'BUS 2'!$G$1:$CU$424,28,0)</f>
        <v>0</v>
      </c>
      <c r="PQ4" s="8">
        <f>VLOOKUP(AG4,'BUS 2'!$G$1:$CU$424,29,0)</f>
        <v>1</v>
      </c>
      <c r="PR4" s="8">
        <f>VLOOKUP(AG4,'BUS 2'!$G$1:$CU$424,30,0)</f>
        <v>1</v>
      </c>
      <c r="PS4" s="8">
        <f>VLOOKUP(AG4,'BUS 2'!$G$1:$CU$424,31,0)</f>
        <v>0</v>
      </c>
      <c r="PT4" s="9"/>
      <c r="PU4" s="9"/>
      <c r="PV4" s="9"/>
      <c r="PW4" s="9"/>
      <c r="PX4" s="9"/>
      <c r="PY4" s="9"/>
      <c r="PZ4" s="9"/>
      <c r="QA4" s="9"/>
      <c r="QB4" s="9"/>
      <c r="QC4" s="9"/>
      <c r="QD4" s="9"/>
      <c r="QE4" s="32"/>
      <c r="QF4" s="31"/>
      <c r="QG4" s="31"/>
      <c r="QH4" s="31"/>
      <c r="QI4" s="31"/>
      <c r="QJ4" s="31"/>
      <c r="QK4" s="32"/>
      <c r="QL4" s="32"/>
      <c r="QM4" s="32"/>
      <c r="QN4" s="32"/>
      <c r="QO4" s="32"/>
      <c r="QP4" s="32"/>
      <c r="QQ4" s="32"/>
      <c r="QR4" s="32"/>
      <c r="QS4" s="32"/>
      <c r="QT4" s="32"/>
      <c r="QU4" s="32"/>
      <c r="QV4" s="32"/>
      <c r="QW4" s="31"/>
      <c r="QX4" s="31"/>
      <c r="QY4" s="31"/>
      <c r="QZ4" s="31"/>
      <c r="RA4" s="31"/>
      <c r="RB4" s="32"/>
      <c r="RC4" s="32"/>
      <c r="RD4" s="32"/>
      <c r="RE4" s="32"/>
      <c r="RF4" s="32"/>
      <c r="RG4" s="9"/>
      <c r="RH4" s="31"/>
      <c r="RI4" s="31"/>
      <c r="RJ4" s="31"/>
      <c r="RK4" s="31"/>
      <c r="RL4" s="31"/>
      <c r="RM4" s="9"/>
      <c r="RN4" s="9"/>
      <c r="RO4" s="9"/>
      <c r="RP4" s="9"/>
      <c r="RQ4" s="9"/>
      <c r="RR4" s="9"/>
      <c r="RS4" s="31"/>
      <c r="RT4" s="31"/>
      <c r="RU4" s="31"/>
      <c r="RV4" s="31"/>
      <c r="RW4" s="31"/>
      <c r="RX4" s="9"/>
      <c r="RY4" s="9"/>
      <c r="RZ4" s="9"/>
      <c r="SA4" s="9"/>
      <c r="SB4" s="9"/>
      <c r="SC4" s="9" t="s">
        <v>900</v>
      </c>
      <c r="SD4" s="35">
        <v>0.0</v>
      </c>
      <c r="SE4" s="35">
        <v>0.0</v>
      </c>
      <c r="SF4" s="35">
        <v>0.0</v>
      </c>
      <c r="SG4" s="35">
        <v>0.0</v>
      </c>
      <c r="SH4" s="35">
        <v>0.0</v>
      </c>
      <c r="SI4" s="8">
        <v>1.0</v>
      </c>
      <c r="SJ4" s="8">
        <v>0.0</v>
      </c>
      <c r="SK4" s="8">
        <v>0.0</v>
      </c>
      <c r="SL4" s="8">
        <v>0.0</v>
      </c>
      <c r="SM4" s="9"/>
      <c r="SN4" s="9" t="s">
        <v>900</v>
      </c>
      <c r="SO4" s="35">
        <v>0.0</v>
      </c>
      <c r="SP4" s="35">
        <v>0.0</v>
      </c>
      <c r="SQ4" s="35">
        <v>0.0</v>
      </c>
      <c r="SR4" s="35">
        <v>0.0</v>
      </c>
      <c r="SS4" s="35">
        <v>0.0</v>
      </c>
      <c r="ST4" s="8">
        <v>1.0</v>
      </c>
      <c r="SU4" s="8">
        <v>0.0</v>
      </c>
      <c r="SV4" s="8">
        <v>0.0</v>
      </c>
      <c r="SW4" s="8">
        <v>0.0</v>
      </c>
      <c r="SX4" s="9"/>
      <c r="SY4" s="8" t="str">
        <f>VLOOKUP(AG4,'BUS 2'!$G$1:$CU$424,33,0)</f>
        <v/>
      </c>
      <c r="SZ4" s="9" t="str">
        <f>VLOOKUP(AG4,'BUS 2'!$G$1:$CU$424,34,0)</f>
        <v/>
      </c>
      <c r="TA4" s="9" t="str">
        <f>VLOOKUP(AG4,'BUS 2'!$G$1:$CU$424,35,0)</f>
        <v/>
      </c>
      <c r="TB4" s="9" t="str">
        <f>VLOOKUP(AG4,'BUS 2'!$G$1:$CU$424,36,0)</f>
        <v/>
      </c>
      <c r="TC4" s="9" t="str">
        <f>VLOOKUP(AG4,'BUS 2'!$G$1:$CU$424,37,0)</f>
        <v/>
      </c>
      <c r="TD4" s="9" t="str">
        <f>VLOOKUP(AG4,'BUS 2'!$G$1:$CU$424,38,0)</f>
        <v/>
      </c>
      <c r="TE4" s="9">
        <f>VLOOKUP(AG4,'BUS 2'!$G$1:$CU$424,39,0)</f>
        <v>7</v>
      </c>
      <c r="TF4" s="9">
        <f>VLOOKUP(AG4,'BUS 2'!$G$1:$CU$424,40,0)</f>
        <v>20</v>
      </c>
      <c r="TG4" s="8">
        <f>VLOOKUP(AG4,'BUS 2'!$G$1:$CU$424,42,0)</f>
        <v>2</v>
      </c>
      <c r="TH4" s="8" t="str">
        <f>VLOOKUP(AG4,'BUS 2'!$G$1:$CU$424,43,0)</f>
        <v/>
      </c>
      <c r="TI4" s="8" t="str">
        <f>VLOOKUP(AG4,'BUS 2'!$G$1:$CU$424,44,0)</f>
        <v/>
      </c>
      <c r="TJ4" s="8" t="str">
        <f>VLOOKUP(AG4,'BUS 2'!$G$1:$CU$424,45,0)</f>
        <v/>
      </c>
      <c r="TK4" s="8" t="str">
        <f>VLOOKUP(AG4,'BUS 2'!$G$1:$CU$424,46,0)</f>
        <v/>
      </c>
      <c r="TL4" s="8" t="str">
        <f>VLOOKUP(AG4,'BUS 2'!$G$1:$CU$424,47,0)</f>
        <v/>
      </c>
      <c r="TM4" s="8">
        <f>VLOOKUP(AG4,'BUS 2'!$G$1:$CU$424,48,0)</f>
        <v>20</v>
      </c>
      <c r="TN4" s="8">
        <f>VLOOKUP(AG4,'BUS 2'!$G$1:$CU$424,49,0)</f>
        <v>20</v>
      </c>
      <c r="TO4" s="8">
        <f>VLOOKUP(AG4,'BUS 2'!$G$1:$CU$424,50,0)</f>
        <v>0</v>
      </c>
      <c r="TP4" s="8">
        <f>VLOOKUP(AG4,'BUS 2'!$G$1:$CU$424,51,0)</f>
        <v>0</v>
      </c>
      <c r="TQ4" s="8">
        <f>VLOOKUP(AG4,'BUS 2'!$G$1:$CU$424,52,0)</f>
        <v>0</v>
      </c>
      <c r="TR4" s="8">
        <f>VLOOKUP(AG4,'BUS 2'!$G$1:$CU$424,53,0)</f>
        <v>0</v>
      </c>
      <c r="TS4" s="9" t="str">
        <f>VLOOKUP(AG4,'BUS 2'!$G$1:$CU$424,54,0)</f>
        <v/>
      </c>
      <c r="TT4" s="9" t="str">
        <f>VLOOKUP(AG4,'BUS 2'!$G$1:$CU$424,55,0)</f>
        <v/>
      </c>
      <c r="TU4" s="9" t="str">
        <f>VLOOKUP(AG4,'BUS 2'!$G$1:$CU$424,56,0)</f>
        <v/>
      </c>
      <c r="TV4" s="9" t="str">
        <f>VLOOKUP(AG4,'BUS 2'!$G$1:$CU$424,57,0)</f>
        <v/>
      </c>
      <c r="TW4" s="9" t="str">
        <f>VLOOKUP(AG4,'BUS 2'!$G$1:$CU$424,58,0)</f>
        <v/>
      </c>
      <c r="TX4" s="9" t="str">
        <f>VLOOKUP(AG4,'BUS 2'!$G$1:$CU$424,59,0)</f>
        <v/>
      </c>
      <c r="TY4" s="9" t="str">
        <f>VLOOKUP(AG4,'BUS 2'!$G$1:$CU$424,60,0)</f>
        <v/>
      </c>
      <c r="TZ4" s="9" t="str">
        <f>VLOOKUP(AG4,'BUS 2'!$G$1:$CU$424,61,0)</f>
        <v/>
      </c>
      <c r="UA4" s="9" t="str">
        <f>VLOOKUP(AG4,'BUS 2'!$G$1:$CU$424,62,0)</f>
        <v/>
      </c>
      <c r="UB4" s="9" t="str">
        <f>VLOOKUP(AG4,'BUS 2'!$G$1:$CU$424,63,0)</f>
        <v/>
      </c>
      <c r="UC4" s="9" t="str">
        <f>VLOOKUP(AG4,'BUS 2'!$G$1:$CU$424,64,0)</f>
        <v/>
      </c>
      <c r="UD4" s="9" t="str">
        <f>VLOOKUP(AG4,'BUS 2'!$G$1:$CU$424,65,0)</f>
        <v/>
      </c>
      <c r="UE4" s="9" t="str">
        <f>VLOOKUP(AG4,'BUS 2'!$G$1:$CU$424,66,0)</f>
        <v/>
      </c>
      <c r="UF4" s="9" t="str">
        <f>VLOOKUP(AG4,'BUS 2'!$G$1:$CU$424,67,0)</f>
        <v/>
      </c>
      <c r="UG4" s="9" t="str">
        <f>VLOOKUP(AG4,'BUS 2'!$G$1:$CU$424,68,0)</f>
        <v/>
      </c>
      <c r="UH4" s="9" t="str">
        <f>VLOOKUP(AG4,'BUS 2'!$G$1:$CU$424,69,0)</f>
        <v/>
      </c>
      <c r="UI4" s="9" t="str">
        <f>VLOOKUP(AG4,'BUS 2'!$G$1:$CU$424,70,0)</f>
        <v/>
      </c>
      <c r="UJ4" s="9" t="str">
        <f>VLOOKUP(AG4,'BUS 2'!$G$1:$CU$424,71,0)</f>
        <v/>
      </c>
      <c r="UK4" s="9" t="str">
        <f>VLOOKUP(AG4,'BUS 2'!$G$1:$CU$424,72,0)</f>
        <v/>
      </c>
      <c r="UL4" s="9" t="str">
        <f>VLOOKUP(AG4,'BUS 2'!$G$1:$CU$424,73,0)</f>
        <v/>
      </c>
      <c r="UM4" s="9">
        <f>VLOOKUP(AG4,'BUS 2'!$G$1:$CU$424,74,0)</f>
        <v>0</v>
      </c>
      <c r="UN4" s="9">
        <f>VLOOKUP(AG4,'BUS 2'!$G$1:$CU$424,75,0)</f>
        <v>0</v>
      </c>
      <c r="UO4" s="9">
        <f>VLOOKUP(AG4,'BUS 2'!$G$1:$CU$424,76,0)</f>
        <v>7</v>
      </c>
      <c r="UP4" s="9">
        <f>VLOOKUP(AG4,'BUS 2'!$G$1:$CU$424,77,0)</f>
        <v>20</v>
      </c>
      <c r="UQ4" s="9">
        <f>VLOOKUP(AG4,'BUS 2'!$G$1:$CU$424,78,0)</f>
        <v>0</v>
      </c>
      <c r="UR4" s="9">
        <f>VLOOKUP(AG4,'BUS 2'!$G$1:$CU$424,79,0)</f>
        <v>0</v>
      </c>
      <c r="US4" s="9">
        <f>VLOOKUP(AG4,'BUS 2'!$G$1:$CU$424,80,0)</f>
        <v>0</v>
      </c>
      <c r="UT4" s="9">
        <f>VLOOKUP(AG4,'BUS 2'!$G$1:$CU$424,81,0)</f>
        <v>0</v>
      </c>
      <c r="UU4" s="9" t="s">
        <v>1937</v>
      </c>
      <c r="UV4" s="9"/>
      <c r="UW4" s="9"/>
      <c r="UX4" s="9"/>
      <c r="UY4" s="9"/>
      <c r="UZ4" s="9"/>
      <c r="VA4" s="9" t="s">
        <v>1937</v>
      </c>
      <c r="VB4" s="9" t="s">
        <v>1937</v>
      </c>
      <c r="VC4" s="9" t="s">
        <v>1938</v>
      </c>
      <c r="VD4" s="9"/>
      <c r="VE4" s="9"/>
      <c r="VF4" s="9"/>
      <c r="VG4" s="9"/>
      <c r="VH4" s="9"/>
      <c r="VI4" s="9" t="s">
        <v>1938</v>
      </c>
      <c r="VJ4" s="9" t="s">
        <v>1938</v>
      </c>
      <c r="VK4" s="9" t="s">
        <v>903</v>
      </c>
      <c r="VL4" s="9"/>
      <c r="VM4" s="9"/>
      <c r="VN4" s="9"/>
      <c r="VO4" s="9"/>
      <c r="VP4" s="9"/>
      <c r="VQ4" s="9" t="s">
        <v>1939</v>
      </c>
      <c r="VR4" s="9" t="s">
        <v>1939</v>
      </c>
      <c r="VS4" s="9" t="s">
        <v>1185</v>
      </c>
      <c r="VT4" s="8">
        <v>0.0</v>
      </c>
      <c r="VU4" s="8">
        <v>0.0</v>
      </c>
      <c r="VV4" s="8">
        <v>0.0</v>
      </c>
      <c r="VW4" s="8">
        <v>0.0</v>
      </c>
      <c r="VX4" s="8">
        <v>0.0</v>
      </c>
      <c r="VY4" s="8">
        <v>0.0</v>
      </c>
      <c r="VZ4" s="8">
        <v>1.0</v>
      </c>
      <c r="WA4" s="8">
        <v>0.0</v>
      </c>
      <c r="WB4" s="8">
        <v>0.0</v>
      </c>
      <c r="WC4" s="8">
        <v>1.0</v>
      </c>
      <c r="WD4" s="8">
        <v>0.0</v>
      </c>
      <c r="WE4" s="8">
        <v>0.0</v>
      </c>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t="s">
        <v>951</v>
      </c>
      <c r="YO4" s="8">
        <v>0.0</v>
      </c>
      <c r="YP4" s="8">
        <v>0.0</v>
      </c>
      <c r="YQ4" s="8">
        <v>0.0</v>
      </c>
      <c r="YR4" s="8">
        <v>0.0</v>
      </c>
      <c r="YS4" s="8">
        <v>0.0</v>
      </c>
      <c r="YT4" s="8">
        <v>0.0</v>
      </c>
      <c r="YU4" s="8">
        <v>1.0</v>
      </c>
      <c r="YV4" s="8">
        <v>0.0</v>
      </c>
      <c r="YW4" s="8">
        <v>0.0</v>
      </c>
      <c r="YX4" s="8">
        <v>0.0</v>
      </c>
      <c r="YY4" s="8">
        <v>0.0</v>
      </c>
      <c r="YZ4" s="8">
        <v>0.0</v>
      </c>
      <c r="ZA4" s="9" t="s">
        <v>951</v>
      </c>
      <c r="ZB4" s="8">
        <v>0.0</v>
      </c>
      <c r="ZC4" s="8">
        <v>0.0</v>
      </c>
      <c r="ZD4" s="8">
        <v>0.0</v>
      </c>
      <c r="ZE4" s="8">
        <v>0.0</v>
      </c>
      <c r="ZF4" s="8">
        <v>0.0</v>
      </c>
      <c r="ZG4" s="8">
        <v>0.0</v>
      </c>
      <c r="ZH4" s="8">
        <v>1.0</v>
      </c>
      <c r="ZI4" s="8">
        <v>0.0</v>
      </c>
      <c r="ZJ4" s="8">
        <v>0.0</v>
      </c>
      <c r="ZK4" s="8">
        <v>0.0</v>
      </c>
      <c r="ZL4" s="8">
        <v>0.0</v>
      </c>
      <c r="ZM4" s="8">
        <v>0.0</v>
      </c>
      <c r="ZN4" s="8">
        <v>100.0</v>
      </c>
      <c r="ZO4" s="9"/>
      <c r="ZP4" s="9"/>
      <c r="ZQ4" s="9"/>
      <c r="ZR4" s="9"/>
      <c r="ZS4" s="9"/>
      <c r="ZT4" s="9"/>
      <c r="ZU4" s="9"/>
      <c r="ZV4" s="8">
        <v>2.0</v>
      </c>
      <c r="ZW4" s="9"/>
      <c r="ZX4" s="9"/>
      <c r="ZY4" s="9"/>
      <c r="ZZ4" s="9"/>
      <c r="AAA4" s="9"/>
      <c r="AAB4" s="8">
        <v>2.0</v>
      </c>
      <c r="AAC4" s="8">
        <v>2.0</v>
      </c>
      <c r="AAD4" s="9" t="s">
        <v>1186</v>
      </c>
      <c r="AAE4" s="9"/>
      <c r="AAF4" s="9"/>
      <c r="AAG4" s="9"/>
      <c r="AAH4" s="9"/>
      <c r="AAI4" s="9"/>
      <c r="AAJ4" s="9" t="s">
        <v>905</v>
      </c>
      <c r="AAK4" s="9" t="s">
        <v>905</v>
      </c>
      <c r="AAL4" s="9" t="s">
        <v>857</v>
      </c>
      <c r="AAM4" s="9" t="s">
        <v>1033</v>
      </c>
      <c r="AAN4" s="8">
        <v>1.0</v>
      </c>
      <c r="AAO4" s="8">
        <v>1.0</v>
      </c>
      <c r="AAP4" s="8">
        <v>20.0</v>
      </c>
      <c r="AAQ4" s="8">
        <v>5.0</v>
      </c>
      <c r="AAR4" s="9" t="s">
        <v>857</v>
      </c>
      <c r="AAS4" s="9" t="s">
        <v>867</v>
      </c>
      <c r="AAT4" s="9" t="s">
        <v>1287</v>
      </c>
      <c r="AAU4" s="8">
        <v>1.0</v>
      </c>
      <c r="AAV4" s="8">
        <v>0.0</v>
      </c>
      <c r="AAW4" s="8">
        <v>0.0</v>
      </c>
      <c r="AAX4" s="8">
        <v>1.0</v>
      </c>
      <c r="AAY4" s="8">
        <v>0.0</v>
      </c>
      <c r="AAZ4" s="8">
        <v>0.0</v>
      </c>
      <c r="ABA4" s="8">
        <v>0.0</v>
      </c>
      <c r="ABB4" s="9" t="s">
        <v>2008</v>
      </c>
      <c r="ABC4" s="8">
        <v>1.0</v>
      </c>
      <c r="ABD4" s="8">
        <v>1.0</v>
      </c>
      <c r="ABE4" s="8">
        <v>1.0</v>
      </c>
      <c r="ABF4" s="8">
        <v>0.0</v>
      </c>
      <c r="ABG4" s="8">
        <v>0.0</v>
      </c>
      <c r="ABH4" s="9"/>
      <c r="ABI4" s="9"/>
      <c r="ABJ4" s="9"/>
      <c r="ABK4" s="9"/>
      <c r="ABL4" s="9"/>
      <c r="ABM4" s="9"/>
      <c r="ABN4" s="9"/>
      <c r="ABO4" s="9"/>
      <c r="ABP4" s="9"/>
      <c r="ABQ4" s="9" t="s">
        <v>2009</v>
      </c>
      <c r="ABR4" s="9" t="s">
        <v>1075</v>
      </c>
      <c r="ABS4" s="8">
        <v>700.0</v>
      </c>
      <c r="ABT4" s="8">
        <v>200.0</v>
      </c>
      <c r="ABU4" s="8">
        <v>25.0</v>
      </c>
      <c r="ABV4" s="8">
        <v>5.0</v>
      </c>
      <c r="ABW4" s="9" t="s">
        <v>1199</v>
      </c>
      <c r="ABX4" s="9"/>
      <c r="ABY4" s="8">
        <v>600.0</v>
      </c>
      <c r="ABZ4" s="8">
        <v>2600.0</v>
      </c>
      <c r="ACA4" s="8">
        <v>450.0</v>
      </c>
      <c r="ACB4" s="8">
        <v>1840.0</v>
      </c>
      <c r="ACC4" s="8">
        <v>3500.0</v>
      </c>
      <c r="ACD4" s="8">
        <v>5000.0</v>
      </c>
      <c r="ACE4" s="9" t="s">
        <v>857</v>
      </c>
      <c r="ACF4" s="9" t="s">
        <v>911</v>
      </c>
      <c r="ACG4" s="9" t="s">
        <v>911</v>
      </c>
      <c r="ACH4" s="9" t="s">
        <v>911</v>
      </c>
      <c r="ACI4" s="9"/>
      <c r="ACJ4" s="9"/>
      <c r="ACK4" s="9" t="s">
        <v>969</v>
      </c>
      <c r="ACL4" s="8">
        <v>0.0</v>
      </c>
      <c r="ACM4" s="8">
        <v>0.0</v>
      </c>
      <c r="ACN4" s="8">
        <v>0.0</v>
      </c>
      <c r="ACO4" s="8">
        <v>0.0</v>
      </c>
      <c r="ACP4" s="8">
        <v>0.0</v>
      </c>
      <c r="ACQ4" s="8">
        <v>0.0</v>
      </c>
      <c r="ACR4" s="8">
        <v>1.0</v>
      </c>
      <c r="ACS4" s="9" t="s">
        <v>2010</v>
      </c>
      <c r="ACT4" s="9" t="s">
        <v>881</v>
      </c>
      <c r="ACU4" s="9" t="s">
        <v>913</v>
      </c>
      <c r="ACV4" s="9" t="s">
        <v>914</v>
      </c>
      <c r="ACW4" s="9" t="s">
        <v>915</v>
      </c>
      <c r="ACX4" s="9" t="s">
        <v>958</v>
      </c>
      <c r="ACY4" s="9" t="s">
        <v>1035</v>
      </c>
      <c r="ACZ4" s="8">
        <v>1.0</v>
      </c>
      <c r="ADA4" s="8">
        <v>1.0</v>
      </c>
      <c r="ADB4" s="8">
        <v>0.0</v>
      </c>
      <c r="ADC4" s="8">
        <v>0.0</v>
      </c>
      <c r="ADD4" s="9" t="s">
        <v>917</v>
      </c>
      <c r="ADE4" s="9" t="s">
        <v>917</v>
      </c>
      <c r="ADF4" s="9" t="s">
        <v>918</v>
      </c>
      <c r="ADG4" s="9" t="s">
        <v>918</v>
      </c>
      <c r="ADH4" s="9" t="s">
        <v>881</v>
      </c>
      <c r="ADI4" s="9"/>
      <c r="ADJ4" s="9" t="s">
        <v>918</v>
      </c>
      <c r="ADK4" s="9"/>
      <c r="ADL4" s="9"/>
      <c r="ADM4" s="9"/>
      <c r="ADN4" s="9"/>
      <c r="ADO4" s="9"/>
      <c r="ADP4" s="9"/>
      <c r="ADQ4" s="9"/>
      <c r="ADR4" s="9"/>
      <c r="ADS4" s="9"/>
      <c r="ADT4" s="9"/>
      <c r="ADU4" s="9" t="s">
        <v>1018</v>
      </c>
      <c r="ADV4" s="8">
        <v>0.0</v>
      </c>
      <c r="ADW4" s="8">
        <v>0.0</v>
      </c>
      <c r="ADX4" s="8">
        <v>0.0</v>
      </c>
      <c r="ADY4" s="8">
        <v>0.0</v>
      </c>
      <c r="ADZ4" s="8">
        <v>1.0</v>
      </c>
      <c r="AEA4" s="8">
        <v>1.0</v>
      </c>
      <c r="AEB4" s="8">
        <v>0.0</v>
      </c>
      <c r="AEC4" s="8">
        <v>0.0</v>
      </c>
      <c r="AED4" s="9" t="s">
        <v>1945</v>
      </c>
      <c r="AEE4" s="9" t="s">
        <v>872</v>
      </c>
      <c r="AEF4" s="9"/>
      <c r="AEG4" s="9" t="s">
        <v>920</v>
      </c>
      <c r="AEH4" s="9"/>
      <c r="AEI4" s="9" t="s">
        <v>2011</v>
      </c>
      <c r="AEJ4" s="9" t="s">
        <v>961</v>
      </c>
      <c r="AEK4" s="9" t="s">
        <v>2012</v>
      </c>
      <c r="AEL4" s="8">
        <v>1.0</v>
      </c>
      <c r="AEM4" s="8">
        <v>0.0</v>
      </c>
      <c r="AEN4" s="8">
        <v>0.0</v>
      </c>
      <c r="AEO4" s="8">
        <v>0.0</v>
      </c>
      <c r="AEP4" s="8">
        <v>0.0</v>
      </c>
      <c r="AEQ4" s="8">
        <v>0.0</v>
      </c>
      <c r="AER4" s="8">
        <v>0.0</v>
      </c>
      <c r="AES4" s="8">
        <v>1.0</v>
      </c>
      <c r="AET4" s="8">
        <v>1.0</v>
      </c>
      <c r="AEU4" s="8">
        <v>0.0</v>
      </c>
      <c r="AEV4" s="8">
        <v>0.0</v>
      </c>
      <c r="AEW4" s="8">
        <v>0.0</v>
      </c>
      <c r="AEX4" s="9"/>
      <c r="AEY4" s="9" t="s">
        <v>1981</v>
      </c>
      <c r="AEZ4" s="9"/>
      <c r="AFA4" s="9" t="s">
        <v>924</v>
      </c>
      <c r="AFB4" s="9"/>
      <c r="AFC4" s="9" t="s">
        <v>2013</v>
      </c>
      <c r="AFD4" s="16" t="s">
        <v>2014</v>
      </c>
      <c r="AFE4" s="9" t="s">
        <v>2015</v>
      </c>
      <c r="AFF4" s="16" t="s">
        <v>2016</v>
      </c>
      <c r="AFG4" s="9" t="s">
        <v>1991</v>
      </c>
      <c r="AFH4" s="9"/>
      <c r="AFI4" s="21" t="s">
        <v>2017</v>
      </c>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8">
        <v>6.66067792E8</v>
      </c>
      <c r="AWB4" s="9" t="s">
        <v>2018</v>
      </c>
      <c r="AWC4" s="6">
        <v>46060.0</v>
      </c>
      <c r="AWD4" s="9"/>
      <c r="AWE4" s="9"/>
      <c r="AWF4" s="9" t="s">
        <v>1954</v>
      </c>
      <c r="AWG4" s="9"/>
      <c r="AWH4" s="9" t="s">
        <v>1989</v>
      </c>
      <c r="AWI4" s="9"/>
      <c r="AWJ4" s="9" t="s">
        <v>2019</v>
      </c>
      <c r="AWK4" s="8">
        <v>86.0</v>
      </c>
      <c r="AWL4" s="9" t="s">
        <v>1999</v>
      </c>
      <c r="AWM4" s="8">
        <v>0.0</v>
      </c>
      <c r="AWN4" s="9" t="s">
        <v>1957</v>
      </c>
      <c r="AWO4" s="33" t="b">
        <v>1</v>
      </c>
      <c r="AWP4" s="33" t="b">
        <v>1</v>
      </c>
      <c r="AWQ4" s="33" t="b">
        <v>1</v>
      </c>
      <c r="AWR4" s="33" t="b">
        <v>1</v>
      </c>
      <c r="AWS4" s="33" t="b">
        <v>1</v>
      </c>
      <c r="AWT4" s="33" t="b">
        <v>1</v>
      </c>
      <c r="AWU4" s="9"/>
      <c r="AWV4" s="8">
        <v>3.0</v>
      </c>
      <c r="AWW4" s="9"/>
      <c r="AWX4" s="9"/>
      <c r="AWY4" s="9"/>
      <c r="AWZ4" s="9"/>
    </row>
    <row r="5">
      <c r="A5" s="6">
        <v>46046.0</v>
      </c>
      <c r="B5" s="6">
        <v>46062.0</v>
      </c>
      <c r="C5" s="30" t="s">
        <v>1991</v>
      </c>
      <c r="D5" s="30" t="s">
        <v>2020</v>
      </c>
      <c r="E5" s="8">
        <f>+6282337116838</f>
        <v>6282337116838</v>
      </c>
      <c r="F5" s="9" t="s">
        <v>2021</v>
      </c>
      <c r="G5" s="8">
        <v>-4.838687</v>
      </c>
      <c r="H5" s="8">
        <v>119.599798</v>
      </c>
      <c r="I5" s="8">
        <v>57.6</v>
      </c>
      <c r="J5" s="8">
        <v>2.700000048</v>
      </c>
      <c r="K5" s="8">
        <v>0.0</v>
      </c>
      <c r="L5" s="9" t="s">
        <v>2022</v>
      </c>
      <c r="M5" s="8">
        <v>-4.838532</v>
      </c>
      <c r="N5" s="8">
        <v>119.599868</v>
      </c>
      <c r="O5" s="8">
        <v>59.3</v>
      </c>
      <c r="P5" s="8">
        <v>5.387000084</v>
      </c>
      <c r="Q5" s="8">
        <v>0.0</v>
      </c>
      <c r="R5" s="9" t="s">
        <v>1923</v>
      </c>
      <c r="S5" s="8">
        <v>0.0</v>
      </c>
      <c r="T5" s="8">
        <v>0.0</v>
      </c>
      <c r="U5" s="8">
        <v>0.0</v>
      </c>
      <c r="V5" s="8">
        <v>0.0</v>
      </c>
      <c r="W5" s="8">
        <v>0.0</v>
      </c>
      <c r="X5" s="8">
        <v>0.0</v>
      </c>
      <c r="Y5" s="8">
        <v>0.0</v>
      </c>
      <c r="Z5" s="8">
        <v>0.0</v>
      </c>
      <c r="AA5" s="8">
        <v>0.0</v>
      </c>
      <c r="AB5" s="8">
        <v>1.0</v>
      </c>
      <c r="AC5" s="7" t="s">
        <v>2023</v>
      </c>
      <c r="AD5" s="7" t="s">
        <v>2024</v>
      </c>
      <c r="AE5" s="7" t="s">
        <v>2025</v>
      </c>
      <c r="AF5" s="9" t="s">
        <v>2026</v>
      </c>
      <c r="AG5" s="9" t="s">
        <v>2027</v>
      </c>
      <c r="AH5" s="8">
        <v>4.0</v>
      </c>
      <c r="AI5" s="9" t="s">
        <v>845</v>
      </c>
      <c r="AJ5" s="9" t="s">
        <v>934</v>
      </c>
      <c r="AK5" s="8">
        <v>47.0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11"/>
      <c r="BI5" s="9" t="s">
        <v>936</v>
      </c>
      <c r="BJ5" s="8">
        <v>0.0</v>
      </c>
      <c r="BK5" s="8">
        <v>2.0</v>
      </c>
      <c r="BL5" s="8">
        <v>2.0</v>
      </c>
      <c r="BM5" s="8">
        <v>1.0</v>
      </c>
      <c r="BN5" s="9" t="s">
        <v>853</v>
      </c>
      <c r="BO5" s="9" t="s">
        <v>2000</v>
      </c>
      <c r="BP5" s="8">
        <v>0.0</v>
      </c>
      <c r="BQ5" s="8">
        <v>1.0</v>
      </c>
      <c r="BR5" s="8">
        <v>0.0</v>
      </c>
      <c r="BS5" s="8">
        <v>0.0</v>
      </c>
      <c r="BT5" s="8">
        <v>0.0</v>
      </c>
      <c r="BU5" s="9"/>
      <c r="BV5" s="9" t="s">
        <v>2028</v>
      </c>
      <c r="BW5" s="8">
        <v>0.0</v>
      </c>
      <c r="BX5" s="8">
        <v>1.0</v>
      </c>
      <c r="BY5" s="8">
        <v>1.0</v>
      </c>
      <c r="BZ5" s="8">
        <v>0.0</v>
      </c>
      <c r="CA5" s="8">
        <v>0.0</v>
      </c>
      <c r="CB5" s="9"/>
      <c r="CC5" s="9" t="s">
        <v>1929</v>
      </c>
      <c r="CD5" s="8">
        <v>0.0</v>
      </c>
      <c r="CE5" s="8">
        <v>0.0</v>
      </c>
      <c r="CF5" s="8">
        <v>0.0</v>
      </c>
      <c r="CG5" s="8">
        <v>0.0</v>
      </c>
      <c r="CH5" s="8">
        <v>1.0</v>
      </c>
      <c r="CI5" s="8">
        <v>0.0</v>
      </c>
      <c r="CJ5" s="8">
        <v>0.0</v>
      </c>
      <c r="CK5" s="9"/>
      <c r="CL5" s="9" t="s">
        <v>857</v>
      </c>
      <c r="CM5" s="8">
        <v>2022.0</v>
      </c>
      <c r="CN5" s="9" t="s">
        <v>858</v>
      </c>
      <c r="CO5" s="9" t="s">
        <v>1968</v>
      </c>
      <c r="CP5" s="9" t="s">
        <v>860</v>
      </c>
      <c r="CQ5" s="8">
        <v>0.0</v>
      </c>
      <c r="CR5" s="8">
        <v>0.0</v>
      </c>
      <c r="CS5" s="8">
        <v>0.0</v>
      </c>
      <c r="CT5" s="8">
        <v>0.0</v>
      </c>
      <c r="CU5" s="8">
        <v>1.0</v>
      </c>
      <c r="CV5" s="8">
        <v>0.0</v>
      </c>
      <c r="CW5" s="8">
        <v>0.0</v>
      </c>
      <c r="CX5" s="8">
        <v>0.0</v>
      </c>
      <c r="CY5" s="9" t="s">
        <v>1060</v>
      </c>
      <c r="CZ5" s="8">
        <v>1.0</v>
      </c>
      <c r="DA5" s="8">
        <v>1.0</v>
      </c>
      <c r="DB5" s="8">
        <v>0.0</v>
      </c>
      <c r="DC5" s="9"/>
      <c r="DD5" s="9" t="s">
        <v>861</v>
      </c>
      <c r="DE5" s="8">
        <v>0.0</v>
      </c>
      <c r="DF5" s="8">
        <v>0.0</v>
      </c>
      <c r="DG5" s="8">
        <v>1.0</v>
      </c>
      <c r="DH5" s="8">
        <v>0.0</v>
      </c>
      <c r="DI5" s="9"/>
      <c r="DJ5" s="9" t="s">
        <v>937</v>
      </c>
      <c r="DK5" s="8">
        <v>1.0</v>
      </c>
      <c r="DL5" s="8">
        <v>0.0</v>
      </c>
      <c r="DM5" s="8">
        <v>1.0</v>
      </c>
      <c r="DN5" s="8">
        <v>0.0</v>
      </c>
      <c r="DO5" s="9"/>
      <c r="DP5" s="9" t="s">
        <v>938</v>
      </c>
      <c r="DQ5" s="9" t="s">
        <v>2029</v>
      </c>
      <c r="DR5" s="17" t="s">
        <v>2030</v>
      </c>
      <c r="DS5" s="9"/>
      <c r="DT5" s="9" t="s">
        <v>2031</v>
      </c>
      <c r="DU5" s="8">
        <v>1.0</v>
      </c>
      <c r="DV5" s="8">
        <v>0.0</v>
      </c>
      <c r="DW5" s="8">
        <v>0.0</v>
      </c>
      <c r="DX5" s="8">
        <v>0.0</v>
      </c>
      <c r="DY5" s="8">
        <v>0.0</v>
      </c>
      <c r="DZ5" s="8">
        <v>0.0</v>
      </c>
      <c r="EA5" s="8">
        <v>0.0</v>
      </c>
      <c r="EB5" s="8">
        <v>0.0</v>
      </c>
      <c r="EC5" s="8">
        <v>0.0</v>
      </c>
      <c r="ED5" s="8">
        <v>0.0</v>
      </c>
      <c r="EE5" s="8">
        <v>0.0</v>
      </c>
      <c r="EF5" s="8">
        <v>0.0</v>
      </c>
      <c r="EG5" s="8">
        <v>0.0</v>
      </c>
      <c r="EH5" s="8">
        <v>0.0</v>
      </c>
      <c r="EI5" s="9" t="s">
        <v>862</v>
      </c>
      <c r="EJ5" s="8">
        <v>0.0</v>
      </c>
      <c r="EK5" s="8">
        <v>0.0</v>
      </c>
      <c r="EL5" s="8">
        <v>0.0</v>
      </c>
      <c r="EM5" s="8">
        <v>1.0</v>
      </c>
      <c r="EN5" s="8">
        <v>0.0</v>
      </c>
      <c r="EO5" s="9"/>
      <c r="EP5" s="9" t="s">
        <v>863</v>
      </c>
      <c r="EQ5" s="9" t="s">
        <v>1380</v>
      </c>
      <c r="ER5" s="9" t="s">
        <v>861</v>
      </c>
      <c r="ES5" s="8">
        <v>1.0</v>
      </c>
      <c r="ET5" s="8">
        <v>0.0</v>
      </c>
      <c r="EU5" s="8">
        <v>0.0</v>
      </c>
      <c r="EV5" s="8">
        <v>0.0</v>
      </c>
      <c r="EW5" s="9"/>
      <c r="EX5" s="9" t="s">
        <v>865</v>
      </c>
      <c r="EY5" s="8">
        <v>1.0</v>
      </c>
      <c r="EZ5" s="8">
        <v>0.0</v>
      </c>
      <c r="FA5" s="8">
        <v>0.0</v>
      </c>
      <c r="FB5" s="9"/>
      <c r="FC5" s="9" t="s">
        <v>942</v>
      </c>
      <c r="FD5" s="9" t="s">
        <v>2032</v>
      </c>
      <c r="FE5" s="9" t="s">
        <v>867</v>
      </c>
      <c r="FF5" s="9" t="s">
        <v>868</v>
      </c>
      <c r="FG5" s="9" t="s">
        <v>867</v>
      </c>
      <c r="FH5" s="9" t="s">
        <v>868</v>
      </c>
      <c r="FI5" s="9" t="s">
        <v>867</v>
      </c>
      <c r="FJ5" s="9" t="s">
        <v>868</v>
      </c>
      <c r="FK5" s="9" t="s">
        <v>867</v>
      </c>
      <c r="FL5" s="9" t="s">
        <v>870</v>
      </c>
      <c r="FM5" s="9" t="s">
        <v>867</v>
      </c>
      <c r="FN5" s="9" t="s">
        <v>870</v>
      </c>
      <c r="FO5" s="9" t="s">
        <v>1971</v>
      </c>
      <c r="FP5" s="9" t="s">
        <v>883</v>
      </c>
      <c r="FQ5" s="9" t="s">
        <v>867</v>
      </c>
      <c r="FR5" s="9" t="s">
        <v>857</v>
      </c>
      <c r="FS5" s="9" t="s">
        <v>867</v>
      </c>
      <c r="FT5" s="9" t="s">
        <v>871</v>
      </c>
      <c r="FU5" s="9" t="s">
        <v>872</v>
      </c>
      <c r="FV5" s="8">
        <v>1.0</v>
      </c>
      <c r="FW5" s="8">
        <v>0.0</v>
      </c>
      <c r="FX5" s="8">
        <v>0.0</v>
      </c>
      <c r="FY5" s="8">
        <v>0.0</v>
      </c>
      <c r="FZ5" s="9" t="s">
        <v>873</v>
      </c>
      <c r="GA5" s="9" t="s">
        <v>874</v>
      </c>
      <c r="GB5" s="8">
        <v>1.0</v>
      </c>
      <c r="GC5" s="8">
        <v>0.0</v>
      </c>
      <c r="GD5" s="8">
        <v>0.0</v>
      </c>
      <c r="GE5" s="8">
        <v>0.0</v>
      </c>
      <c r="GF5" s="9"/>
      <c r="GG5" s="9" t="s">
        <v>2033</v>
      </c>
      <c r="GH5" s="9" t="s">
        <v>857</v>
      </c>
      <c r="GI5" s="9" t="s">
        <v>876</v>
      </c>
      <c r="GJ5" s="8">
        <v>1.0</v>
      </c>
      <c r="GK5" s="8">
        <v>0.0</v>
      </c>
      <c r="GL5" s="8">
        <v>0.0</v>
      </c>
      <c r="GM5" s="8">
        <v>0.0</v>
      </c>
      <c r="GN5" s="9"/>
      <c r="GO5" s="8">
        <v>7.0</v>
      </c>
      <c r="GP5" s="9" t="s">
        <v>1931</v>
      </c>
      <c r="GQ5" s="9" t="s">
        <v>1102</v>
      </c>
      <c r="GR5" s="8">
        <v>1.0</v>
      </c>
      <c r="GS5" s="8">
        <v>0.0</v>
      </c>
      <c r="GT5" s="8">
        <v>0.0</v>
      </c>
      <c r="GU5" s="8">
        <v>0.0</v>
      </c>
      <c r="GV5" s="8">
        <v>0.0</v>
      </c>
      <c r="GW5" s="8">
        <v>0.0</v>
      </c>
      <c r="GX5" s="8">
        <v>0.0</v>
      </c>
      <c r="GY5" s="9"/>
      <c r="GZ5" s="9" t="s">
        <v>857</v>
      </c>
      <c r="HA5" s="9"/>
      <c r="HB5" s="9"/>
      <c r="HC5" s="9"/>
      <c r="HD5" s="9"/>
      <c r="HE5" s="8">
        <v>9.0</v>
      </c>
      <c r="HF5" s="8">
        <v>60000.0</v>
      </c>
      <c r="HG5" s="8">
        <v>3.0</v>
      </c>
      <c r="HH5" s="8">
        <v>24000.0</v>
      </c>
      <c r="HI5" s="9"/>
      <c r="HJ5" s="9"/>
      <c r="HK5" s="9"/>
      <c r="HL5" s="9"/>
      <c r="HM5" s="9"/>
      <c r="HN5" s="9"/>
      <c r="HO5" s="9"/>
      <c r="HP5" s="9"/>
      <c r="HQ5" s="9"/>
      <c r="HR5" s="9"/>
      <c r="HS5" s="9"/>
      <c r="HT5" s="9"/>
      <c r="HU5" s="9"/>
      <c r="HV5" s="9"/>
      <c r="HW5" s="9"/>
      <c r="HX5" s="9"/>
      <c r="HY5" s="9"/>
      <c r="HZ5" s="9"/>
      <c r="IA5" s="8">
        <v>6.0</v>
      </c>
      <c r="IB5" s="8">
        <v>48000.0</v>
      </c>
      <c r="IC5" s="9"/>
      <c r="ID5" s="9"/>
      <c r="IE5" s="9"/>
      <c r="IF5" s="9"/>
      <c r="IG5" s="9"/>
      <c r="IH5" s="9"/>
      <c r="II5" s="9"/>
      <c r="IJ5" s="9"/>
      <c r="IK5" s="9" t="s">
        <v>1382</v>
      </c>
      <c r="IL5" s="9" t="s">
        <v>1366</v>
      </c>
      <c r="IM5" s="9" t="s">
        <v>857</v>
      </c>
      <c r="IN5" s="9" t="s">
        <v>881</v>
      </c>
      <c r="IO5" s="9" t="s">
        <v>945</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945</v>
      </c>
      <c r="KT5" s="9" t="s">
        <v>886</v>
      </c>
      <c r="KU5" s="9" t="s">
        <v>886</v>
      </c>
      <c r="KV5" s="9" t="s">
        <v>1014</v>
      </c>
      <c r="KW5" s="8">
        <v>0.0</v>
      </c>
      <c r="KX5" s="8">
        <v>1.0</v>
      </c>
      <c r="KY5" s="8">
        <v>0.0</v>
      </c>
      <c r="KZ5" s="8">
        <v>0.0</v>
      </c>
      <c r="LA5" s="9" t="s">
        <v>945</v>
      </c>
      <c r="LB5" s="9" t="s">
        <v>884</v>
      </c>
      <c r="LC5" s="8">
        <v>7.0</v>
      </c>
      <c r="LD5" s="8">
        <v>1.0</v>
      </c>
      <c r="LE5" s="8">
        <v>0.0</v>
      </c>
      <c r="LF5" s="8">
        <v>0.0</v>
      </c>
      <c r="LG5" s="9" t="s">
        <v>881</v>
      </c>
      <c r="LH5" s="9"/>
      <c r="LI5" s="8">
        <v>0.0</v>
      </c>
      <c r="LJ5" s="9" t="s">
        <v>969</v>
      </c>
      <c r="LK5" s="8">
        <v>0.0</v>
      </c>
      <c r="LL5" s="8">
        <v>0.0</v>
      </c>
      <c r="LM5" s="8">
        <v>0.0</v>
      </c>
      <c r="LN5" s="8">
        <v>0.0</v>
      </c>
      <c r="LO5" s="8">
        <v>0.0</v>
      </c>
      <c r="LP5" s="8">
        <v>0.0</v>
      </c>
      <c r="LQ5" s="8">
        <v>1.0</v>
      </c>
      <c r="LR5" s="11" t="s">
        <v>2034</v>
      </c>
      <c r="LS5" s="8">
        <v>60.0</v>
      </c>
      <c r="LT5" s="8">
        <v>0.0</v>
      </c>
      <c r="LU5" s="8">
        <v>0.0</v>
      </c>
      <c r="LV5" s="8">
        <v>10.0</v>
      </c>
      <c r="LW5" s="8">
        <v>0.0</v>
      </c>
      <c r="LX5" s="8">
        <v>0.0</v>
      </c>
      <c r="LY5" s="8">
        <v>30.0</v>
      </c>
      <c r="LZ5" s="8">
        <v>0.0</v>
      </c>
      <c r="MA5" s="8">
        <v>0.0</v>
      </c>
      <c r="MB5" s="9" t="s">
        <v>881</v>
      </c>
      <c r="MC5" s="8">
        <v>0.0</v>
      </c>
      <c r="MD5" s="8">
        <v>0.0</v>
      </c>
      <c r="ME5" s="8">
        <v>0.0</v>
      </c>
      <c r="MF5" s="8">
        <v>0.0</v>
      </c>
      <c r="MG5" s="8">
        <v>0.0</v>
      </c>
      <c r="MH5" s="8">
        <v>0.0</v>
      </c>
      <c r="MI5" s="9"/>
      <c r="MJ5" s="9"/>
      <c r="MK5" s="9"/>
      <c r="ML5" s="9"/>
      <c r="MM5" s="9"/>
      <c r="MN5" s="9"/>
      <c r="MO5" s="9"/>
      <c r="MP5" s="9"/>
      <c r="MQ5" s="9"/>
      <c r="MR5" s="17" t="s">
        <v>2035</v>
      </c>
      <c r="MS5" s="9"/>
      <c r="MT5" s="9" t="s">
        <v>2035</v>
      </c>
      <c r="MU5" s="9" t="s">
        <v>890</v>
      </c>
      <c r="MV5" s="9" t="s">
        <v>1031</v>
      </c>
      <c r="MW5" s="8">
        <v>0.0</v>
      </c>
      <c r="MX5" s="8">
        <v>1.0</v>
      </c>
      <c r="MY5" s="8">
        <v>0.0</v>
      </c>
      <c r="MZ5" s="8">
        <v>0.0</v>
      </c>
      <c r="NA5" s="9"/>
      <c r="NB5" s="8">
        <v>2.0</v>
      </c>
      <c r="NC5" s="9"/>
      <c r="ND5" s="9"/>
      <c r="NE5" s="9"/>
      <c r="NF5" s="9"/>
      <c r="NG5" s="9"/>
      <c r="NH5" s="9"/>
      <c r="NI5" s="9"/>
      <c r="NJ5" s="9"/>
      <c r="NK5" s="9"/>
      <c r="NL5" s="9" t="s">
        <v>881</v>
      </c>
      <c r="NM5" s="9" t="s">
        <v>1386</v>
      </c>
      <c r="NN5" s="17" t="s">
        <v>1975</v>
      </c>
      <c r="NO5" s="17" t="s">
        <v>895</v>
      </c>
      <c r="NP5" s="9"/>
      <c r="NQ5" s="9"/>
      <c r="NR5" s="9"/>
      <c r="NS5" s="9"/>
      <c r="NT5" s="9"/>
      <c r="NU5" s="9"/>
      <c r="NV5" s="9"/>
      <c r="NW5" s="9"/>
      <c r="NX5" s="9" t="s">
        <v>897</v>
      </c>
      <c r="NY5" s="8">
        <v>30.0</v>
      </c>
      <c r="NZ5" s="8">
        <v>0.0</v>
      </c>
      <c r="OA5" s="8">
        <v>0.0</v>
      </c>
      <c r="OB5" s="8">
        <v>37.0</v>
      </c>
      <c r="OC5" s="8">
        <v>0.0</v>
      </c>
      <c r="OD5" s="8">
        <v>0.0</v>
      </c>
      <c r="OE5" s="9" t="s">
        <v>898</v>
      </c>
      <c r="OF5" s="9" t="s">
        <v>899</v>
      </c>
      <c r="OG5" s="9" t="s">
        <v>857</v>
      </c>
      <c r="OH5" s="8">
        <v>2.0</v>
      </c>
      <c r="OI5" s="8">
        <v>0.0</v>
      </c>
      <c r="OJ5" s="8">
        <v>0.0</v>
      </c>
      <c r="OK5" s="8">
        <v>0.0</v>
      </c>
      <c r="OL5" s="8">
        <v>0.0</v>
      </c>
      <c r="OM5" s="8">
        <v>0.0</v>
      </c>
      <c r="ON5" s="8">
        <v>5.0</v>
      </c>
      <c r="OO5" s="8">
        <v>5.0</v>
      </c>
      <c r="OP5" s="9" t="str">
        <f>VLOOKUP(AG5,'BUS 2'!$G$1:$CU$424,2,0)</f>
        <v>Sapi pedaging Ayam Unggas lainnya</v>
      </c>
      <c r="OQ5" s="8">
        <f>VLOOKUP(AG5,'BUS 2'!$G$1:$CU$424,3,0)</f>
        <v>1</v>
      </c>
      <c r="OR5" s="8">
        <f>VLOOKUP(AG5,'BUS 2'!$G$1:$CU$424,4,0)</f>
        <v>0</v>
      </c>
      <c r="OS5" s="8">
        <f>VLOOKUP(AG5,'BUS 2'!$G$1:$CU$424,5,0)</f>
        <v>0</v>
      </c>
      <c r="OT5" s="8">
        <f>VLOOKUP(AG5,'BUS 2'!$G$1:$CU$424,6,0)</f>
        <v>0</v>
      </c>
      <c r="OU5" s="8">
        <f>VLOOKUP(AG5,'BUS 2'!$G$1:$CU$424,7,0)</f>
        <v>0</v>
      </c>
      <c r="OV5" s="8">
        <f>VLOOKUP(AG5,'BUS 2'!$G$1:$CU$424,8,0)</f>
        <v>0</v>
      </c>
      <c r="OW5" s="8">
        <f>VLOOKUP(AG5,'BUS 2'!$G$1:$CU$424,9,0)</f>
        <v>1</v>
      </c>
      <c r="OX5" s="8">
        <f>VLOOKUP(AG5,'BUS 2'!$G$1:$CU$424,10,0)</f>
        <v>1</v>
      </c>
      <c r="OY5" s="8">
        <f>VLOOKUP(AG5,'BUS 2'!$G$1:$CU$424,11,0)</f>
        <v>0</v>
      </c>
      <c r="OZ5" s="8" t="str">
        <f>VLOOKUP(AG5,'BUS 2'!$G$1:$CU$424,12,0)</f>
        <v>Sapi pedaging Ayam Unggas lainnya</v>
      </c>
      <c r="PA5" s="8">
        <f>VLOOKUP(AG5,'BUS 2'!$G$1:$CU$424,13,0)</f>
        <v>1</v>
      </c>
      <c r="PB5" s="8">
        <f>VLOOKUP(AG5,'BUS 2'!$G$1:$CU$424,14,0)</f>
        <v>0</v>
      </c>
      <c r="PC5" s="8">
        <f>VLOOKUP(AG5,'BUS 2'!$G$1:$CU$424,15,0)</f>
        <v>0</v>
      </c>
      <c r="PD5" s="8">
        <f>VLOOKUP(AG5,'BUS 2'!$G$1:$CU$424,16,0)</f>
        <v>0</v>
      </c>
      <c r="PE5" s="8">
        <f>VLOOKUP(AG5,'BUS 2'!$G$1:$CU$424,17,0)</f>
        <v>0</v>
      </c>
      <c r="PF5" s="8">
        <f>VLOOKUP(AG5,'BUS 2'!$G$1:$CU$424,18,0)</f>
        <v>0</v>
      </c>
      <c r="PG5" s="8">
        <f>VLOOKUP(AG5,'BUS 2'!$G$1:$CU$424,19,0)</f>
        <v>1</v>
      </c>
      <c r="PH5" s="8">
        <f>VLOOKUP(AG5,'BUS 2'!$G$1:$CU$424,20,0)</f>
        <v>1</v>
      </c>
      <c r="PI5" s="8">
        <f>VLOOKUP(AG5,'BUS 2'!$G$1:$CU$424,21,0)</f>
        <v>0</v>
      </c>
      <c r="PJ5" s="8" t="str">
        <f>VLOOKUP(AG5,'BUS 2'!$G$1:$CU$424,22,0)</f>
        <v>Sapi pedaging Ayam Unggas lainnya</v>
      </c>
      <c r="PK5" s="8">
        <f>VLOOKUP(AG5,'BUS 2'!$G$1:$CU$424,23,0)</f>
        <v>1</v>
      </c>
      <c r="PL5" s="8">
        <f>VLOOKUP(AG5,'BUS 2'!$G$1:$CU$424,24,0)</f>
        <v>0</v>
      </c>
      <c r="PM5" s="8">
        <f>VLOOKUP(AG5,'BUS 2'!$G$1:$CU$424,25,0)</f>
        <v>0</v>
      </c>
      <c r="PN5" s="8">
        <f>VLOOKUP(AG5,'BUS 2'!$G$1:$CU$424,26,0)</f>
        <v>0</v>
      </c>
      <c r="PO5" s="8">
        <f>VLOOKUP(AG5,'BUS 2'!$G$1:$CU$424,27,0)</f>
        <v>0</v>
      </c>
      <c r="PP5" s="8">
        <f>VLOOKUP(AG5,'BUS 2'!$G$1:$CU$424,28,0)</f>
        <v>0</v>
      </c>
      <c r="PQ5" s="8">
        <f>VLOOKUP(AG5,'BUS 2'!$G$1:$CU$424,29,0)</f>
        <v>1</v>
      </c>
      <c r="PR5" s="8">
        <f>VLOOKUP(AG5,'BUS 2'!$G$1:$CU$424,30,0)</f>
        <v>1</v>
      </c>
      <c r="PS5" s="8">
        <f>VLOOKUP(AG5,'BUS 2'!$G$1:$CU$424,31,0)</f>
        <v>0</v>
      </c>
      <c r="PT5" s="9" t="s">
        <v>2036</v>
      </c>
      <c r="PU5" s="8">
        <v>0.0</v>
      </c>
      <c r="PV5" s="8">
        <v>0.0</v>
      </c>
      <c r="PW5" s="8">
        <v>0.0</v>
      </c>
      <c r="PX5" s="8">
        <v>0.0</v>
      </c>
      <c r="PY5" s="8">
        <v>0.0</v>
      </c>
      <c r="PZ5" s="8">
        <v>1.0</v>
      </c>
      <c r="QA5" s="8">
        <v>0.0</v>
      </c>
      <c r="QB5" s="8">
        <v>0.0</v>
      </c>
      <c r="QC5" s="8">
        <v>1.0</v>
      </c>
      <c r="QD5" s="9" t="s">
        <v>2037</v>
      </c>
      <c r="QE5" s="32"/>
      <c r="QF5" s="31"/>
      <c r="QG5" s="31"/>
      <c r="QH5" s="31"/>
      <c r="QI5" s="31"/>
      <c r="QJ5" s="31"/>
      <c r="QK5" s="32"/>
      <c r="QL5" s="32"/>
      <c r="QM5" s="32"/>
      <c r="QN5" s="32"/>
      <c r="QO5" s="32"/>
      <c r="QP5" s="32"/>
      <c r="QQ5" s="32"/>
      <c r="QR5" s="32"/>
      <c r="QS5" s="32"/>
      <c r="QT5" s="32"/>
      <c r="QU5" s="32"/>
      <c r="QV5" s="32"/>
      <c r="QW5" s="31"/>
      <c r="QX5" s="31"/>
      <c r="QY5" s="31"/>
      <c r="QZ5" s="31"/>
      <c r="RA5" s="31"/>
      <c r="RB5" s="32"/>
      <c r="RC5" s="32"/>
      <c r="RD5" s="32"/>
      <c r="RE5" s="32"/>
      <c r="RF5" s="32"/>
      <c r="RG5" s="9"/>
      <c r="RH5" s="31"/>
      <c r="RI5" s="31"/>
      <c r="RJ5" s="31"/>
      <c r="RK5" s="31"/>
      <c r="RL5" s="31"/>
      <c r="RM5" s="9"/>
      <c r="RN5" s="9"/>
      <c r="RO5" s="9"/>
      <c r="RP5" s="9"/>
      <c r="RQ5" s="9"/>
      <c r="RR5" s="9"/>
      <c r="RS5" s="31"/>
      <c r="RT5" s="31"/>
      <c r="RU5" s="31"/>
      <c r="RV5" s="31"/>
      <c r="RW5" s="31"/>
      <c r="RX5" s="9"/>
      <c r="RY5" s="9"/>
      <c r="RZ5" s="9"/>
      <c r="SA5" s="9"/>
      <c r="SB5" s="9"/>
      <c r="SC5" s="9" t="s">
        <v>2036</v>
      </c>
      <c r="SD5" s="35">
        <v>0.0</v>
      </c>
      <c r="SE5" s="35">
        <v>0.0</v>
      </c>
      <c r="SF5" s="35">
        <v>0.0</v>
      </c>
      <c r="SG5" s="35">
        <v>0.0</v>
      </c>
      <c r="SH5" s="35">
        <v>0.0</v>
      </c>
      <c r="SI5" s="8">
        <v>1.0</v>
      </c>
      <c r="SJ5" s="8">
        <v>0.0</v>
      </c>
      <c r="SK5" s="8">
        <v>0.0</v>
      </c>
      <c r="SL5" s="8">
        <v>1.0</v>
      </c>
      <c r="SM5" s="9" t="s">
        <v>2038</v>
      </c>
      <c r="SN5" s="9" t="s">
        <v>2036</v>
      </c>
      <c r="SO5" s="35">
        <v>0.0</v>
      </c>
      <c r="SP5" s="35">
        <v>0.0</v>
      </c>
      <c r="SQ5" s="35">
        <v>0.0</v>
      </c>
      <c r="SR5" s="35">
        <v>0.0</v>
      </c>
      <c r="SS5" s="35">
        <v>0.0</v>
      </c>
      <c r="ST5" s="8">
        <v>1.0</v>
      </c>
      <c r="SU5" s="8">
        <v>0.0</v>
      </c>
      <c r="SV5" s="8">
        <v>0.0</v>
      </c>
      <c r="SW5" s="8">
        <v>1.0</v>
      </c>
      <c r="SX5" s="9" t="s">
        <v>2039</v>
      </c>
      <c r="SY5" s="8">
        <f>VLOOKUP(AG5,'BUS 2'!$G$1:$CU$424,33,0)</f>
        <v>3</v>
      </c>
      <c r="SZ5" s="9" t="str">
        <f>VLOOKUP(AG5,'BUS 2'!$G$1:$CU$424,34,0)</f>
        <v/>
      </c>
      <c r="TA5" s="9" t="str">
        <f>VLOOKUP(AG5,'BUS 2'!$G$1:$CU$424,35,0)</f>
        <v/>
      </c>
      <c r="TB5" s="9" t="str">
        <f>VLOOKUP(AG5,'BUS 2'!$G$1:$CU$424,36,0)</f>
        <v/>
      </c>
      <c r="TC5" s="9" t="str">
        <f>VLOOKUP(AG5,'BUS 2'!$G$1:$CU$424,37,0)</f>
        <v/>
      </c>
      <c r="TD5" s="9" t="str">
        <f>VLOOKUP(AG5,'BUS 2'!$G$1:$CU$424,38,0)</f>
        <v/>
      </c>
      <c r="TE5" s="9">
        <f>VLOOKUP(AG5,'BUS 2'!$G$1:$CU$424,39,0)</f>
        <v>5</v>
      </c>
      <c r="TF5" s="9">
        <f>VLOOKUP(AG5,'BUS 2'!$G$1:$CU$424,40,0)</f>
        <v>5</v>
      </c>
      <c r="TG5" s="8">
        <f>VLOOKUP(AG5,'BUS 2'!$G$1:$CU$424,42,0)</f>
        <v>2</v>
      </c>
      <c r="TH5" s="8" t="str">
        <f>VLOOKUP(AG5,'BUS 2'!$G$1:$CU$424,43,0)</f>
        <v/>
      </c>
      <c r="TI5" s="8" t="str">
        <f>VLOOKUP(AG5,'BUS 2'!$G$1:$CU$424,44,0)</f>
        <v/>
      </c>
      <c r="TJ5" s="8" t="str">
        <f>VLOOKUP(AG5,'BUS 2'!$G$1:$CU$424,45,0)</f>
        <v/>
      </c>
      <c r="TK5" s="8" t="str">
        <f>VLOOKUP(AG5,'BUS 2'!$G$1:$CU$424,46,0)</f>
        <v/>
      </c>
      <c r="TL5" s="8" t="str">
        <f>VLOOKUP(AG5,'BUS 2'!$G$1:$CU$424,47,0)</f>
        <v/>
      </c>
      <c r="TM5" s="8">
        <f>VLOOKUP(AG5,'BUS 2'!$G$1:$CU$424,48,0)</f>
        <v>5</v>
      </c>
      <c r="TN5" s="8">
        <f>VLOOKUP(AG5,'BUS 2'!$G$1:$CU$424,49,0)</f>
        <v>5</v>
      </c>
      <c r="TO5" s="8">
        <f>VLOOKUP(AG5,'BUS 2'!$G$1:$CU$424,50,0)</f>
        <v>0</v>
      </c>
      <c r="TP5" s="8">
        <f>VLOOKUP(AG5,'BUS 2'!$G$1:$CU$424,51,0)</f>
        <v>0</v>
      </c>
      <c r="TQ5" s="8">
        <f>VLOOKUP(AG5,'BUS 2'!$G$1:$CU$424,52,0)</f>
        <v>0</v>
      </c>
      <c r="TR5" s="8">
        <f>VLOOKUP(AG5,'BUS 2'!$G$1:$CU$424,53,0)</f>
        <v>2</v>
      </c>
      <c r="TS5" s="9" t="str">
        <f>VLOOKUP(AG5,'BUS 2'!$G$1:$CU$424,54,0)</f>
        <v/>
      </c>
      <c r="TT5" s="9" t="str">
        <f>VLOOKUP(AG5,'BUS 2'!$G$1:$CU$424,55,0)</f>
        <v/>
      </c>
      <c r="TU5" s="9" t="str">
        <f>VLOOKUP(AG5,'BUS 2'!$G$1:$CU$424,56,0)</f>
        <v/>
      </c>
      <c r="TV5" s="9" t="str">
        <f>VLOOKUP(AG5,'BUS 2'!$G$1:$CU$424,57,0)</f>
        <v/>
      </c>
      <c r="TW5" s="9" t="str">
        <f>VLOOKUP(AG5,'BUS 2'!$G$1:$CU$424,58,0)</f>
        <v/>
      </c>
      <c r="TX5" s="9" t="str">
        <f>VLOOKUP(AG5,'BUS 2'!$G$1:$CU$424,59,0)</f>
        <v/>
      </c>
      <c r="TY5" s="9" t="str">
        <f>VLOOKUP(AG5,'BUS 2'!$G$1:$CU$424,60,0)</f>
        <v/>
      </c>
      <c r="TZ5" s="9" t="str">
        <f>VLOOKUP(AG5,'BUS 2'!$G$1:$CU$424,61,0)</f>
        <v/>
      </c>
      <c r="UA5" s="9" t="str">
        <f>VLOOKUP(AG5,'BUS 2'!$G$1:$CU$424,62,0)</f>
        <v/>
      </c>
      <c r="UB5" s="9" t="str">
        <f>VLOOKUP(AG5,'BUS 2'!$G$1:$CU$424,63,0)</f>
        <v/>
      </c>
      <c r="UC5" s="9" t="str">
        <f>VLOOKUP(AG5,'BUS 2'!$G$1:$CU$424,64,0)</f>
        <v/>
      </c>
      <c r="UD5" s="9" t="str">
        <f>VLOOKUP(AG5,'BUS 2'!$G$1:$CU$424,65,0)</f>
        <v/>
      </c>
      <c r="UE5" s="9" t="str">
        <f>VLOOKUP(AG5,'BUS 2'!$G$1:$CU$424,66,0)</f>
        <v/>
      </c>
      <c r="UF5" s="9" t="str">
        <f>VLOOKUP(AG5,'BUS 2'!$G$1:$CU$424,67,0)</f>
        <v/>
      </c>
      <c r="UG5" s="9" t="str">
        <f>VLOOKUP(AG5,'BUS 2'!$G$1:$CU$424,68,0)</f>
        <v/>
      </c>
      <c r="UH5" s="9" t="str">
        <f>VLOOKUP(AG5,'BUS 2'!$G$1:$CU$424,69,0)</f>
        <v/>
      </c>
      <c r="UI5" s="9" t="str">
        <f>VLOOKUP(AG5,'BUS 2'!$G$1:$CU$424,70,0)</f>
        <v/>
      </c>
      <c r="UJ5" s="9" t="str">
        <f>VLOOKUP(AG5,'BUS 2'!$G$1:$CU$424,71,0)</f>
        <v/>
      </c>
      <c r="UK5" s="9" t="str">
        <f>VLOOKUP(AG5,'BUS 2'!$G$1:$CU$424,72,0)</f>
        <v/>
      </c>
      <c r="UL5" s="9" t="str">
        <f>VLOOKUP(AG5,'BUS 2'!$G$1:$CU$424,73,0)</f>
        <v/>
      </c>
      <c r="UM5" s="9">
        <f>VLOOKUP(AG5,'BUS 2'!$G$1:$CU$424,74,0)</f>
        <v>0</v>
      </c>
      <c r="UN5" s="9">
        <f>VLOOKUP(AG5,'BUS 2'!$G$1:$CU$424,75,0)</f>
        <v>0</v>
      </c>
      <c r="UO5" s="9">
        <f>VLOOKUP(AG5,'BUS 2'!$G$1:$CU$424,76,0)</f>
        <v>0</v>
      </c>
      <c r="UP5" s="9">
        <f>VLOOKUP(AG5,'BUS 2'!$G$1:$CU$424,77,0)</f>
        <v>0</v>
      </c>
      <c r="UQ5" s="9">
        <f>VLOOKUP(AG5,'BUS 2'!$G$1:$CU$424,78,0)</f>
        <v>0</v>
      </c>
      <c r="UR5" s="9">
        <f>VLOOKUP(AG5,'BUS 2'!$G$1:$CU$424,79,0)</f>
        <v>0</v>
      </c>
      <c r="US5" s="9">
        <f>VLOOKUP(AG5,'BUS 2'!$G$1:$CU$424,80,0)</f>
        <v>0</v>
      </c>
      <c r="UT5" s="9">
        <f>VLOOKUP(AG5,'BUS 2'!$G$1:$CU$424,81,0)</f>
        <v>0</v>
      </c>
      <c r="UU5" s="9" t="s">
        <v>1937</v>
      </c>
      <c r="UV5" s="9"/>
      <c r="UW5" s="9"/>
      <c r="UX5" s="9"/>
      <c r="UY5" s="9"/>
      <c r="UZ5" s="9"/>
      <c r="VA5" s="9" t="s">
        <v>1937</v>
      </c>
      <c r="VB5" s="9" t="s">
        <v>1937</v>
      </c>
      <c r="VC5" s="9" t="s">
        <v>1938</v>
      </c>
      <c r="VD5" s="9"/>
      <c r="VE5" s="9"/>
      <c r="VF5" s="9"/>
      <c r="VG5" s="9"/>
      <c r="VH5" s="9"/>
      <c r="VI5" s="9" t="s">
        <v>1938</v>
      </c>
      <c r="VJ5" s="9" t="s">
        <v>1938</v>
      </c>
      <c r="VK5" s="9" t="s">
        <v>1158</v>
      </c>
      <c r="VL5" s="9"/>
      <c r="VM5" s="9"/>
      <c r="VN5" s="9"/>
      <c r="VO5" s="9"/>
      <c r="VP5" s="9"/>
      <c r="VQ5" s="9" t="s">
        <v>2040</v>
      </c>
      <c r="VR5" s="9" t="s">
        <v>2040</v>
      </c>
      <c r="VS5" s="9" t="s">
        <v>1224</v>
      </c>
      <c r="VT5" s="8">
        <v>0.0</v>
      </c>
      <c r="VU5" s="8">
        <v>0.0</v>
      </c>
      <c r="VV5" s="8">
        <v>0.0</v>
      </c>
      <c r="VW5" s="8">
        <v>0.0</v>
      </c>
      <c r="VX5" s="8">
        <v>0.0</v>
      </c>
      <c r="VY5" s="8">
        <v>1.0</v>
      </c>
      <c r="VZ5" s="8">
        <v>1.0</v>
      </c>
      <c r="WA5" s="8">
        <v>0.0</v>
      </c>
      <c r="WB5" s="8">
        <v>1.0</v>
      </c>
      <c r="WC5" s="8">
        <v>1.0</v>
      </c>
      <c r="WD5" s="8">
        <v>0.0</v>
      </c>
      <c r="WE5" s="8">
        <v>0.0</v>
      </c>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t="s">
        <v>951</v>
      </c>
      <c r="YO5" s="8">
        <v>0.0</v>
      </c>
      <c r="YP5" s="8">
        <v>0.0</v>
      </c>
      <c r="YQ5" s="8">
        <v>0.0</v>
      </c>
      <c r="YR5" s="8">
        <v>0.0</v>
      </c>
      <c r="YS5" s="8">
        <v>0.0</v>
      </c>
      <c r="YT5" s="8">
        <v>0.0</v>
      </c>
      <c r="YU5" s="8">
        <v>1.0</v>
      </c>
      <c r="YV5" s="8">
        <v>0.0</v>
      </c>
      <c r="YW5" s="8">
        <v>0.0</v>
      </c>
      <c r="YX5" s="8">
        <v>0.0</v>
      </c>
      <c r="YY5" s="8">
        <v>0.0</v>
      </c>
      <c r="YZ5" s="8">
        <v>0.0</v>
      </c>
      <c r="ZA5" s="9" t="s">
        <v>951</v>
      </c>
      <c r="ZB5" s="8">
        <v>0.0</v>
      </c>
      <c r="ZC5" s="8">
        <v>0.0</v>
      </c>
      <c r="ZD5" s="8">
        <v>0.0</v>
      </c>
      <c r="ZE5" s="8">
        <v>0.0</v>
      </c>
      <c r="ZF5" s="8">
        <v>0.0</v>
      </c>
      <c r="ZG5" s="8">
        <v>0.0</v>
      </c>
      <c r="ZH5" s="8">
        <v>1.0</v>
      </c>
      <c r="ZI5" s="8">
        <v>0.0</v>
      </c>
      <c r="ZJ5" s="8">
        <v>0.0</v>
      </c>
      <c r="ZK5" s="8">
        <v>0.0</v>
      </c>
      <c r="ZL5" s="8">
        <v>0.0</v>
      </c>
      <c r="ZM5" s="8">
        <v>0.0</v>
      </c>
      <c r="ZN5" s="8">
        <v>100.0</v>
      </c>
      <c r="ZO5" s="9"/>
      <c r="ZP5" s="9"/>
      <c r="ZQ5" s="9"/>
      <c r="ZR5" s="9"/>
      <c r="ZS5" s="9"/>
      <c r="ZT5" s="9"/>
      <c r="ZU5" s="9"/>
      <c r="ZV5" s="8">
        <v>1.0</v>
      </c>
      <c r="ZW5" s="9"/>
      <c r="ZX5" s="9"/>
      <c r="ZY5" s="9"/>
      <c r="ZZ5" s="9"/>
      <c r="AAA5" s="9"/>
      <c r="AAB5" s="8">
        <v>2.0</v>
      </c>
      <c r="AAC5" s="8">
        <v>2.0</v>
      </c>
      <c r="AAD5" s="9" t="s">
        <v>1186</v>
      </c>
      <c r="AAE5" s="9"/>
      <c r="AAF5" s="9"/>
      <c r="AAG5" s="9"/>
      <c r="AAH5" s="9"/>
      <c r="AAI5" s="9"/>
      <c r="AAJ5" s="9" t="s">
        <v>905</v>
      </c>
      <c r="AAK5" s="9" t="s">
        <v>905</v>
      </c>
      <c r="AAL5" s="9" t="s">
        <v>857</v>
      </c>
      <c r="AAM5" s="9" t="s">
        <v>1942</v>
      </c>
      <c r="AAN5" s="8">
        <v>0.0</v>
      </c>
      <c r="AAO5" s="8">
        <v>1.0</v>
      </c>
      <c r="AAP5" s="8">
        <v>5.0</v>
      </c>
      <c r="AAQ5" s="9"/>
      <c r="AAR5" s="9" t="s">
        <v>881</v>
      </c>
      <c r="AAS5" s="9" t="s">
        <v>867</v>
      </c>
      <c r="AAT5" s="9" t="s">
        <v>1105</v>
      </c>
      <c r="AAU5" s="8">
        <v>1.0</v>
      </c>
      <c r="AAV5" s="8">
        <v>1.0</v>
      </c>
      <c r="AAW5" s="8">
        <v>0.0</v>
      </c>
      <c r="AAX5" s="8">
        <v>0.0</v>
      </c>
      <c r="AAY5" s="8">
        <v>1.0</v>
      </c>
      <c r="AAZ5" s="8">
        <v>0.0</v>
      </c>
      <c r="ABA5" s="8">
        <v>0.0</v>
      </c>
      <c r="ABB5" s="9" t="s">
        <v>907</v>
      </c>
      <c r="ABC5" s="8">
        <v>1.0</v>
      </c>
      <c r="ABD5" s="8">
        <v>0.0</v>
      </c>
      <c r="ABE5" s="8">
        <v>0.0</v>
      </c>
      <c r="ABF5" s="8">
        <v>0.0</v>
      </c>
      <c r="ABG5" s="8">
        <v>0.0</v>
      </c>
      <c r="ABH5" s="9"/>
      <c r="ABI5" s="9" t="s">
        <v>2041</v>
      </c>
      <c r="ABJ5" s="8">
        <v>0.0</v>
      </c>
      <c r="ABK5" s="8">
        <v>0.0</v>
      </c>
      <c r="ABL5" s="8">
        <v>0.0</v>
      </c>
      <c r="ABM5" s="8">
        <v>1.0</v>
      </c>
      <c r="ABN5" s="8">
        <v>0.0</v>
      </c>
      <c r="ABO5" s="9"/>
      <c r="ABP5" s="9"/>
      <c r="ABQ5" s="9" t="s">
        <v>2042</v>
      </c>
      <c r="ABR5" s="9" t="s">
        <v>1240</v>
      </c>
      <c r="ABS5" s="8">
        <v>12000.0</v>
      </c>
      <c r="ABT5" s="9"/>
      <c r="ABU5" s="8">
        <v>5.0</v>
      </c>
      <c r="ABV5" s="8">
        <v>0.0</v>
      </c>
      <c r="ABW5" s="9" t="s">
        <v>1199</v>
      </c>
      <c r="ABX5" s="9"/>
      <c r="ABY5" s="8">
        <v>150.0</v>
      </c>
      <c r="ABZ5" s="8">
        <v>2600.0</v>
      </c>
      <c r="ACA5" s="8">
        <v>100.0</v>
      </c>
      <c r="ACB5" s="8">
        <v>1800.0</v>
      </c>
      <c r="ACC5" s="8">
        <v>4000.0</v>
      </c>
      <c r="ACD5" s="8">
        <v>4000.0</v>
      </c>
      <c r="ACE5" s="9" t="s">
        <v>881</v>
      </c>
      <c r="ACF5" s="9" t="s">
        <v>911</v>
      </c>
      <c r="ACG5" s="9" t="s">
        <v>911</v>
      </c>
      <c r="ACH5" s="9" t="s">
        <v>911</v>
      </c>
      <c r="ACI5" s="9" t="s">
        <v>911</v>
      </c>
      <c r="ACJ5" s="9" t="s">
        <v>911</v>
      </c>
      <c r="ACK5" s="9" t="s">
        <v>969</v>
      </c>
      <c r="ACL5" s="8">
        <v>0.0</v>
      </c>
      <c r="ACM5" s="8">
        <v>0.0</v>
      </c>
      <c r="ACN5" s="8">
        <v>0.0</v>
      </c>
      <c r="ACO5" s="8">
        <v>0.0</v>
      </c>
      <c r="ACP5" s="8">
        <v>0.0</v>
      </c>
      <c r="ACQ5" s="8">
        <v>0.0</v>
      </c>
      <c r="ACR5" s="8">
        <v>1.0</v>
      </c>
      <c r="ACS5" s="9" t="s">
        <v>2043</v>
      </c>
      <c r="ACT5" s="9" t="s">
        <v>2044</v>
      </c>
      <c r="ACU5" s="9" t="s">
        <v>2045</v>
      </c>
      <c r="ACV5" s="9" t="s">
        <v>914</v>
      </c>
      <c r="ACW5" s="9" t="s">
        <v>1391</v>
      </c>
      <c r="ACX5" s="9" t="s">
        <v>958</v>
      </c>
      <c r="ACY5" s="9" t="s">
        <v>1035</v>
      </c>
      <c r="ACZ5" s="8">
        <v>1.0</v>
      </c>
      <c r="ADA5" s="8">
        <v>1.0</v>
      </c>
      <c r="ADB5" s="8">
        <v>0.0</v>
      </c>
      <c r="ADC5" s="8">
        <v>0.0</v>
      </c>
      <c r="ADD5" s="9" t="s">
        <v>917</v>
      </c>
      <c r="ADE5" s="9" t="s">
        <v>918</v>
      </c>
      <c r="ADF5" s="9" t="s">
        <v>918</v>
      </c>
      <c r="ADG5" s="9" t="s">
        <v>917</v>
      </c>
      <c r="ADH5" s="9" t="s">
        <v>881</v>
      </c>
      <c r="ADI5" s="9"/>
      <c r="ADJ5" s="9" t="s">
        <v>1187</v>
      </c>
      <c r="ADK5" s="9"/>
      <c r="ADL5" s="9"/>
      <c r="ADM5" s="9"/>
      <c r="ADN5" s="9"/>
      <c r="ADO5" s="9"/>
      <c r="ADP5" s="9"/>
      <c r="ADQ5" s="9"/>
      <c r="ADR5" s="9"/>
      <c r="ADS5" s="9"/>
      <c r="ADT5" s="9"/>
      <c r="ADU5" s="9" t="s">
        <v>2046</v>
      </c>
      <c r="ADV5" s="8">
        <v>0.0</v>
      </c>
      <c r="ADW5" s="8">
        <v>0.0</v>
      </c>
      <c r="ADX5" s="8">
        <v>0.0</v>
      </c>
      <c r="ADY5" s="8">
        <v>0.0</v>
      </c>
      <c r="ADZ5" s="8">
        <v>0.0</v>
      </c>
      <c r="AEA5" s="8">
        <v>1.0</v>
      </c>
      <c r="AEB5" s="8">
        <v>0.0</v>
      </c>
      <c r="AEC5" s="8">
        <v>0.0</v>
      </c>
      <c r="AED5" s="9" t="s">
        <v>2046</v>
      </c>
      <c r="AEE5" s="9" t="s">
        <v>872</v>
      </c>
      <c r="AEF5" s="9"/>
      <c r="AEG5" s="9" t="s">
        <v>920</v>
      </c>
      <c r="AEH5" s="9"/>
      <c r="AEI5" s="9" t="s">
        <v>2047</v>
      </c>
      <c r="AEJ5" s="9" t="s">
        <v>871</v>
      </c>
      <c r="AEK5" s="9" t="s">
        <v>2048</v>
      </c>
      <c r="AEL5" s="8">
        <v>1.0</v>
      </c>
      <c r="AEM5" s="8">
        <v>0.0</v>
      </c>
      <c r="AEN5" s="8">
        <v>0.0</v>
      </c>
      <c r="AEO5" s="8">
        <v>0.0</v>
      </c>
      <c r="AEP5" s="8">
        <v>0.0</v>
      </c>
      <c r="AEQ5" s="8">
        <v>0.0</v>
      </c>
      <c r="AER5" s="8">
        <v>0.0</v>
      </c>
      <c r="AES5" s="8">
        <v>1.0</v>
      </c>
      <c r="AET5" s="8">
        <v>0.0</v>
      </c>
      <c r="AEU5" s="8">
        <v>0.0</v>
      </c>
      <c r="AEV5" s="8">
        <v>0.0</v>
      </c>
      <c r="AEW5" s="8">
        <v>0.0</v>
      </c>
      <c r="AEX5" s="9"/>
      <c r="AEY5" s="9" t="s">
        <v>1981</v>
      </c>
      <c r="AEZ5" s="9"/>
      <c r="AFA5" s="9" t="s">
        <v>969</v>
      </c>
      <c r="AFB5" s="9" t="s">
        <v>2049</v>
      </c>
      <c r="AFC5" s="9" t="s">
        <v>2050</v>
      </c>
      <c r="AFD5" s="16" t="s">
        <v>2051</v>
      </c>
      <c r="AFE5" s="9" t="s">
        <v>2052</v>
      </c>
      <c r="AFF5" s="16" t="s">
        <v>2053</v>
      </c>
      <c r="AFG5" s="9" t="s">
        <v>1991</v>
      </c>
      <c r="AFH5" s="9"/>
      <c r="AFI5" s="21" t="s">
        <v>2054</v>
      </c>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8">
        <v>6.66665905E8</v>
      </c>
      <c r="AWB5" s="9" t="s">
        <v>2055</v>
      </c>
      <c r="AWC5" s="6">
        <v>46061.0</v>
      </c>
      <c r="AWD5" s="9"/>
      <c r="AWE5" s="9"/>
      <c r="AWF5" s="9" t="s">
        <v>1954</v>
      </c>
      <c r="AWG5" s="9"/>
      <c r="AWH5" s="9" t="s">
        <v>1989</v>
      </c>
      <c r="AWI5" s="9"/>
      <c r="AWJ5" s="9" t="s">
        <v>2056</v>
      </c>
      <c r="AWK5" s="8">
        <v>104.0</v>
      </c>
      <c r="AWL5" s="9" t="s">
        <v>2027</v>
      </c>
      <c r="AWM5" s="8">
        <v>0.0</v>
      </c>
      <c r="AWN5" s="9" t="s">
        <v>1957</v>
      </c>
      <c r="AWO5" s="33" t="b">
        <v>1</v>
      </c>
      <c r="AWP5" s="33" t="b">
        <v>1</v>
      </c>
      <c r="AWQ5" s="33" t="b">
        <v>1</v>
      </c>
      <c r="AWR5" s="33" t="b">
        <v>1</v>
      </c>
      <c r="AWS5" s="33" t="b">
        <v>1</v>
      </c>
      <c r="AWT5" s="33" t="b">
        <v>1</v>
      </c>
      <c r="AWU5" s="9"/>
      <c r="AWV5" s="8">
        <v>6.0</v>
      </c>
      <c r="AWW5" s="9"/>
      <c r="AWX5" s="9"/>
      <c r="AWY5" s="9"/>
      <c r="AWZ5" s="9"/>
    </row>
    <row r="6">
      <c r="A6" s="6">
        <v>46061.0</v>
      </c>
      <c r="B6" s="6">
        <v>46069.0</v>
      </c>
      <c r="C6" s="30" t="s">
        <v>1958</v>
      </c>
      <c r="D6" s="30" t="s">
        <v>2057</v>
      </c>
      <c r="E6" s="8">
        <f>+620</f>
        <v>620</v>
      </c>
      <c r="F6" s="9" t="s">
        <v>2058</v>
      </c>
      <c r="G6" s="8">
        <v>-5.575261</v>
      </c>
      <c r="H6" s="8">
        <v>119.580046</v>
      </c>
      <c r="I6" s="8">
        <v>70.19999695</v>
      </c>
      <c r="J6" s="8">
        <v>21.29999924</v>
      </c>
      <c r="K6" s="8">
        <v>0.0</v>
      </c>
      <c r="L6" s="9" t="s">
        <v>2059</v>
      </c>
      <c r="M6" s="8">
        <v>-5.57515</v>
      </c>
      <c r="N6" s="8">
        <v>119.580265</v>
      </c>
      <c r="O6" s="8">
        <v>70.19999695</v>
      </c>
      <c r="P6" s="8">
        <v>6.0</v>
      </c>
      <c r="Q6" s="8">
        <v>0.0</v>
      </c>
      <c r="R6" s="9" t="s">
        <v>1923</v>
      </c>
      <c r="S6" s="8">
        <v>0.0</v>
      </c>
      <c r="T6" s="8">
        <v>0.0</v>
      </c>
      <c r="U6" s="8">
        <v>0.0</v>
      </c>
      <c r="V6" s="8">
        <v>0.0</v>
      </c>
      <c r="W6" s="8">
        <v>0.0</v>
      </c>
      <c r="X6" s="8">
        <v>0.0</v>
      </c>
      <c r="Y6" s="8">
        <v>0.0</v>
      </c>
      <c r="Z6" s="8">
        <v>0.0</v>
      </c>
      <c r="AA6" s="8">
        <v>0.0</v>
      </c>
      <c r="AB6" s="8">
        <v>1.0</v>
      </c>
      <c r="AC6" s="7" t="s">
        <v>1962</v>
      </c>
      <c r="AD6" s="7" t="s">
        <v>2060</v>
      </c>
      <c r="AE6" s="7" t="s">
        <v>2061</v>
      </c>
      <c r="AF6" s="9" t="s">
        <v>2062</v>
      </c>
      <c r="AG6" s="9" t="s">
        <v>2063</v>
      </c>
      <c r="AH6" s="8">
        <v>12.0</v>
      </c>
      <c r="AI6" s="9" t="s">
        <v>933</v>
      </c>
      <c r="AJ6" s="9" t="s">
        <v>934</v>
      </c>
      <c r="AK6" s="8">
        <v>50.0</v>
      </c>
      <c r="AL6" s="9" t="s">
        <v>847</v>
      </c>
      <c r="AM6" s="9" t="s">
        <v>848</v>
      </c>
      <c r="AN6" s="9" t="s">
        <v>1967</v>
      </c>
      <c r="AO6" s="9" t="s">
        <v>850</v>
      </c>
      <c r="AP6" s="8">
        <v>1.0</v>
      </c>
      <c r="AQ6" s="8">
        <v>0.0</v>
      </c>
      <c r="AR6" s="8">
        <v>0.0</v>
      </c>
      <c r="AS6" s="8">
        <v>0.0</v>
      </c>
      <c r="AT6" s="8">
        <v>0.0</v>
      </c>
      <c r="AU6" s="8">
        <v>0.0</v>
      </c>
      <c r="AV6" s="8">
        <v>0.0</v>
      </c>
      <c r="AW6" s="8">
        <v>0.0</v>
      </c>
      <c r="AX6" s="9"/>
      <c r="AY6" s="9" t="s">
        <v>935</v>
      </c>
      <c r="AZ6" s="8">
        <v>0.0</v>
      </c>
      <c r="BA6" s="8">
        <v>1.0</v>
      </c>
      <c r="BB6" s="8">
        <v>0.0</v>
      </c>
      <c r="BC6" s="8">
        <v>0.0</v>
      </c>
      <c r="BD6" s="8">
        <v>0.0</v>
      </c>
      <c r="BE6" s="8">
        <v>0.0</v>
      </c>
      <c r="BF6" s="8">
        <v>0.0</v>
      </c>
      <c r="BG6" s="8">
        <v>0.0</v>
      </c>
      <c r="BH6" s="11"/>
      <c r="BI6" s="9" t="s">
        <v>936</v>
      </c>
      <c r="BJ6" s="8">
        <v>1.0</v>
      </c>
      <c r="BK6" s="8">
        <v>1.0</v>
      </c>
      <c r="BL6" s="8">
        <v>0.0</v>
      </c>
      <c r="BM6" s="8">
        <v>0.0</v>
      </c>
      <c r="BN6" s="9" t="s">
        <v>853</v>
      </c>
      <c r="BO6" s="9" t="s">
        <v>2064</v>
      </c>
      <c r="BP6" s="8">
        <v>0.0</v>
      </c>
      <c r="BQ6" s="8">
        <v>0.0</v>
      </c>
      <c r="BR6" s="8">
        <v>1.0</v>
      </c>
      <c r="BS6" s="8">
        <v>0.0</v>
      </c>
      <c r="BT6" s="8">
        <v>0.0</v>
      </c>
      <c r="BU6" s="9"/>
      <c r="BV6" s="9" t="s">
        <v>2065</v>
      </c>
      <c r="BW6" s="8">
        <v>1.0</v>
      </c>
      <c r="BX6" s="8">
        <v>0.0</v>
      </c>
      <c r="BY6" s="8">
        <v>0.0</v>
      </c>
      <c r="BZ6" s="8">
        <v>0.0</v>
      </c>
      <c r="CA6" s="8">
        <v>0.0</v>
      </c>
      <c r="CB6" s="9"/>
      <c r="CC6" s="9" t="s">
        <v>1929</v>
      </c>
      <c r="CD6" s="8">
        <v>0.0</v>
      </c>
      <c r="CE6" s="8">
        <v>0.0</v>
      </c>
      <c r="CF6" s="8">
        <v>0.0</v>
      </c>
      <c r="CG6" s="8">
        <v>0.0</v>
      </c>
      <c r="CH6" s="8">
        <v>1.0</v>
      </c>
      <c r="CI6" s="8">
        <v>0.0</v>
      </c>
      <c r="CJ6" s="8">
        <v>0.0</v>
      </c>
      <c r="CK6" s="9"/>
      <c r="CL6" s="9" t="s">
        <v>857</v>
      </c>
      <c r="CM6" s="8">
        <v>2013.0</v>
      </c>
      <c r="CN6" s="9" t="s">
        <v>858</v>
      </c>
      <c r="CO6" s="9" t="s">
        <v>1968</v>
      </c>
      <c r="CP6" s="9" t="s">
        <v>969</v>
      </c>
      <c r="CQ6" s="8">
        <v>0.0</v>
      </c>
      <c r="CR6" s="8">
        <v>0.0</v>
      </c>
      <c r="CS6" s="8">
        <v>0.0</v>
      </c>
      <c r="CT6" s="8">
        <v>0.0</v>
      </c>
      <c r="CU6" s="8">
        <v>0.0</v>
      </c>
      <c r="CV6" s="8">
        <v>0.0</v>
      </c>
      <c r="CW6" s="8">
        <v>0.0</v>
      </c>
      <c r="CX6" s="8">
        <v>1.0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9" t="s">
        <v>938</v>
      </c>
      <c r="DQ6" s="9" t="s">
        <v>939</v>
      </c>
      <c r="DR6" s="17" t="s">
        <v>2030</v>
      </c>
      <c r="DS6" s="9"/>
      <c r="DT6" s="9" t="s">
        <v>2031</v>
      </c>
      <c r="DU6" s="8">
        <v>1.0</v>
      </c>
      <c r="DV6" s="8">
        <v>0.0</v>
      </c>
      <c r="DW6" s="8">
        <v>0.0</v>
      </c>
      <c r="DX6" s="8">
        <v>0.0</v>
      </c>
      <c r="DY6" s="8">
        <v>0.0</v>
      </c>
      <c r="DZ6" s="8">
        <v>0.0</v>
      </c>
      <c r="EA6" s="8">
        <v>0.0</v>
      </c>
      <c r="EB6" s="8">
        <v>0.0</v>
      </c>
      <c r="EC6" s="8">
        <v>0.0</v>
      </c>
      <c r="ED6" s="8">
        <v>0.0</v>
      </c>
      <c r="EE6" s="8">
        <v>0.0</v>
      </c>
      <c r="EF6" s="8">
        <v>0.0</v>
      </c>
      <c r="EG6" s="8">
        <v>0.0</v>
      </c>
      <c r="EH6" s="8">
        <v>0.0</v>
      </c>
      <c r="EI6" s="9" t="s">
        <v>862</v>
      </c>
      <c r="EJ6" s="8">
        <v>0.0</v>
      </c>
      <c r="EK6" s="8">
        <v>0.0</v>
      </c>
      <c r="EL6" s="8">
        <v>0.0</v>
      </c>
      <c r="EM6" s="8">
        <v>1.0</v>
      </c>
      <c r="EN6" s="8">
        <v>0.0</v>
      </c>
      <c r="EO6" s="9"/>
      <c r="EP6" s="9" t="s">
        <v>863</v>
      </c>
      <c r="EQ6" s="9" t="s">
        <v>1380</v>
      </c>
      <c r="ER6" s="9" t="s">
        <v>2066</v>
      </c>
      <c r="ES6" s="8">
        <v>1.0</v>
      </c>
      <c r="ET6" s="8">
        <v>0.0</v>
      </c>
      <c r="EU6" s="8">
        <v>0.0</v>
      </c>
      <c r="EV6" s="8">
        <v>1.0</v>
      </c>
      <c r="EW6" s="9" t="s">
        <v>2067</v>
      </c>
      <c r="EX6" s="9" t="s">
        <v>865</v>
      </c>
      <c r="EY6" s="8">
        <v>1.0</v>
      </c>
      <c r="EZ6" s="8">
        <v>0.0</v>
      </c>
      <c r="FA6" s="8">
        <v>0.0</v>
      </c>
      <c r="FB6" s="9"/>
      <c r="FC6" s="9" t="s">
        <v>1072</v>
      </c>
      <c r="FD6" s="9" t="s">
        <v>2032</v>
      </c>
      <c r="FE6" s="9" t="s">
        <v>867</v>
      </c>
      <c r="FF6" s="9" t="s">
        <v>868</v>
      </c>
      <c r="FG6" s="9" t="s">
        <v>867</v>
      </c>
      <c r="FH6" s="9" t="s">
        <v>868</v>
      </c>
      <c r="FI6" s="9" t="s">
        <v>867</v>
      </c>
      <c r="FJ6" s="9" t="s">
        <v>868</v>
      </c>
      <c r="FK6" s="9" t="s">
        <v>867</v>
      </c>
      <c r="FL6" s="9" t="s">
        <v>868</v>
      </c>
      <c r="FM6" s="9" t="s">
        <v>867</v>
      </c>
      <c r="FN6" s="9" t="s">
        <v>869</v>
      </c>
      <c r="FO6" s="9" t="s">
        <v>867</v>
      </c>
      <c r="FP6" s="9" t="s">
        <v>868</v>
      </c>
      <c r="FQ6" s="9" t="s">
        <v>867</v>
      </c>
      <c r="FR6" s="9" t="s">
        <v>857</v>
      </c>
      <c r="FS6" s="9" t="s">
        <v>867</v>
      </c>
      <c r="FT6" s="9" t="s">
        <v>871</v>
      </c>
      <c r="FU6" s="9" t="s">
        <v>872</v>
      </c>
      <c r="FV6" s="8">
        <v>1.0</v>
      </c>
      <c r="FW6" s="8">
        <v>0.0</v>
      </c>
      <c r="FX6" s="8">
        <v>0.0</v>
      </c>
      <c r="FY6" s="8">
        <v>0.0</v>
      </c>
      <c r="FZ6" s="9" t="s">
        <v>873</v>
      </c>
      <c r="GA6" s="9" t="s">
        <v>2068</v>
      </c>
      <c r="GB6" s="8">
        <v>1.0</v>
      </c>
      <c r="GC6" s="8">
        <v>0.0</v>
      </c>
      <c r="GD6" s="8">
        <v>0.0</v>
      </c>
      <c r="GE6" s="8">
        <v>1.0</v>
      </c>
      <c r="GF6" s="9" t="s">
        <v>2067</v>
      </c>
      <c r="GG6" s="9" t="s">
        <v>1232</v>
      </c>
      <c r="GH6" s="9" t="s">
        <v>857</v>
      </c>
      <c r="GI6" s="9" t="s">
        <v>876</v>
      </c>
      <c r="GJ6" s="8">
        <v>1.0</v>
      </c>
      <c r="GK6" s="8">
        <v>0.0</v>
      </c>
      <c r="GL6" s="8">
        <v>0.0</v>
      </c>
      <c r="GM6" s="8">
        <v>0.0</v>
      </c>
      <c r="GN6" s="9"/>
      <c r="GO6" s="8">
        <v>9.0</v>
      </c>
      <c r="GP6" s="9" t="s">
        <v>877</v>
      </c>
      <c r="GQ6" s="9" t="s">
        <v>1102</v>
      </c>
      <c r="GR6" s="8">
        <v>1.0</v>
      </c>
      <c r="GS6" s="8">
        <v>0.0</v>
      </c>
      <c r="GT6" s="8">
        <v>0.0</v>
      </c>
      <c r="GU6" s="8">
        <v>0.0</v>
      </c>
      <c r="GV6" s="8">
        <v>0.0</v>
      </c>
      <c r="GW6" s="8">
        <v>0.0</v>
      </c>
      <c r="GX6" s="8">
        <v>0.0</v>
      </c>
      <c r="GY6" s="9"/>
      <c r="GZ6" s="9" t="s">
        <v>881</v>
      </c>
      <c r="HA6" s="9"/>
      <c r="HB6" s="9"/>
      <c r="HC6" s="9"/>
      <c r="HD6" s="9"/>
      <c r="HE6" s="8">
        <v>12.0</v>
      </c>
      <c r="HF6" s="8">
        <v>88000.0</v>
      </c>
      <c r="HG6" s="8">
        <v>0.0</v>
      </c>
      <c r="HH6" s="35">
        <v>0.0</v>
      </c>
      <c r="HI6" s="9"/>
      <c r="HJ6" s="9"/>
      <c r="HK6" s="9"/>
      <c r="HL6" s="9"/>
      <c r="HM6" s="9"/>
      <c r="HN6" s="9"/>
      <c r="HO6" s="9"/>
      <c r="HP6" s="9"/>
      <c r="HQ6" s="9"/>
      <c r="HR6" s="9"/>
      <c r="HS6" s="9"/>
      <c r="HT6" s="9"/>
      <c r="HU6" s="9"/>
      <c r="HV6" s="9"/>
      <c r="HW6" s="9"/>
      <c r="HX6" s="9"/>
      <c r="HY6" s="9"/>
      <c r="HZ6" s="9"/>
      <c r="IA6" s="8">
        <v>12.0</v>
      </c>
      <c r="IB6" s="9"/>
      <c r="IC6" s="9"/>
      <c r="ID6" s="9"/>
      <c r="IE6" s="9"/>
      <c r="IF6" s="9"/>
      <c r="IG6" s="9"/>
      <c r="IH6" s="9"/>
      <c r="II6" s="9"/>
      <c r="IJ6" s="9"/>
      <c r="IK6" s="9" t="s">
        <v>1932</v>
      </c>
      <c r="IL6" s="9" t="s">
        <v>1366</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945</v>
      </c>
      <c r="KT6" s="9" t="s">
        <v>886</v>
      </c>
      <c r="KU6" s="9" t="s">
        <v>886</v>
      </c>
      <c r="KV6" s="9" t="s">
        <v>999</v>
      </c>
      <c r="KW6" s="8">
        <v>0.0</v>
      </c>
      <c r="KX6" s="8">
        <v>0.0</v>
      </c>
      <c r="KY6" s="8">
        <v>0.0</v>
      </c>
      <c r="KZ6" s="8">
        <v>1.0</v>
      </c>
      <c r="LA6" s="9" t="s">
        <v>945</v>
      </c>
      <c r="LB6" s="9" t="s">
        <v>1180</v>
      </c>
      <c r="LC6" s="8">
        <v>9.0</v>
      </c>
      <c r="LD6" s="8">
        <v>1.0</v>
      </c>
      <c r="LE6" s="8">
        <v>0.0</v>
      </c>
      <c r="LF6" s="8">
        <v>0.0</v>
      </c>
      <c r="LG6" s="9" t="s">
        <v>881</v>
      </c>
      <c r="LH6" s="9"/>
      <c r="LI6" s="8">
        <v>0.0</v>
      </c>
      <c r="LJ6" s="9" t="s">
        <v>887</v>
      </c>
      <c r="LK6" s="8">
        <v>0.0</v>
      </c>
      <c r="LL6" s="8">
        <v>0.0</v>
      </c>
      <c r="LM6" s="8">
        <v>0.0</v>
      </c>
      <c r="LN6" s="8">
        <v>0.0</v>
      </c>
      <c r="LO6" s="8">
        <v>1.0</v>
      </c>
      <c r="LP6" s="8">
        <v>0.0</v>
      </c>
      <c r="LQ6" s="8">
        <v>0.0</v>
      </c>
      <c r="LR6" s="11"/>
      <c r="LS6" s="8">
        <v>30.0</v>
      </c>
      <c r="LT6" s="8">
        <v>0.0</v>
      </c>
      <c r="LU6" s="8">
        <v>0.0</v>
      </c>
      <c r="LV6" s="8">
        <v>5.0</v>
      </c>
      <c r="LW6" s="8">
        <v>0.0</v>
      </c>
      <c r="LX6" s="8">
        <v>0.0</v>
      </c>
      <c r="LY6" s="8">
        <v>5.0</v>
      </c>
      <c r="LZ6" s="8">
        <v>0.0</v>
      </c>
      <c r="MA6" s="8">
        <v>0.0</v>
      </c>
      <c r="MB6" s="9" t="s">
        <v>881</v>
      </c>
      <c r="MC6" s="8">
        <v>0.0</v>
      </c>
      <c r="MD6" s="8">
        <v>0.0</v>
      </c>
      <c r="ME6" s="8">
        <v>0.0</v>
      </c>
      <c r="MF6" s="8">
        <v>0.0</v>
      </c>
      <c r="MG6" s="8">
        <v>0.0</v>
      </c>
      <c r="MH6" s="8">
        <v>0.0</v>
      </c>
      <c r="MI6" s="9"/>
      <c r="MJ6" s="9"/>
      <c r="MK6" s="9"/>
      <c r="ML6" s="9"/>
      <c r="MM6" s="9"/>
      <c r="MN6" s="9"/>
      <c r="MO6" s="9"/>
      <c r="MP6" s="9"/>
      <c r="MQ6" s="9"/>
      <c r="MR6" s="17" t="s">
        <v>2035</v>
      </c>
      <c r="MS6" s="9"/>
      <c r="MT6" s="9" t="s">
        <v>2035</v>
      </c>
      <c r="MU6" s="9" t="s">
        <v>881</v>
      </c>
      <c r="MV6" s="9"/>
      <c r="MW6" s="9"/>
      <c r="MX6" s="9"/>
      <c r="MY6" s="9"/>
      <c r="MZ6" s="9"/>
      <c r="NA6" s="9"/>
      <c r="NB6" s="9"/>
      <c r="NC6" s="9"/>
      <c r="ND6" s="9"/>
      <c r="NE6" s="9"/>
      <c r="NF6" s="9"/>
      <c r="NG6" s="9"/>
      <c r="NH6" s="9"/>
      <c r="NI6" s="9"/>
      <c r="NJ6" s="9"/>
      <c r="NK6" s="9"/>
      <c r="NL6" s="9" t="s">
        <v>881</v>
      </c>
      <c r="NM6" s="9" t="s">
        <v>893</v>
      </c>
      <c r="NN6" s="17" t="s">
        <v>2069</v>
      </c>
      <c r="NO6" s="17" t="s">
        <v>895</v>
      </c>
      <c r="NP6" s="9"/>
      <c r="NQ6" s="9"/>
      <c r="NR6" s="9"/>
      <c r="NS6" s="9"/>
      <c r="NT6" s="9"/>
      <c r="NU6" s="9"/>
      <c r="NV6" s="17" t="s">
        <v>896</v>
      </c>
      <c r="NW6" s="9"/>
      <c r="NX6" s="9" t="s">
        <v>914</v>
      </c>
      <c r="NY6" s="8">
        <v>60.0</v>
      </c>
      <c r="NZ6" s="8">
        <v>0.0</v>
      </c>
      <c r="OA6" s="8">
        <v>0.0</v>
      </c>
      <c r="OB6" s="8">
        <v>0.0</v>
      </c>
      <c r="OC6" s="8">
        <v>60.0</v>
      </c>
      <c r="OD6" s="8">
        <v>0.0</v>
      </c>
      <c r="OE6" s="9" t="s">
        <v>945</v>
      </c>
      <c r="OF6" s="9" t="s">
        <v>899</v>
      </c>
      <c r="OG6" s="9" t="s">
        <v>857</v>
      </c>
      <c r="OH6" s="8">
        <v>0.0</v>
      </c>
      <c r="OI6" s="8">
        <v>0.0</v>
      </c>
      <c r="OJ6" s="8">
        <v>0.0</v>
      </c>
      <c r="OK6" s="8">
        <v>0.0</v>
      </c>
      <c r="OL6" s="8">
        <v>4.0</v>
      </c>
      <c r="OM6" s="8">
        <v>0.0</v>
      </c>
      <c r="ON6" s="8">
        <v>0.0</v>
      </c>
      <c r="OO6" s="8">
        <v>4.0</v>
      </c>
      <c r="OP6" s="9" t="str">
        <f>VLOOKUP(AG6,'BUS 2'!$G$1:$CU$424,2,0)</f>
        <v>Sapi pedaging Ayam</v>
      </c>
      <c r="OQ6" s="8">
        <f>VLOOKUP(AG6,'BUS 2'!$G$1:$CU$424,3,0)</f>
        <v>1</v>
      </c>
      <c r="OR6" s="8">
        <f>VLOOKUP(AG6,'BUS 2'!$G$1:$CU$424,4,0)</f>
        <v>0</v>
      </c>
      <c r="OS6" s="8">
        <f>VLOOKUP(AG6,'BUS 2'!$G$1:$CU$424,5,0)</f>
        <v>0</v>
      </c>
      <c r="OT6" s="8">
        <f>VLOOKUP(AG6,'BUS 2'!$G$1:$CU$424,6,0)</f>
        <v>0</v>
      </c>
      <c r="OU6" s="8">
        <f>VLOOKUP(AG6,'BUS 2'!$G$1:$CU$424,7,0)</f>
        <v>0</v>
      </c>
      <c r="OV6" s="8">
        <f>VLOOKUP(AG6,'BUS 2'!$G$1:$CU$424,8,0)</f>
        <v>0</v>
      </c>
      <c r="OW6" s="8">
        <f>VLOOKUP(AG6,'BUS 2'!$G$1:$CU$424,9,0)</f>
        <v>1</v>
      </c>
      <c r="OX6" s="8">
        <f>VLOOKUP(AG6,'BUS 2'!$G$1:$CU$424,10,0)</f>
        <v>0</v>
      </c>
      <c r="OY6" s="8">
        <f>VLOOKUP(AG6,'BUS 2'!$G$1:$CU$424,11,0)</f>
        <v>0</v>
      </c>
      <c r="OZ6" s="8" t="str">
        <f>VLOOKUP(AG6,'BUS 2'!$G$1:$CU$424,12,0)</f>
        <v>Sapi pedaging Kuda Unggas lainnya</v>
      </c>
      <c r="PA6" s="8">
        <f>VLOOKUP(AG6,'BUS 2'!$G$1:$CU$424,13,0)</f>
        <v>1</v>
      </c>
      <c r="PB6" s="8">
        <f>VLOOKUP(AG6,'BUS 2'!$G$1:$CU$424,14,0)</f>
        <v>0</v>
      </c>
      <c r="PC6" s="8">
        <f>VLOOKUP(AG6,'BUS 2'!$G$1:$CU$424,15,0)</f>
        <v>0</v>
      </c>
      <c r="PD6" s="8">
        <f>VLOOKUP(AG6,'BUS 2'!$G$1:$CU$424,16,0)</f>
        <v>0</v>
      </c>
      <c r="PE6" s="8">
        <f>VLOOKUP(AG6,'BUS 2'!$G$1:$CU$424,17,0)</f>
        <v>1</v>
      </c>
      <c r="PF6" s="8">
        <f>VLOOKUP(AG6,'BUS 2'!$G$1:$CU$424,18,0)</f>
        <v>0</v>
      </c>
      <c r="PG6" s="8">
        <f>VLOOKUP(AG6,'BUS 2'!$G$1:$CU$424,19,0)</f>
        <v>0</v>
      </c>
      <c r="PH6" s="8">
        <f>VLOOKUP(AG6,'BUS 2'!$G$1:$CU$424,20,0)</f>
        <v>1</v>
      </c>
      <c r="PI6" s="8">
        <f>VLOOKUP(AG6,'BUS 2'!$G$1:$CU$424,21,0)</f>
        <v>0</v>
      </c>
      <c r="PJ6" s="8" t="str">
        <f>VLOOKUP(AG6,'BUS 2'!$G$1:$CU$424,22,0)</f>
        <v>Kuda Unggas lainnya</v>
      </c>
      <c r="PK6" s="8">
        <f>VLOOKUP(AG6,'BUS 2'!$G$1:$CU$424,23,0)</f>
        <v>0</v>
      </c>
      <c r="PL6" s="8">
        <f>VLOOKUP(AG6,'BUS 2'!$G$1:$CU$424,24,0)</f>
        <v>0</v>
      </c>
      <c r="PM6" s="8">
        <f>VLOOKUP(AG6,'BUS 2'!$G$1:$CU$424,25,0)</f>
        <v>0</v>
      </c>
      <c r="PN6" s="8">
        <f>VLOOKUP(AG6,'BUS 2'!$G$1:$CU$424,26,0)</f>
        <v>0</v>
      </c>
      <c r="PO6" s="8">
        <f>VLOOKUP(AG6,'BUS 2'!$G$1:$CU$424,27,0)</f>
        <v>1</v>
      </c>
      <c r="PP6" s="8">
        <f>VLOOKUP(AG6,'BUS 2'!$G$1:$CU$424,28,0)</f>
        <v>0</v>
      </c>
      <c r="PQ6" s="8">
        <f>VLOOKUP(AG6,'BUS 2'!$G$1:$CU$424,29,0)</f>
        <v>0</v>
      </c>
      <c r="PR6" s="8">
        <f>VLOOKUP(AG6,'BUS 2'!$G$1:$CU$424,30,0)</f>
        <v>1</v>
      </c>
      <c r="PS6" s="8">
        <f>VLOOKUP(AG6,'BUS 2'!$G$1:$CU$424,31,0)</f>
        <v>0</v>
      </c>
      <c r="PT6" s="9" t="s">
        <v>2070</v>
      </c>
      <c r="PU6" s="8">
        <v>0.0</v>
      </c>
      <c r="PV6" s="8">
        <v>0.0</v>
      </c>
      <c r="PW6" s="8">
        <v>0.0</v>
      </c>
      <c r="PX6" s="8">
        <v>0.0</v>
      </c>
      <c r="PY6" s="8">
        <v>0.0</v>
      </c>
      <c r="PZ6" s="8">
        <v>0.0</v>
      </c>
      <c r="QA6" s="8">
        <v>0.0</v>
      </c>
      <c r="QB6" s="8">
        <v>0.0</v>
      </c>
      <c r="QC6" s="8">
        <v>1.0</v>
      </c>
      <c r="QD6" s="21" t="s">
        <v>2071</v>
      </c>
      <c r="QE6" s="32"/>
      <c r="QF6" s="31"/>
      <c r="QG6" s="31"/>
      <c r="QH6" s="31"/>
      <c r="QI6" s="31"/>
      <c r="QJ6" s="31"/>
      <c r="QK6" s="32"/>
      <c r="QL6" s="32"/>
      <c r="QM6" s="32"/>
      <c r="QN6" s="32"/>
      <c r="QO6" s="32"/>
      <c r="QP6" s="32"/>
      <c r="QQ6" s="32"/>
      <c r="QR6" s="32"/>
      <c r="QS6" s="32"/>
      <c r="QT6" s="32"/>
      <c r="QU6" s="32"/>
      <c r="QV6" s="32"/>
      <c r="QW6" s="31"/>
      <c r="QX6" s="31"/>
      <c r="QY6" s="31"/>
      <c r="QZ6" s="31"/>
      <c r="RA6" s="31"/>
      <c r="RB6" s="32"/>
      <c r="RC6" s="32"/>
      <c r="RD6" s="32"/>
      <c r="RE6" s="32"/>
      <c r="RF6" s="32"/>
      <c r="RG6" s="9"/>
      <c r="RH6" s="31"/>
      <c r="RI6" s="31"/>
      <c r="RJ6" s="31"/>
      <c r="RK6" s="31"/>
      <c r="RL6" s="31"/>
      <c r="RM6" s="9"/>
      <c r="RN6" s="9"/>
      <c r="RO6" s="9"/>
      <c r="RP6" s="9"/>
      <c r="RQ6" s="9"/>
      <c r="RR6" s="9"/>
      <c r="RS6" s="31"/>
      <c r="RT6" s="31"/>
      <c r="RU6" s="31"/>
      <c r="RV6" s="31"/>
      <c r="RW6" s="31"/>
      <c r="RX6" s="9"/>
      <c r="RY6" s="9"/>
      <c r="RZ6" s="9"/>
      <c r="SA6" s="9"/>
      <c r="SB6" s="9"/>
      <c r="SC6" s="9" t="s">
        <v>900</v>
      </c>
      <c r="SD6" s="35">
        <v>0.0</v>
      </c>
      <c r="SE6" s="35">
        <v>0.0</v>
      </c>
      <c r="SF6" s="35">
        <v>0.0</v>
      </c>
      <c r="SG6" s="35">
        <v>0.0</v>
      </c>
      <c r="SH6" s="35">
        <v>0.0</v>
      </c>
      <c r="SI6" s="8">
        <v>1.0</v>
      </c>
      <c r="SJ6" s="8">
        <v>0.0</v>
      </c>
      <c r="SK6" s="8">
        <v>0.0</v>
      </c>
      <c r="SL6" s="8">
        <v>0.0</v>
      </c>
      <c r="SM6" s="9"/>
      <c r="SN6" s="9"/>
      <c r="SO6" s="31"/>
      <c r="SP6" s="31"/>
      <c r="SQ6" s="31"/>
      <c r="SR6" s="31"/>
      <c r="SS6" s="31"/>
      <c r="ST6" s="9"/>
      <c r="SU6" s="9"/>
      <c r="SV6" s="9"/>
      <c r="SW6" s="9"/>
      <c r="SX6" s="9"/>
      <c r="SY6" s="8">
        <f>VLOOKUP(AG6,'BUS 2'!$G$1:$CU$424,33,0)</f>
        <v>3</v>
      </c>
      <c r="SZ6" s="9" t="str">
        <f>VLOOKUP(AG6,'BUS 2'!$G$1:$CU$424,34,0)</f>
        <v/>
      </c>
      <c r="TA6" s="9" t="str">
        <f>VLOOKUP(AG6,'BUS 2'!$G$1:$CU$424,35,0)</f>
        <v/>
      </c>
      <c r="TB6" s="9" t="str">
        <f>VLOOKUP(AG6,'BUS 2'!$G$1:$CU$424,36,0)</f>
        <v/>
      </c>
      <c r="TC6" s="9" t="str">
        <f>VLOOKUP(AG6,'BUS 2'!$G$1:$CU$424,37,0)</f>
        <v/>
      </c>
      <c r="TD6" s="9" t="str">
        <f>VLOOKUP(AG6,'BUS 2'!$G$1:$CU$424,38,0)</f>
        <v/>
      </c>
      <c r="TE6" s="9">
        <f>VLOOKUP(AG6,'BUS 2'!$G$1:$CU$424,39,0)</f>
        <v>2</v>
      </c>
      <c r="TF6" s="9" t="str">
        <f>VLOOKUP(AG6,'BUS 2'!$G$1:$CU$424,40,0)</f>
        <v/>
      </c>
      <c r="TG6" s="8">
        <f>VLOOKUP(AG6,'BUS 2'!$G$1:$CU$424,42,0)</f>
        <v>0</v>
      </c>
      <c r="TH6" s="8" t="str">
        <f>VLOOKUP(AG6,'BUS 2'!$G$1:$CU$424,43,0)</f>
        <v/>
      </c>
      <c r="TI6" s="8" t="str">
        <f>VLOOKUP(AG6,'BUS 2'!$G$1:$CU$424,44,0)</f>
        <v/>
      </c>
      <c r="TJ6" s="8" t="str">
        <f>VLOOKUP(AG6,'BUS 2'!$G$1:$CU$424,45,0)</f>
        <v/>
      </c>
      <c r="TK6" s="8">
        <f>VLOOKUP(AG6,'BUS 2'!$G$1:$CU$424,46,0)</f>
        <v>4</v>
      </c>
      <c r="TL6" s="8" t="str">
        <f>VLOOKUP(AG6,'BUS 2'!$G$1:$CU$424,47,0)</f>
        <v/>
      </c>
      <c r="TM6" s="8" t="str">
        <f>VLOOKUP(AG6,'BUS 2'!$G$1:$CU$424,48,0)</f>
        <v/>
      </c>
      <c r="TN6" s="8">
        <f>VLOOKUP(AG6,'BUS 2'!$G$1:$CU$424,49,0)</f>
        <v>4</v>
      </c>
      <c r="TO6" s="8" t="str">
        <f>VLOOKUP(AG6,'BUS 2'!$G$1:$CU$424,50,0)</f>
        <v/>
      </c>
      <c r="TP6" s="8" t="str">
        <f>VLOOKUP(AG6,'BUS 2'!$G$1:$CU$424,51,0)</f>
        <v/>
      </c>
      <c r="TQ6" s="8" t="str">
        <f>VLOOKUP(AG6,'BUS 2'!$G$1:$CU$424,52,0)</f>
        <v/>
      </c>
      <c r="TR6" s="8" t="str">
        <f>VLOOKUP(AG6,'BUS 2'!$G$1:$CU$424,53,0)</f>
        <v/>
      </c>
      <c r="TS6" s="9" t="str">
        <f>VLOOKUP(AG6,'BUS 2'!$G$1:$CU$424,54,0)</f>
        <v/>
      </c>
      <c r="TT6" s="9" t="str">
        <f>VLOOKUP(AG6,'BUS 2'!$G$1:$CU$424,55,0)</f>
        <v/>
      </c>
      <c r="TU6" s="9" t="str">
        <f>VLOOKUP(AG6,'BUS 2'!$G$1:$CU$424,56,0)</f>
        <v/>
      </c>
      <c r="TV6" s="9" t="str">
        <f>VLOOKUP(AG6,'BUS 2'!$G$1:$CU$424,57,0)</f>
        <v/>
      </c>
      <c r="TW6" s="9" t="str">
        <f>VLOOKUP(AG6,'BUS 2'!$G$1:$CU$424,58,0)</f>
        <v/>
      </c>
      <c r="TX6" s="9" t="str">
        <f>VLOOKUP(AG6,'BUS 2'!$G$1:$CU$424,59,0)</f>
        <v/>
      </c>
      <c r="TY6" s="9" t="str">
        <f>VLOOKUP(AG6,'BUS 2'!$G$1:$CU$424,60,0)</f>
        <v/>
      </c>
      <c r="TZ6" s="9" t="str">
        <f>VLOOKUP(AG6,'BUS 2'!$G$1:$CU$424,61,0)</f>
        <v/>
      </c>
      <c r="UA6" s="9" t="str">
        <f>VLOOKUP(AG6,'BUS 2'!$G$1:$CU$424,62,0)</f>
        <v/>
      </c>
      <c r="UB6" s="9" t="str">
        <f>VLOOKUP(AG6,'BUS 2'!$G$1:$CU$424,63,0)</f>
        <v/>
      </c>
      <c r="UC6" s="9" t="str">
        <f>VLOOKUP(AG6,'BUS 2'!$G$1:$CU$424,64,0)</f>
        <v/>
      </c>
      <c r="UD6" s="9" t="str">
        <f>VLOOKUP(AG6,'BUS 2'!$G$1:$CU$424,65,0)</f>
        <v/>
      </c>
      <c r="UE6" s="9">
        <f>VLOOKUP(AG6,'BUS 2'!$G$1:$CU$424,66,0)</f>
        <v>0</v>
      </c>
      <c r="UF6" s="9">
        <f>VLOOKUP(AG6,'BUS 2'!$G$1:$CU$424,67,0)</f>
        <v>0</v>
      </c>
      <c r="UG6" s="9">
        <f>VLOOKUP(AG6,'BUS 2'!$G$1:$CU$424,68,0)</f>
        <v>0</v>
      </c>
      <c r="UH6" s="9">
        <f>VLOOKUP(AG6,'BUS 2'!$G$1:$CU$424,69,0)</f>
        <v>0</v>
      </c>
      <c r="UI6" s="9" t="str">
        <f>VLOOKUP(AG6,'BUS 2'!$G$1:$CU$424,70,0)</f>
        <v/>
      </c>
      <c r="UJ6" s="9" t="str">
        <f>VLOOKUP(AG6,'BUS 2'!$G$1:$CU$424,71,0)</f>
        <v/>
      </c>
      <c r="UK6" s="9" t="str">
        <f>VLOOKUP(AG6,'BUS 2'!$G$1:$CU$424,72,0)</f>
        <v/>
      </c>
      <c r="UL6" s="9" t="str">
        <f>VLOOKUP(AG6,'BUS 2'!$G$1:$CU$424,73,0)</f>
        <v/>
      </c>
      <c r="UM6" s="9" t="str">
        <f>VLOOKUP(AG6,'BUS 2'!$G$1:$CU$424,74,0)</f>
        <v/>
      </c>
      <c r="UN6" s="9" t="str">
        <f>VLOOKUP(AG6,'BUS 2'!$G$1:$CU$424,75,0)</f>
        <v/>
      </c>
      <c r="UO6" s="9" t="str">
        <f>VLOOKUP(AG6,'BUS 2'!$G$1:$CU$424,76,0)</f>
        <v/>
      </c>
      <c r="UP6" s="9" t="str">
        <f>VLOOKUP(AG6,'BUS 2'!$G$1:$CU$424,77,0)</f>
        <v/>
      </c>
      <c r="UQ6" s="9">
        <f>VLOOKUP(AG6,'BUS 2'!$G$1:$CU$424,78,0)</f>
        <v>0</v>
      </c>
      <c r="UR6" s="9">
        <f>VLOOKUP(AG6,'BUS 2'!$G$1:$CU$424,79,0)</f>
        <v>0</v>
      </c>
      <c r="US6" s="9">
        <f>VLOOKUP(AG6,'BUS 2'!$G$1:$CU$424,80,0)</f>
        <v>0</v>
      </c>
      <c r="UT6" s="9">
        <f>VLOOKUP(AG6,'BUS 2'!$G$1:$CU$424,81,0)</f>
        <v>0</v>
      </c>
      <c r="UU6" s="9"/>
      <c r="UV6" s="9"/>
      <c r="UW6" s="9"/>
      <c r="UX6" s="9"/>
      <c r="UY6" s="9" t="s">
        <v>901</v>
      </c>
      <c r="UZ6" s="9"/>
      <c r="VA6" s="9"/>
      <c r="VB6" s="9" t="s">
        <v>901</v>
      </c>
      <c r="VC6" s="9"/>
      <c r="VD6" s="9"/>
      <c r="VE6" s="9"/>
      <c r="VF6" s="9"/>
      <c r="VG6" s="9" t="s">
        <v>1938</v>
      </c>
      <c r="VH6" s="9"/>
      <c r="VI6" s="9"/>
      <c r="VJ6" s="9" t="s">
        <v>1938</v>
      </c>
      <c r="VK6" s="9"/>
      <c r="VL6" s="9"/>
      <c r="VM6" s="9"/>
      <c r="VN6" s="9"/>
      <c r="VO6" s="9" t="s">
        <v>1938</v>
      </c>
      <c r="VP6" s="9"/>
      <c r="VQ6" s="9"/>
      <c r="VR6" s="9" t="s">
        <v>1938</v>
      </c>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t="s">
        <v>951</v>
      </c>
      <c r="XO6" s="8">
        <v>0.0</v>
      </c>
      <c r="XP6" s="8">
        <v>0.0</v>
      </c>
      <c r="XQ6" s="8">
        <v>0.0</v>
      </c>
      <c r="XR6" s="8">
        <v>0.0</v>
      </c>
      <c r="XS6" s="8">
        <v>0.0</v>
      </c>
      <c r="XT6" s="8">
        <v>0.0</v>
      </c>
      <c r="XU6" s="8">
        <v>1.0</v>
      </c>
      <c r="XV6" s="8">
        <v>0.0</v>
      </c>
      <c r="XW6" s="8">
        <v>0.0</v>
      </c>
      <c r="XX6" s="8">
        <v>0.0</v>
      </c>
      <c r="XY6" s="8">
        <v>0.0</v>
      </c>
      <c r="XZ6" s="8">
        <v>0.0</v>
      </c>
      <c r="YA6" s="9"/>
      <c r="YB6" s="9"/>
      <c r="YC6" s="9"/>
      <c r="YD6" s="9"/>
      <c r="YE6" s="9"/>
      <c r="YF6" s="9"/>
      <c r="YG6" s="9"/>
      <c r="YH6" s="9"/>
      <c r="YI6" s="9"/>
      <c r="YJ6" s="9"/>
      <c r="YK6" s="9"/>
      <c r="YL6" s="9"/>
      <c r="YM6" s="9"/>
      <c r="YN6" s="9"/>
      <c r="YO6" s="9"/>
      <c r="YP6" s="9"/>
      <c r="YQ6" s="9"/>
      <c r="YR6" s="9"/>
      <c r="YS6" s="9"/>
      <c r="YT6" s="9"/>
      <c r="YU6" s="9"/>
      <c r="YV6" s="9"/>
      <c r="YW6" s="9"/>
      <c r="YX6" s="9"/>
      <c r="YY6" s="9"/>
      <c r="YZ6" s="9"/>
      <c r="ZA6" s="9" t="s">
        <v>1940</v>
      </c>
      <c r="ZB6" s="8">
        <v>0.0</v>
      </c>
      <c r="ZC6" s="8">
        <v>0.0</v>
      </c>
      <c r="ZD6" s="8">
        <v>0.0</v>
      </c>
      <c r="ZE6" s="8">
        <v>0.0</v>
      </c>
      <c r="ZF6" s="8">
        <v>0.0</v>
      </c>
      <c r="ZG6" s="8">
        <v>1.0</v>
      </c>
      <c r="ZH6" s="8">
        <v>0.0</v>
      </c>
      <c r="ZI6" s="8">
        <v>0.0</v>
      </c>
      <c r="ZJ6" s="8">
        <v>0.0</v>
      </c>
      <c r="ZK6" s="8">
        <v>0.0</v>
      </c>
      <c r="ZL6" s="8">
        <v>0.0</v>
      </c>
      <c r="ZM6" s="8">
        <v>0.0</v>
      </c>
      <c r="ZN6" s="9"/>
      <c r="ZO6" s="9"/>
      <c r="ZP6" s="9"/>
      <c r="ZQ6" s="9"/>
      <c r="ZR6" s="9"/>
      <c r="ZS6" s="9"/>
      <c r="ZT6" s="9"/>
      <c r="ZU6" s="9"/>
      <c r="ZV6" s="9"/>
      <c r="ZW6" s="9"/>
      <c r="ZX6" s="9"/>
      <c r="ZY6" s="9"/>
      <c r="ZZ6" s="8">
        <v>2.0</v>
      </c>
      <c r="AAA6" s="9"/>
      <c r="AAB6" s="9"/>
      <c r="AAC6" s="8">
        <v>1.0</v>
      </c>
      <c r="AAD6" s="9"/>
      <c r="AAE6" s="9"/>
      <c r="AAF6" s="9"/>
      <c r="AAG6" s="9"/>
      <c r="AAH6" s="9" t="s">
        <v>1186</v>
      </c>
      <c r="AAI6" s="9"/>
      <c r="AAJ6" s="9"/>
      <c r="AAK6" s="9" t="s">
        <v>905</v>
      </c>
      <c r="AAL6" s="9" t="s">
        <v>857</v>
      </c>
      <c r="AAM6" s="9" t="s">
        <v>1033</v>
      </c>
      <c r="AAN6" s="8">
        <v>1.0</v>
      </c>
      <c r="AAO6" s="8">
        <v>1.0</v>
      </c>
      <c r="AAP6" s="8">
        <v>5.0</v>
      </c>
      <c r="AAQ6" s="8">
        <v>10.0</v>
      </c>
      <c r="AAR6" s="9" t="s">
        <v>857</v>
      </c>
      <c r="AAS6" s="9" t="s">
        <v>867</v>
      </c>
      <c r="AAT6" s="9" t="s">
        <v>995</v>
      </c>
      <c r="AAU6" s="8">
        <v>1.0</v>
      </c>
      <c r="AAV6" s="8">
        <v>0.0</v>
      </c>
      <c r="AAW6" s="8">
        <v>0.0</v>
      </c>
      <c r="AAX6" s="8">
        <v>0.0</v>
      </c>
      <c r="AAY6" s="8">
        <v>1.0</v>
      </c>
      <c r="AAZ6" s="8">
        <v>0.0</v>
      </c>
      <c r="ABA6" s="8">
        <v>0.0</v>
      </c>
      <c r="ABB6" s="9" t="s">
        <v>2072</v>
      </c>
      <c r="ABC6" s="8">
        <v>1.0</v>
      </c>
      <c r="ABD6" s="8">
        <v>1.0</v>
      </c>
      <c r="ABE6" s="8">
        <v>1.0</v>
      </c>
      <c r="ABF6" s="8">
        <v>1.0</v>
      </c>
      <c r="ABG6" s="8">
        <v>0.0</v>
      </c>
      <c r="ABH6" s="9"/>
      <c r="ABI6" s="9"/>
      <c r="ABJ6" s="9"/>
      <c r="ABK6" s="9"/>
      <c r="ABL6" s="9"/>
      <c r="ABM6" s="9"/>
      <c r="ABN6" s="9"/>
      <c r="ABO6" s="9"/>
      <c r="ABP6" s="9"/>
      <c r="ABQ6" s="9" t="s">
        <v>1943</v>
      </c>
      <c r="ABR6" s="9" t="s">
        <v>1075</v>
      </c>
      <c r="ABS6" s="8">
        <v>2000.0</v>
      </c>
      <c r="ABT6" s="9"/>
      <c r="ABU6" s="8">
        <v>10.0</v>
      </c>
      <c r="ABV6" s="8">
        <v>150.0</v>
      </c>
      <c r="ABW6" s="9" t="s">
        <v>1199</v>
      </c>
      <c r="ABX6" s="9"/>
      <c r="ABY6" s="8">
        <v>100.0</v>
      </c>
      <c r="ABZ6" s="8">
        <v>170000.0</v>
      </c>
      <c r="ACA6" s="8">
        <v>50.0</v>
      </c>
      <c r="ACB6" s="8">
        <v>122000.0</v>
      </c>
      <c r="ACC6" s="8">
        <v>1000.0</v>
      </c>
      <c r="ACD6" s="8">
        <v>1000.0</v>
      </c>
      <c r="ACE6" s="9" t="s">
        <v>857</v>
      </c>
      <c r="ACF6" s="9" t="s">
        <v>1183</v>
      </c>
      <c r="ACG6" s="9" t="s">
        <v>1183</v>
      </c>
      <c r="ACH6" s="9" t="s">
        <v>1183</v>
      </c>
      <c r="ACI6" s="9"/>
      <c r="ACJ6" s="9"/>
      <c r="ACK6" s="9" t="s">
        <v>969</v>
      </c>
      <c r="ACL6" s="8">
        <v>0.0</v>
      </c>
      <c r="ACM6" s="8">
        <v>0.0</v>
      </c>
      <c r="ACN6" s="8">
        <v>0.0</v>
      </c>
      <c r="ACO6" s="8">
        <v>0.0</v>
      </c>
      <c r="ACP6" s="8">
        <v>0.0</v>
      </c>
      <c r="ACQ6" s="8">
        <v>0.0</v>
      </c>
      <c r="ACR6" s="8">
        <v>1.0</v>
      </c>
      <c r="ACS6" s="9" t="s">
        <v>2073</v>
      </c>
      <c r="ACT6" s="9" t="s">
        <v>2074</v>
      </c>
      <c r="ACU6" s="9" t="s">
        <v>1050</v>
      </c>
      <c r="ACV6" s="9" t="s">
        <v>957</v>
      </c>
      <c r="ACW6" s="9" t="s">
        <v>1391</v>
      </c>
      <c r="ACX6" s="9" t="s">
        <v>916</v>
      </c>
      <c r="ACY6" s="9" t="s">
        <v>1035</v>
      </c>
      <c r="ACZ6" s="8">
        <v>1.0</v>
      </c>
      <c r="ADA6" s="8">
        <v>1.0</v>
      </c>
      <c r="ADB6" s="8">
        <v>0.0</v>
      </c>
      <c r="ADC6" s="8">
        <v>0.0</v>
      </c>
      <c r="ADD6" s="9" t="s">
        <v>917</v>
      </c>
      <c r="ADE6" s="9" t="s">
        <v>917</v>
      </c>
      <c r="ADF6" s="9" t="s">
        <v>917</v>
      </c>
      <c r="ADG6" s="9" t="s">
        <v>917</v>
      </c>
      <c r="ADH6" s="9" t="s">
        <v>881</v>
      </c>
      <c r="ADI6" s="9"/>
      <c r="ADJ6" s="9" t="s">
        <v>917</v>
      </c>
      <c r="ADK6" s="9"/>
      <c r="ADL6" s="9"/>
      <c r="ADM6" s="9"/>
      <c r="ADN6" s="9"/>
      <c r="ADO6" s="9"/>
      <c r="ADP6" s="9"/>
      <c r="ADQ6" s="9"/>
      <c r="ADR6" s="9"/>
      <c r="ADS6" s="9"/>
      <c r="ADT6" s="9"/>
      <c r="ADU6" s="9" t="s">
        <v>919</v>
      </c>
      <c r="ADV6" s="8">
        <v>0.0</v>
      </c>
      <c r="ADW6" s="8">
        <v>0.0</v>
      </c>
      <c r="ADX6" s="8">
        <v>0.0</v>
      </c>
      <c r="ADY6" s="8">
        <v>0.0</v>
      </c>
      <c r="ADZ6" s="8">
        <v>1.0</v>
      </c>
      <c r="AEA6" s="8">
        <v>0.0</v>
      </c>
      <c r="AEB6" s="8">
        <v>0.0</v>
      </c>
      <c r="AEC6" s="8">
        <v>0.0</v>
      </c>
      <c r="AED6" s="9" t="s">
        <v>1945</v>
      </c>
      <c r="AEE6" s="9" t="s">
        <v>872</v>
      </c>
      <c r="AEF6" s="9"/>
      <c r="AEG6" s="9" t="s">
        <v>920</v>
      </c>
      <c r="AEH6" s="9"/>
      <c r="AEI6" s="9" t="s">
        <v>2075</v>
      </c>
      <c r="AEJ6" s="9" t="s">
        <v>871</v>
      </c>
      <c r="AEK6" s="9" t="s">
        <v>2076</v>
      </c>
      <c r="AEL6" s="8">
        <v>1.0</v>
      </c>
      <c r="AEM6" s="8">
        <v>1.0</v>
      </c>
      <c r="AEN6" s="8">
        <v>1.0</v>
      </c>
      <c r="AEO6" s="8">
        <v>1.0</v>
      </c>
      <c r="AEP6" s="8">
        <v>1.0</v>
      </c>
      <c r="AEQ6" s="8">
        <v>0.0</v>
      </c>
      <c r="AER6" s="8">
        <v>1.0</v>
      </c>
      <c r="AES6" s="8">
        <v>0.0</v>
      </c>
      <c r="AET6" s="8">
        <v>0.0</v>
      </c>
      <c r="AEU6" s="8">
        <v>0.0</v>
      </c>
      <c r="AEV6" s="8">
        <v>1.0</v>
      </c>
      <c r="AEW6" s="8">
        <v>0.0</v>
      </c>
      <c r="AEX6" s="9"/>
      <c r="AEY6" s="9" t="s">
        <v>1981</v>
      </c>
      <c r="AEZ6" s="9"/>
      <c r="AFA6" s="9" t="s">
        <v>2077</v>
      </c>
      <c r="AFB6" s="9"/>
      <c r="AFC6" s="9" t="s">
        <v>2078</v>
      </c>
      <c r="AFD6" s="16" t="s">
        <v>2079</v>
      </c>
      <c r="AFE6" s="9" t="s">
        <v>2080</v>
      </c>
      <c r="AFF6" s="16" t="s">
        <v>2081</v>
      </c>
      <c r="AFG6" s="9" t="s">
        <v>1986</v>
      </c>
      <c r="AFH6" s="9"/>
      <c r="AFI6" s="21" t="s">
        <v>2082</v>
      </c>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8">
        <v>6.66757182E8</v>
      </c>
      <c r="AWB6" s="9" t="s">
        <v>2083</v>
      </c>
      <c r="AWC6" s="6">
        <v>46062.0</v>
      </c>
      <c r="AWD6" s="9"/>
      <c r="AWE6" s="9"/>
      <c r="AWF6" s="9" t="s">
        <v>1954</v>
      </c>
      <c r="AWG6" s="9"/>
      <c r="AWH6" s="9" t="s">
        <v>1989</v>
      </c>
      <c r="AWI6" s="9"/>
      <c r="AWJ6" s="9" t="s">
        <v>2084</v>
      </c>
      <c r="AWK6" s="8">
        <v>119.0</v>
      </c>
      <c r="AWL6" s="9" t="s">
        <v>2063</v>
      </c>
      <c r="AWM6" s="8">
        <v>0.0</v>
      </c>
      <c r="AWN6" s="9" t="s">
        <v>1957</v>
      </c>
      <c r="AWO6" s="33" t="b">
        <v>1</v>
      </c>
      <c r="AWP6" s="33" t="b">
        <v>1</v>
      </c>
      <c r="AWQ6" s="33" t="b">
        <v>1</v>
      </c>
      <c r="AWR6" s="33" t="b">
        <v>1</v>
      </c>
      <c r="AWS6" s="33" t="b">
        <v>1</v>
      </c>
      <c r="AWT6" s="33" t="b">
        <v>1</v>
      </c>
      <c r="AWU6" s="9"/>
      <c r="AWV6" s="8">
        <v>12.0</v>
      </c>
      <c r="AWW6" s="9"/>
      <c r="AWX6" s="9"/>
      <c r="AWY6" s="9"/>
      <c r="AWZ6" s="9"/>
    </row>
    <row r="7">
      <c r="A7" s="6">
        <v>46048.0</v>
      </c>
      <c r="B7" s="6">
        <v>46062.0</v>
      </c>
      <c r="C7" s="30" t="s">
        <v>1919</v>
      </c>
      <c r="D7" s="30" t="s">
        <v>2085</v>
      </c>
      <c r="E7" s="8">
        <f>+6285397999210</f>
        <v>6285397999210</v>
      </c>
      <c r="F7" s="9" t="s">
        <v>2086</v>
      </c>
      <c r="G7" s="8">
        <v>-5.150354</v>
      </c>
      <c r="H7" s="8">
        <v>119.636752</v>
      </c>
      <c r="I7" s="8">
        <v>85.866</v>
      </c>
      <c r="J7" s="8">
        <v>0.7749999762</v>
      </c>
      <c r="K7" s="8">
        <v>0.0</v>
      </c>
      <c r="L7" s="9" t="s">
        <v>2087</v>
      </c>
      <c r="M7" s="8">
        <v>-5.150254</v>
      </c>
      <c r="N7" s="8">
        <v>119.636757</v>
      </c>
      <c r="O7" s="8">
        <v>112.011</v>
      </c>
      <c r="P7" s="8">
        <v>0.9530000091</v>
      </c>
      <c r="Q7" s="8">
        <v>0.0</v>
      </c>
      <c r="R7" s="9" t="s">
        <v>1923</v>
      </c>
      <c r="S7" s="8">
        <v>0.0</v>
      </c>
      <c r="T7" s="8">
        <v>0.0</v>
      </c>
      <c r="U7" s="8">
        <v>0.0</v>
      </c>
      <c r="V7" s="8">
        <v>0.0</v>
      </c>
      <c r="W7" s="8">
        <v>0.0</v>
      </c>
      <c r="X7" s="8">
        <v>0.0</v>
      </c>
      <c r="Y7" s="8">
        <v>0.0</v>
      </c>
      <c r="Z7" s="8">
        <v>0.0</v>
      </c>
      <c r="AA7" s="8">
        <v>0.0</v>
      </c>
      <c r="AB7" s="8">
        <v>1.0</v>
      </c>
      <c r="AC7" s="7" t="s">
        <v>1924</v>
      </c>
      <c r="AD7" s="7" t="s">
        <v>2088</v>
      </c>
      <c r="AE7" s="7" t="s">
        <v>2089</v>
      </c>
      <c r="AF7" s="9" t="s">
        <v>2090</v>
      </c>
      <c r="AG7" s="9" t="s">
        <v>2091</v>
      </c>
      <c r="AH7" s="8">
        <v>11.0</v>
      </c>
      <c r="AI7" s="9" t="s">
        <v>933</v>
      </c>
      <c r="AJ7" s="9" t="s">
        <v>846</v>
      </c>
      <c r="AK7" s="8">
        <v>49.0</v>
      </c>
      <c r="AL7" s="9" t="s">
        <v>847</v>
      </c>
      <c r="AM7" s="9" t="s">
        <v>848</v>
      </c>
      <c r="AN7" s="9" t="s">
        <v>986</v>
      </c>
      <c r="AO7" s="9" t="s">
        <v>851</v>
      </c>
      <c r="AP7" s="8">
        <v>1.0</v>
      </c>
      <c r="AQ7" s="8">
        <v>1.0</v>
      </c>
      <c r="AR7" s="8">
        <v>0.0</v>
      </c>
      <c r="AS7" s="8">
        <v>0.0</v>
      </c>
      <c r="AT7" s="8">
        <v>0.0</v>
      </c>
      <c r="AU7" s="8">
        <v>0.0</v>
      </c>
      <c r="AV7" s="8">
        <v>0.0</v>
      </c>
      <c r="AW7" s="8">
        <v>0.0</v>
      </c>
      <c r="AX7" s="9"/>
      <c r="AY7" s="9" t="s">
        <v>969</v>
      </c>
      <c r="AZ7" s="8">
        <v>0.0</v>
      </c>
      <c r="BA7" s="8">
        <v>0.0</v>
      </c>
      <c r="BB7" s="8">
        <v>0.0</v>
      </c>
      <c r="BC7" s="8">
        <v>0.0</v>
      </c>
      <c r="BD7" s="8">
        <v>0.0</v>
      </c>
      <c r="BE7" s="8">
        <v>0.0</v>
      </c>
      <c r="BF7" s="8">
        <v>1.0</v>
      </c>
      <c r="BG7" s="8">
        <v>0.0</v>
      </c>
      <c r="BH7" s="31" t="s">
        <v>2092</v>
      </c>
      <c r="BI7" s="9" t="s">
        <v>936</v>
      </c>
      <c r="BJ7" s="8">
        <v>1.0</v>
      </c>
      <c r="BK7" s="8">
        <v>1.0</v>
      </c>
      <c r="BL7" s="8">
        <v>3.0</v>
      </c>
      <c r="BM7" s="8">
        <v>1.0</v>
      </c>
      <c r="BN7" s="9" t="s">
        <v>853</v>
      </c>
      <c r="BO7" s="9" t="s">
        <v>854</v>
      </c>
      <c r="BP7" s="8">
        <v>1.0</v>
      </c>
      <c r="BQ7" s="8">
        <v>0.0</v>
      </c>
      <c r="BR7" s="8">
        <v>0.0</v>
      </c>
      <c r="BS7" s="8">
        <v>0.0</v>
      </c>
      <c r="BT7" s="8">
        <v>0.0</v>
      </c>
      <c r="BU7" s="9"/>
      <c r="BV7" s="9" t="s">
        <v>855</v>
      </c>
      <c r="BW7" s="8">
        <v>0.0</v>
      </c>
      <c r="BX7" s="8">
        <v>0.0</v>
      </c>
      <c r="BY7" s="8">
        <v>1.0</v>
      </c>
      <c r="BZ7" s="8">
        <v>0.0</v>
      </c>
      <c r="CA7" s="8">
        <v>0.0</v>
      </c>
      <c r="CB7" s="9"/>
      <c r="CC7" s="9" t="s">
        <v>1929</v>
      </c>
      <c r="CD7" s="8">
        <v>0.0</v>
      </c>
      <c r="CE7" s="8">
        <v>0.0</v>
      </c>
      <c r="CF7" s="8">
        <v>0.0</v>
      </c>
      <c r="CG7" s="8">
        <v>0.0</v>
      </c>
      <c r="CH7" s="8">
        <v>1.0</v>
      </c>
      <c r="CI7" s="8">
        <v>0.0</v>
      </c>
      <c r="CJ7" s="8">
        <v>0.0</v>
      </c>
      <c r="CK7" s="9"/>
      <c r="CL7" s="9" t="s">
        <v>857</v>
      </c>
      <c r="CM7" s="8">
        <v>2015.0</v>
      </c>
      <c r="CN7" s="9" t="s">
        <v>858</v>
      </c>
      <c r="CO7" s="9" t="s">
        <v>2093</v>
      </c>
      <c r="CP7" s="9" t="s">
        <v>860</v>
      </c>
      <c r="CQ7" s="8">
        <v>0.0</v>
      </c>
      <c r="CR7" s="8">
        <v>0.0</v>
      </c>
      <c r="CS7" s="8">
        <v>0.0</v>
      </c>
      <c r="CT7" s="8">
        <v>0.0</v>
      </c>
      <c r="CU7" s="8">
        <v>1.0</v>
      </c>
      <c r="CV7" s="8">
        <v>0.0</v>
      </c>
      <c r="CW7" s="8">
        <v>0.0</v>
      </c>
      <c r="CX7" s="8">
        <v>0.0</v>
      </c>
      <c r="CY7" s="9" t="s">
        <v>2094</v>
      </c>
      <c r="CZ7" s="8">
        <v>0.0</v>
      </c>
      <c r="DA7" s="8">
        <v>1.0</v>
      </c>
      <c r="DB7" s="8">
        <v>0.0</v>
      </c>
      <c r="DC7" s="9"/>
      <c r="DD7" s="9" t="s">
        <v>860</v>
      </c>
      <c r="DE7" s="8">
        <v>1.0</v>
      </c>
      <c r="DF7" s="8">
        <v>0.0</v>
      </c>
      <c r="DG7" s="8">
        <v>0.0</v>
      </c>
      <c r="DH7" s="8">
        <v>0.0</v>
      </c>
      <c r="DI7" s="9"/>
      <c r="DJ7" s="9" t="s">
        <v>861</v>
      </c>
      <c r="DK7" s="8">
        <v>0.0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1403</v>
      </c>
      <c r="EQ7" s="9" t="s">
        <v>864</v>
      </c>
      <c r="ER7" s="9" t="s">
        <v>1381</v>
      </c>
      <c r="ES7" s="8">
        <v>0.0</v>
      </c>
      <c r="ET7" s="8">
        <v>1.0</v>
      </c>
      <c r="EU7" s="8">
        <v>0.0</v>
      </c>
      <c r="EV7" s="8">
        <v>0.0</v>
      </c>
      <c r="EW7" s="9"/>
      <c r="EX7" s="9" t="s">
        <v>865</v>
      </c>
      <c r="EY7" s="8">
        <v>1.0</v>
      </c>
      <c r="EZ7" s="8">
        <v>0.0</v>
      </c>
      <c r="FA7" s="8">
        <v>0.0</v>
      </c>
      <c r="FB7" s="9"/>
      <c r="FC7" s="9" t="s">
        <v>1072</v>
      </c>
      <c r="FD7" s="9"/>
      <c r="FE7" s="9" t="s">
        <v>867</v>
      </c>
      <c r="FF7" s="9" t="s">
        <v>868</v>
      </c>
      <c r="FG7" s="9" t="s">
        <v>867</v>
      </c>
      <c r="FH7" s="9" t="s">
        <v>870</v>
      </c>
      <c r="FI7" s="9" t="s">
        <v>867</v>
      </c>
      <c r="FJ7" s="9" t="s">
        <v>868</v>
      </c>
      <c r="FK7" s="9" t="s">
        <v>867</v>
      </c>
      <c r="FL7" s="9" t="s">
        <v>870</v>
      </c>
      <c r="FM7" s="9" t="s">
        <v>867</v>
      </c>
      <c r="FN7" s="9" t="s">
        <v>868</v>
      </c>
      <c r="FO7" s="9" t="s">
        <v>867</v>
      </c>
      <c r="FP7" s="9" t="s">
        <v>870</v>
      </c>
      <c r="FQ7" s="9" t="s">
        <v>867</v>
      </c>
      <c r="FR7" s="9" t="s">
        <v>857</v>
      </c>
      <c r="FS7" s="9" t="s">
        <v>867</v>
      </c>
      <c r="FT7" s="9" t="s">
        <v>871</v>
      </c>
      <c r="FU7" s="9" t="s">
        <v>989</v>
      </c>
      <c r="FV7" s="8">
        <v>1.0</v>
      </c>
      <c r="FW7" s="8">
        <v>1.0</v>
      </c>
      <c r="FX7" s="8">
        <v>0.0</v>
      </c>
      <c r="FY7" s="8">
        <v>0.0</v>
      </c>
      <c r="FZ7" s="9" t="s">
        <v>1197</v>
      </c>
      <c r="GA7" s="9" t="s">
        <v>1264</v>
      </c>
      <c r="GB7" s="8">
        <v>0.0</v>
      </c>
      <c r="GC7" s="8">
        <v>0.0</v>
      </c>
      <c r="GD7" s="8">
        <v>1.0</v>
      </c>
      <c r="GE7" s="8">
        <v>0.0</v>
      </c>
      <c r="GF7" s="9"/>
      <c r="GG7" s="9" t="s">
        <v>1232</v>
      </c>
      <c r="GH7" s="9" t="s">
        <v>857</v>
      </c>
      <c r="GI7" s="9" t="s">
        <v>1930</v>
      </c>
      <c r="GJ7" s="8">
        <v>1.0</v>
      </c>
      <c r="GK7" s="8">
        <v>1.0</v>
      </c>
      <c r="GL7" s="8">
        <v>1.0</v>
      </c>
      <c r="GM7" s="8">
        <v>0.0</v>
      </c>
      <c r="GN7" s="9"/>
      <c r="GO7" s="8">
        <v>9.0</v>
      </c>
      <c r="GP7" s="9" t="s">
        <v>1931</v>
      </c>
      <c r="GQ7" s="9" t="s">
        <v>1102</v>
      </c>
      <c r="GR7" s="8">
        <v>1.0</v>
      </c>
      <c r="GS7" s="8">
        <v>0.0</v>
      </c>
      <c r="GT7" s="8">
        <v>0.0</v>
      </c>
      <c r="GU7" s="8">
        <v>0.0</v>
      </c>
      <c r="GV7" s="8">
        <v>0.0</v>
      </c>
      <c r="GW7" s="8">
        <v>0.0</v>
      </c>
      <c r="GX7" s="8">
        <v>0.0</v>
      </c>
      <c r="GY7" s="9"/>
      <c r="GZ7" s="9" t="s">
        <v>857</v>
      </c>
      <c r="HA7" s="9"/>
      <c r="HB7" s="9"/>
      <c r="HC7" s="9"/>
      <c r="HD7" s="9"/>
      <c r="HE7" s="8">
        <v>9.0</v>
      </c>
      <c r="HF7" s="8">
        <v>36000.0</v>
      </c>
      <c r="HG7" s="8">
        <v>3.0</v>
      </c>
      <c r="HH7" s="8">
        <v>23000.0</v>
      </c>
      <c r="HI7" s="9"/>
      <c r="HJ7" s="9"/>
      <c r="HK7" s="9"/>
      <c r="HL7" s="9"/>
      <c r="HM7" s="9"/>
      <c r="HN7" s="9"/>
      <c r="HO7" s="9"/>
      <c r="HP7" s="9"/>
      <c r="HQ7" s="9"/>
      <c r="HR7" s="9"/>
      <c r="HS7" s="9"/>
      <c r="HT7" s="9"/>
      <c r="HU7" s="9"/>
      <c r="HV7" s="9"/>
      <c r="HW7" s="9"/>
      <c r="HX7" s="9"/>
      <c r="HY7" s="9"/>
      <c r="HZ7" s="9"/>
      <c r="IA7" s="8">
        <v>6.0</v>
      </c>
      <c r="IB7" s="8">
        <v>13000.0</v>
      </c>
      <c r="IC7" s="9"/>
      <c r="ID7" s="9"/>
      <c r="IE7" s="9"/>
      <c r="IF7" s="9"/>
      <c r="IG7" s="9"/>
      <c r="IH7" s="9"/>
      <c r="II7" s="9"/>
      <c r="IJ7" s="9"/>
      <c r="IK7" s="9" t="s">
        <v>2095</v>
      </c>
      <c r="IL7" s="9" t="s">
        <v>880</v>
      </c>
      <c r="IM7" s="9" t="s">
        <v>857</v>
      </c>
      <c r="IN7" s="9" t="s">
        <v>881</v>
      </c>
      <c r="IO7" s="9" t="s">
        <v>945</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1180</v>
      </c>
      <c r="KT7" s="9" t="s">
        <v>886</v>
      </c>
      <c r="KU7" s="9" t="s">
        <v>886</v>
      </c>
      <c r="KV7" s="9" t="s">
        <v>2096</v>
      </c>
      <c r="KW7" s="8">
        <v>0.0</v>
      </c>
      <c r="KX7" s="8">
        <v>1.0</v>
      </c>
      <c r="KY7" s="8">
        <v>1.0</v>
      </c>
      <c r="KZ7" s="8">
        <v>0.0</v>
      </c>
      <c r="LA7" s="9" t="s">
        <v>1180</v>
      </c>
      <c r="LB7" s="9" t="s">
        <v>1180</v>
      </c>
      <c r="LC7" s="8">
        <v>5.0</v>
      </c>
      <c r="LD7" s="8">
        <v>3.0</v>
      </c>
      <c r="LE7" s="8">
        <v>0.0</v>
      </c>
      <c r="LF7" s="9"/>
      <c r="LG7" s="9" t="s">
        <v>857</v>
      </c>
      <c r="LH7" s="8">
        <v>500000.0</v>
      </c>
      <c r="LI7" s="9"/>
      <c r="LJ7" s="9" t="s">
        <v>887</v>
      </c>
      <c r="LK7" s="8">
        <v>0.0</v>
      </c>
      <c r="LL7" s="8">
        <v>0.0</v>
      </c>
      <c r="LM7" s="8">
        <v>0.0</v>
      </c>
      <c r="LN7" s="8">
        <v>0.0</v>
      </c>
      <c r="LO7" s="8">
        <v>1.0</v>
      </c>
      <c r="LP7" s="8">
        <v>0.0</v>
      </c>
      <c r="LQ7" s="8">
        <v>0.0</v>
      </c>
      <c r="LR7" s="11"/>
      <c r="LS7" s="8">
        <v>10.0</v>
      </c>
      <c r="LT7" s="8">
        <v>10.0</v>
      </c>
      <c r="LU7" s="8">
        <v>10.0</v>
      </c>
      <c r="LV7" s="8">
        <v>10.0</v>
      </c>
      <c r="LW7" s="8">
        <v>10.0</v>
      </c>
      <c r="LX7" s="8">
        <v>0.0</v>
      </c>
      <c r="LY7" s="8">
        <v>10.0</v>
      </c>
      <c r="LZ7" s="8">
        <v>10.0</v>
      </c>
      <c r="MA7" s="8">
        <v>0.0</v>
      </c>
      <c r="MB7" s="9" t="s">
        <v>857</v>
      </c>
      <c r="MC7" s="8">
        <v>0.0</v>
      </c>
      <c r="MD7" s="8">
        <v>0.0</v>
      </c>
      <c r="ME7" s="8">
        <v>0.0</v>
      </c>
      <c r="MF7" s="8">
        <v>0.0</v>
      </c>
      <c r="MG7" s="8">
        <v>0.0</v>
      </c>
      <c r="MH7" s="8">
        <v>0.0</v>
      </c>
      <c r="MI7" s="9" t="s">
        <v>2097</v>
      </c>
      <c r="MJ7" s="8">
        <v>0.0</v>
      </c>
      <c r="MK7" s="8">
        <v>1.0</v>
      </c>
      <c r="ML7" s="8">
        <v>0.0</v>
      </c>
      <c r="MM7" s="8">
        <v>0.0</v>
      </c>
      <c r="MN7" s="8">
        <v>0.0</v>
      </c>
      <c r="MO7" s="8">
        <v>0.0</v>
      </c>
      <c r="MP7" s="9"/>
      <c r="MQ7" s="9"/>
      <c r="MR7" s="36" t="s">
        <v>2098</v>
      </c>
      <c r="MS7" s="17" t="s">
        <v>2099</v>
      </c>
      <c r="MT7" s="9"/>
      <c r="MU7" s="9" t="s">
        <v>1030</v>
      </c>
      <c r="MV7" s="9" t="s">
        <v>949</v>
      </c>
      <c r="MW7" s="8">
        <v>1.0</v>
      </c>
      <c r="MX7" s="8">
        <v>0.0</v>
      </c>
      <c r="MY7" s="8">
        <v>0.0</v>
      </c>
      <c r="MZ7" s="8">
        <v>0.0</v>
      </c>
      <c r="NA7" s="9"/>
      <c r="NB7" s="9"/>
      <c r="NC7" s="9"/>
      <c r="ND7" s="9"/>
      <c r="NE7" s="9"/>
      <c r="NF7" s="9"/>
      <c r="NG7" s="9"/>
      <c r="NH7" s="9"/>
      <c r="NI7" s="9"/>
      <c r="NJ7" s="9"/>
      <c r="NK7" s="9"/>
      <c r="NL7" s="9" t="s">
        <v>881</v>
      </c>
      <c r="NM7" s="9" t="s">
        <v>1386</v>
      </c>
      <c r="NN7" s="17" t="s">
        <v>1975</v>
      </c>
      <c r="NO7" s="17" t="s">
        <v>994</v>
      </c>
      <c r="NP7" s="9"/>
      <c r="NQ7" s="9"/>
      <c r="NR7" s="9"/>
      <c r="NS7" s="9"/>
      <c r="NT7" s="9"/>
      <c r="NU7" s="9"/>
      <c r="NV7" s="9"/>
      <c r="NW7" s="9"/>
      <c r="NX7" s="9" t="s">
        <v>897</v>
      </c>
      <c r="NY7" s="8">
        <v>240.0</v>
      </c>
      <c r="NZ7" s="8">
        <v>0.0</v>
      </c>
      <c r="OA7" s="8">
        <v>0.0</v>
      </c>
      <c r="OB7" s="8">
        <v>10.0</v>
      </c>
      <c r="OC7" s="8">
        <v>10.0</v>
      </c>
      <c r="OD7" s="8">
        <v>0.0</v>
      </c>
      <c r="OE7" s="9" t="s">
        <v>898</v>
      </c>
      <c r="OF7" s="9" t="s">
        <v>1184</v>
      </c>
      <c r="OG7" s="9" t="s">
        <v>857</v>
      </c>
      <c r="OH7" s="8">
        <v>9.0</v>
      </c>
      <c r="OI7" s="8">
        <v>0.0</v>
      </c>
      <c r="OJ7" s="8">
        <v>0.0</v>
      </c>
      <c r="OK7" s="8">
        <v>0.0</v>
      </c>
      <c r="OL7" s="8">
        <v>0.0</v>
      </c>
      <c r="OM7" s="8">
        <v>0.0</v>
      </c>
      <c r="ON7" s="8">
        <v>20.0</v>
      </c>
      <c r="OO7" s="8">
        <v>1.0</v>
      </c>
      <c r="OP7" s="9" t="str">
        <f>VLOOKUP(AG7,'BUS 2'!$G$1:$CU$424,2,0)</f>
        <v>Sapi pedaging Ayam</v>
      </c>
      <c r="OQ7" s="8">
        <f>VLOOKUP(AG7,'BUS 2'!$G$1:$CU$424,3,0)</f>
        <v>1</v>
      </c>
      <c r="OR7" s="8">
        <f>VLOOKUP(AG7,'BUS 2'!$G$1:$CU$424,4,0)</f>
        <v>0</v>
      </c>
      <c r="OS7" s="8">
        <f>VLOOKUP(AG7,'BUS 2'!$G$1:$CU$424,5,0)</f>
        <v>0</v>
      </c>
      <c r="OT7" s="8">
        <f>VLOOKUP(AG7,'BUS 2'!$G$1:$CU$424,6,0)</f>
        <v>0</v>
      </c>
      <c r="OU7" s="8">
        <f>VLOOKUP(AG7,'BUS 2'!$G$1:$CU$424,7,0)</f>
        <v>0</v>
      </c>
      <c r="OV7" s="8">
        <f>VLOOKUP(AG7,'BUS 2'!$G$1:$CU$424,8,0)</f>
        <v>0</v>
      </c>
      <c r="OW7" s="8">
        <f>VLOOKUP(AG7,'BUS 2'!$G$1:$CU$424,9,0)</f>
        <v>1</v>
      </c>
      <c r="OX7" s="8">
        <f>VLOOKUP(AG7,'BUS 2'!$G$1:$CU$424,10,0)</f>
        <v>0</v>
      </c>
      <c r="OY7" s="8">
        <f>VLOOKUP(AG7,'BUS 2'!$G$1:$CU$424,11,0)</f>
        <v>0</v>
      </c>
      <c r="OZ7" s="8" t="str">
        <f>VLOOKUP(AG7,'BUS 2'!$G$1:$CU$424,12,0)</f>
        <v>Sapi pedaging Ayam</v>
      </c>
      <c r="PA7" s="8">
        <f>VLOOKUP(AG7,'BUS 2'!$G$1:$CU$424,13,0)</f>
        <v>1</v>
      </c>
      <c r="PB7" s="8">
        <f>VLOOKUP(AG7,'BUS 2'!$G$1:$CU$424,14,0)</f>
        <v>0</v>
      </c>
      <c r="PC7" s="8">
        <f>VLOOKUP(AG7,'BUS 2'!$G$1:$CU$424,15,0)</f>
        <v>0</v>
      </c>
      <c r="PD7" s="8">
        <f>VLOOKUP(AG7,'BUS 2'!$G$1:$CU$424,16,0)</f>
        <v>0</v>
      </c>
      <c r="PE7" s="8">
        <f>VLOOKUP(AG7,'BUS 2'!$G$1:$CU$424,17,0)</f>
        <v>0</v>
      </c>
      <c r="PF7" s="8">
        <f>VLOOKUP(AG7,'BUS 2'!$G$1:$CU$424,18,0)</f>
        <v>0</v>
      </c>
      <c r="PG7" s="8">
        <f>VLOOKUP(AG7,'BUS 2'!$G$1:$CU$424,19,0)</f>
        <v>1</v>
      </c>
      <c r="PH7" s="8">
        <f>VLOOKUP(AG7,'BUS 2'!$G$1:$CU$424,20,0)</f>
        <v>0</v>
      </c>
      <c r="PI7" s="8">
        <f>VLOOKUP(AG7,'BUS 2'!$G$1:$CU$424,21,0)</f>
        <v>0</v>
      </c>
      <c r="PJ7" s="8" t="str">
        <f>VLOOKUP(AG7,'BUS 2'!$G$1:$CU$424,22,0)</f>
        <v>Sapi pedaging Ayam</v>
      </c>
      <c r="PK7" s="8">
        <f>VLOOKUP(AG7,'BUS 2'!$G$1:$CU$424,23,0)</f>
        <v>1</v>
      </c>
      <c r="PL7" s="8">
        <f>VLOOKUP(AG7,'BUS 2'!$G$1:$CU$424,24,0)</f>
        <v>0</v>
      </c>
      <c r="PM7" s="8">
        <f>VLOOKUP(AG7,'BUS 2'!$G$1:$CU$424,25,0)</f>
        <v>0</v>
      </c>
      <c r="PN7" s="8">
        <f>VLOOKUP(AG7,'BUS 2'!$G$1:$CU$424,26,0)</f>
        <v>0</v>
      </c>
      <c r="PO7" s="8">
        <f>VLOOKUP(AG7,'BUS 2'!$G$1:$CU$424,27,0)</f>
        <v>0</v>
      </c>
      <c r="PP7" s="8">
        <f>VLOOKUP(AG7,'BUS 2'!$G$1:$CU$424,28,0)</f>
        <v>0</v>
      </c>
      <c r="PQ7" s="8">
        <f>VLOOKUP(AG7,'BUS 2'!$G$1:$CU$424,29,0)</f>
        <v>1</v>
      </c>
      <c r="PR7" s="8">
        <f>VLOOKUP(AG7,'BUS 2'!$G$1:$CU$424,30,0)</f>
        <v>0</v>
      </c>
      <c r="PS7" s="8">
        <f>VLOOKUP(AG7,'BUS 2'!$G$1:$CU$424,31,0)</f>
        <v>0</v>
      </c>
      <c r="PT7" s="9" t="s">
        <v>900</v>
      </c>
      <c r="PU7" s="8">
        <v>0.0</v>
      </c>
      <c r="PV7" s="8">
        <v>0.0</v>
      </c>
      <c r="PW7" s="8">
        <v>0.0</v>
      </c>
      <c r="PX7" s="8">
        <v>0.0</v>
      </c>
      <c r="PY7" s="8">
        <v>0.0</v>
      </c>
      <c r="PZ7" s="8">
        <v>1.0</v>
      </c>
      <c r="QA7" s="8">
        <v>0.0</v>
      </c>
      <c r="QB7" s="8">
        <v>0.0</v>
      </c>
      <c r="QC7" s="8">
        <v>0.0</v>
      </c>
      <c r="QD7" s="9"/>
      <c r="QE7" s="32"/>
      <c r="QF7" s="31"/>
      <c r="QG7" s="31"/>
      <c r="QH7" s="31"/>
      <c r="QI7" s="31"/>
      <c r="QJ7" s="31"/>
      <c r="QK7" s="32"/>
      <c r="QL7" s="32"/>
      <c r="QM7" s="32"/>
      <c r="QN7" s="32"/>
      <c r="QO7" s="32"/>
      <c r="QP7" s="32"/>
      <c r="QQ7" s="32"/>
      <c r="QR7" s="32"/>
      <c r="QS7" s="32"/>
      <c r="QT7" s="32"/>
      <c r="QU7" s="32"/>
      <c r="QV7" s="32"/>
      <c r="QW7" s="31"/>
      <c r="QX7" s="31"/>
      <c r="QY7" s="31"/>
      <c r="QZ7" s="31"/>
      <c r="RA7" s="31"/>
      <c r="RB7" s="32"/>
      <c r="RC7" s="32"/>
      <c r="RD7" s="32"/>
      <c r="RE7" s="32"/>
      <c r="RF7" s="32"/>
      <c r="RG7" s="9"/>
      <c r="RH7" s="31"/>
      <c r="RI7" s="31"/>
      <c r="RJ7" s="31"/>
      <c r="RK7" s="31"/>
      <c r="RL7" s="31"/>
      <c r="RM7" s="9"/>
      <c r="RN7" s="9"/>
      <c r="RO7" s="9"/>
      <c r="RP7" s="9"/>
      <c r="RQ7" s="9"/>
      <c r="RR7" s="9"/>
      <c r="RS7" s="31"/>
      <c r="RT7" s="31"/>
      <c r="RU7" s="31"/>
      <c r="RV7" s="31"/>
      <c r="RW7" s="31"/>
      <c r="RX7" s="9"/>
      <c r="RY7" s="9"/>
      <c r="RZ7" s="9"/>
      <c r="SA7" s="9"/>
      <c r="SB7" s="9"/>
      <c r="SC7" s="9" t="s">
        <v>900</v>
      </c>
      <c r="SD7" s="35">
        <v>0.0</v>
      </c>
      <c r="SE7" s="35">
        <v>0.0</v>
      </c>
      <c r="SF7" s="35">
        <v>0.0</v>
      </c>
      <c r="SG7" s="35">
        <v>0.0</v>
      </c>
      <c r="SH7" s="35">
        <v>0.0</v>
      </c>
      <c r="SI7" s="8">
        <v>1.0</v>
      </c>
      <c r="SJ7" s="8">
        <v>0.0</v>
      </c>
      <c r="SK7" s="8">
        <v>0.0</v>
      </c>
      <c r="SL7" s="8">
        <v>0.0</v>
      </c>
      <c r="SM7" s="9"/>
      <c r="SN7" s="9"/>
      <c r="SO7" s="31"/>
      <c r="SP7" s="31"/>
      <c r="SQ7" s="31"/>
      <c r="SR7" s="31"/>
      <c r="SS7" s="31"/>
      <c r="ST7" s="9"/>
      <c r="SU7" s="9"/>
      <c r="SV7" s="9"/>
      <c r="SW7" s="9"/>
      <c r="SX7" s="9"/>
      <c r="SY7" s="8">
        <f>VLOOKUP(AG7,'BUS 2'!$G$1:$CU$424,33,0)</f>
        <v>4</v>
      </c>
      <c r="SZ7" s="9" t="str">
        <f>VLOOKUP(AG7,'BUS 2'!$G$1:$CU$424,34,0)</f>
        <v/>
      </c>
      <c r="TA7" s="9" t="str">
        <f>VLOOKUP(AG7,'BUS 2'!$G$1:$CU$424,35,0)</f>
        <v/>
      </c>
      <c r="TB7" s="9" t="str">
        <f>VLOOKUP(AG7,'BUS 2'!$G$1:$CU$424,36,0)</f>
        <v/>
      </c>
      <c r="TC7" s="9" t="str">
        <f>VLOOKUP(AG7,'BUS 2'!$G$1:$CU$424,37,0)</f>
        <v/>
      </c>
      <c r="TD7" s="9" t="str">
        <f>VLOOKUP(AG7,'BUS 2'!$G$1:$CU$424,38,0)</f>
        <v/>
      </c>
      <c r="TE7" s="9">
        <f>VLOOKUP(AG7,'BUS 2'!$G$1:$CU$424,39,0)</f>
        <v>3</v>
      </c>
      <c r="TF7" s="9" t="str">
        <f>VLOOKUP(AG7,'BUS 2'!$G$1:$CU$424,40,0)</f>
        <v/>
      </c>
      <c r="TG7" s="8">
        <f>VLOOKUP(AG7,'BUS 2'!$G$1:$CU$424,42,0)</f>
        <v>9</v>
      </c>
      <c r="TH7" s="8" t="str">
        <f>VLOOKUP(AG7,'BUS 2'!$G$1:$CU$424,43,0)</f>
        <v/>
      </c>
      <c r="TI7" s="8" t="str">
        <f>VLOOKUP(AG7,'BUS 2'!$G$1:$CU$424,44,0)</f>
        <v/>
      </c>
      <c r="TJ7" s="8" t="str">
        <f>VLOOKUP(AG7,'BUS 2'!$G$1:$CU$424,45,0)</f>
        <v/>
      </c>
      <c r="TK7" s="8" t="str">
        <f>VLOOKUP(AG7,'BUS 2'!$G$1:$CU$424,46,0)</f>
        <v/>
      </c>
      <c r="TL7" s="8" t="str">
        <f>VLOOKUP(AG7,'BUS 2'!$G$1:$CU$424,47,0)</f>
        <v/>
      </c>
      <c r="TM7" s="8">
        <f>VLOOKUP(AG7,'BUS 2'!$G$1:$CU$424,48,0)</f>
        <v>20</v>
      </c>
      <c r="TN7" s="8" t="str">
        <f>VLOOKUP(AG7,'BUS 2'!$G$1:$CU$424,49,0)</f>
        <v/>
      </c>
      <c r="TO7" s="8">
        <f>VLOOKUP(AG7,'BUS 2'!$G$1:$CU$424,50,0)</f>
        <v>9</v>
      </c>
      <c r="TP7" s="8">
        <f>VLOOKUP(AG7,'BUS 2'!$G$1:$CU$424,51,0)</f>
        <v>0</v>
      </c>
      <c r="TQ7" s="8">
        <f>VLOOKUP(AG7,'BUS 2'!$G$1:$CU$424,52,0)</f>
        <v>0</v>
      </c>
      <c r="TR7" s="8">
        <f>VLOOKUP(AG7,'BUS 2'!$G$1:$CU$424,53,0)</f>
        <v>0</v>
      </c>
      <c r="TS7" s="9" t="str">
        <f>VLOOKUP(AG7,'BUS 2'!$G$1:$CU$424,54,0)</f>
        <v/>
      </c>
      <c r="TT7" s="9" t="str">
        <f>VLOOKUP(AG7,'BUS 2'!$G$1:$CU$424,55,0)</f>
        <v/>
      </c>
      <c r="TU7" s="9" t="str">
        <f>VLOOKUP(AG7,'BUS 2'!$G$1:$CU$424,56,0)</f>
        <v/>
      </c>
      <c r="TV7" s="9" t="str">
        <f>VLOOKUP(AG7,'BUS 2'!$G$1:$CU$424,57,0)</f>
        <v/>
      </c>
      <c r="TW7" s="9" t="str">
        <f>VLOOKUP(AG7,'BUS 2'!$G$1:$CU$424,58,0)</f>
        <v/>
      </c>
      <c r="TX7" s="9" t="str">
        <f>VLOOKUP(AG7,'BUS 2'!$G$1:$CU$424,59,0)</f>
        <v/>
      </c>
      <c r="TY7" s="9" t="str">
        <f>VLOOKUP(AG7,'BUS 2'!$G$1:$CU$424,60,0)</f>
        <v/>
      </c>
      <c r="TZ7" s="9" t="str">
        <f>VLOOKUP(AG7,'BUS 2'!$G$1:$CU$424,61,0)</f>
        <v/>
      </c>
      <c r="UA7" s="9" t="str">
        <f>VLOOKUP(AG7,'BUS 2'!$G$1:$CU$424,62,0)</f>
        <v/>
      </c>
      <c r="UB7" s="9" t="str">
        <f>VLOOKUP(AG7,'BUS 2'!$G$1:$CU$424,63,0)</f>
        <v/>
      </c>
      <c r="UC7" s="9" t="str">
        <f>VLOOKUP(AG7,'BUS 2'!$G$1:$CU$424,64,0)</f>
        <v/>
      </c>
      <c r="UD7" s="9" t="str">
        <f>VLOOKUP(AG7,'BUS 2'!$G$1:$CU$424,65,0)</f>
        <v/>
      </c>
      <c r="UE7" s="9" t="str">
        <f>VLOOKUP(AG7,'BUS 2'!$G$1:$CU$424,66,0)</f>
        <v/>
      </c>
      <c r="UF7" s="9" t="str">
        <f>VLOOKUP(AG7,'BUS 2'!$G$1:$CU$424,67,0)</f>
        <v/>
      </c>
      <c r="UG7" s="9" t="str">
        <f>VLOOKUP(AG7,'BUS 2'!$G$1:$CU$424,68,0)</f>
        <v/>
      </c>
      <c r="UH7" s="9" t="str">
        <f>VLOOKUP(AG7,'BUS 2'!$G$1:$CU$424,69,0)</f>
        <v/>
      </c>
      <c r="UI7" s="9" t="str">
        <f>VLOOKUP(AG7,'BUS 2'!$G$1:$CU$424,70,0)</f>
        <v/>
      </c>
      <c r="UJ7" s="9" t="str">
        <f>VLOOKUP(AG7,'BUS 2'!$G$1:$CU$424,71,0)</f>
        <v/>
      </c>
      <c r="UK7" s="9" t="str">
        <f>VLOOKUP(AG7,'BUS 2'!$G$1:$CU$424,72,0)</f>
        <v/>
      </c>
      <c r="UL7" s="9" t="str">
        <f>VLOOKUP(AG7,'BUS 2'!$G$1:$CU$424,73,0)</f>
        <v/>
      </c>
      <c r="UM7" s="9">
        <f>VLOOKUP(AG7,'BUS 2'!$G$1:$CU$424,74,0)</f>
        <v>0</v>
      </c>
      <c r="UN7" s="9">
        <f>VLOOKUP(AG7,'BUS 2'!$G$1:$CU$424,75,0)</f>
        <v>0</v>
      </c>
      <c r="UO7" s="9">
        <f>VLOOKUP(AG7,'BUS 2'!$G$1:$CU$424,76,0)</f>
        <v>0</v>
      </c>
      <c r="UP7" s="9">
        <f>VLOOKUP(AG7,'BUS 2'!$G$1:$CU$424,77,0)</f>
        <v>0</v>
      </c>
      <c r="UQ7" s="9" t="str">
        <f>VLOOKUP(AG7,'BUS 2'!$G$1:$CU$424,78,0)</f>
        <v/>
      </c>
      <c r="UR7" s="9" t="str">
        <f>VLOOKUP(AG7,'BUS 2'!$G$1:$CU$424,79,0)</f>
        <v/>
      </c>
      <c r="US7" s="9" t="str">
        <f>VLOOKUP(AG7,'BUS 2'!$G$1:$CU$424,80,0)</f>
        <v/>
      </c>
      <c r="UT7" s="9" t="str">
        <f>VLOOKUP(AG7,'BUS 2'!$G$1:$CU$424,81,0)</f>
        <v/>
      </c>
      <c r="UU7" s="9" t="s">
        <v>901</v>
      </c>
      <c r="UV7" s="9"/>
      <c r="UW7" s="9"/>
      <c r="UX7" s="9"/>
      <c r="UY7" s="9"/>
      <c r="UZ7" s="9"/>
      <c r="VA7" s="9" t="s">
        <v>1937</v>
      </c>
      <c r="VB7" s="9" t="s">
        <v>1937</v>
      </c>
      <c r="VC7" s="9" t="s">
        <v>2100</v>
      </c>
      <c r="VD7" s="9"/>
      <c r="VE7" s="9"/>
      <c r="VF7" s="9"/>
      <c r="VG7" s="9"/>
      <c r="VH7" s="9"/>
      <c r="VI7" s="9" t="s">
        <v>1938</v>
      </c>
      <c r="VJ7" s="9" t="s">
        <v>1938</v>
      </c>
      <c r="VK7" s="9" t="s">
        <v>1939</v>
      </c>
      <c r="VL7" s="9"/>
      <c r="VM7" s="9"/>
      <c r="VN7" s="9"/>
      <c r="VO7" s="9"/>
      <c r="VP7" s="9"/>
      <c r="VQ7" s="9" t="s">
        <v>1939</v>
      </c>
      <c r="VR7" s="9" t="s">
        <v>1939</v>
      </c>
      <c r="VS7" s="9" t="s">
        <v>1940</v>
      </c>
      <c r="VT7" s="8">
        <v>0.0</v>
      </c>
      <c r="VU7" s="8">
        <v>0.0</v>
      </c>
      <c r="VV7" s="8">
        <v>0.0</v>
      </c>
      <c r="VW7" s="8">
        <v>0.0</v>
      </c>
      <c r="VX7" s="8">
        <v>0.0</v>
      </c>
      <c r="VY7" s="8">
        <v>1.0</v>
      </c>
      <c r="VZ7" s="8">
        <v>0.0</v>
      </c>
      <c r="WA7" s="8">
        <v>0.0</v>
      </c>
      <c r="WB7" s="8">
        <v>0.0</v>
      </c>
      <c r="WC7" s="8">
        <v>0.0</v>
      </c>
      <c r="WD7" s="8">
        <v>0.0</v>
      </c>
      <c r="WE7" s="8">
        <v>0.0</v>
      </c>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t="s">
        <v>1940</v>
      </c>
      <c r="YO7" s="8">
        <v>0.0</v>
      </c>
      <c r="YP7" s="8">
        <v>0.0</v>
      </c>
      <c r="YQ7" s="8">
        <v>0.0</v>
      </c>
      <c r="YR7" s="8">
        <v>0.0</v>
      </c>
      <c r="YS7" s="8">
        <v>0.0</v>
      </c>
      <c r="YT7" s="8">
        <v>1.0</v>
      </c>
      <c r="YU7" s="8">
        <v>0.0</v>
      </c>
      <c r="YV7" s="8">
        <v>0.0</v>
      </c>
      <c r="YW7" s="8">
        <v>0.0</v>
      </c>
      <c r="YX7" s="8">
        <v>0.0</v>
      </c>
      <c r="YY7" s="8">
        <v>0.0</v>
      </c>
      <c r="YZ7" s="8">
        <v>0.0</v>
      </c>
      <c r="ZA7" s="9" t="s">
        <v>1940</v>
      </c>
      <c r="ZB7" s="8">
        <v>0.0</v>
      </c>
      <c r="ZC7" s="8">
        <v>0.0</v>
      </c>
      <c r="ZD7" s="8">
        <v>0.0</v>
      </c>
      <c r="ZE7" s="8">
        <v>0.0</v>
      </c>
      <c r="ZF7" s="8">
        <v>0.0</v>
      </c>
      <c r="ZG7" s="8">
        <v>1.0</v>
      </c>
      <c r="ZH7" s="8">
        <v>0.0</v>
      </c>
      <c r="ZI7" s="8">
        <v>0.0</v>
      </c>
      <c r="ZJ7" s="8">
        <v>0.0</v>
      </c>
      <c r="ZK7" s="8">
        <v>0.0</v>
      </c>
      <c r="ZL7" s="8">
        <v>0.0</v>
      </c>
      <c r="ZM7" s="8">
        <v>0.0</v>
      </c>
      <c r="ZN7" s="9"/>
      <c r="ZO7" s="9"/>
      <c r="ZP7" s="9"/>
      <c r="ZQ7" s="9"/>
      <c r="ZR7" s="9"/>
      <c r="ZS7" s="9"/>
      <c r="ZT7" s="9"/>
      <c r="ZU7" s="9"/>
      <c r="ZV7" s="8">
        <v>2.0</v>
      </c>
      <c r="ZW7" s="9"/>
      <c r="ZX7" s="9"/>
      <c r="ZY7" s="9"/>
      <c r="ZZ7" s="9"/>
      <c r="AAA7" s="9"/>
      <c r="AAB7" s="8">
        <v>2.0</v>
      </c>
      <c r="AAC7" s="8">
        <v>2.0</v>
      </c>
      <c r="AAD7" s="9" t="s">
        <v>1186</v>
      </c>
      <c r="AAE7" s="9"/>
      <c r="AAF7" s="9"/>
      <c r="AAG7" s="9"/>
      <c r="AAH7" s="9"/>
      <c r="AAI7" s="9"/>
      <c r="AAJ7" s="9" t="s">
        <v>905</v>
      </c>
      <c r="AAK7" s="9" t="s">
        <v>905</v>
      </c>
      <c r="AAL7" s="9" t="s">
        <v>857</v>
      </c>
      <c r="AAM7" s="9" t="s">
        <v>1033</v>
      </c>
      <c r="AAN7" s="8">
        <v>1.0</v>
      </c>
      <c r="AAO7" s="8">
        <v>1.0</v>
      </c>
      <c r="AAP7" s="8">
        <v>3.0</v>
      </c>
      <c r="AAQ7" s="8">
        <v>40.0</v>
      </c>
      <c r="AAR7" s="9" t="s">
        <v>857</v>
      </c>
      <c r="AAS7" s="9" t="s">
        <v>867</v>
      </c>
      <c r="AAT7" s="9" t="s">
        <v>2101</v>
      </c>
      <c r="AAU7" s="8">
        <v>0.0</v>
      </c>
      <c r="AAV7" s="8">
        <v>0.0</v>
      </c>
      <c r="AAW7" s="8">
        <v>0.0</v>
      </c>
      <c r="AAX7" s="8">
        <v>1.0</v>
      </c>
      <c r="AAY7" s="8">
        <v>0.0</v>
      </c>
      <c r="AAZ7" s="8">
        <v>0.0</v>
      </c>
      <c r="ABA7" s="8">
        <v>0.0</v>
      </c>
      <c r="ABB7" s="9"/>
      <c r="ABC7" s="9"/>
      <c r="ABD7" s="9"/>
      <c r="ABE7" s="9"/>
      <c r="ABF7" s="9"/>
      <c r="ABG7" s="9"/>
      <c r="ABH7" s="9"/>
      <c r="ABI7" s="9"/>
      <c r="ABJ7" s="9"/>
      <c r="ABK7" s="9"/>
      <c r="ABL7" s="9"/>
      <c r="ABM7" s="9"/>
      <c r="ABN7" s="9"/>
      <c r="ABO7" s="9"/>
      <c r="ABP7" s="9"/>
      <c r="ABQ7" s="9" t="s">
        <v>2102</v>
      </c>
      <c r="ABR7" s="9" t="s">
        <v>1075</v>
      </c>
      <c r="ABS7" s="9"/>
      <c r="ABT7" s="8">
        <v>600.0</v>
      </c>
      <c r="ABU7" s="9"/>
      <c r="ABV7" s="9"/>
      <c r="ABW7" s="9"/>
      <c r="ABX7" s="9"/>
      <c r="ABY7" s="9"/>
      <c r="ABZ7" s="9"/>
      <c r="ACA7" s="9"/>
      <c r="ACB7" s="9"/>
      <c r="ACC7" s="9"/>
      <c r="ACD7" s="9"/>
      <c r="ACE7" s="9"/>
      <c r="ACF7" s="9"/>
      <c r="ACG7" s="9"/>
      <c r="ACH7" s="9"/>
      <c r="ACI7" s="9"/>
      <c r="ACJ7" s="9"/>
      <c r="ACK7" s="9" t="s">
        <v>955</v>
      </c>
      <c r="ACL7" s="8">
        <v>0.0</v>
      </c>
      <c r="ACM7" s="8">
        <v>0.0</v>
      </c>
      <c r="ACN7" s="8">
        <v>0.0</v>
      </c>
      <c r="ACO7" s="8">
        <v>1.0</v>
      </c>
      <c r="ACP7" s="8">
        <v>0.0</v>
      </c>
      <c r="ACQ7" s="8">
        <v>0.0</v>
      </c>
      <c r="ACR7" s="8">
        <v>0.0</v>
      </c>
      <c r="ACS7" s="9"/>
      <c r="ACT7" s="9" t="s">
        <v>999</v>
      </c>
      <c r="ACU7" s="9" t="s">
        <v>1050</v>
      </c>
      <c r="ACV7" s="9" t="s">
        <v>996</v>
      </c>
      <c r="ACW7" s="9" t="s">
        <v>915</v>
      </c>
      <c r="ACX7" s="9" t="s">
        <v>1348</v>
      </c>
      <c r="ACY7" s="9" t="s">
        <v>1017</v>
      </c>
      <c r="ACZ7" s="8">
        <v>1.0</v>
      </c>
      <c r="ADA7" s="8">
        <v>1.0</v>
      </c>
      <c r="ADB7" s="8">
        <v>1.0</v>
      </c>
      <c r="ADC7" s="8">
        <v>0.0</v>
      </c>
      <c r="ADD7" s="9" t="s">
        <v>1187</v>
      </c>
      <c r="ADE7" s="9" t="s">
        <v>917</v>
      </c>
      <c r="ADF7" s="9" t="s">
        <v>917</v>
      </c>
      <c r="ADG7" s="9" t="s">
        <v>917</v>
      </c>
      <c r="ADH7" s="9" t="s">
        <v>881</v>
      </c>
      <c r="ADI7" s="9"/>
      <c r="ADJ7" s="9" t="s">
        <v>917</v>
      </c>
      <c r="ADK7" s="9"/>
      <c r="ADL7" s="9"/>
      <c r="ADM7" s="9"/>
      <c r="ADN7" s="9"/>
      <c r="ADO7" s="9"/>
      <c r="ADP7" s="9"/>
      <c r="ADQ7" s="9"/>
      <c r="ADR7" s="9"/>
      <c r="ADS7" s="9"/>
      <c r="ADT7" s="9"/>
      <c r="ADU7" s="9" t="s">
        <v>1018</v>
      </c>
      <c r="ADV7" s="8">
        <v>0.0</v>
      </c>
      <c r="ADW7" s="8">
        <v>0.0</v>
      </c>
      <c r="ADX7" s="8">
        <v>0.0</v>
      </c>
      <c r="ADY7" s="8">
        <v>0.0</v>
      </c>
      <c r="ADZ7" s="8">
        <v>1.0</v>
      </c>
      <c r="AEA7" s="8">
        <v>1.0</v>
      </c>
      <c r="AEB7" s="8">
        <v>0.0</v>
      </c>
      <c r="AEC7" s="8">
        <v>0.0</v>
      </c>
      <c r="AED7" s="9" t="s">
        <v>1945</v>
      </c>
      <c r="AEE7" s="9" t="s">
        <v>872</v>
      </c>
      <c r="AEF7" s="9"/>
      <c r="AEG7" s="9" t="s">
        <v>920</v>
      </c>
      <c r="AEH7" s="9"/>
      <c r="AEI7" s="9" t="s">
        <v>999</v>
      </c>
      <c r="AEJ7" s="9" t="s">
        <v>871</v>
      </c>
      <c r="AEK7" s="9" t="s">
        <v>2103</v>
      </c>
      <c r="AEL7" s="8">
        <v>0.0</v>
      </c>
      <c r="AEM7" s="8">
        <v>0.0</v>
      </c>
      <c r="AEN7" s="8">
        <v>0.0</v>
      </c>
      <c r="AEO7" s="8">
        <v>0.0</v>
      </c>
      <c r="AEP7" s="8">
        <v>1.0</v>
      </c>
      <c r="AEQ7" s="8">
        <v>0.0</v>
      </c>
      <c r="AER7" s="8">
        <v>1.0</v>
      </c>
      <c r="AES7" s="8">
        <v>1.0</v>
      </c>
      <c r="AET7" s="8">
        <v>0.0</v>
      </c>
      <c r="AEU7" s="8">
        <v>0.0</v>
      </c>
      <c r="AEV7" s="8">
        <v>0.0</v>
      </c>
      <c r="AEW7" s="8">
        <v>0.0</v>
      </c>
      <c r="AEX7" s="9"/>
      <c r="AEY7" s="9" t="s">
        <v>1305</v>
      </c>
      <c r="AEZ7" s="9"/>
      <c r="AFA7" s="9" t="s">
        <v>2077</v>
      </c>
      <c r="AFB7" s="9"/>
      <c r="AFC7" s="9" t="s">
        <v>2104</v>
      </c>
      <c r="AFD7" s="16" t="s">
        <v>2105</v>
      </c>
      <c r="AFE7" s="9" t="s">
        <v>2106</v>
      </c>
      <c r="AFF7" s="16" t="s">
        <v>2107</v>
      </c>
      <c r="AFG7" s="9" t="s">
        <v>1919</v>
      </c>
      <c r="AFH7" s="9"/>
      <c r="AFI7" s="21" t="s">
        <v>1945</v>
      </c>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8">
        <v>6.66776091E8</v>
      </c>
      <c r="AWB7" s="9" t="s">
        <v>2108</v>
      </c>
      <c r="AWC7" s="6">
        <v>46062.0</v>
      </c>
      <c r="AWD7" s="9"/>
      <c r="AWE7" s="9"/>
      <c r="AWF7" s="9" t="s">
        <v>1954</v>
      </c>
      <c r="AWG7" s="9"/>
      <c r="AWH7" s="9" t="s">
        <v>1989</v>
      </c>
      <c r="AWI7" s="9"/>
      <c r="AWJ7" s="9" t="s">
        <v>2109</v>
      </c>
      <c r="AWK7" s="8">
        <v>120.0</v>
      </c>
      <c r="AWL7" s="9" t="s">
        <v>2091</v>
      </c>
      <c r="AWM7" s="8">
        <v>0.0</v>
      </c>
      <c r="AWN7" s="9" t="s">
        <v>1957</v>
      </c>
      <c r="AWO7" s="33" t="b">
        <v>1</v>
      </c>
      <c r="AWP7" s="33" t="b">
        <v>1</v>
      </c>
      <c r="AWQ7" s="33" t="b">
        <v>1</v>
      </c>
      <c r="AWR7" s="33" t="b">
        <v>1</v>
      </c>
      <c r="AWS7" s="33" t="b">
        <v>1</v>
      </c>
      <c r="AWT7" s="33" t="b">
        <v>1</v>
      </c>
      <c r="AWU7" s="9"/>
      <c r="AWV7" s="8">
        <v>6.0</v>
      </c>
      <c r="AWW7" s="9"/>
      <c r="AWX7" s="9"/>
      <c r="AWY7" s="9"/>
      <c r="AWZ7" s="9"/>
    </row>
    <row r="8">
      <c r="A8" s="6">
        <v>46047.0</v>
      </c>
      <c r="B8" s="6">
        <v>46062.0</v>
      </c>
      <c r="C8" s="30" t="s">
        <v>1991</v>
      </c>
      <c r="D8" s="30" t="s">
        <v>2110</v>
      </c>
      <c r="E8" s="8">
        <f>+6287877013469</f>
        <v>6287877013469</v>
      </c>
      <c r="F8" s="9" t="s">
        <v>2111</v>
      </c>
      <c r="G8" s="8">
        <v>-5.569358</v>
      </c>
      <c r="H8" s="8">
        <v>119.449944</v>
      </c>
      <c r="I8" s="8">
        <v>82.2</v>
      </c>
      <c r="J8" s="8">
        <v>5.5</v>
      </c>
      <c r="K8" s="8">
        <v>0.0</v>
      </c>
      <c r="L8" s="9" t="s">
        <v>2112</v>
      </c>
      <c r="M8" s="8">
        <v>-5.569395</v>
      </c>
      <c r="N8" s="8">
        <v>119.450272</v>
      </c>
      <c r="O8" s="8">
        <v>81.1</v>
      </c>
      <c r="P8" s="8">
        <v>3.200000048</v>
      </c>
      <c r="Q8" s="8">
        <v>0.0</v>
      </c>
      <c r="R8" s="9" t="s">
        <v>1923</v>
      </c>
      <c r="S8" s="8">
        <v>0.0</v>
      </c>
      <c r="T8" s="8">
        <v>0.0</v>
      </c>
      <c r="U8" s="8">
        <v>0.0</v>
      </c>
      <c r="V8" s="8">
        <v>0.0</v>
      </c>
      <c r="W8" s="8">
        <v>0.0</v>
      </c>
      <c r="X8" s="8">
        <v>0.0</v>
      </c>
      <c r="Y8" s="8">
        <v>0.0</v>
      </c>
      <c r="Z8" s="8">
        <v>0.0</v>
      </c>
      <c r="AA8" s="8">
        <v>0.0</v>
      </c>
      <c r="AB8" s="8">
        <v>1.0</v>
      </c>
      <c r="AC8" s="7" t="s">
        <v>2113</v>
      </c>
      <c r="AD8" s="7" t="s">
        <v>2114</v>
      </c>
      <c r="AE8" s="7" t="s">
        <v>2115</v>
      </c>
      <c r="AF8" s="9" t="s">
        <v>2116</v>
      </c>
      <c r="AG8" s="9" t="s">
        <v>2117</v>
      </c>
      <c r="AH8" s="8">
        <v>3.0</v>
      </c>
      <c r="AI8" s="9" t="s">
        <v>845</v>
      </c>
      <c r="AJ8" s="9" t="s">
        <v>846</v>
      </c>
      <c r="AK8" s="8">
        <v>47.0</v>
      </c>
      <c r="AL8" s="9" t="s">
        <v>847</v>
      </c>
      <c r="AM8" s="9" t="s">
        <v>848</v>
      </c>
      <c r="AN8" s="9" t="s">
        <v>1967</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11"/>
      <c r="BI8" s="9" t="s">
        <v>2118</v>
      </c>
      <c r="BJ8" s="8">
        <v>1.0</v>
      </c>
      <c r="BK8" s="8">
        <v>2.0</v>
      </c>
      <c r="BL8" s="8">
        <v>0.0</v>
      </c>
      <c r="BM8" s="8">
        <v>0.0</v>
      </c>
      <c r="BN8" s="9" t="s">
        <v>853</v>
      </c>
      <c r="BO8" s="9" t="s">
        <v>1929</v>
      </c>
      <c r="BP8" s="8">
        <v>0.0</v>
      </c>
      <c r="BQ8" s="8">
        <v>0.0</v>
      </c>
      <c r="BR8" s="8">
        <v>0.0</v>
      </c>
      <c r="BS8" s="8">
        <v>1.0</v>
      </c>
      <c r="BT8" s="8">
        <v>0.0</v>
      </c>
      <c r="BU8" s="9"/>
      <c r="BV8" s="9" t="s">
        <v>2065</v>
      </c>
      <c r="BW8" s="8">
        <v>1.0</v>
      </c>
      <c r="BX8" s="8">
        <v>0.0</v>
      </c>
      <c r="BY8" s="8">
        <v>0.0</v>
      </c>
      <c r="BZ8" s="8">
        <v>0.0</v>
      </c>
      <c r="CA8" s="8">
        <v>0.0</v>
      </c>
      <c r="CB8" s="9"/>
      <c r="CC8" s="9" t="s">
        <v>1929</v>
      </c>
      <c r="CD8" s="8">
        <v>0.0</v>
      </c>
      <c r="CE8" s="8">
        <v>0.0</v>
      </c>
      <c r="CF8" s="8">
        <v>0.0</v>
      </c>
      <c r="CG8" s="8">
        <v>0.0</v>
      </c>
      <c r="CH8" s="8">
        <v>1.0</v>
      </c>
      <c r="CI8" s="8">
        <v>0.0</v>
      </c>
      <c r="CJ8" s="8">
        <v>0.0</v>
      </c>
      <c r="CK8" s="9"/>
      <c r="CL8" s="9" t="s">
        <v>857</v>
      </c>
      <c r="CM8" s="8">
        <v>2023.0</v>
      </c>
      <c r="CN8" s="9" t="s">
        <v>858</v>
      </c>
      <c r="CO8" s="9" t="s">
        <v>859</v>
      </c>
      <c r="CP8" s="9" t="s">
        <v>860</v>
      </c>
      <c r="CQ8" s="8">
        <v>0.0</v>
      </c>
      <c r="CR8" s="8">
        <v>0.0</v>
      </c>
      <c r="CS8" s="8">
        <v>0.0</v>
      </c>
      <c r="CT8" s="8">
        <v>0.0</v>
      </c>
      <c r="CU8" s="8">
        <v>1.0</v>
      </c>
      <c r="CV8" s="8">
        <v>0.0</v>
      </c>
      <c r="CW8" s="8">
        <v>0.0</v>
      </c>
      <c r="CX8" s="8">
        <v>0.0</v>
      </c>
      <c r="CY8" s="9" t="s">
        <v>1060</v>
      </c>
      <c r="CZ8" s="8">
        <v>1.0</v>
      </c>
      <c r="DA8" s="8">
        <v>1.0</v>
      </c>
      <c r="DB8" s="8">
        <v>0.0</v>
      </c>
      <c r="DC8" s="9"/>
      <c r="DD8" s="9" t="s">
        <v>937</v>
      </c>
      <c r="DE8" s="8">
        <v>1.0</v>
      </c>
      <c r="DF8" s="8">
        <v>0.0</v>
      </c>
      <c r="DG8" s="8">
        <v>1.0</v>
      </c>
      <c r="DH8" s="8">
        <v>0.0</v>
      </c>
      <c r="DI8" s="9"/>
      <c r="DJ8" s="9" t="s">
        <v>937</v>
      </c>
      <c r="DK8" s="8">
        <v>1.0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863</v>
      </c>
      <c r="EQ8" s="9" t="s">
        <v>864</v>
      </c>
      <c r="ER8" s="9" t="s">
        <v>861</v>
      </c>
      <c r="ES8" s="8">
        <v>1.0</v>
      </c>
      <c r="ET8" s="8">
        <v>0.0</v>
      </c>
      <c r="EU8" s="8">
        <v>0.0</v>
      </c>
      <c r="EV8" s="8">
        <v>0.0</v>
      </c>
      <c r="EW8" s="9"/>
      <c r="EX8" s="9" t="s">
        <v>1013</v>
      </c>
      <c r="EY8" s="8">
        <v>1.0</v>
      </c>
      <c r="EZ8" s="8">
        <v>1.0</v>
      </c>
      <c r="FA8" s="8">
        <v>0.0</v>
      </c>
      <c r="FB8" s="9"/>
      <c r="FC8" s="9" t="s">
        <v>942</v>
      </c>
      <c r="FD8" s="9"/>
      <c r="FE8" s="9" t="s">
        <v>867</v>
      </c>
      <c r="FF8" s="9" t="s">
        <v>868</v>
      </c>
      <c r="FG8" s="9" t="s">
        <v>867</v>
      </c>
      <c r="FH8" s="9" t="s">
        <v>869</v>
      </c>
      <c r="FI8" s="9" t="s">
        <v>867</v>
      </c>
      <c r="FJ8" s="9" t="s">
        <v>868</v>
      </c>
      <c r="FK8" s="9" t="s">
        <v>1971</v>
      </c>
      <c r="FL8" s="9" t="s">
        <v>870</v>
      </c>
      <c r="FM8" s="9" t="s">
        <v>867</v>
      </c>
      <c r="FN8" s="9" t="s">
        <v>869</v>
      </c>
      <c r="FO8" s="9" t="s">
        <v>1971</v>
      </c>
      <c r="FP8" s="9" t="s">
        <v>883</v>
      </c>
      <c r="FQ8" s="9" t="s">
        <v>867</v>
      </c>
      <c r="FR8" s="9" t="s">
        <v>857</v>
      </c>
      <c r="FS8" s="9" t="s">
        <v>867</v>
      </c>
      <c r="FT8" s="9" t="s">
        <v>871</v>
      </c>
      <c r="FU8" s="9" t="s">
        <v>989</v>
      </c>
      <c r="FV8" s="8">
        <v>1.0</v>
      </c>
      <c r="FW8" s="8">
        <v>1.0</v>
      </c>
      <c r="FX8" s="8">
        <v>0.0</v>
      </c>
      <c r="FY8" s="8">
        <v>0.0</v>
      </c>
      <c r="FZ8" s="9" t="s">
        <v>873</v>
      </c>
      <c r="GA8" s="9" t="s">
        <v>874</v>
      </c>
      <c r="GB8" s="8">
        <v>1.0</v>
      </c>
      <c r="GC8" s="8">
        <v>0.0</v>
      </c>
      <c r="GD8" s="8">
        <v>0.0</v>
      </c>
      <c r="GE8" s="8">
        <v>0.0</v>
      </c>
      <c r="GF8" s="9"/>
      <c r="GG8" s="9" t="s">
        <v>875</v>
      </c>
      <c r="GH8" s="9" t="s">
        <v>857</v>
      </c>
      <c r="GI8" s="9" t="s">
        <v>876</v>
      </c>
      <c r="GJ8" s="8">
        <v>1.0</v>
      </c>
      <c r="GK8" s="8">
        <v>0.0</v>
      </c>
      <c r="GL8" s="8">
        <v>0.0</v>
      </c>
      <c r="GM8" s="8">
        <v>0.0</v>
      </c>
      <c r="GN8" s="9"/>
      <c r="GO8" s="8">
        <v>8.0</v>
      </c>
      <c r="GP8" s="9" t="s">
        <v>877</v>
      </c>
      <c r="GQ8" s="9" t="s">
        <v>1102</v>
      </c>
      <c r="GR8" s="8">
        <v>1.0</v>
      </c>
      <c r="GS8" s="8">
        <v>0.0</v>
      </c>
      <c r="GT8" s="8">
        <v>0.0</v>
      </c>
      <c r="GU8" s="8">
        <v>0.0</v>
      </c>
      <c r="GV8" s="8">
        <v>0.0</v>
      </c>
      <c r="GW8" s="8">
        <v>0.0</v>
      </c>
      <c r="GX8" s="8">
        <v>0.0</v>
      </c>
      <c r="GY8" s="9"/>
      <c r="GZ8" s="9" t="s">
        <v>857</v>
      </c>
      <c r="HA8" s="9"/>
      <c r="HB8" s="9"/>
      <c r="HC8" s="9"/>
      <c r="HD8" s="9"/>
      <c r="HE8" s="8">
        <v>9.0</v>
      </c>
      <c r="HF8" s="8">
        <v>54000.0</v>
      </c>
      <c r="HG8" s="8">
        <v>0.0</v>
      </c>
      <c r="HH8" s="35">
        <v>0.0</v>
      </c>
      <c r="HI8" s="9"/>
      <c r="HJ8" s="9"/>
      <c r="HK8" s="9"/>
      <c r="HL8" s="9"/>
      <c r="HM8" s="9"/>
      <c r="HN8" s="9"/>
      <c r="HO8" s="9"/>
      <c r="HP8" s="9"/>
      <c r="HQ8" s="9"/>
      <c r="HR8" s="9"/>
      <c r="HS8" s="9"/>
      <c r="HT8" s="9"/>
      <c r="HU8" s="9"/>
      <c r="HV8" s="9"/>
      <c r="HW8" s="9"/>
      <c r="HX8" s="9"/>
      <c r="HY8" s="9"/>
      <c r="HZ8" s="9"/>
      <c r="IA8" s="8">
        <v>2.0</v>
      </c>
      <c r="IB8" s="8">
        <v>46000.0</v>
      </c>
      <c r="IC8" s="9"/>
      <c r="ID8" s="9"/>
      <c r="IE8" s="9"/>
      <c r="IF8" s="9"/>
      <c r="IG8" s="9"/>
      <c r="IH8" s="9"/>
      <c r="II8" s="9"/>
      <c r="IJ8" s="9"/>
      <c r="IK8" s="9" t="s">
        <v>1382</v>
      </c>
      <c r="IL8" s="9" t="s">
        <v>1366</v>
      </c>
      <c r="IM8" s="9" t="s">
        <v>857</v>
      </c>
      <c r="IN8" s="9" t="s">
        <v>857</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945</v>
      </c>
      <c r="KT8" s="9" t="s">
        <v>886</v>
      </c>
      <c r="KU8" s="9" t="s">
        <v>886</v>
      </c>
      <c r="KV8" s="9" t="s">
        <v>1014</v>
      </c>
      <c r="KW8" s="8">
        <v>0.0</v>
      </c>
      <c r="KX8" s="8">
        <v>1.0</v>
      </c>
      <c r="KY8" s="8">
        <v>0.0</v>
      </c>
      <c r="KZ8" s="8">
        <v>0.0</v>
      </c>
      <c r="LA8" s="9" t="s">
        <v>945</v>
      </c>
      <c r="LB8" s="9" t="s">
        <v>1180</v>
      </c>
      <c r="LC8" s="8">
        <v>4.0</v>
      </c>
      <c r="LD8" s="8">
        <v>1.0</v>
      </c>
      <c r="LE8" s="8">
        <v>0.0</v>
      </c>
      <c r="LF8" s="8">
        <v>0.0</v>
      </c>
      <c r="LG8" s="9" t="s">
        <v>881</v>
      </c>
      <c r="LH8" s="9"/>
      <c r="LI8" s="8">
        <v>0.0</v>
      </c>
      <c r="LJ8" s="9" t="s">
        <v>969</v>
      </c>
      <c r="LK8" s="8">
        <v>0.0</v>
      </c>
      <c r="LL8" s="8">
        <v>0.0</v>
      </c>
      <c r="LM8" s="8">
        <v>0.0</v>
      </c>
      <c r="LN8" s="8">
        <v>0.0</v>
      </c>
      <c r="LO8" s="8">
        <v>0.0</v>
      </c>
      <c r="LP8" s="8">
        <v>0.0</v>
      </c>
      <c r="LQ8" s="8">
        <v>1.0</v>
      </c>
      <c r="LR8" s="11" t="s">
        <v>1973</v>
      </c>
      <c r="LS8" s="8">
        <v>30.0</v>
      </c>
      <c r="LT8" s="8">
        <v>0.0</v>
      </c>
      <c r="LU8" s="8">
        <v>0.0</v>
      </c>
      <c r="LV8" s="8">
        <v>20.0</v>
      </c>
      <c r="LW8" s="8">
        <v>0.0</v>
      </c>
      <c r="LX8" s="8">
        <v>0.0</v>
      </c>
      <c r="LY8" s="8">
        <v>10.0</v>
      </c>
      <c r="LZ8" s="8">
        <v>0.0</v>
      </c>
      <c r="MA8" s="8">
        <v>0.0</v>
      </c>
      <c r="MB8" s="9" t="s">
        <v>857</v>
      </c>
      <c r="MC8" s="8">
        <v>0.0</v>
      </c>
      <c r="MD8" s="8">
        <v>0.0</v>
      </c>
      <c r="ME8" s="8">
        <v>0.0</v>
      </c>
      <c r="MF8" s="8">
        <v>0.0</v>
      </c>
      <c r="MG8" s="8">
        <v>0.0</v>
      </c>
      <c r="MH8" s="8">
        <v>0.0</v>
      </c>
      <c r="MI8" s="9" t="s">
        <v>2005</v>
      </c>
      <c r="MJ8" s="8">
        <v>0.0</v>
      </c>
      <c r="MK8" s="8">
        <v>0.0</v>
      </c>
      <c r="ML8" s="8">
        <v>1.0</v>
      </c>
      <c r="MM8" s="8">
        <v>0.0</v>
      </c>
      <c r="MN8" s="8">
        <v>1.0</v>
      </c>
      <c r="MO8" s="8">
        <v>0.0</v>
      </c>
      <c r="MP8" s="9"/>
      <c r="MQ8" s="19" t="s">
        <v>2119</v>
      </c>
      <c r="MR8" s="31"/>
      <c r="MS8" s="9"/>
      <c r="MT8" s="9" t="s">
        <v>2120</v>
      </c>
      <c r="MU8" s="9" t="s">
        <v>881</v>
      </c>
      <c r="MV8" s="9"/>
      <c r="MW8" s="9"/>
      <c r="MX8" s="9"/>
      <c r="MY8" s="9"/>
      <c r="MZ8" s="9"/>
      <c r="NA8" s="9"/>
      <c r="NB8" s="9"/>
      <c r="NC8" s="9"/>
      <c r="ND8" s="9"/>
      <c r="NE8" s="9"/>
      <c r="NF8" s="9"/>
      <c r="NG8" s="9"/>
      <c r="NH8" s="9"/>
      <c r="NI8" s="9"/>
      <c r="NJ8" s="9"/>
      <c r="NK8" s="9"/>
      <c r="NL8" s="9" t="s">
        <v>881</v>
      </c>
      <c r="NM8" s="9" t="s">
        <v>1386</v>
      </c>
      <c r="NN8" s="17" t="s">
        <v>1975</v>
      </c>
      <c r="NO8" s="17" t="s">
        <v>969</v>
      </c>
      <c r="NP8" s="9" t="s">
        <v>2121</v>
      </c>
      <c r="NQ8" s="9"/>
      <c r="NR8" s="9"/>
      <c r="NS8" s="9"/>
      <c r="NT8" s="9"/>
      <c r="NU8" s="9"/>
      <c r="NV8" s="9"/>
      <c r="NW8" s="9"/>
      <c r="NX8" s="9" t="s">
        <v>897</v>
      </c>
      <c r="NY8" s="8">
        <v>70.0</v>
      </c>
      <c r="NZ8" s="8">
        <v>0.0</v>
      </c>
      <c r="OA8" s="8">
        <v>0.0</v>
      </c>
      <c r="OB8" s="8">
        <v>0.0</v>
      </c>
      <c r="OC8" s="8">
        <v>5.0</v>
      </c>
      <c r="OD8" s="8">
        <v>0.0</v>
      </c>
      <c r="OE8" s="9" t="s">
        <v>1180</v>
      </c>
      <c r="OF8" s="9" t="s">
        <v>899</v>
      </c>
      <c r="OG8" s="9" t="s">
        <v>857</v>
      </c>
      <c r="OH8" s="8">
        <v>13.0</v>
      </c>
      <c r="OI8" s="8">
        <v>0.0</v>
      </c>
      <c r="OJ8" s="8">
        <v>0.0</v>
      </c>
      <c r="OK8" s="8">
        <v>0.0</v>
      </c>
      <c r="OL8" s="8">
        <v>0.0</v>
      </c>
      <c r="OM8" s="8">
        <v>0.0</v>
      </c>
      <c r="ON8" s="8">
        <v>6.0</v>
      </c>
      <c r="OO8" s="8">
        <v>0.0</v>
      </c>
      <c r="OP8" s="9" t="str">
        <f>VLOOKUP(AG8,'BUS 2'!$G$1:$CU$424,2,0)</f>
        <v>Sapi pedaging Ayam</v>
      </c>
      <c r="OQ8" s="8">
        <f>VLOOKUP(AG8,'BUS 2'!$G$1:$CU$424,3,0)</f>
        <v>1</v>
      </c>
      <c r="OR8" s="8">
        <f>VLOOKUP(AG8,'BUS 2'!$G$1:$CU$424,4,0)</f>
        <v>0</v>
      </c>
      <c r="OS8" s="8">
        <f>VLOOKUP(AG8,'BUS 2'!$G$1:$CU$424,5,0)</f>
        <v>0</v>
      </c>
      <c r="OT8" s="8">
        <f>VLOOKUP(AG8,'BUS 2'!$G$1:$CU$424,6,0)</f>
        <v>0</v>
      </c>
      <c r="OU8" s="8">
        <f>VLOOKUP(AG8,'BUS 2'!$G$1:$CU$424,7,0)</f>
        <v>0</v>
      </c>
      <c r="OV8" s="8">
        <f>VLOOKUP(AG8,'BUS 2'!$G$1:$CU$424,8,0)</f>
        <v>0</v>
      </c>
      <c r="OW8" s="8">
        <f>VLOOKUP(AG8,'BUS 2'!$G$1:$CU$424,9,0)</f>
        <v>1</v>
      </c>
      <c r="OX8" s="8">
        <f>VLOOKUP(AG8,'BUS 2'!$G$1:$CU$424,10,0)</f>
        <v>0</v>
      </c>
      <c r="OY8" s="8">
        <f>VLOOKUP(AG8,'BUS 2'!$G$1:$CU$424,11,0)</f>
        <v>0</v>
      </c>
      <c r="OZ8" s="8" t="str">
        <f>VLOOKUP(AG8,'BUS 2'!$G$1:$CU$424,12,0)</f>
        <v>Sapi pedaging Ayam</v>
      </c>
      <c r="PA8" s="8">
        <f>VLOOKUP(AG8,'BUS 2'!$G$1:$CU$424,13,0)</f>
        <v>1</v>
      </c>
      <c r="PB8" s="8">
        <f>VLOOKUP(AG8,'BUS 2'!$G$1:$CU$424,14,0)</f>
        <v>0</v>
      </c>
      <c r="PC8" s="8">
        <f>VLOOKUP(AG8,'BUS 2'!$G$1:$CU$424,15,0)</f>
        <v>0</v>
      </c>
      <c r="PD8" s="8">
        <f>VLOOKUP(AG8,'BUS 2'!$G$1:$CU$424,16,0)</f>
        <v>0</v>
      </c>
      <c r="PE8" s="8">
        <f>VLOOKUP(AG8,'BUS 2'!$G$1:$CU$424,17,0)</f>
        <v>0</v>
      </c>
      <c r="PF8" s="8">
        <f>VLOOKUP(AG8,'BUS 2'!$G$1:$CU$424,18,0)</f>
        <v>0</v>
      </c>
      <c r="PG8" s="8">
        <f>VLOOKUP(AG8,'BUS 2'!$G$1:$CU$424,19,0)</f>
        <v>1</v>
      </c>
      <c r="PH8" s="8">
        <f>VLOOKUP(AG8,'BUS 2'!$G$1:$CU$424,20,0)</f>
        <v>0</v>
      </c>
      <c r="PI8" s="8">
        <f>VLOOKUP(AG8,'BUS 2'!$G$1:$CU$424,21,0)</f>
        <v>0</v>
      </c>
      <c r="PJ8" s="8" t="str">
        <f>VLOOKUP(AG8,'BUS 2'!$G$1:$CU$424,22,0)</f>
        <v>Sapi pedaging Ayam</v>
      </c>
      <c r="PK8" s="8">
        <f>VLOOKUP(AG8,'BUS 2'!$G$1:$CU$424,23,0)</f>
        <v>1</v>
      </c>
      <c r="PL8" s="8">
        <f>VLOOKUP(AG8,'BUS 2'!$G$1:$CU$424,24,0)</f>
        <v>0</v>
      </c>
      <c r="PM8" s="8">
        <f>VLOOKUP(AG8,'BUS 2'!$G$1:$CU$424,25,0)</f>
        <v>0</v>
      </c>
      <c r="PN8" s="8">
        <f>VLOOKUP(AG8,'BUS 2'!$G$1:$CU$424,26,0)</f>
        <v>0</v>
      </c>
      <c r="PO8" s="8">
        <f>VLOOKUP(AG8,'BUS 2'!$G$1:$CU$424,27,0)</f>
        <v>0</v>
      </c>
      <c r="PP8" s="8">
        <f>VLOOKUP(AG8,'BUS 2'!$G$1:$CU$424,28,0)</f>
        <v>0</v>
      </c>
      <c r="PQ8" s="8">
        <f>VLOOKUP(AG8,'BUS 2'!$G$1:$CU$424,29,0)</f>
        <v>1</v>
      </c>
      <c r="PR8" s="8">
        <f>VLOOKUP(AG8,'BUS 2'!$G$1:$CU$424,30,0)</f>
        <v>0</v>
      </c>
      <c r="PS8" s="8">
        <f>VLOOKUP(AG8,'BUS 2'!$G$1:$CU$424,31,0)</f>
        <v>0</v>
      </c>
      <c r="PT8" s="9" t="s">
        <v>900</v>
      </c>
      <c r="PU8" s="8">
        <v>0.0</v>
      </c>
      <c r="PV8" s="8">
        <v>0.0</v>
      </c>
      <c r="PW8" s="8">
        <v>0.0</v>
      </c>
      <c r="PX8" s="8">
        <v>0.0</v>
      </c>
      <c r="PY8" s="8">
        <v>0.0</v>
      </c>
      <c r="PZ8" s="8">
        <v>1.0</v>
      </c>
      <c r="QA8" s="8">
        <v>0.0</v>
      </c>
      <c r="QB8" s="8">
        <v>0.0</v>
      </c>
      <c r="QC8" s="8">
        <v>0.0</v>
      </c>
      <c r="QD8" s="9"/>
      <c r="QE8" s="32"/>
      <c r="QF8" s="31"/>
      <c r="QG8" s="31"/>
      <c r="QH8" s="31"/>
      <c r="QI8" s="31"/>
      <c r="QJ8" s="31"/>
      <c r="QK8" s="32"/>
      <c r="QL8" s="32"/>
      <c r="QM8" s="32"/>
      <c r="QN8" s="32"/>
      <c r="QO8" s="32"/>
      <c r="QP8" s="32"/>
      <c r="QQ8" s="32"/>
      <c r="QR8" s="32"/>
      <c r="QS8" s="32"/>
      <c r="QT8" s="32"/>
      <c r="QU8" s="32"/>
      <c r="QV8" s="32"/>
      <c r="QW8" s="31"/>
      <c r="QX8" s="31"/>
      <c r="QY8" s="31"/>
      <c r="QZ8" s="31"/>
      <c r="RA8" s="31"/>
      <c r="RB8" s="32"/>
      <c r="RC8" s="32"/>
      <c r="RD8" s="32"/>
      <c r="RE8" s="32"/>
      <c r="RF8" s="32"/>
      <c r="RG8" s="9"/>
      <c r="RH8" s="31"/>
      <c r="RI8" s="31"/>
      <c r="RJ8" s="31"/>
      <c r="RK8" s="31"/>
      <c r="RL8" s="31"/>
      <c r="RM8" s="9"/>
      <c r="RN8" s="9"/>
      <c r="RO8" s="9"/>
      <c r="RP8" s="9"/>
      <c r="RQ8" s="9"/>
      <c r="RR8" s="9"/>
      <c r="RS8" s="31"/>
      <c r="RT8" s="31"/>
      <c r="RU8" s="31"/>
      <c r="RV8" s="31"/>
      <c r="RW8" s="31"/>
      <c r="RX8" s="9"/>
      <c r="RY8" s="9"/>
      <c r="RZ8" s="9"/>
      <c r="SA8" s="9"/>
      <c r="SB8" s="9"/>
      <c r="SC8" s="9" t="s">
        <v>900</v>
      </c>
      <c r="SD8" s="35">
        <v>0.0</v>
      </c>
      <c r="SE8" s="35">
        <v>0.0</v>
      </c>
      <c r="SF8" s="35">
        <v>0.0</v>
      </c>
      <c r="SG8" s="35">
        <v>0.0</v>
      </c>
      <c r="SH8" s="35">
        <v>0.0</v>
      </c>
      <c r="SI8" s="8">
        <v>1.0</v>
      </c>
      <c r="SJ8" s="8">
        <v>0.0</v>
      </c>
      <c r="SK8" s="8">
        <v>0.0</v>
      </c>
      <c r="SL8" s="8">
        <v>0.0</v>
      </c>
      <c r="SM8" s="9"/>
      <c r="SN8" s="9"/>
      <c r="SO8" s="31"/>
      <c r="SP8" s="31"/>
      <c r="SQ8" s="31"/>
      <c r="SR8" s="31"/>
      <c r="SS8" s="31"/>
      <c r="ST8" s="9"/>
      <c r="SU8" s="9"/>
      <c r="SV8" s="9"/>
      <c r="SW8" s="9"/>
      <c r="SX8" s="9"/>
      <c r="SY8" s="8">
        <f>VLOOKUP(AG8,'BUS 2'!$G$1:$CU$424,33,0)</f>
        <v>15</v>
      </c>
      <c r="SZ8" s="9" t="str">
        <f>VLOOKUP(AG8,'BUS 2'!$G$1:$CU$424,34,0)</f>
        <v/>
      </c>
      <c r="TA8" s="9" t="str">
        <f>VLOOKUP(AG8,'BUS 2'!$G$1:$CU$424,35,0)</f>
        <v/>
      </c>
      <c r="TB8" s="9" t="str">
        <f>VLOOKUP(AG8,'BUS 2'!$G$1:$CU$424,36,0)</f>
        <v/>
      </c>
      <c r="TC8" s="9" t="str">
        <f>VLOOKUP(AG8,'BUS 2'!$G$1:$CU$424,37,0)</f>
        <v/>
      </c>
      <c r="TD8" s="9" t="str">
        <f>VLOOKUP(AG8,'BUS 2'!$G$1:$CU$424,38,0)</f>
        <v/>
      </c>
      <c r="TE8" s="9">
        <f>VLOOKUP(AG8,'BUS 2'!$G$1:$CU$424,39,0)</f>
        <v>6</v>
      </c>
      <c r="TF8" s="9" t="str">
        <f>VLOOKUP(AG8,'BUS 2'!$G$1:$CU$424,40,0)</f>
        <v/>
      </c>
      <c r="TG8" s="8">
        <f>VLOOKUP(AG8,'BUS 2'!$G$1:$CU$424,42,0)</f>
        <v>13</v>
      </c>
      <c r="TH8" s="8" t="str">
        <f>VLOOKUP(AG8,'BUS 2'!$G$1:$CU$424,43,0)</f>
        <v/>
      </c>
      <c r="TI8" s="8" t="str">
        <f>VLOOKUP(AG8,'BUS 2'!$G$1:$CU$424,44,0)</f>
        <v/>
      </c>
      <c r="TJ8" s="8" t="str">
        <f>VLOOKUP(AG8,'BUS 2'!$G$1:$CU$424,45,0)</f>
        <v/>
      </c>
      <c r="TK8" s="8" t="str">
        <f>VLOOKUP(AG8,'BUS 2'!$G$1:$CU$424,46,0)</f>
        <v/>
      </c>
      <c r="TL8" s="8" t="str">
        <f>VLOOKUP(AG8,'BUS 2'!$G$1:$CU$424,47,0)</f>
        <v/>
      </c>
      <c r="TM8" s="8">
        <f>VLOOKUP(AG8,'BUS 2'!$G$1:$CU$424,48,0)</f>
        <v>6</v>
      </c>
      <c r="TN8" s="8" t="str">
        <f>VLOOKUP(AG8,'BUS 2'!$G$1:$CU$424,49,0)</f>
        <v/>
      </c>
      <c r="TO8" s="8">
        <f>VLOOKUP(AG8,'BUS 2'!$G$1:$CU$424,50,0)</f>
        <v>2</v>
      </c>
      <c r="TP8" s="8">
        <f>VLOOKUP(AG8,'BUS 2'!$G$1:$CU$424,51,0)</f>
        <v>0</v>
      </c>
      <c r="TQ8" s="8">
        <f>VLOOKUP(AG8,'BUS 2'!$G$1:$CU$424,52,0)</f>
        <v>0</v>
      </c>
      <c r="TR8" s="8">
        <f>VLOOKUP(AG8,'BUS 2'!$G$1:$CU$424,53,0)</f>
        <v>0</v>
      </c>
      <c r="TS8" s="9" t="str">
        <f>VLOOKUP(AG8,'BUS 2'!$G$1:$CU$424,54,0)</f>
        <v/>
      </c>
      <c r="TT8" s="9" t="str">
        <f>VLOOKUP(AG8,'BUS 2'!$G$1:$CU$424,55,0)</f>
        <v/>
      </c>
      <c r="TU8" s="9" t="str">
        <f>VLOOKUP(AG8,'BUS 2'!$G$1:$CU$424,56,0)</f>
        <v/>
      </c>
      <c r="TV8" s="9" t="str">
        <f>VLOOKUP(AG8,'BUS 2'!$G$1:$CU$424,57,0)</f>
        <v/>
      </c>
      <c r="TW8" s="9" t="str">
        <f>VLOOKUP(AG8,'BUS 2'!$G$1:$CU$424,58,0)</f>
        <v/>
      </c>
      <c r="TX8" s="9" t="str">
        <f>VLOOKUP(AG8,'BUS 2'!$G$1:$CU$424,59,0)</f>
        <v/>
      </c>
      <c r="TY8" s="9" t="str">
        <f>VLOOKUP(AG8,'BUS 2'!$G$1:$CU$424,60,0)</f>
        <v/>
      </c>
      <c r="TZ8" s="9" t="str">
        <f>VLOOKUP(AG8,'BUS 2'!$G$1:$CU$424,61,0)</f>
        <v/>
      </c>
      <c r="UA8" s="9" t="str">
        <f>VLOOKUP(AG8,'BUS 2'!$G$1:$CU$424,62,0)</f>
        <v/>
      </c>
      <c r="UB8" s="9" t="str">
        <f>VLOOKUP(AG8,'BUS 2'!$G$1:$CU$424,63,0)</f>
        <v/>
      </c>
      <c r="UC8" s="9" t="str">
        <f>VLOOKUP(AG8,'BUS 2'!$G$1:$CU$424,64,0)</f>
        <v/>
      </c>
      <c r="UD8" s="9" t="str">
        <f>VLOOKUP(AG8,'BUS 2'!$G$1:$CU$424,65,0)</f>
        <v/>
      </c>
      <c r="UE8" s="9" t="str">
        <f>VLOOKUP(AG8,'BUS 2'!$G$1:$CU$424,66,0)</f>
        <v/>
      </c>
      <c r="UF8" s="9" t="str">
        <f>VLOOKUP(AG8,'BUS 2'!$G$1:$CU$424,67,0)</f>
        <v/>
      </c>
      <c r="UG8" s="9" t="str">
        <f>VLOOKUP(AG8,'BUS 2'!$G$1:$CU$424,68,0)</f>
        <v/>
      </c>
      <c r="UH8" s="9" t="str">
        <f>VLOOKUP(AG8,'BUS 2'!$G$1:$CU$424,69,0)</f>
        <v/>
      </c>
      <c r="UI8" s="9" t="str">
        <f>VLOOKUP(AG8,'BUS 2'!$G$1:$CU$424,70,0)</f>
        <v/>
      </c>
      <c r="UJ8" s="9" t="str">
        <f>VLOOKUP(AG8,'BUS 2'!$G$1:$CU$424,71,0)</f>
        <v/>
      </c>
      <c r="UK8" s="9" t="str">
        <f>VLOOKUP(AG8,'BUS 2'!$G$1:$CU$424,72,0)</f>
        <v/>
      </c>
      <c r="UL8" s="9" t="str">
        <f>VLOOKUP(AG8,'BUS 2'!$G$1:$CU$424,73,0)</f>
        <v/>
      </c>
      <c r="UM8" s="9">
        <f>VLOOKUP(AG8,'BUS 2'!$G$1:$CU$424,74,0)</f>
        <v>0</v>
      </c>
      <c r="UN8" s="9">
        <f>VLOOKUP(AG8,'BUS 2'!$G$1:$CU$424,75,0)</f>
        <v>0</v>
      </c>
      <c r="UO8" s="9">
        <f>VLOOKUP(AG8,'BUS 2'!$G$1:$CU$424,76,0)</f>
        <v>0</v>
      </c>
      <c r="UP8" s="9">
        <f>VLOOKUP(AG8,'BUS 2'!$G$1:$CU$424,77,0)</f>
        <v>0</v>
      </c>
      <c r="UQ8" s="9" t="str">
        <f>VLOOKUP(AG8,'BUS 2'!$G$1:$CU$424,78,0)</f>
        <v/>
      </c>
      <c r="UR8" s="9" t="str">
        <f>VLOOKUP(AG8,'BUS 2'!$G$1:$CU$424,79,0)</f>
        <v/>
      </c>
      <c r="US8" s="9" t="str">
        <f>VLOOKUP(AG8,'BUS 2'!$G$1:$CU$424,80,0)</f>
        <v/>
      </c>
      <c r="UT8" s="9" t="str">
        <f>VLOOKUP(AG8,'BUS 2'!$G$1:$CU$424,81,0)</f>
        <v/>
      </c>
      <c r="UU8" s="9" t="s">
        <v>1937</v>
      </c>
      <c r="UV8" s="9"/>
      <c r="UW8" s="9"/>
      <c r="UX8" s="9"/>
      <c r="UY8" s="9"/>
      <c r="UZ8" s="9"/>
      <c r="VA8" s="9" t="s">
        <v>1976</v>
      </c>
      <c r="VB8" s="9"/>
      <c r="VC8" s="9" t="s">
        <v>1938</v>
      </c>
      <c r="VD8" s="9"/>
      <c r="VE8" s="9"/>
      <c r="VF8" s="9"/>
      <c r="VG8" s="9"/>
      <c r="VH8" s="9"/>
      <c r="VI8" s="9" t="s">
        <v>1938</v>
      </c>
      <c r="VJ8" s="9"/>
      <c r="VK8" s="9" t="s">
        <v>903</v>
      </c>
      <c r="VL8" s="9"/>
      <c r="VM8" s="9"/>
      <c r="VN8" s="9"/>
      <c r="VO8" s="9"/>
      <c r="VP8" s="9"/>
      <c r="VQ8" s="9"/>
      <c r="VR8" s="9"/>
      <c r="VS8" s="9" t="s">
        <v>1185</v>
      </c>
      <c r="VT8" s="8">
        <v>0.0</v>
      </c>
      <c r="VU8" s="8">
        <v>0.0</v>
      </c>
      <c r="VV8" s="8">
        <v>0.0</v>
      </c>
      <c r="VW8" s="8">
        <v>0.0</v>
      </c>
      <c r="VX8" s="8">
        <v>0.0</v>
      </c>
      <c r="VY8" s="8">
        <v>0.0</v>
      </c>
      <c r="VZ8" s="8">
        <v>1.0</v>
      </c>
      <c r="WA8" s="8">
        <v>0.0</v>
      </c>
      <c r="WB8" s="8">
        <v>0.0</v>
      </c>
      <c r="WC8" s="8">
        <v>1.0</v>
      </c>
      <c r="WD8" s="8">
        <v>0.0</v>
      </c>
      <c r="WE8" s="8">
        <v>0.0</v>
      </c>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t="s">
        <v>951</v>
      </c>
      <c r="YO8" s="8">
        <v>0.0</v>
      </c>
      <c r="YP8" s="8">
        <v>0.0</v>
      </c>
      <c r="YQ8" s="8">
        <v>0.0</v>
      </c>
      <c r="YR8" s="8">
        <v>0.0</v>
      </c>
      <c r="YS8" s="8">
        <v>0.0</v>
      </c>
      <c r="YT8" s="8">
        <v>0.0</v>
      </c>
      <c r="YU8" s="8">
        <v>1.0</v>
      </c>
      <c r="YV8" s="8">
        <v>0.0</v>
      </c>
      <c r="YW8" s="8">
        <v>0.0</v>
      </c>
      <c r="YX8" s="8">
        <v>0.0</v>
      </c>
      <c r="YY8" s="8">
        <v>0.0</v>
      </c>
      <c r="YZ8" s="8">
        <v>0.0</v>
      </c>
      <c r="ZA8" s="9"/>
      <c r="ZB8" s="9"/>
      <c r="ZC8" s="9"/>
      <c r="ZD8" s="9"/>
      <c r="ZE8" s="9"/>
      <c r="ZF8" s="9"/>
      <c r="ZG8" s="9"/>
      <c r="ZH8" s="9"/>
      <c r="ZI8" s="9"/>
      <c r="ZJ8" s="9"/>
      <c r="ZK8" s="9"/>
      <c r="ZL8" s="9"/>
      <c r="ZM8" s="9"/>
      <c r="ZN8" s="8">
        <v>100.0</v>
      </c>
      <c r="ZO8" s="9"/>
      <c r="ZP8" s="9"/>
      <c r="ZQ8" s="9"/>
      <c r="ZR8" s="9"/>
      <c r="ZS8" s="9"/>
      <c r="ZT8" s="9"/>
      <c r="ZU8" s="9"/>
      <c r="ZV8" s="8">
        <v>1.0</v>
      </c>
      <c r="ZW8" s="9"/>
      <c r="ZX8" s="9"/>
      <c r="ZY8" s="9"/>
      <c r="ZZ8" s="9"/>
      <c r="AAA8" s="9"/>
      <c r="AAB8" s="8">
        <v>2.0</v>
      </c>
      <c r="AAC8" s="9"/>
      <c r="AAD8" s="9" t="s">
        <v>1186</v>
      </c>
      <c r="AAE8" s="9"/>
      <c r="AAF8" s="9"/>
      <c r="AAG8" s="9"/>
      <c r="AAH8" s="9"/>
      <c r="AAI8" s="9"/>
      <c r="AAJ8" s="9" t="s">
        <v>905</v>
      </c>
      <c r="AAK8" s="9"/>
      <c r="AAL8" s="9" t="s">
        <v>857</v>
      </c>
      <c r="AAM8" s="9" t="s">
        <v>1942</v>
      </c>
      <c r="AAN8" s="8">
        <v>0.0</v>
      </c>
      <c r="AAO8" s="8">
        <v>1.0</v>
      </c>
      <c r="AAP8" s="8">
        <v>28.0</v>
      </c>
      <c r="AAQ8" s="9"/>
      <c r="AAR8" s="9" t="s">
        <v>857</v>
      </c>
      <c r="AAS8" s="9" t="s">
        <v>867</v>
      </c>
      <c r="AAT8" s="9" t="s">
        <v>1074</v>
      </c>
      <c r="AAU8" s="8">
        <v>1.0</v>
      </c>
      <c r="AAV8" s="8">
        <v>0.0</v>
      </c>
      <c r="AAW8" s="8">
        <v>0.0</v>
      </c>
      <c r="AAX8" s="8">
        <v>1.0</v>
      </c>
      <c r="AAY8" s="8">
        <v>1.0</v>
      </c>
      <c r="AAZ8" s="8">
        <v>0.0</v>
      </c>
      <c r="ABA8" s="8">
        <v>0.0</v>
      </c>
      <c r="ABB8" s="9" t="s">
        <v>907</v>
      </c>
      <c r="ABC8" s="8">
        <v>1.0</v>
      </c>
      <c r="ABD8" s="8">
        <v>0.0</v>
      </c>
      <c r="ABE8" s="8">
        <v>0.0</v>
      </c>
      <c r="ABF8" s="8">
        <v>0.0</v>
      </c>
      <c r="ABG8" s="8">
        <v>0.0</v>
      </c>
      <c r="ABH8" s="9"/>
      <c r="ABI8" s="9"/>
      <c r="ABJ8" s="9"/>
      <c r="ABK8" s="9"/>
      <c r="ABL8" s="9"/>
      <c r="ABM8" s="9"/>
      <c r="ABN8" s="9"/>
      <c r="ABO8" s="9"/>
      <c r="ABP8" s="9"/>
      <c r="ABQ8" s="9" t="s">
        <v>2122</v>
      </c>
      <c r="ABR8" s="9" t="s">
        <v>1075</v>
      </c>
      <c r="ABS8" s="8">
        <v>1000.0</v>
      </c>
      <c r="ABT8" s="8">
        <v>30.0</v>
      </c>
      <c r="ABU8" s="8">
        <v>14.0</v>
      </c>
      <c r="ABV8" s="8">
        <v>0.0</v>
      </c>
      <c r="ABW8" s="9" t="s">
        <v>1199</v>
      </c>
      <c r="ABX8" s="9"/>
      <c r="ABY8" s="8">
        <v>500.0</v>
      </c>
      <c r="ABZ8" s="8">
        <v>2000.0</v>
      </c>
      <c r="ACA8" s="8">
        <v>500.0</v>
      </c>
      <c r="ACB8" s="8">
        <v>1800.0</v>
      </c>
      <c r="ACC8" s="8">
        <v>9000.0</v>
      </c>
      <c r="ACD8" s="8">
        <v>9000.0</v>
      </c>
      <c r="ACE8" s="9" t="s">
        <v>857</v>
      </c>
      <c r="ACF8" s="9" t="s">
        <v>911</v>
      </c>
      <c r="ACG8" s="9" t="s">
        <v>945</v>
      </c>
      <c r="ACH8" s="9" t="s">
        <v>945</v>
      </c>
      <c r="ACI8" s="9"/>
      <c r="ACJ8" s="9"/>
      <c r="ACK8" s="9" t="s">
        <v>2123</v>
      </c>
      <c r="ACL8" s="8">
        <v>0.0</v>
      </c>
      <c r="ACM8" s="8">
        <v>1.0</v>
      </c>
      <c r="ACN8" s="8">
        <v>0.0</v>
      </c>
      <c r="ACO8" s="8">
        <v>0.0</v>
      </c>
      <c r="ACP8" s="8">
        <v>0.0</v>
      </c>
      <c r="ACQ8" s="8">
        <v>0.0</v>
      </c>
      <c r="ACR8" s="8">
        <v>0.0</v>
      </c>
      <c r="ACS8" s="9"/>
      <c r="ACT8" s="9" t="s">
        <v>1945</v>
      </c>
      <c r="ACU8" s="9" t="s">
        <v>913</v>
      </c>
      <c r="ACV8" s="9" t="s">
        <v>914</v>
      </c>
      <c r="ACW8" s="9" t="s">
        <v>915</v>
      </c>
      <c r="ACX8" s="9" t="s">
        <v>958</v>
      </c>
      <c r="ACY8" s="9" t="s">
        <v>1035</v>
      </c>
      <c r="ACZ8" s="8">
        <v>1.0</v>
      </c>
      <c r="ADA8" s="8">
        <v>1.0</v>
      </c>
      <c r="ADB8" s="8">
        <v>0.0</v>
      </c>
      <c r="ADC8" s="8">
        <v>0.0</v>
      </c>
      <c r="ADD8" s="9" t="s">
        <v>917</v>
      </c>
      <c r="ADE8" s="9" t="s">
        <v>917</v>
      </c>
      <c r="ADF8" s="9" t="s">
        <v>917</v>
      </c>
      <c r="ADG8" s="9" t="s">
        <v>917</v>
      </c>
      <c r="ADH8" s="9" t="s">
        <v>881</v>
      </c>
      <c r="ADI8" s="9"/>
      <c r="ADJ8" s="9" t="s">
        <v>1187</v>
      </c>
      <c r="ADK8" s="9"/>
      <c r="ADL8" s="9"/>
      <c r="ADM8" s="9"/>
      <c r="ADN8" s="9"/>
      <c r="ADO8" s="9"/>
      <c r="ADP8" s="9"/>
      <c r="ADQ8" s="9"/>
      <c r="ADR8" s="9"/>
      <c r="ADS8" s="9"/>
      <c r="ADT8" s="9"/>
      <c r="ADU8" s="9" t="s">
        <v>919</v>
      </c>
      <c r="ADV8" s="8">
        <v>0.0</v>
      </c>
      <c r="ADW8" s="8">
        <v>0.0</v>
      </c>
      <c r="ADX8" s="8">
        <v>0.0</v>
      </c>
      <c r="ADY8" s="8">
        <v>0.0</v>
      </c>
      <c r="ADZ8" s="8">
        <v>1.0</v>
      </c>
      <c r="AEA8" s="8">
        <v>0.0</v>
      </c>
      <c r="AEB8" s="8">
        <v>0.0</v>
      </c>
      <c r="AEC8" s="8">
        <v>0.0</v>
      </c>
      <c r="AED8" s="9" t="s">
        <v>2124</v>
      </c>
      <c r="AEE8" s="9" t="s">
        <v>872</v>
      </c>
      <c r="AEF8" s="9"/>
      <c r="AEG8" s="9" t="s">
        <v>920</v>
      </c>
      <c r="AEH8" s="9"/>
      <c r="AEI8" s="9" t="s">
        <v>2125</v>
      </c>
      <c r="AEJ8" s="9" t="s">
        <v>871</v>
      </c>
      <c r="AEK8" s="9" t="s">
        <v>2126</v>
      </c>
      <c r="AEL8" s="8">
        <v>1.0</v>
      </c>
      <c r="AEM8" s="8">
        <v>0.0</v>
      </c>
      <c r="AEN8" s="8">
        <v>0.0</v>
      </c>
      <c r="AEO8" s="8">
        <v>0.0</v>
      </c>
      <c r="AEP8" s="8">
        <v>1.0</v>
      </c>
      <c r="AEQ8" s="8">
        <v>0.0</v>
      </c>
      <c r="AER8" s="8">
        <v>0.0</v>
      </c>
      <c r="AES8" s="8">
        <v>0.0</v>
      </c>
      <c r="AET8" s="8">
        <v>0.0</v>
      </c>
      <c r="AEU8" s="8">
        <v>0.0</v>
      </c>
      <c r="AEV8" s="8">
        <v>0.0</v>
      </c>
      <c r="AEW8" s="8">
        <v>0.0</v>
      </c>
      <c r="AEX8" s="9"/>
      <c r="AEY8" s="9" t="s">
        <v>923</v>
      </c>
      <c r="AEZ8" s="9"/>
      <c r="AFA8" s="9" t="s">
        <v>2077</v>
      </c>
      <c r="AFB8" s="9"/>
      <c r="AFC8" s="9" t="s">
        <v>2127</v>
      </c>
      <c r="AFD8" s="16" t="s">
        <v>2128</v>
      </c>
      <c r="AFE8" s="9" t="s">
        <v>2129</v>
      </c>
      <c r="AFF8" s="16" t="s">
        <v>2130</v>
      </c>
      <c r="AFG8" s="9" t="s">
        <v>1991</v>
      </c>
      <c r="AFH8" s="9"/>
      <c r="AFI8" s="21" t="s">
        <v>2131</v>
      </c>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8">
        <v>6.66790955E8</v>
      </c>
      <c r="AWB8" s="9" t="s">
        <v>2132</v>
      </c>
      <c r="AWC8" s="6">
        <v>46062.0</v>
      </c>
      <c r="AWD8" s="9"/>
      <c r="AWE8" s="9"/>
      <c r="AWF8" s="9" t="s">
        <v>1954</v>
      </c>
      <c r="AWG8" s="9"/>
      <c r="AWH8" s="9" t="s">
        <v>1989</v>
      </c>
      <c r="AWI8" s="9"/>
      <c r="AWJ8" s="9" t="s">
        <v>2133</v>
      </c>
      <c r="AWK8" s="8">
        <v>121.0</v>
      </c>
      <c r="AWL8" s="9" t="s">
        <v>2117</v>
      </c>
      <c r="AWM8" s="8">
        <v>0.0</v>
      </c>
      <c r="AWN8" s="9" t="s">
        <v>1957</v>
      </c>
      <c r="AWO8" s="33" t="b">
        <v>1</v>
      </c>
      <c r="AWP8" s="37" t="b">
        <v>0</v>
      </c>
      <c r="AWQ8" s="33" t="b">
        <v>1</v>
      </c>
      <c r="AWR8" s="33" t="b">
        <v>1</v>
      </c>
      <c r="AWS8" s="33" t="b">
        <v>1</v>
      </c>
      <c r="AWT8" s="33" t="b">
        <v>1</v>
      </c>
      <c r="AWU8" s="9"/>
      <c r="AWV8" s="8">
        <v>6.0</v>
      </c>
      <c r="AWW8" s="9"/>
      <c r="AWX8" s="9"/>
      <c r="AWY8" s="9"/>
      <c r="AWZ8" s="9"/>
    </row>
    <row r="9">
      <c r="A9" s="6">
        <v>46048.0</v>
      </c>
      <c r="B9" s="6">
        <v>46062.0</v>
      </c>
      <c r="C9" s="30" t="s">
        <v>1991</v>
      </c>
      <c r="D9" s="30" t="s">
        <v>2134</v>
      </c>
      <c r="E9" s="9">
        <f>+6285259236189</f>
        <v>6285259236189</v>
      </c>
      <c r="F9" s="9" t="s">
        <v>2135</v>
      </c>
      <c r="G9" s="8">
        <v>-5.379241</v>
      </c>
      <c r="H9" s="8">
        <v>119.363493</v>
      </c>
      <c r="I9" s="8">
        <v>58.70000076</v>
      </c>
      <c r="J9" s="8">
        <v>26.70700073</v>
      </c>
      <c r="K9" s="8">
        <v>0.0</v>
      </c>
      <c r="L9" s="9" t="s">
        <v>2136</v>
      </c>
      <c r="M9" s="8">
        <v>-5.379204</v>
      </c>
      <c r="N9" s="8">
        <v>119.363617</v>
      </c>
      <c r="O9" s="8">
        <v>58.70000076</v>
      </c>
      <c r="P9" s="8">
        <v>30.1079998</v>
      </c>
      <c r="Q9" s="8">
        <v>0.0</v>
      </c>
      <c r="R9" s="9" t="s">
        <v>1923</v>
      </c>
      <c r="S9" s="8">
        <v>0.0</v>
      </c>
      <c r="T9" s="8">
        <v>0.0</v>
      </c>
      <c r="U9" s="8">
        <v>0.0</v>
      </c>
      <c r="V9" s="8">
        <v>0.0</v>
      </c>
      <c r="W9" s="8">
        <v>0.0</v>
      </c>
      <c r="X9" s="8">
        <v>0.0</v>
      </c>
      <c r="Y9" s="8">
        <v>0.0</v>
      </c>
      <c r="Z9" s="8">
        <v>0.0</v>
      </c>
      <c r="AA9" s="8">
        <v>0.0</v>
      </c>
      <c r="AB9" s="8">
        <v>1.0</v>
      </c>
      <c r="AC9" s="7" t="s">
        <v>2113</v>
      </c>
      <c r="AD9" s="7" t="s">
        <v>2137</v>
      </c>
      <c r="AE9" s="7" t="s">
        <v>2138</v>
      </c>
      <c r="AF9" s="9" t="s">
        <v>1945</v>
      </c>
      <c r="AG9" s="9" t="s">
        <v>2139</v>
      </c>
      <c r="AH9" s="8">
        <v>14.0</v>
      </c>
      <c r="AI9" s="9" t="s">
        <v>933</v>
      </c>
      <c r="AJ9" s="9" t="s">
        <v>846</v>
      </c>
      <c r="AK9" s="8">
        <v>57.0</v>
      </c>
      <c r="AL9" s="9" t="s">
        <v>847</v>
      </c>
      <c r="AM9" s="9" t="s">
        <v>848</v>
      </c>
      <c r="AN9" s="9" t="s">
        <v>986</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11"/>
      <c r="BI9" s="9" t="s">
        <v>936</v>
      </c>
      <c r="BJ9" s="8">
        <v>2.0</v>
      </c>
      <c r="BK9" s="8">
        <v>2.0</v>
      </c>
      <c r="BL9" s="8">
        <v>1.0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1929</v>
      </c>
      <c r="CD9" s="8">
        <v>0.0</v>
      </c>
      <c r="CE9" s="8">
        <v>0.0</v>
      </c>
      <c r="CF9" s="8">
        <v>0.0</v>
      </c>
      <c r="CG9" s="8">
        <v>0.0</v>
      </c>
      <c r="CH9" s="8">
        <v>1.0</v>
      </c>
      <c r="CI9" s="8">
        <v>0.0</v>
      </c>
      <c r="CJ9" s="8">
        <v>0.0</v>
      </c>
      <c r="CK9" s="9"/>
      <c r="CL9" s="9" t="s">
        <v>857</v>
      </c>
      <c r="CM9" s="8">
        <v>2012.0</v>
      </c>
      <c r="CN9" s="9" t="s">
        <v>858</v>
      </c>
      <c r="CO9" s="9" t="s">
        <v>859</v>
      </c>
      <c r="CP9" s="9" t="s">
        <v>860</v>
      </c>
      <c r="CQ9" s="8">
        <v>0.0</v>
      </c>
      <c r="CR9" s="8">
        <v>0.0</v>
      </c>
      <c r="CS9" s="8">
        <v>0.0</v>
      </c>
      <c r="CT9" s="8">
        <v>0.0</v>
      </c>
      <c r="CU9" s="8">
        <v>1.0</v>
      </c>
      <c r="CV9" s="8">
        <v>0.0</v>
      </c>
      <c r="CW9" s="8">
        <v>0.0</v>
      </c>
      <c r="CX9" s="8">
        <v>0.0</v>
      </c>
      <c r="CY9" s="9" t="s">
        <v>1060</v>
      </c>
      <c r="CZ9" s="8">
        <v>1.0</v>
      </c>
      <c r="DA9" s="8">
        <v>1.0</v>
      </c>
      <c r="DB9" s="8">
        <v>0.0</v>
      </c>
      <c r="DC9" s="9"/>
      <c r="DD9" s="9" t="s">
        <v>861</v>
      </c>
      <c r="DE9" s="8">
        <v>0.0</v>
      </c>
      <c r="DF9" s="8">
        <v>0.0</v>
      </c>
      <c r="DG9" s="8">
        <v>1.0</v>
      </c>
      <c r="DH9" s="8">
        <v>0.0</v>
      </c>
      <c r="DI9" s="9"/>
      <c r="DJ9" s="9" t="s">
        <v>937</v>
      </c>
      <c r="DK9" s="8">
        <v>1.0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862</v>
      </c>
      <c r="EJ9" s="8">
        <v>0.0</v>
      </c>
      <c r="EK9" s="8">
        <v>0.0</v>
      </c>
      <c r="EL9" s="8">
        <v>0.0</v>
      </c>
      <c r="EM9" s="8">
        <v>1.0</v>
      </c>
      <c r="EN9" s="8">
        <v>0.0</v>
      </c>
      <c r="EO9" s="9"/>
      <c r="EP9" s="9" t="s">
        <v>1403</v>
      </c>
      <c r="EQ9" s="9" t="s">
        <v>864</v>
      </c>
      <c r="ER9" s="9" t="s">
        <v>1046</v>
      </c>
      <c r="ES9" s="8">
        <v>1.0</v>
      </c>
      <c r="ET9" s="8">
        <v>1.0</v>
      </c>
      <c r="EU9" s="8">
        <v>0.0</v>
      </c>
      <c r="EV9" s="8">
        <v>0.0</v>
      </c>
      <c r="EW9" s="9"/>
      <c r="EX9" s="9" t="s">
        <v>2140</v>
      </c>
      <c r="EY9" s="8">
        <v>1.0</v>
      </c>
      <c r="EZ9" s="8">
        <v>1.0</v>
      </c>
      <c r="FA9" s="8">
        <v>1.0</v>
      </c>
      <c r="FB9" s="9" t="s">
        <v>2141</v>
      </c>
      <c r="FC9" s="9" t="s">
        <v>1028</v>
      </c>
      <c r="FD9" s="9"/>
      <c r="FE9" s="9" t="s">
        <v>867</v>
      </c>
      <c r="FF9" s="9" t="s">
        <v>868</v>
      </c>
      <c r="FG9" s="9" t="s">
        <v>867</v>
      </c>
      <c r="FH9" s="9" t="s">
        <v>870</v>
      </c>
      <c r="FI9" s="9" t="s">
        <v>867</v>
      </c>
      <c r="FJ9" s="9" t="s">
        <v>868</v>
      </c>
      <c r="FK9" s="9" t="s">
        <v>867</v>
      </c>
      <c r="FL9" s="9" t="s">
        <v>870</v>
      </c>
      <c r="FM9" s="9" t="s">
        <v>867</v>
      </c>
      <c r="FN9" s="9" t="s">
        <v>869</v>
      </c>
      <c r="FO9" s="9" t="s">
        <v>867</v>
      </c>
      <c r="FP9" s="9" t="s">
        <v>870</v>
      </c>
      <c r="FQ9" s="9" t="s">
        <v>867</v>
      </c>
      <c r="FR9" s="9" t="s">
        <v>857</v>
      </c>
      <c r="FS9" s="9" t="s">
        <v>867</v>
      </c>
      <c r="FT9" s="9" t="s">
        <v>1130</v>
      </c>
      <c r="FU9" s="9" t="s">
        <v>2142</v>
      </c>
      <c r="FV9" s="8">
        <v>1.0</v>
      </c>
      <c r="FW9" s="8">
        <v>1.0</v>
      </c>
      <c r="FX9" s="8">
        <v>0.0</v>
      </c>
      <c r="FY9" s="8">
        <v>1.0</v>
      </c>
      <c r="FZ9" s="9" t="s">
        <v>873</v>
      </c>
      <c r="GA9" s="9" t="s">
        <v>990</v>
      </c>
      <c r="GB9" s="8">
        <v>1.0</v>
      </c>
      <c r="GC9" s="8">
        <v>1.0</v>
      </c>
      <c r="GD9" s="8">
        <v>0.0</v>
      </c>
      <c r="GE9" s="8">
        <v>0.0</v>
      </c>
      <c r="GF9" s="9"/>
      <c r="GG9" s="9" t="s">
        <v>961</v>
      </c>
      <c r="GH9" s="9" t="s">
        <v>857</v>
      </c>
      <c r="GI9" s="9" t="s">
        <v>1930</v>
      </c>
      <c r="GJ9" s="8">
        <v>1.0</v>
      </c>
      <c r="GK9" s="8">
        <v>1.0</v>
      </c>
      <c r="GL9" s="8">
        <v>1.0</v>
      </c>
      <c r="GM9" s="8">
        <v>0.0</v>
      </c>
      <c r="GN9" s="9"/>
      <c r="GO9" s="8">
        <v>8.0</v>
      </c>
      <c r="GP9" s="9" t="s">
        <v>1931</v>
      </c>
      <c r="GQ9" s="9" t="s">
        <v>1102</v>
      </c>
      <c r="GR9" s="8">
        <v>1.0</v>
      </c>
      <c r="GS9" s="8">
        <v>0.0</v>
      </c>
      <c r="GT9" s="8">
        <v>0.0</v>
      </c>
      <c r="GU9" s="8">
        <v>0.0</v>
      </c>
      <c r="GV9" s="8">
        <v>0.0</v>
      </c>
      <c r="GW9" s="8">
        <v>0.0</v>
      </c>
      <c r="GX9" s="8">
        <v>0.0</v>
      </c>
      <c r="GY9" s="9"/>
      <c r="GZ9" s="9" t="s">
        <v>857</v>
      </c>
      <c r="HA9" s="9"/>
      <c r="HB9" s="9"/>
      <c r="HC9" s="9"/>
      <c r="HD9" s="9"/>
      <c r="HE9" s="8">
        <v>12.0</v>
      </c>
      <c r="HF9" s="8">
        <v>76000.0</v>
      </c>
      <c r="HG9" s="8">
        <v>6.0</v>
      </c>
      <c r="HH9" s="8">
        <v>44000.0</v>
      </c>
      <c r="HI9" s="9"/>
      <c r="HJ9" s="9"/>
      <c r="HK9" s="9"/>
      <c r="HL9" s="9"/>
      <c r="HM9" s="9"/>
      <c r="HN9" s="9"/>
      <c r="HO9" s="9"/>
      <c r="HP9" s="9"/>
      <c r="HQ9" s="9"/>
      <c r="HR9" s="9"/>
      <c r="HS9" s="9"/>
      <c r="HT9" s="9"/>
      <c r="HU9" s="9"/>
      <c r="HV9" s="9"/>
      <c r="HW9" s="9"/>
      <c r="HX9" s="9"/>
      <c r="HY9" s="9"/>
      <c r="HZ9" s="9"/>
      <c r="IA9" s="8">
        <v>6.0</v>
      </c>
      <c r="IB9" s="8">
        <v>44000.0</v>
      </c>
      <c r="IC9" s="9"/>
      <c r="ID9" s="9"/>
      <c r="IE9" s="9"/>
      <c r="IF9" s="9"/>
      <c r="IG9" s="9"/>
      <c r="IH9" s="9"/>
      <c r="II9" s="9"/>
      <c r="IJ9" s="9"/>
      <c r="IK9" s="9" t="s">
        <v>971</v>
      </c>
      <c r="IL9" s="9" t="s">
        <v>880</v>
      </c>
      <c r="IM9" s="9" t="s">
        <v>857</v>
      </c>
      <c r="IN9" s="9" t="s">
        <v>857</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945</v>
      </c>
      <c r="KT9" s="9" t="s">
        <v>886</v>
      </c>
      <c r="KU9" s="9" t="s">
        <v>886</v>
      </c>
      <c r="KV9" s="9" t="s">
        <v>999</v>
      </c>
      <c r="KW9" s="8">
        <v>0.0</v>
      </c>
      <c r="KX9" s="8">
        <v>0.0</v>
      </c>
      <c r="KY9" s="8">
        <v>0.0</v>
      </c>
      <c r="KZ9" s="8">
        <v>1.0</v>
      </c>
      <c r="LA9" s="9" t="s">
        <v>884</v>
      </c>
      <c r="LB9" s="9" t="s">
        <v>884</v>
      </c>
      <c r="LC9" s="8">
        <v>3.0</v>
      </c>
      <c r="LD9" s="8">
        <v>2.0</v>
      </c>
      <c r="LE9" s="8">
        <v>0.0</v>
      </c>
      <c r="LF9" s="8">
        <v>0.0</v>
      </c>
      <c r="LG9" s="9" t="s">
        <v>857</v>
      </c>
      <c r="LH9" s="8">
        <v>1000000.0</v>
      </c>
      <c r="LI9" s="9"/>
      <c r="LJ9" s="9" t="s">
        <v>2143</v>
      </c>
      <c r="LK9" s="8">
        <v>1.0</v>
      </c>
      <c r="LL9" s="8">
        <v>0.0</v>
      </c>
      <c r="LM9" s="8">
        <v>0.0</v>
      </c>
      <c r="LN9" s="8">
        <v>1.0</v>
      </c>
      <c r="LO9" s="8">
        <v>1.0</v>
      </c>
      <c r="LP9" s="8">
        <v>0.0</v>
      </c>
      <c r="LQ9" s="8">
        <v>0.0</v>
      </c>
      <c r="LR9" s="11"/>
      <c r="LS9" s="8">
        <v>30.0</v>
      </c>
      <c r="LT9" s="8">
        <v>0.0</v>
      </c>
      <c r="LU9" s="8">
        <v>30.0</v>
      </c>
      <c r="LV9" s="8">
        <v>5.0</v>
      </c>
      <c r="LW9" s="8">
        <v>0.0</v>
      </c>
      <c r="LX9" s="8">
        <v>5.0</v>
      </c>
      <c r="LY9" s="8">
        <v>10.0</v>
      </c>
      <c r="LZ9" s="8">
        <v>0.0</v>
      </c>
      <c r="MA9" s="8">
        <v>10.0</v>
      </c>
      <c r="MB9" s="9" t="s">
        <v>857</v>
      </c>
      <c r="MC9" s="8">
        <v>0.0</v>
      </c>
      <c r="MD9" s="8">
        <v>0.0</v>
      </c>
      <c r="ME9" s="8">
        <v>0.0</v>
      </c>
      <c r="MF9" s="8">
        <v>0.0</v>
      </c>
      <c r="MG9" s="8">
        <v>0.0</v>
      </c>
      <c r="MH9" s="8">
        <v>0.0</v>
      </c>
      <c r="MI9" s="9" t="s">
        <v>2144</v>
      </c>
      <c r="MJ9" s="8">
        <v>0.0</v>
      </c>
      <c r="MK9" s="8">
        <v>1.0</v>
      </c>
      <c r="ML9" s="8">
        <v>1.0</v>
      </c>
      <c r="MM9" s="8">
        <v>0.0</v>
      </c>
      <c r="MN9" s="8">
        <v>1.0</v>
      </c>
      <c r="MO9" s="8">
        <v>0.0</v>
      </c>
      <c r="MP9" s="9"/>
      <c r="MQ9" s="17" t="s">
        <v>2145</v>
      </c>
      <c r="MR9" s="17" t="s">
        <v>2145</v>
      </c>
      <c r="MS9" s="17" t="s">
        <v>2146</v>
      </c>
      <c r="MT9" s="9"/>
      <c r="MU9" s="9" t="s">
        <v>1030</v>
      </c>
      <c r="MV9" s="9" t="s">
        <v>2147</v>
      </c>
      <c r="MW9" s="8">
        <v>1.0</v>
      </c>
      <c r="MX9" s="8">
        <v>0.0</v>
      </c>
      <c r="MY9" s="8">
        <v>1.0</v>
      </c>
      <c r="MZ9" s="8">
        <v>0.0</v>
      </c>
      <c r="NA9" s="9"/>
      <c r="NB9" s="9"/>
      <c r="NC9" s="9" t="s">
        <v>2148</v>
      </c>
      <c r="ND9" s="8">
        <v>1.0</v>
      </c>
      <c r="NE9" s="8">
        <v>1.0</v>
      </c>
      <c r="NF9" s="8">
        <v>100.0</v>
      </c>
      <c r="NG9" s="8">
        <v>2000.0</v>
      </c>
      <c r="NH9" s="38"/>
      <c r="NI9" s="8">
        <v>10000.0</v>
      </c>
      <c r="NJ9" s="8">
        <v>1000.0</v>
      </c>
      <c r="NK9" s="38" t="s">
        <v>2149</v>
      </c>
      <c r="NL9" s="9" t="s">
        <v>857</v>
      </c>
      <c r="NM9" s="9" t="s">
        <v>893</v>
      </c>
      <c r="NN9" s="17" t="s">
        <v>2150</v>
      </c>
      <c r="NO9" s="17" t="s">
        <v>895</v>
      </c>
      <c r="NP9" s="9"/>
      <c r="NQ9" s="9"/>
      <c r="NR9" s="9"/>
      <c r="NS9" s="9"/>
      <c r="NT9" s="9"/>
      <c r="NU9" s="9"/>
      <c r="NV9" s="17" t="s">
        <v>896</v>
      </c>
      <c r="NW9" s="9"/>
      <c r="NX9" s="9" t="s">
        <v>897</v>
      </c>
      <c r="NY9" s="8">
        <v>60.0</v>
      </c>
      <c r="NZ9" s="8">
        <v>10.0</v>
      </c>
      <c r="OA9" s="8">
        <v>0.0</v>
      </c>
      <c r="OB9" s="8">
        <v>0.0</v>
      </c>
      <c r="OC9" s="8">
        <v>30.0</v>
      </c>
      <c r="OD9" s="8">
        <v>0.0</v>
      </c>
      <c r="OE9" s="9" t="s">
        <v>898</v>
      </c>
      <c r="OF9" s="9" t="s">
        <v>899</v>
      </c>
      <c r="OG9" s="9" t="s">
        <v>857</v>
      </c>
      <c r="OH9" s="8">
        <v>25.0</v>
      </c>
      <c r="OI9" s="8">
        <v>0.0</v>
      </c>
      <c r="OJ9" s="8">
        <v>0.0</v>
      </c>
      <c r="OK9" s="8">
        <v>0.0</v>
      </c>
      <c r="OL9" s="8">
        <v>0.0</v>
      </c>
      <c r="OM9" s="8">
        <v>0.0</v>
      </c>
      <c r="ON9" s="8">
        <v>40.0</v>
      </c>
      <c r="OO9" s="8">
        <v>0.0</v>
      </c>
      <c r="OP9" s="9" t="str">
        <f>VLOOKUP(AG9,'BUS 2'!$G$1:$CU$424,2,0)</f>
        <v>Sapi pedaging Ayam</v>
      </c>
      <c r="OQ9" s="8">
        <f>VLOOKUP(AG9,'BUS 2'!$G$1:$CU$424,3,0)</f>
        <v>1</v>
      </c>
      <c r="OR9" s="8">
        <f>VLOOKUP(AG9,'BUS 2'!$G$1:$CU$424,4,0)</f>
        <v>0</v>
      </c>
      <c r="OS9" s="8">
        <f>VLOOKUP(AG9,'BUS 2'!$G$1:$CU$424,5,0)</f>
        <v>0</v>
      </c>
      <c r="OT9" s="8">
        <f>VLOOKUP(AG9,'BUS 2'!$G$1:$CU$424,6,0)</f>
        <v>0</v>
      </c>
      <c r="OU9" s="8">
        <f>VLOOKUP(AG9,'BUS 2'!$G$1:$CU$424,7,0)</f>
        <v>0</v>
      </c>
      <c r="OV9" s="8">
        <f>VLOOKUP(AG9,'BUS 2'!$G$1:$CU$424,8,0)</f>
        <v>0</v>
      </c>
      <c r="OW9" s="8">
        <f>VLOOKUP(AG9,'BUS 2'!$G$1:$CU$424,9,0)</f>
        <v>1</v>
      </c>
      <c r="OX9" s="8">
        <f>VLOOKUP(AG9,'BUS 2'!$G$1:$CU$424,10,0)</f>
        <v>0</v>
      </c>
      <c r="OY9" s="8">
        <f>VLOOKUP(AG9,'BUS 2'!$G$1:$CU$424,11,0)</f>
        <v>0</v>
      </c>
      <c r="OZ9" s="8" t="str">
        <f>VLOOKUP(AG9,'BUS 2'!$G$1:$CU$424,12,0)</f>
        <v>Sapi pedaging Ayam</v>
      </c>
      <c r="PA9" s="8">
        <f>VLOOKUP(AG9,'BUS 2'!$G$1:$CU$424,13,0)</f>
        <v>1</v>
      </c>
      <c r="PB9" s="8">
        <f>VLOOKUP(AG9,'BUS 2'!$G$1:$CU$424,14,0)</f>
        <v>0</v>
      </c>
      <c r="PC9" s="8">
        <f>VLOOKUP(AG9,'BUS 2'!$G$1:$CU$424,15,0)</f>
        <v>0</v>
      </c>
      <c r="PD9" s="8">
        <f>VLOOKUP(AG9,'BUS 2'!$G$1:$CU$424,16,0)</f>
        <v>0</v>
      </c>
      <c r="PE9" s="8">
        <f>VLOOKUP(AG9,'BUS 2'!$G$1:$CU$424,17,0)</f>
        <v>0</v>
      </c>
      <c r="PF9" s="8">
        <f>VLOOKUP(AG9,'BUS 2'!$G$1:$CU$424,18,0)</f>
        <v>0</v>
      </c>
      <c r="PG9" s="8">
        <f>VLOOKUP(AG9,'BUS 2'!$G$1:$CU$424,19,0)</f>
        <v>1</v>
      </c>
      <c r="PH9" s="8">
        <f>VLOOKUP(AG9,'BUS 2'!$G$1:$CU$424,20,0)</f>
        <v>0</v>
      </c>
      <c r="PI9" s="8">
        <f>VLOOKUP(AG9,'BUS 2'!$G$1:$CU$424,21,0)</f>
        <v>0</v>
      </c>
      <c r="PJ9" s="8" t="str">
        <f>VLOOKUP(AG9,'BUS 2'!$G$1:$CU$424,22,0)</f>
        <v>Sapi pedaging Ayam</v>
      </c>
      <c r="PK9" s="8">
        <f>VLOOKUP(AG9,'BUS 2'!$G$1:$CU$424,23,0)</f>
        <v>1</v>
      </c>
      <c r="PL9" s="8">
        <f>VLOOKUP(AG9,'BUS 2'!$G$1:$CU$424,24,0)</f>
        <v>0</v>
      </c>
      <c r="PM9" s="8">
        <f>VLOOKUP(AG9,'BUS 2'!$G$1:$CU$424,25,0)</f>
        <v>0</v>
      </c>
      <c r="PN9" s="8">
        <f>VLOOKUP(AG9,'BUS 2'!$G$1:$CU$424,26,0)</f>
        <v>0</v>
      </c>
      <c r="PO9" s="8">
        <f>VLOOKUP(AG9,'BUS 2'!$G$1:$CU$424,27,0)</f>
        <v>0</v>
      </c>
      <c r="PP9" s="8">
        <f>VLOOKUP(AG9,'BUS 2'!$G$1:$CU$424,28,0)</f>
        <v>0</v>
      </c>
      <c r="PQ9" s="8">
        <f>VLOOKUP(AG9,'BUS 2'!$G$1:$CU$424,29,0)</f>
        <v>1</v>
      </c>
      <c r="PR9" s="8">
        <f>VLOOKUP(AG9,'BUS 2'!$G$1:$CU$424,30,0)</f>
        <v>0</v>
      </c>
      <c r="PS9" s="8">
        <f>VLOOKUP(AG9,'BUS 2'!$G$1:$CU$424,31,0)</f>
        <v>0</v>
      </c>
      <c r="PT9" s="9" t="s">
        <v>900</v>
      </c>
      <c r="PU9" s="8">
        <v>0.0</v>
      </c>
      <c r="PV9" s="8">
        <v>0.0</v>
      </c>
      <c r="PW9" s="8">
        <v>0.0</v>
      </c>
      <c r="PX9" s="8">
        <v>0.0</v>
      </c>
      <c r="PY9" s="8">
        <v>0.0</v>
      </c>
      <c r="PZ9" s="8">
        <v>1.0</v>
      </c>
      <c r="QA9" s="8">
        <v>0.0</v>
      </c>
      <c r="QB9" s="8">
        <v>0.0</v>
      </c>
      <c r="QC9" s="8">
        <v>0.0</v>
      </c>
      <c r="QD9" s="9"/>
      <c r="QE9" s="32"/>
      <c r="QF9" s="31"/>
      <c r="QG9" s="31"/>
      <c r="QH9" s="31"/>
      <c r="QI9" s="31"/>
      <c r="QJ9" s="31"/>
      <c r="QK9" s="32"/>
      <c r="QL9" s="32"/>
      <c r="QM9" s="32"/>
      <c r="QN9" s="32"/>
      <c r="QO9" s="32"/>
      <c r="QP9" s="32"/>
      <c r="QQ9" s="32"/>
      <c r="QR9" s="32"/>
      <c r="QS9" s="32"/>
      <c r="QT9" s="32"/>
      <c r="QU9" s="32"/>
      <c r="QV9" s="32"/>
      <c r="QW9" s="31"/>
      <c r="QX9" s="31"/>
      <c r="QY9" s="31"/>
      <c r="QZ9" s="31"/>
      <c r="RA9" s="31"/>
      <c r="RB9" s="32"/>
      <c r="RC9" s="32"/>
      <c r="RD9" s="32"/>
      <c r="RE9" s="32"/>
      <c r="RF9" s="32"/>
      <c r="RG9" s="9"/>
      <c r="RH9" s="31"/>
      <c r="RI9" s="31"/>
      <c r="RJ9" s="31"/>
      <c r="RK9" s="31"/>
      <c r="RL9" s="31"/>
      <c r="RM9" s="9"/>
      <c r="RN9" s="9"/>
      <c r="RO9" s="9"/>
      <c r="RP9" s="9"/>
      <c r="RQ9" s="9"/>
      <c r="RR9" s="9"/>
      <c r="RS9" s="31"/>
      <c r="RT9" s="31"/>
      <c r="RU9" s="31"/>
      <c r="RV9" s="31"/>
      <c r="RW9" s="31"/>
      <c r="RX9" s="9"/>
      <c r="RY9" s="9"/>
      <c r="RZ9" s="9"/>
      <c r="SA9" s="9"/>
      <c r="SB9" s="9"/>
      <c r="SC9" s="9" t="s">
        <v>900</v>
      </c>
      <c r="SD9" s="35">
        <v>0.0</v>
      </c>
      <c r="SE9" s="35">
        <v>0.0</v>
      </c>
      <c r="SF9" s="35">
        <v>0.0</v>
      </c>
      <c r="SG9" s="35">
        <v>0.0</v>
      </c>
      <c r="SH9" s="35">
        <v>0.0</v>
      </c>
      <c r="SI9" s="8">
        <v>1.0</v>
      </c>
      <c r="SJ9" s="8">
        <v>0.0</v>
      </c>
      <c r="SK9" s="8">
        <v>0.0</v>
      </c>
      <c r="SL9" s="8">
        <v>0.0</v>
      </c>
      <c r="SM9" s="9"/>
      <c r="SN9" s="9"/>
      <c r="SO9" s="31"/>
      <c r="SP9" s="31"/>
      <c r="SQ9" s="31"/>
      <c r="SR9" s="31"/>
      <c r="SS9" s="31"/>
      <c r="ST9" s="9"/>
      <c r="SU9" s="9"/>
      <c r="SV9" s="9"/>
      <c r="SW9" s="9"/>
      <c r="SX9" s="9"/>
      <c r="SY9" s="8">
        <f>VLOOKUP(AG9,'BUS 2'!$G$1:$CU$424,33,0)</f>
        <v>7</v>
      </c>
      <c r="SZ9" s="9" t="str">
        <f>VLOOKUP(AG9,'BUS 2'!$G$1:$CU$424,34,0)</f>
        <v/>
      </c>
      <c r="TA9" s="9" t="str">
        <f>VLOOKUP(AG9,'BUS 2'!$G$1:$CU$424,35,0)</f>
        <v/>
      </c>
      <c r="TB9" s="9" t="str">
        <f>VLOOKUP(AG9,'BUS 2'!$G$1:$CU$424,36,0)</f>
        <v/>
      </c>
      <c r="TC9" s="9" t="str">
        <f>VLOOKUP(AG9,'BUS 2'!$G$1:$CU$424,37,0)</f>
        <v/>
      </c>
      <c r="TD9" s="9" t="str">
        <f>VLOOKUP(AG9,'BUS 2'!$G$1:$CU$424,38,0)</f>
        <v/>
      </c>
      <c r="TE9" s="9">
        <f>VLOOKUP(AG9,'BUS 2'!$G$1:$CU$424,39,0)</f>
        <v>10</v>
      </c>
      <c r="TF9" s="9" t="str">
        <f>VLOOKUP(AG9,'BUS 2'!$G$1:$CU$424,40,0)</f>
        <v/>
      </c>
      <c r="TG9" s="8">
        <f>VLOOKUP(AG9,'BUS 2'!$G$1:$CU$424,42,0)</f>
        <v>25</v>
      </c>
      <c r="TH9" s="8" t="str">
        <f>VLOOKUP(AG9,'BUS 2'!$G$1:$CU$424,43,0)</f>
        <v/>
      </c>
      <c r="TI9" s="8" t="str">
        <f>VLOOKUP(AG9,'BUS 2'!$G$1:$CU$424,44,0)</f>
        <v/>
      </c>
      <c r="TJ9" s="8" t="str">
        <f>VLOOKUP(AG9,'BUS 2'!$G$1:$CU$424,45,0)</f>
        <v/>
      </c>
      <c r="TK9" s="8" t="str">
        <f>VLOOKUP(AG9,'BUS 2'!$G$1:$CU$424,46,0)</f>
        <v/>
      </c>
      <c r="TL9" s="8" t="str">
        <f>VLOOKUP(AG9,'BUS 2'!$G$1:$CU$424,47,0)</f>
        <v/>
      </c>
      <c r="TM9" s="8">
        <f>VLOOKUP(AG9,'BUS 2'!$G$1:$CU$424,48,0)</f>
        <v>40</v>
      </c>
      <c r="TN9" s="8" t="str">
        <f>VLOOKUP(AG9,'BUS 2'!$G$1:$CU$424,49,0)</f>
        <v/>
      </c>
      <c r="TO9" s="8">
        <f>VLOOKUP(AG9,'BUS 2'!$G$1:$CU$424,50,0)</f>
        <v>6</v>
      </c>
      <c r="TP9" s="8">
        <f>VLOOKUP(AG9,'BUS 2'!$G$1:$CU$424,51,0)</f>
        <v>0</v>
      </c>
      <c r="TQ9" s="8">
        <f>VLOOKUP(AG9,'BUS 2'!$G$1:$CU$424,52,0)</f>
        <v>4</v>
      </c>
      <c r="TR9" s="8">
        <f>VLOOKUP(AG9,'BUS 2'!$G$1:$CU$424,53,0)</f>
        <v>2</v>
      </c>
      <c r="TS9" s="9" t="str">
        <f>VLOOKUP(AG9,'BUS 2'!$G$1:$CU$424,54,0)</f>
        <v/>
      </c>
      <c r="TT9" s="9" t="str">
        <f>VLOOKUP(AG9,'BUS 2'!$G$1:$CU$424,55,0)</f>
        <v/>
      </c>
      <c r="TU9" s="9" t="str">
        <f>VLOOKUP(AG9,'BUS 2'!$G$1:$CU$424,56,0)</f>
        <v/>
      </c>
      <c r="TV9" s="9" t="str">
        <f>VLOOKUP(AG9,'BUS 2'!$G$1:$CU$424,57,0)</f>
        <v/>
      </c>
      <c r="TW9" s="9" t="str">
        <f>VLOOKUP(AG9,'BUS 2'!$G$1:$CU$424,58,0)</f>
        <v/>
      </c>
      <c r="TX9" s="9" t="str">
        <f>VLOOKUP(AG9,'BUS 2'!$G$1:$CU$424,59,0)</f>
        <v/>
      </c>
      <c r="TY9" s="9" t="str">
        <f>VLOOKUP(AG9,'BUS 2'!$G$1:$CU$424,60,0)</f>
        <v/>
      </c>
      <c r="TZ9" s="9" t="str">
        <f>VLOOKUP(AG9,'BUS 2'!$G$1:$CU$424,61,0)</f>
        <v/>
      </c>
      <c r="UA9" s="9" t="str">
        <f>VLOOKUP(AG9,'BUS 2'!$G$1:$CU$424,62,0)</f>
        <v/>
      </c>
      <c r="UB9" s="9" t="str">
        <f>VLOOKUP(AG9,'BUS 2'!$G$1:$CU$424,63,0)</f>
        <v/>
      </c>
      <c r="UC9" s="9" t="str">
        <f>VLOOKUP(AG9,'BUS 2'!$G$1:$CU$424,64,0)</f>
        <v/>
      </c>
      <c r="UD9" s="9" t="str">
        <f>VLOOKUP(AG9,'BUS 2'!$G$1:$CU$424,65,0)</f>
        <v/>
      </c>
      <c r="UE9" s="9" t="str">
        <f>VLOOKUP(AG9,'BUS 2'!$G$1:$CU$424,66,0)</f>
        <v/>
      </c>
      <c r="UF9" s="9" t="str">
        <f>VLOOKUP(AG9,'BUS 2'!$G$1:$CU$424,67,0)</f>
        <v/>
      </c>
      <c r="UG9" s="9" t="str">
        <f>VLOOKUP(AG9,'BUS 2'!$G$1:$CU$424,68,0)</f>
        <v/>
      </c>
      <c r="UH9" s="9" t="str">
        <f>VLOOKUP(AG9,'BUS 2'!$G$1:$CU$424,69,0)</f>
        <v/>
      </c>
      <c r="UI9" s="9" t="str">
        <f>VLOOKUP(AG9,'BUS 2'!$G$1:$CU$424,70,0)</f>
        <v/>
      </c>
      <c r="UJ9" s="9" t="str">
        <f>VLOOKUP(AG9,'BUS 2'!$G$1:$CU$424,71,0)</f>
        <v/>
      </c>
      <c r="UK9" s="9" t="str">
        <f>VLOOKUP(AG9,'BUS 2'!$G$1:$CU$424,72,0)</f>
        <v/>
      </c>
      <c r="UL9" s="9" t="str">
        <f>VLOOKUP(AG9,'BUS 2'!$G$1:$CU$424,73,0)</f>
        <v/>
      </c>
      <c r="UM9" s="9">
        <f>VLOOKUP(AG9,'BUS 2'!$G$1:$CU$424,74,0)</f>
        <v>0</v>
      </c>
      <c r="UN9" s="9">
        <f>VLOOKUP(AG9,'BUS 2'!$G$1:$CU$424,75,0)</f>
        <v>0</v>
      </c>
      <c r="UO9" s="9">
        <f>VLOOKUP(AG9,'BUS 2'!$G$1:$CU$424,76,0)</f>
        <v>0</v>
      </c>
      <c r="UP9" s="9">
        <f>VLOOKUP(AG9,'BUS 2'!$G$1:$CU$424,77,0)</f>
        <v>0</v>
      </c>
      <c r="UQ9" s="9" t="str">
        <f>VLOOKUP(AG9,'BUS 2'!$G$1:$CU$424,78,0)</f>
        <v/>
      </c>
      <c r="UR9" s="9" t="str">
        <f>VLOOKUP(AG9,'BUS 2'!$G$1:$CU$424,79,0)</f>
        <v/>
      </c>
      <c r="US9" s="9" t="str">
        <f>VLOOKUP(AG9,'BUS 2'!$G$1:$CU$424,80,0)</f>
        <v/>
      </c>
      <c r="UT9" s="9" t="str">
        <f>VLOOKUP(AG9,'BUS 2'!$G$1:$CU$424,81,0)</f>
        <v/>
      </c>
      <c r="UU9" s="9" t="s">
        <v>1937</v>
      </c>
      <c r="UV9" s="9"/>
      <c r="UW9" s="9"/>
      <c r="UX9" s="9"/>
      <c r="UY9" s="9"/>
      <c r="UZ9" s="9"/>
      <c r="VA9" s="9" t="s">
        <v>1937</v>
      </c>
      <c r="VB9" s="9"/>
      <c r="VC9" s="9" t="s">
        <v>1938</v>
      </c>
      <c r="VD9" s="9"/>
      <c r="VE9" s="9"/>
      <c r="VF9" s="9"/>
      <c r="VG9" s="9"/>
      <c r="VH9" s="9"/>
      <c r="VI9" s="9" t="s">
        <v>1938</v>
      </c>
      <c r="VJ9" s="9"/>
      <c r="VK9" s="9" t="s">
        <v>1158</v>
      </c>
      <c r="VL9" s="9"/>
      <c r="VM9" s="9"/>
      <c r="VN9" s="9"/>
      <c r="VO9" s="9"/>
      <c r="VP9" s="9"/>
      <c r="VQ9" s="9" t="s">
        <v>2040</v>
      </c>
      <c r="VR9" s="9"/>
      <c r="VS9" s="9" t="s">
        <v>2151</v>
      </c>
      <c r="VT9" s="8">
        <v>0.0</v>
      </c>
      <c r="VU9" s="8">
        <v>0.0</v>
      </c>
      <c r="VV9" s="8">
        <v>0.0</v>
      </c>
      <c r="VW9" s="8">
        <v>0.0</v>
      </c>
      <c r="VX9" s="8">
        <v>1.0</v>
      </c>
      <c r="VY9" s="8">
        <v>1.0</v>
      </c>
      <c r="VZ9" s="8">
        <v>0.0</v>
      </c>
      <c r="WA9" s="8">
        <v>0.0</v>
      </c>
      <c r="WB9" s="8">
        <v>0.0</v>
      </c>
      <c r="WC9" s="8">
        <v>1.0</v>
      </c>
      <c r="WD9" s="8">
        <v>0.0</v>
      </c>
      <c r="WE9" s="8">
        <v>0.0</v>
      </c>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t="s">
        <v>951</v>
      </c>
      <c r="YO9" s="8">
        <v>0.0</v>
      </c>
      <c r="YP9" s="8">
        <v>0.0</v>
      </c>
      <c r="YQ9" s="8">
        <v>0.0</v>
      </c>
      <c r="YR9" s="8">
        <v>0.0</v>
      </c>
      <c r="YS9" s="8">
        <v>0.0</v>
      </c>
      <c r="YT9" s="8">
        <v>0.0</v>
      </c>
      <c r="YU9" s="8">
        <v>1.0</v>
      </c>
      <c r="YV9" s="8">
        <v>0.0</v>
      </c>
      <c r="YW9" s="8">
        <v>0.0</v>
      </c>
      <c r="YX9" s="8">
        <v>0.0</v>
      </c>
      <c r="YY9" s="8">
        <v>0.0</v>
      </c>
      <c r="YZ9" s="8">
        <v>0.0</v>
      </c>
      <c r="ZA9" s="9"/>
      <c r="ZB9" s="9"/>
      <c r="ZC9" s="9"/>
      <c r="ZD9" s="9"/>
      <c r="ZE9" s="9"/>
      <c r="ZF9" s="9"/>
      <c r="ZG9" s="9"/>
      <c r="ZH9" s="9"/>
      <c r="ZI9" s="9"/>
      <c r="ZJ9" s="9"/>
      <c r="ZK9" s="9"/>
      <c r="ZL9" s="9"/>
      <c r="ZM9" s="9"/>
      <c r="ZN9" s="8">
        <v>20.0</v>
      </c>
      <c r="ZO9" s="9"/>
      <c r="ZP9" s="9"/>
      <c r="ZQ9" s="9"/>
      <c r="ZR9" s="9"/>
      <c r="ZS9" s="9"/>
      <c r="ZT9" s="9"/>
      <c r="ZU9" s="9"/>
      <c r="ZV9" s="8">
        <v>3.0</v>
      </c>
      <c r="ZW9" s="9"/>
      <c r="ZX9" s="9"/>
      <c r="ZY9" s="9"/>
      <c r="ZZ9" s="9"/>
      <c r="AAA9" s="9"/>
      <c r="AAB9" s="8">
        <v>3.0</v>
      </c>
      <c r="AAC9" s="9"/>
      <c r="AAD9" s="9" t="s">
        <v>1186</v>
      </c>
      <c r="AAE9" s="9"/>
      <c r="AAF9" s="9"/>
      <c r="AAG9" s="9"/>
      <c r="AAH9" s="9"/>
      <c r="AAI9" s="9"/>
      <c r="AAJ9" s="9" t="s">
        <v>905</v>
      </c>
      <c r="AAK9" s="9"/>
      <c r="AAL9" s="9" t="s">
        <v>857</v>
      </c>
      <c r="AAM9" s="9" t="s">
        <v>1033</v>
      </c>
      <c r="AAN9" s="8">
        <v>1.0</v>
      </c>
      <c r="AAO9" s="8">
        <v>1.0</v>
      </c>
      <c r="AAP9" s="8">
        <v>1.0</v>
      </c>
      <c r="AAQ9" s="8">
        <v>10.0</v>
      </c>
      <c r="AAR9" s="9" t="s">
        <v>857</v>
      </c>
      <c r="AAS9" s="9" t="s">
        <v>867</v>
      </c>
      <c r="AAT9" s="9" t="s">
        <v>2152</v>
      </c>
      <c r="AAU9" s="8">
        <v>1.0</v>
      </c>
      <c r="AAV9" s="8">
        <v>0.0</v>
      </c>
      <c r="AAW9" s="8">
        <v>1.0</v>
      </c>
      <c r="AAX9" s="8">
        <v>1.0</v>
      </c>
      <c r="AAY9" s="8">
        <v>1.0</v>
      </c>
      <c r="AAZ9" s="8">
        <v>1.0</v>
      </c>
      <c r="ABA9" s="8">
        <v>0.0</v>
      </c>
      <c r="ABB9" s="9" t="s">
        <v>2153</v>
      </c>
      <c r="ABC9" s="8">
        <v>1.0</v>
      </c>
      <c r="ABD9" s="8">
        <v>0.0</v>
      </c>
      <c r="ABE9" s="8">
        <v>1.0</v>
      </c>
      <c r="ABF9" s="8">
        <v>1.0</v>
      </c>
      <c r="ABG9" s="8">
        <v>0.0</v>
      </c>
      <c r="ABH9" s="9"/>
      <c r="ABI9" s="9"/>
      <c r="ABJ9" s="9"/>
      <c r="ABK9" s="9"/>
      <c r="ABL9" s="9"/>
      <c r="ABM9" s="9"/>
      <c r="ABN9" s="9"/>
      <c r="ABO9" s="9"/>
      <c r="ABP9" s="9" t="s">
        <v>2154</v>
      </c>
      <c r="ABQ9" s="9" t="s">
        <v>2155</v>
      </c>
      <c r="ABR9" s="9" t="s">
        <v>909</v>
      </c>
      <c r="ABS9" s="8">
        <v>40000.0</v>
      </c>
      <c r="ABT9" s="8">
        <v>20000.0</v>
      </c>
      <c r="ABU9" s="8">
        <v>7.0</v>
      </c>
      <c r="ABV9" s="8">
        <v>0.0</v>
      </c>
      <c r="ABW9" s="9" t="s">
        <v>1199</v>
      </c>
      <c r="ABX9" s="9"/>
      <c r="ABY9" s="8">
        <v>750.0</v>
      </c>
      <c r="ABZ9" s="8">
        <v>2200.0</v>
      </c>
      <c r="ACA9" s="8">
        <v>350.0</v>
      </c>
      <c r="ACB9" s="8">
        <v>1800.0</v>
      </c>
      <c r="ACC9" s="8">
        <v>13607.0</v>
      </c>
      <c r="ACD9" s="8">
        <v>18143.0</v>
      </c>
      <c r="ACE9" s="9" t="s">
        <v>881</v>
      </c>
      <c r="ACF9" s="9" t="s">
        <v>911</v>
      </c>
      <c r="ACG9" s="9" t="s">
        <v>911</v>
      </c>
      <c r="ACH9" s="9" t="s">
        <v>911</v>
      </c>
      <c r="ACI9" s="9"/>
      <c r="ACJ9" s="9"/>
      <c r="ACK9" s="9" t="s">
        <v>2156</v>
      </c>
      <c r="ACL9" s="8">
        <v>0.0</v>
      </c>
      <c r="ACM9" s="8">
        <v>0.0</v>
      </c>
      <c r="ACN9" s="8">
        <v>1.0</v>
      </c>
      <c r="ACO9" s="8">
        <v>0.0</v>
      </c>
      <c r="ACP9" s="8">
        <v>0.0</v>
      </c>
      <c r="ACQ9" s="8">
        <v>0.0</v>
      </c>
      <c r="ACR9" s="8">
        <v>0.0</v>
      </c>
      <c r="ACS9" s="9"/>
      <c r="ACT9" s="9" t="s">
        <v>2157</v>
      </c>
      <c r="ACU9" s="9" t="s">
        <v>1390</v>
      </c>
      <c r="ACV9" s="9" t="s">
        <v>914</v>
      </c>
      <c r="ACW9" s="9" t="s">
        <v>915</v>
      </c>
      <c r="ACX9" s="9" t="s">
        <v>958</v>
      </c>
      <c r="ACY9" s="9" t="s">
        <v>915</v>
      </c>
      <c r="ACZ9" s="8">
        <v>0.0</v>
      </c>
      <c r="ADA9" s="8">
        <v>1.0</v>
      </c>
      <c r="ADB9" s="8">
        <v>0.0</v>
      </c>
      <c r="ADC9" s="8">
        <v>0.0</v>
      </c>
      <c r="ADD9" s="9" t="s">
        <v>918</v>
      </c>
      <c r="ADE9" s="9" t="s">
        <v>1187</v>
      </c>
      <c r="ADF9" s="9" t="s">
        <v>1187</v>
      </c>
      <c r="ADG9" s="9" t="s">
        <v>917</v>
      </c>
      <c r="ADH9" s="9" t="s">
        <v>857</v>
      </c>
      <c r="ADI9" s="9" t="s">
        <v>2031</v>
      </c>
      <c r="ADJ9" s="9" t="s">
        <v>917</v>
      </c>
      <c r="ADK9" s="9"/>
      <c r="ADL9" s="9"/>
      <c r="ADM9" s="9"/>
      <c r="ADN9" s="9"/>
      <c r="ADO9" s="9"/>
      <c r="ADP9" s="9"/>
      <c r="ADQ9" s="9"/>
      <c r="ADR9" s="9"/>
      <c r="ADS9" s="9"/>
      <c r="ADT9" s="9"/>
      <c r="ADU9" s="9" t="s">
        <v>2046</v>
      </c>
      <c r="ADV9" s="8">
        <v>0.0</v>
      </c>
      <c r="ADW9" s="8">
        <v>0.0</v>
      </c>
      <c r="ADX9" s="8">
        <v>0.0</v>
      </c>
      <c r="ADY9" s="8">
        <v>0.0</v>
      </c>
      <c r="ADZ9" s="8">
        <v>0.0</v>
      </c>
      <c r="AEA9" s="8">
        <v>1.0</v>
      </c>
      <c r="AEB9" s="8">
        <v>0.0</v>
      </c>
      <c r="AEC9" s="8">
        <v>0.0</v>
      </c>
      <c r="AED9" s="9" t="s">
        <v>2158</v>
      </c>
      <c r="AEE9" s="9" t="s">
        <v>969</v>
      </c>
      <c r="AEF9" s="9" t="s">
        <v>2158</v>
      </c>
      <c r="AEG9" s="9" t="s">
        <v>969</v>
      </c>
      <c r="AEH9" s="9" t="s">
        <v>2158</v>
      </c>
      <c r="AEI9" s="9" t="s">
        <v>2159</v>
      </c>
      <c r="AEJ9" s="9" t="s">
        <v>871</v>
      </c>
      <c r="AEK9" s="9" t="s">
        <v>2160</v>
      </c>
      <c r="AEL9" s="8">
        <v>1.0</v>
      </c>
      <c r="AEM9" s="8">
        <v>1.0</v>
      </c>
      <c r="AEN9" s="8">
        <v>0.0</v>
      </c>
      <c r="AEO9" s="8">
        <v>1.0</v>
      </c>
      <c r="AEP9" s="8">
        <v>1.0</v>
      </c>
      <c r="AEQ9" s="8">
        <v>0.0</v>
      </c>
      <c r="AER9" s="8">
        <v>1.0</v>
      </c>
      <c r="AES9" s="8">
        <v>1.0</v>
      </c>
      <c r="AET9" s="8">
        <v>1.0</v>
      </c>
      <c r="AEU9" s="8">
        <v>0.0</v>
      </c>
      <c r="AEV9" s="8">
        <v>1.0</v>
      </c>
      <c r="AEW9" s="8">
        <v>0.0</v>
      </c>
      <c r="AEX9" s="9"/>
      <c r="AEY9" s="9" t="s">
        <v>1273</v>
      </c>
      <c r="AEZ9" s="9"/>
      <c r="AFA9" s="9" t="s">
        <v>924</v>
      </c>
      <c r="AFB9" s="9"/>
      <c r="AFC9" s="9" t="s">
        <v>2161</v>
      </c>
      <c r="AFD9" s="16" t="s">
        <v>2162</v>
      </c>
      <c r="AFE9" s="9" t="s">
        <v>2163</v>
      </c>
      <c r="AFF9" s="16" t="s">
        <v>2164</v>
      </c>
      <c r="AFG9" s="9" t="s">
        <v>1991</v>
      </c>
      <c r="AFH9" s="9"/>
      <c r="AFI9" s="21"/>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8">
        <v>6.66922248E8</v>
      </c>
      <c r="AWB9" s="9" t="s">
        <v>2165</v>
      </c>
      <c r="AWC9" s="6">
        <v>46062.0</v>
      </c>
      <c r="AWD9" s="9"/>
      <c r="AWE9" s="9"/>
      <c r="AWF9" s="9" t="s">
        <v>1954</v>
      </c>
      <c r="AWG9" s="9"/>
      <c r="AWH9" s="9" t="s">
        <v>1989</v>
      </c>
      <c r="AWI9" s="9"/>
      <c r="AWJ9" s="9" t="s">
        <v>2166</v>
      </c>
      <c r="AWK9" s="8">
        <v>122.0</v>
      </c>
      <c r="AWL9" s="9" t="s">
        <v>2139</v>
      </c>
      <c r="AWM9" s="8">
        <v>0.0</v>
      </c>
      <c r="AWN9" s="9" t="s">
        <v>1957</v>
      </c>
      <c r="AWO9" s="33" t="b">
        <v>1</v>
      </c>
      <c r="AWP9" s="33" t="b">
        <v>1</v>
      </c>
      <c r="AWQ9" s="33" t="b">
        <v>1</v>
      </c>
      <c r="AWR9" s="33" t="b">
        <v>1</v>
      </c>
      <c r="AWS9" s="33" t="b">
        <v>1</v>
      </c>
      <c r="AWT9" s="33" t="b">
        <v>1</v>
      </c>
      <c r="AWU9" s="9"/>
      <c r="AWV9" s="8">
        <v>6.0</v>
      </c>
      <c r="AWW9" s="9"/>
      <c r="AWX9" s="9"/>
      <c r="AWY9" s="9"/>
      <c r="AWZ9" s="9"/>
    </row>
    <row r="10">
      <c r="A10" s="6">
        <v>46055.0</v>
      </c>
      <c r="B10" s="6">
        <v>46062.0</v>
      </c>
      <c r="C10" s="30" t="s">
        <v>1991</v>
      </c>
      <c r="D10" s="30" t="s">
        <v>2167</v>
      </c>
      <c r="E10" s="8">
        <f>+620</f>
        <v>620</v>
      </c>
      <c r="F10" s="9" t="s">
        <v>2168</v>
      </c>
      <c r="G10" s="8">
        <v>-5.510847</v>
      </c>
      <c r="H10" s="8">
        <v>119.544528</v>
      </c>
      <c r="I10" s="8">
        <v>53.2</v>
      </c>
      <c r="J10" s="8">
        <v>8.100000381</v>
      </c>
      <c r="K10" s="8">
        <v>0.0</v>
      </c>
      <c r="L10" s="9" t="s">
        <v>2169</v>
      </c>
      <c r="M10" s="8">
        <v>-5.510695</v>
      </c>
      <c r="N10" s="8">
        <v>119.544377</v>
      </c>
      <c r="O10" s="8">
        <v>88.6</v>
      </c>
      <c r="P10" s="8">
        <v>4.0</v>
      </c>
      <c r="Q10" s="8">
        <v>0.0</v>
      </c>
      <c r="R10" s="9" t="s">
        <v>1923</v>
      </c>
      <c r="S10" s="8">
        <v>0.0</v>
      </c>
      <c r="T10" s="8">
        <v>0.0</v>
      </c>
      <c r="U10" s="8">
        <v>0.0</v>
      </c>
      <c r="V10" s="8">
        <v>0.0</v>
      </c>
      <c r="W10" s="8">
        <v>0.0</v>
      </c>
      <c r="X10" s="8">
        <v>0.0</v>
      </c>
      <c r="Y10" s="8">
        <v>0.0</v>
      </c>
      <c r="Z10" s="8">
        <v>0.0</v>
      </c>
      <c r="AA10" s="8">
        <v>0.0</v>
      </c>
      <c r="AB10" s="8">
        <v>1.0</v>
      </c>
      <c r="AC10" s="7" t="s">
        <v>1962</v>
      </c>
      <c r="AD10" s="7" t="s">
        <v>1963</v>
      </c>
      <c r="AE10" s="7" t="s">
        <v>1964</v>
      </c>
      <c r="AF10" s="9" t="s">
        <v>2170</v>
      </c>
      <c r="AG10" s="9" t="s">
        <v>2171</v>
      </c>
      <c r="AH10" s="8">
        <v>9.0</v>
      </c>
      <c r="AI10" s="9" t="s">
        <v>845</v>
      </c>
      <c r="AJ10" s="9" t="s">
        <v>934</v>
      </c>
      <c r="AK10" s="35">
        <v>81.0</v>
      </c>
      <c r="AL10" s="9" t="s">
        <v>847</v>
      </c>
      <c r="AM10" s="9" t="s">
        <v>848</v>
      </c>
      <c r="AN10" s="9" t="s">
        <v>1967</v>
      </c>
      <c r="AO10" s="9" t="s">
        <v>850</v>
      </c>
      <c r="AP10" s="8">
        <v>1.0</v>
      </c>
      <c r="AQ10" s="8">
        <v>0.0</v>
      </c>
      <c r="AR10" s="8">
        <v>0.0</v>
      </c>
      <c r="AS10" s="8">
        <v>0.0</v>
      </c>
      <c r="AT10" s="8">
        <v>0.0</v>
      </c>
      <c r="AU10" s="8">
        <v>0.0</v>
      </c>
      <c r="AV10" s="8">
        <v>0.0</v>
      </c>
      <c r="AW10" s="8">
        <v>0.0</v>
      </c>
      <c r="AX10" s="9"/>
      <c r="AY10" s="9" t="s">
        <v>999</v>
      </c>
      <c r="AZ10" s="8">
        <v>0.0</v>
      </c>
      <c r="BA10" s="8">
        <v>0.0</v>
      </c>
      <c r="BB10" s="8">
        <v>0.0</v>
      </c>
      <c r="BC10" s="8">
        <v>0.0</v>
      </c>
      <c r="BD10" s="8">
        <v>0.0</v>
      </c>
      <c r="BE10" s="8">
        <v>0.0</v>
      </c>
      <c r="BF10" s="8">
        <v>0.0</v>
      </c>
      <c r="BG10" s="8">
        <v>1.0</v>
      </c>
      <c r="BH10" s="11"/>
      <c r="BI10" s="9" t="s">
        <v>2118</v>
      </c>
      <c r="BJ10" s="8">
        <v>2.0</v>
      </c>
      <c r="BK10" s="8">
        <v>1.0</v>
      </c>
      <c r="BL10" s="8">
        <v>0.0</v>
      </c>
      <c r="BM10" s="8">
        <v>0.0</v>
      </c>
      <c r="BN10" s="9" t="s">
        <v>853</v>
      </c>
      <c r="BO10" s="9" t="s">
        <v>2064</v>
      </c>
      <c r="BP10" s="8">
        <v>0.0</v>
      </c>
      <c r="BQ10" s="8">
        <v>0.0</v>
      </c>
      <c r="BR10" s="8">
        <v>1.0</v>
      </c>
      <c r="BS10" s="8">
        <v>0.0</v>
      </c>
      <c r="BT10" s="8">
        <v>0.0</v>
      </c>
      <c r="BU10" s="9"/>
      <c r="BV10" s="9" t="s">
        <v>2065</v>
      </c>
      <c r="BW10" s="8">
        <v>1.0</v>
      </c>
      <c r="BX10" s="8">
        <v>0.0</v>
      </c>
      <c r="BY10" s="8">
        <v>0.0</v>
      </c>
      <c r="BZ10" s="8">
        <v>0.0</v>
      </c>
      <c r="CA10" s="8">
        <v>0.0</v>
      </c>
      <c r="CB10" s="9"/>
      <c r="CC10" s="9" t="s">
        <v>1929</v>
      </c>
      <c r="CD10" s="8">
        <v>0.0</v>
      </c>
      <c r="CE10" s="8">
        <v>0.0</v>
      </c>
      <c r="CF10" s="8">
        <v>0.0</v>
      </c>
      <c r="CG10" s="8">
        <v>0.0</v>
      </c>
      <c r="CH10" s="8">
        <v>1.0</v>
      </c>
      <c r="CI10" s="8">
        <v>0.0</v>
      </c>
      <c r="CJ10" s="8">
        <v>0.0</v>
      </c>
      <c r="CK10" s="9"/>
      <c r="CL10" s="9" t="s">
        <v>881</v>
      </c>
      <c r="CM10" s="8">
        <v>2017.0</v>
      </c>
      <c r="CN10" s="9" t="s">
        <v>858</v>
      </c>
      <c r="CO10" s="9" t="s">
        <v>1968</v>
      </c>
      <c r="CP10" s="9" t="s">
        <v>860</v>
      </c>
      <c r="CQ10" s="8">
        <v>0.0</v>
      </c>
      <c r="CR10" s="8">
        <v>0.0</v>
      </c>
      <c r="CS10" s="8">
        <v>0.0</v>
      </c>
      <c r="CT10" s="8">
        <v>0.0</v>
      </c>
      <c r="CU10" s="8">
        <v>1.0</v>
      </c>
      <c r="CV10" s="8">
        <v>0.0</v>
      </c>
      <c r="CW10" s="8">
        <v>0.0</v>
      </c>
      <c r="CX10" s="8">
        <v>0.0</v>
      </c>
      <c r="CY10" s="9" t="s">
        <v>1060</v>
      </c>
      <c r="CZ10" s="8">
        <v>1.0</v>
      </c>
      <c r="DA10" s="8">
        <v>1.0</v>
      </c>
      <c r="DB10" s="8">
        <v>0.0</v>
      </c>
      <c r="DC10" s="9"/>
      <c r="DD10" s="9" t="s">
        <v>861</v>
      </c>
      <c r="DE10" s="8">
        <v>0.0</v>
      </c>
      <c r="DF10" s="8">
        <v>0.0</v>
      </c>
      <c r="DG10" s="8">
        <v>1.0</v>
      </c>
      <c r="DH10" s="8">
        <v>0.0</v>
      </c>
      <c r="DI10" s="9"/>
      <c r="DJ10" s="9" t="s">
        <v>937</v>
      </c>
      <c r="DK10" s="8">
        <v>1.0</v>
      </c>
      <c r="DL10" s="8">
        <v>0.0</v>
      </c>
      <c r="DM10" s="8">
        <v>1.0</v>
      </c>
      <c r="DN10" s="8">
        <v>0.0</v>
      </c>
      <c r="DO10" s="9"/>
      <c r="DP10" s="9" t="s">
        <v>938</v>
      </c>
      <c r="DQ10" s="9" t="s">
        <v>939</v>
      </c>
      <c r="DR10" s="17" t="s">
        <v>2030</v>
      </c>
      <c r="DS10" s="9"/>
      <c r="DT10" s="9" t="s">
        <v>2172</v>
      </c>
      <c r="DU10" s="8">
        <v>1.0</v>
      </c>
      <c r="DV10" s="8">
        <v>0.0</v>
      </c>
      <c r="DW10" s="8">
        <v>0.0</v>
      </c>
      <c r="DX10" s="8">
        <v>0.0</v>
      </c>
      <c r="DY10" s="8">
        <v>0.0</v>
      </c>
      <c r="DZ10" s="8">
        <v>0.0</v>
      </c>
      <c r="EA10" s="8">
        <v>0.0</v>
      </c>
      <c r="EB10" s="8">
        <v>0.0</v>
      </c>
      <c r="EC10" s="8">
        <v>0.0</v>
      </c>
      <c r="ED10" s="8">
        <v>1.0</v>
      </c>
      <c r="EE10" s="8">
        <v>1.0</v>
      </c>
      <c r="EF10" s="8">
        <v>0.0</v>
      </c>
      <c r="EG10" s="8">
        <v>0.0</v>
      </c>
      <c r="EH10" s="8">
        <v>0.0</v>
      </c>
      <c r="EI10" s="9" t="s">
        <v>862</v>
      </c>
      <c r="EJ10" s="8">
        <v>0.0</v>
      </c>
      <c r="EK10" s="8">
        <v>0.0</v>
      </c>
      <c r="EL10" s="8">
        <v>0.0</v>
      </c>
      <c r="EM10" s="8">
        <v>1.0</v>
      </c>
      <c r="EN10" s="8">
        <v>0.0</v>
      </c>
      <c r="EO10" s="9"/>
      <c r="EP10" s="9" t="s">
        <v>863</v>
      </c>
      <c r="EQ10" s="9" t="s">
        <v>1380</v>
      </c>
      <c r="ER10" s="9" t="s">
        <v>861</v>
      </c>
      <c r="ES10" s="8">
        <v>1.0</v>
      </c>
      <c r="ET10" s="8">
        <v>0.0</v>
      </c>
      <c r="EU10" s="8">
        <v>0.0</v>
      </c>
      <c r="EV10" s="8">
        <v>0.0</v>
      </c>
      <c r="EW10" s="9"/>
      <c r="EX10" s="9" t="s">
        <v>865</v>
      </c>
      <c r="EY10" s="8">
        <v>1.0</v>
      </c>
      <c r="EZ10" s="8">
        <v>0.0</v>
      </c>
      <c r="FA10" s="8">
        <v>0.0</v>
      </c>
      <c r="FB10" s="9"/>
      <c r="FC10" s="9" t="s">
        <v>866</v>
      </c>
      <c r="FD10" s="9" t="s">
        <v>2032</v>
      </c>
      <c r="FE10" s="9" t="s">
        <v>1971</v>
      </c>
      <c r="FF10" s="9" t="s">
        <v>883</v>
      </c>
      <c r="FG10" s="9" t="s">
        <v>1971</v>
      </c>
      <c r="FH10" s="9" t="s">
        <v>870</v>
      </c>
      <c r="FI10" s="9" t="s">
        <v>867</v>
      </c>
      <c r="FJ10" s="9" t="s">
        <v>868</v>
      </c>
      <c r="FK10" s="9" t="s">
        <v>1971</v>
      </c>
      <c r="FL10" s="9" t="s">
        <v>883</v>
      </c>
      <c r="FM10" s="9" t="s">
        <v>1971</v>
      </c>
      <c r="FN10" s="9" t="s">
        <v>883</v>
      </c>
      <c r="FO10" s="9" t="s">
        <v>1971</v>
      </c>
      <c r="FP10" s="9" t="s">
        <v>883</v>
      </c>
      <c r="FQ10" s="9" t="s">
        <v>1971</v>
      </c>
      <c r="FR10" s="9" t="s">
        <v>881</v>
      </c>
      <c r="FS10" s="9" t="s">
        <v>1971</v>
      </c>
      <c r="FT10" s="9" t="s">
        <v>2173</v>
      </c>
      <c r="FU10" s="9" t="s">
        <v>872</v>
      </c>
      <c r="FV10" s="8">
        <v>1.0</v>
      </c>
      <c r="FW10" s="8">
        <v>0.0</v>
      </c>
      <c r="FX10" s="8">
        <v>0.0</v>
      </c>
      <c r="FY10" s="8">
        <v>0.0</v>
      </c>
      <c r="FZ10" s="9" t="s">
        <v>2174</v>
      </c>
      <c r="GA10" s="31"/>
      <c r="GB10" s="12"/>
      <c r="GC10" s="12"/>
      <c r="GD10" s="12"/>
      <c r="GE10" s="12"/>
      <c r="GF10" s="9" t="s">
        <v>2174</v>
      </c>
      <c r="GG10" s="9" t="s">
        <v>883</v>
      </c>
      <c r="GH10" s="9" t="s">
        <v>881</v>
      </c>
      <c r="GI10" s="9"/>
      <c r="GJ10" s="9"/>
      <c r="GK10" s="9"/>
      <c r="GL10" s="9"/>
      <c r="GM10" s="9"/>
      <c r="GN10" s="9"/>
      <c r="GO10" s="9"/>
      <c r="GP10" s="9" t="s">
        <v>1931</v>
      </c>
      <c r="GQ10" s="9" t="s">
        <v>1102</v>
      </c>
      <c r="GR10" s="8">
        <v>1.0</v>
      </c>
      <c r="GS10" s="8">
        <v>0.0</v>
      </c>
      <c r="GT10" s="8">
        <v>0.0</v>
      </c>
      <c r="GU10" s="8">
        <v>0.0</v>
      </c>
      <c r="GV10" s="8">
        <v>0.0</v>
      </c>
      <c r="GW10" s="8">
        <v>0.0</v>
      </c>
      <c r="GX10" s="8">
        <v>0.0</v>
      </c>
      <c r="GY10" s="9"/>
      <c r="GZ10" s="21" t="s">
        <v>881</v>
      </c>
      <c r="HA10" s="21"/>
      <c r="HB10" s="21"/>
      <c r="HC10" s="21"/>
      <c r="HD10" s="21"/>
      <c r="HE10" s="39">
        <v>9.0</v>
      </c>
      <c r="HF10" s="39">
        <v>57000.0</v>
      </c>
      <c r="HG10" s="39">
        <v>9.0</v>
      </c>
      <c r="HH10" s="39">
        <v>69000.0</v>
      </c>
      <c r="HI10" s="9"/>
      <c r="HJ10" s="9"/>
      <c r="HK10" s="9"/>
      <c r="HL10" s="9"/>
      <c r="HM10" s="9"/>
      <c r="HN10" s="9"/>
      <c r="HO10" s="9"/>
      <c r="HP10" s="9"/>
      <c r="HQ10" s="9"/>
      <c r="HR10" s="9"/>
      <c r="HS10" s="9"/>
      <c r="HT10" s="9"/>
      <c r="HU10" s="9"/>
      <c r="HV10" s="9"/>
      <c r="HW10" s="9"/>
      <c r="HX10" s="9"/>
      <c r="HY10" s="9"/>
      <c r="HZ10" s="9"/>
      <c r="IA10" s="8">
        <v>0.0</v>
      </c>
      <c r="IB10" s="9"/>
      <c r="IC10" s="9"/>
      <c r="ID10" s="9"/>
      <c r="IE10" s="9"/>
      <c r="IF10" s="9"/>
      <c r="IG10" s="9"/>
      <c r="IH10" s="9"/>
      <c r="II10" s="9"/>
      <c r="IJ10" s="9"/>
      <c r="IK10" s="9" t="s">
        <v>1382</v>
      </c>
      <c r="IL10" s="9" t="s">
        <v>1383</v>
      </c>
      <c r="IM10" s="9" t="s">
        <v>857</v>
      </c>
      <c r="IN10" s="9" t="s">
        <v>881</v>
      </c>
      <c r="IO10" s="9" t="s">
        <v>945</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945</v>
      </c>
      <c r="KT10" s="9" t="s">
        <v>886</v>
      </c>
      <c r="KU10" s="9" t="s">
        <v>886</v>
      </c>
      <c r="KV10" s="9" t="s">
        <v>872</v>
      </c>
      <c r="KW10" s="8">
        <v>1.0</v>
      </c>
      <c r="KX10" s="8">
        <v>0.0</v>
      </c>
      <c r="KY10" s="8">
        <v>0.0</v>
      </c>
      <c r="KZ10" s="8">
        <v>0.0</v>
      </c>
      <c r="LA10" s="9" t="s">
        <v>945</v>
      </c>
      <c r="LB10" s="9" t="s">
        <v>884</v>
      </c>
      <c r="LC10" s="8">
        <v>4.0</v>
      </c>
      <c r="LD10" s="8">
        <v>1.0</v>
      </c>
      <c r="LE10" s="8">
        <v>0.0</v>
      </c>
      <c r="LF10" s="8">
        <v>0.0</v>
      </c>
      <c r="LG10" s="9" t="s">
        <v>881</v>
      </c>
      <c r="LH10" s="9"/>
      <c r="LI10" s="8">
        <v>0.0</v>
      </c>
      <c r="LJ10" s="9" t="s">
        <v>969</v>
      </c>
      <c r="LK10" s="8">
        <v>0.0</v>
      </c>
      <c r="LL10" s="8">
        <v>0.0</v>
      </c>
      <c r="LM10" s="8">
        <v>0.0</v>
      </c>
      <c r="LN10" s="8">
        <v>0.0</v>
      </c>
      <c r="LO10" s="8">
        <v>0.0</v>
      </c>
      <c r="LP10" s="8">
        <v>0.0</v>
      </c>
      <c r="LQ10" s="8">
        <v>1.0</v>
      </c>
      <c r="LR10" s="11" t="s">
        <v>1973</v>
      </c>
      <c r="LS10" s="8">
        <v>60.0</v>
      </c>
      <c r="LT10" s="8">
        <v>0.0</v>
      </c>
      <c r="LU10" s="8">
        <v>0.0</v>
      </c>
      <c r="LV10" s="8">
        <v>20.0</v>
      </c>
      <c r="LW10" s="8">
        <v>0.0</v>
      </c>
      <c r="LX10" s="8">
        <v>0.0</v>
      </c>
      <c r="LY10" s="8">
        <v>30.0</v>
      </c>
      <c r="LZ10" s="8">
        <v>0.0</v>
      </c>
      <c r="MA10" s="8">
        <v>0.0</v>
      </c>
      <c r="MB10" s="9" t="s">
        <v>881</v>
      </c>
      <c r="MC10" s="8">
        <v>0.0</v>
      </c>
      <c r="MD10" s="8">
        <v>0.0</v>
      </c>
      <c r="ME10" s="8">
        <v>0.0</v>
      </c>
      <c r="MF10" s="8">
        <v>0.0</v>
      </c>
      <c r="MG10" s="8">
        <v>0.0</v>
      </c>
      <c r="MH10" s="8">
        <v>0.0</v>
      </c>
      <c r="MI10" s="9"/>
      <c r="MJ10" s="9"/>
      <c r="MK10" s="9"/>
      <c r="ML10" s="9"/>
      <c r="MM10" s="9"/>
      <c r="MN10" s="9"/>
      <c r="MO10" s="9"/>
      <c r="MP10" s="9"/>
      <c r="MQ10" s="9"/>
      <c r="MR10" s="17" t="s">
        <v>2035</v>
      </c>
      <c r="MS10" s="9"/>
      <c r="MT10" s="9" t="s">
        <v>2035</v>
      </c>
      <c r="MU10" s="9" t="s">
        <v>881</v>
      </c>
      <c r="MV10" s="9"/>
      <c r="MW10" s="9"/>
      <c r="MX10" s="9"/>
      <c r="MY10" s="9"/>
      <c r="MZ10" s="9"/>
      <c r="NA10" s="9"/>
      <c r="NB10" s="9"/>
      <c r="NC10" s="9"/>
      <c r="ND10" s="9"/>
      <c r="NE10" s="9"/>
      <c r="NF10" s="9"/>
      <c r="NG10" s="9"/>
      <c r="NH10" s="9"/>
      <c r="NI10" s="9"/>
      <c r="NJ10" s="9"/>
      <c r="NK10" s="9"/>
      <c r="NL10" s="9" t="s">
        <v>881</v>
      </c>
      <c r="NM10" s="9" t="s">
        <v>1386</v>
      </c>
      <c r="NN10" s="17" t="s">
        <v>1975</v>
      </c>
      <c r="NO10" s="17" t="s">
        <v>895</v>
      </c>
      <c r="NP10" s="9"/>
      <c r="NQ10" s="9"/>
      <c r="NR10" s="9"/>
      <c r="NS10" s="9"/>
      <c r="NT10" s="9"/>
      <c r="NU10" s="9"/>
      <c r="NV10" s="9"/>
      <c r="NW10" s="9"/>
      <c r="NX10" s="9" t="s">
        <v>914</v>
      </c>
      <c r="NY10" s="8">
        <v>120.0</v>
      </c>
      <c r="NZ10" s="8">
        <v>0.0</v>
      </c>
      <c r="OA10" s="8">
        <v>0.0</v>
      </c>
      <c r="OB10" s="8">
        <v>0.0</v>
      </c>
      <c r="OC10" s="8">
        <v>30.0</v>
      </c>
      <c r="OD10" s="8">
        <v>0.0</v>
      </c>
      <c r="OE10" s="9" t="s">
        <v>945</v>
      </c>
      <c r="OF10" s="9" t="s">
        <v>2175</v>
      </c>
      <c r="OG10" s="9" t="s">
        <v>857</v>
      </c>
      <c r="OH10" s="8">
        <v>3.0</v>
      </c>
      <c r="OI10" s="8">
        <v>15.0</v>
      </c>
      <c r="OJ10" s="8">
        <v>0.0</v>
      </c>
      <c r="OK10" s="8">
        <v>0.0</v>
      </c>
      <c r="OL10" s="8">
        <v>0.0</v>
      </c>
      <c r="OM10" s="8">
        <v>0.0</v>
      </c>
      <c r="ON10" s="8">
        <v>0.0</v>
      </c>
      <c r="OO10" s="8">
        <v>0.0</v>
      </c>
      <c r="OP10" s="9" t="str">
        <f>VLOOKUP(AG10,'BUS 2'!$G$1:$CU$424,2,0)</f>
        <v>Sapi pedaging</v>
      </c>
      <c r="OQ10" s="8">
        <f>VLOOKUP(AG10,'BUS 2'!$G$1:$CU$424,3,0)</f>
        <v>1</v>
      </c>
      <c r="OR10" s="8">
        <f>VLOOKUP(AG10,'BUS 2'!$G$1:$CU$424,4,0)</f>
        <v>0</v>
      </c>
      <c r="OS10" s="8">
        <f>VLOOKUP(AG10,'BUS 2'!$G$1:$CU$424,5,0)</f>
        <v>0</v>
      </c>
      <c r="OT10" s="8">
        <f>VLOOKUP(AG10,'BUS 2'!$G$1:$CU$424,6,0)</f>
        <v>0</v>
      </c>
      <c r="OU10" s="8">
        <f>VLOOKUP(AG10,'BUS 2'!$G$1:$CU$424,7,0)</f>
        <v>0</v>
      </c>
      <c r="OV10" s="8">
        <f>VLOOKUP(AG10,'BUS 2'!$G$1:$CU$424,8,0)</f>
        <v>0</v>
      </c>
      <c r="OW10" s="8">
        <f>VLOOKUP(AG10,'BUS 2'!$G$1:$CU$424,9,0)</f>
        <v>0</v>
      </c>
      <c r="OX10" s="8">
        <f>VLOOKUP(AG10,'BUS 2'!$G$1:$CU$424,10,0)</f>
        <v>0</v>
      </c>
      <c r="OY10" s="8">
        <f>VLOOKUP(AG10,'BUS 2'!$G$1:$CU$424,11,0)</f>
        <v>0</v>
      </c>
      <c r="OZ10" s="8" t="str">
        <f>VLOOKUP(AG10,'BUS 2'!$G$1:$CU$424,12,0)</f>
        <v>Sapi pedaging</v>
      </c>
      <c r="PA10" s="8">
        <f>VLOOKUP(AG10,'BUS 2'!$G$1:$CU$424,13,0)</f>
        <v>1</v>
      </c>
      <c r="PB10" s="8">
        <f>VLOOKUP(AG10,'BUS 2'!$G$1:$CU$424,14,0)</f>
        <v>0</v>
      </c>
      <c r="PC10" s="8">
        <f>VLOOKUP(AG10,'BUS 2'!$G$1:$CU$424,15,0)</f>
        <v>0</v>
      </c>
      <c r="PD10" s="8">
        <f>VLOOKUP(AG10,'BUS 2'!$G$1:$CU$424,16,0)</f>
        <v>0</v>
      </c>
      <c r="PE10" s="8">
        <f>VLOOKUP(AG10,'BUS 2'!$G$1:$CU$424,17,0)</f>
        <v>0</v>
      </c>
      <c r="PF10" s="8">
        <f>VLOOKUP(AG10,'BUS 2'!$G$1:$CU$424,18,0)</f>
        <v>0</v>
      </c>
      <c r="PG10" s="8">
        <f>VLOOKUP(AG10,'BUS 2'!$G$1:$CU$424,19,0)</f>
        <v>0</v>
      </c>
      <c r="PH10" s="8">
        <f>VLOOKUP(AG10,'BUS 2'!$G$1:$CU$424,20,0)</f>
        <v>0</v>
      </c>
      <c r="PI10" s="8">
        <f>VLOOKUP(AG10,'BUS 2'!$G$1:$CU$424,21,0)</f>
        <v>0</v>
      </c>
      <c r="PJ10" s="8" t="str">
        <f>VLOOKUP(AG10,'BUS 2'!$G$1:$CU$424,22,0)</f>
        <v>Tidak ada</v>
      </c>
      <c r="PK10" s="8">
        <f>VLOOKUP(AG10,'BUS 2'!$G$1:$CU$424,23,0)</f>
        <v>0</v>
      </c>
      <c r="PL10" s="8">
        <f>VLOOKUP(AG10,'BUS 2'!$G$1:$CU$424,24,0)</f>
        <v>0</v>
      </c>
      <c r="PM10" s="8">
        <f>VLOOKUP(AG10,'BUS 2'!$G$1:$CU$424,25,0)</f>
        <v>0</v>
      </c>
      <c r="PN10" s="8">
        <f>VLOOKUP(AG10,'BUS 2'!$G$1:$CU$424,26,0)</f>
        <v>0</v>
      </c>
      <c r="PO10" s="8">
        <f>VLOOKUP(AG10,'BUS 2'!$G$1:$CU$424,27,0)</f>
        <v>0</v>
      </c>
      <c r="PP10" s="8">
        <f>VLOOKUP(AG10,'BUS 2'!$G$1:$CU$424,28,0)</f>
        <v>0</v>
      </c>
      <c r="PQ10" s="8">
        <f>VLOOKUP(AG10,'BUS 2'!$G$1:$CU$424,29,0)</f>
        <v>0</v>
      </c>
      <c r="PR10" s="8">
        <f>VLOOKUP(AG10,'BUS 2'!$G$1:$CU$424,30,0)</f>
        <v>0</v>
      </c>
      <c r="PS10" s="8">
        <f>VLOOKUP(AG10,'BUS 2'!$G$1:$CU$424,31,0)</f>
        <v>1</v>
      </c>
      <c r="PT10" s="9" t="s">
        <v>900</v>
      </c>
      <c r="PU10" s="8">
        <v>0.0</v>
      </c>
      <c r="PV10" s="8">
        <v>0.0</v>
      </c>
      <c r="PW10" s="8">
        <v>0.0</v>
      </c>
      <c r="PX10" s="8">
        <v>0.0</v>
      </c>
      <c r="PY10" s="8">
        <v>0.0</v>
      </c>
      <c r="PZ10" s="8">
        <v>1.0</v>
      </c>
      <c r="QA10" s="8">
        <v>0.0</v>
      </c>
      <c r="QB10" s="8">
        <v>0.0</v>
      </c>
      <c r="QC10" s="8">
        <v>0.0</v>
      </c>
      <c r="QD10" s="9"/>
      <c r="QE10" s="32"/>
      <c r="QF10" s="31"/>
      <c r="QG10" s="31"/>
      <c r="QH10" s="31"/>
      <c r="QI10" s="31"/>
      <c r="QJ10" s="31"/>
      <c r="QK10" s="32"/>
      <c r="QL10" s="32"/>
      <c r="QM10" s="32"/>
      <c r="QN10" s="32"/>
      <c r="QO10" s="32"/>
      <c r="QP10" s="32"/>
      <c r="QQ10" s="32"/>
      <c r="QR10" s="32"/>
      <c r="QS10" s="32"/>
      <c r="QT10" s="32"/>
      <c r="QU10" s="32"/>
      <c r="QV10" s="32"/>
      <c r="QW10" s="31"/>
      <c r="QX10" s="31"/>
      <c r="QY10" s="31"/>
      <c r="QZ10" s="31"/>
      <c r="RA10" s="31"/>
      <c r="RB10" s="32"/>
      <c r="RC10" s="32"/>
      <c r="RD10" s="32"/>
      <c r="RE10" s="32"/>
      <c r="RF10" s="32"/>
      <c r="RG10" s="9"/>
      <c r="RH10" s="31"/>
      <c r="RI10" s="31"/>
      <c r="RJ10" s="31"/>
      <c r="RK10" s="31"/>
      <c r="RL10" s="31"/>
      <c r="RM10" s="9"/>
      <c r="RN10" s="9"/>
      <c r="RO10" s="9"/>
      <c r="RP10" s="9"/>
      <c r="RQ10" s="9"/>
      <c r="RR10" s="9"/>
      <c r="RS10" s="31"/>
      <c r="RT10" s="31"/>
      <c r="RU10" s="31"/>
      <c r="RV10" s="31"/>
      <c r="RW10" s="31"/>
      <c r="RX10" s="9"/>
      <c r="RY10" s="9"/>
      <c r="RZ10" s="9"/>
      <c r="SA10" s="9"/>
      <c r="SB10" s="9"/>
      <c r="SC10" s="9"/>
      <c r="SD10" s="31"/>
      <c r="SE10" s="31"/>
      <c r="SF10" s="31"/>
      <c r="SG10" s="31"/>
      <c r="SH10" s="31"/>
      <c r="SI10" s="9"/>
      <c r="SJ10" s="9"/>
      <c r="SK10" s="9"/>
      <c r="SL10" s="9"/>
      <c r="SM10" s="9"/>
      <c r="SN10" s="9"/>
      <c r="SO10" s="31"/>
      <c r="SP10" s="31"/>
      <c r="SQ10" s="31"/>
      <c r="SR10" s="31"/>
      <c r="SS10" s="31"/>
      <c r="ST10" s="9"/>
      <c r="SU10" s="9"/>
      <c r="SV10" s="9"/>
      <c r="SW10" s="9"/>
      <c r="SX10" s="9"/>
      <c r="SY10" s="8">
        <f>VLOOKUP(AG10,'BUS 2'!$G$1:$CU$424,33,0)</f>
        <v>3</v>
      </c>
      <c r="SZ10" s="9" t="str">
        <f>VLOOKUP(AG10,'BUS 2'!$G$1:$CU$424,34,0)</f>
        <v/>
      </c>
      <c r="TA10" s="9" t="str">
        <f>VLOOKUP(AG10,'BUS 2'!$G$1:$CU$424,35,0)</f>
        <v/>
      </c>
      <c r="TB10" s="9" t="str">
        <f>VLOOKUP(AG10,'BUS 2'!$G$1:$CU$424,36,0)</f>
        <v/>
      </c>
      <c r="TC10" s="9" t="str">
        <f>VLOOKUP(AG10,'BUS 2'!$G$1:$CU$424,37,0)</f>
        <v/>
      </c>
      <c r="TD10" s="9" t="str">
        <f>VLOOKUP(AG10,'BUS 2'!$G$1:$CU$424,38,0)</f>
        <v/>
      </c>
      <c r="TE10" s="9" t="str">
        <f>VLOOKUP(AG10,'BUS 2'!$G$1:$CU$424,39,0)</f>
        <v/>
      </c>
      <c r="TF10" s="9" t="str">
        <f>VLOOKUP(AG10,'BUS 2'!$G$1:$CU$424,40,0)</f>
        <v/>
      </c>
      <c r="TG10" s="8">
        <f>VLOOKUP(AG10,'BUS 2'!$G$1:$CU$424,42,0)</f>
        <v>3</v>
      </c>
      <c r="TH10" s="8" t="str">
        <f>VLOOKUP(AG10,'BUS 2'!$G$1:$CU$424,43,0)</f>
        <v/>
      </c>
      <c r="TI10" s="8" t="str">
        <f>VLOOKUP(AG10,'BUS 2'!$G$1:$CU$424,44,0)</f>
        <v/>
      </c>
      <c r="TJ10" s="8" t="str">
        <f>VLOOKUP(AG10,'BUS 2'!$G$1:$CU$424,45,0)</f>
        <v/>
      </c>
      <c r="TK10" s="8" t="str">
        <f>VLOOKUP(AG10,'BUS 2'!$G$1:$CU$424,46,0)</f>
        <v/>
      </c>
      <c r="TL10" s="8" t="str">
        <f>VLOOKUP(AG10,'BUS 2'!$G$1:$CU$424,47,0)</f>
        <v/>
      </c>
      <c r="TM10" s="8" t="str">
        <f>VLOOKUP(AG10,'BUS 2'!$G$1:$CU$424,48,0)</f>
        <v/>
      </c>
      <c r="TN10" s="8" t="str">
        <f>VLOOKUP(AG10,'BUS 2'!$G$1:$CU$424,49,0)</f>
        <v/>
      </c>
      <c r="TO10" s="8" t="str">
        <f>VLOOKUP(AG10,'BUS 2'!$G$1:$CU$424,50,0)</f>
        <v/>
      </c>
      <c r="TP10" s="8" t="str">
        <f>VLOOKUP(AG10,'BUS 2'!$G$1:$CU$424,51,0)</f>
        <v/>
      </c>
      <c r="TQ10" s="8" t="str">
        <f>VLOOKUP(AG10,'BUS 2'!$G$1:$CU$424,52,0)</f>
        <v/>
      </c>
      <c r="TR10" s="8" t="str">
        <f>VLOOKUP(AG10,'BUS 2'!$G$1:$CU$424,53,0)</f>
        <v/>
      </c>
      <c r="TS10" s="9" t="str">
        <f>VLOOKUP(AG10,'BUS 2'!$G$1:$CU$424,54,0)</f>
        <v/>
      </c>
      <c r="TT10" s="9" t="str">
        <f>VLOOKUP(AG10,'BUS 2'!$G$1:$CU$424,55,0)</f>
        <v/>
      </c>
      <c r="TU10" s="9" t="str">
        <f>VLOOKUP(AG10,'BUS 2'!$G$1:$CU$424,56,0)</f>
        <v/>
      </c>
      <c r="TV10" s="9" t="str">
        <f>VLOOKUP(AG10,'BUS 2'!$G$1:$CU$424,57,0)</f>
        <v/>
      </c>
      <c r="TW10" s="9" t="str">
        <f>VLOOKUP(AG10,'BUS 2'!$G$1:$CU$424,58,0)</f>
        <v/>
      </c>
      <c r="TX10" s="9" t="str">
        <f>VLOOKUP(AG10,'BUS 2'!$G$1:$CU$424,59,0)</f>
        <v/>
      </c>
      <c r="TY10" s="9" t="str">
        <f>VLOOKUP(AG10,'BUS 2'!$G$1:$CU$424,60,0)</f>
        <v/>
      </c>
      <c r="TZ10" s="9" t="str">
        <f>VLOOKUP(AG10,'BUS 2'!$G$1:$CU$424,61,0)</f>
        <v/>
      </c>
      <c r="UA10" s="9" t="str">
        <f>VLOOKUP(AG10,'BUS 2'!$G$1:$CU$424,62,0)</f>
        <v/>
      </c>
      <c r="UB10" s="9" t="str">
        <f>VLOOKUP(AG10,'BUS 2'!$G$1:$CU$424,63,0)</f>
        <v/>
      </c>
      <c r="UC10" s="9" t="str">
        <f>VLOOKUP(AG10,'BUS 2'!$G$1:$CU$424,64,0)</f>
        <v/>
      </c>
      <c r="UD10" s="9" t="str">
        <f>VLOOKUP(AG10,'BUS 2'!$G$1:$CU$424,65,0)</f>
        <v/>
      </c>
      <c r="UE10" s="9" t="str">
        <f>VLOOKUP(AG10,'BUS 2'!$G$1:$CU$424,66,0)</f>
        <v/>
      </c>
      <c r="UF10" s="9" t="str">
        <f>VLOOKUP(AG10,'BUS 2'!$G$1:$CU$424,67,0)</f>
        <v/>
      </c>
      <c r="UG10" s="9" t="str">
        <f>VLOOKUP(AG10,'BUS 2'!$G$1:$CU$424,68,0)</f>
        <v/>
      </c>
      <c r="UH10" s="9" t="str">
        <f>VLOOKUP(AG10,'BUS 2'!$G$1:$CU$424,69,0)</f>
        <v/>
      </c>
      <c r="UI10" s="9" t="str">
        <f>VLOOKUP(AG10,'BUS 2'!$G$1:$CU$424,70,0)</f>
        <v/>
      </c>
      <c r="UJ10" s="9" t="str">
        <f>VLOOKUP(AG10,'BUS 2'!$G$1:$CU$424,71,0)</f>
        <v/>
      </c>
      <c r="UK10" s="9" t="str">
        <f>VLOOKUP(AG10,'BUS 2'!$G$1:$CU$424,72,0)</f>
        <v/>
      </c>
      <c r="UL10" s="9" t="str">
        <f>VLOOKUP(AG10,'BUS 2'!$G$1:$CU$424,73,0)</f>
        <v/>
      </c>
      <c r="UM10" s="9" t="str">
        <f>VLOOKUP(AG10,'BUS 2'!$G$1:$CU$424,74,0)</f>
        <v/>
      </c>
      <c r="UN10" s="9" t="str">
        <f>VLOOKUP(AG10,'BUS 2'!$G$1:$CU$424,75,0)</f>
        <v/>
      </c>
      <c r="UO10" s="9" t="str">
        <f>VLOOKUP(AG10,'BUS 2'!$G$1:$CU$424,76,0)</f>
        <v/>
      </c>
      <c r="UP10" s="9" t="str">
        <f>VLOOKUP(AG10,'BUS 2'!$G$1:$CU$424,77,0)</f>
        <v/>
      </c>
      <c r="UQ10" s="9" t="str">
        <f>VLOOKUP(AG10,'BUS 2'!$G$1:$CU$424,78,0)</f>
        <v/>
      </c>
      <c r="UR10" s="9" t="str">
        <f>VLOOKUP(AG10,'BUS 2'!$G$1:$CU$424,79,0)</f>
        <v/>
      </c>
      <c r="US10" s="9" t="str">
        <f>VLOOKUP(AG10,'BUS 2'!$G$1:$CU$424,80,0)</f>
        <v/>
      </c>
      <c r="UT10" s="9" t="str">
        <f>VLOOKUP(AG10,'BUS 2'!$G$1:$CU$424,81,0)</f>
        <v/>
      </c>
      <c r="UU10" s="9" t="s">
        <v>1937</v>
      </c>
      <c r="UV10" s="9"/>
      <c r="UW10" s="9"/>
      <c r="UX10" s="9"/>
      <c r="UY10" s="9"/>
      <c r="UZ10" s="9"/>
      <c r="VA10" s="9"/>
      <c r="VB10" s="9"/>
      <c r="VC10" s="9" t="s">
        <v>1938</v>
      </c>
      <c r="VD10" s="9"/>
      <c r="VE10" s="9"/>
      <c r="VF10" s="9"/>
      <c r="VG10" s="9"/>
      <c r="VH10" s="9"/>
      <c r="VI10" s="9"/>
      <c r="VJ10" s="9"/>
      <c r="VK10" s="9" t="s">
        <v>903</v>
      </c>
      <c r="VL10" s="9"/>
      <c r="VM10" s="9"/>
      <c r="VN10" s="9"/>
      <c r="VO10" s="9"/>
      <c r="VP10" s="9"/>
      <c r="VQ10" s="9"/>
      <c r="VR10" s="9"/>
      <c r="VS10" s="9" t="s">
        <v>1185</v>
      </c>
      <c r="VT10" s="8">
        <v>0.0</v>
      </c>
      <c r="VU10" s="8">
        <v>0.0</v>
      </c>
      <c r="VV10" s="8">
        <v>0.0</v>
      </c>
      <c r="VW10" s="8">
        <v>0.0</v>
      </c>
      <c r="VX10" s="8">
        <v>0.0</v>
      </c>
      <c r="VY10" s="8">
        <v>0.0</v>
      </c>
      <c r="VZ10" s="8">
        <v>1.0</v>
      </c>
      <c r="WA10" s="8">
        <v>0.0</v>
      </c>
      <c r="WB10" s="8">
        <v>0.0</v>
      </c>
      <c r="WC10" s="8">
        <v>1.0</v>
      </c>
      <c r="WD10" s="8">
        <v>0.0</v>
      </c>
      <c r="WE10" s="8">
        <v>0.0</v>
      </c>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8">
        <v>100.0</v>
      </c>
      <c r="ZO10" s="9"/>
      <c r="ZP10" s="9"/>
      <c r="ZQ10" s="9"/>
      <c r="ZR10" s="9"/>
      <c r="ZS10" s="9"/>
      <c r="ZT10" s="9"/>
      <c r="ZU10" s="9"/>
      <c r="ZV10" s="8">
        <v>3.0</v>
      </c>
      <c r="ZW10" s="9"/>
      <c r="ZX10" s="9"/>
      <c r="ZY10" s="9"/>
      <c r="ZZ10" s="9"/>
      <c r="AAA10" s="9"/>
      <c r="AAB10" s="9"/>
      <c r="AAC10" s="9"/>
      <c r="AAD10" s="9" t="s">
        <v>1186</v>
      </c>
      <c r="AAE10" s="9"/>
      <c r="AAF10" s="9"/>
      <c r="AAG10" s="9"/>
      <c r="AAH10" s="9"/>
      <c r="AAI10" s="9"/>
      <c r="AAJ10" s="9"/>
      <c r="AAK10" s="9"/>
      <c r="AAL10" s="9" t="s">
        <v>881</v>
      </c>
      <c r="AAM10" s="9"/>
      <c r="AAN10" s="9"/>
      <c r="AAO10" s="9"/>
      <c r="AAP10" s="9"/>
      <c r="AAQ10" s="9"/>
      <c r="AAR10" s="9" t="s">
        <v>881</v>
      </c>
      <c r="AAS10" s="9" t="s">
        <v>1971</v>
      </c>
      <c r="AAT10" s="9" t="s">
        <v>2176</v>
      </c>
      <c r="AAU10" s="8">
        <v>0.0</v>
      </c>
      <c r="AAV10" s="8">
        <v>0.0</v>
      </c>
      <c r="AAW10" s="8">
        <v>0.0</v>
      </c>
      <c r="AAX10" s="8">
        <v>0.0</v>
      </c>
      <c r="AAY10" s="8">
        <v>0.0</v>
      </c>
      <c r="AAZ10" s="8">
        <v>1.0</v>
      </c>
      <c r="ABA10" s="8">
        <v>0.0</v>
      </c>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t="s">
        <v>2177</v>
      </c>
      <c r="ACL10" s="8">
        <v>0.0</v>
      </c>
      <c r="ACM10" s="8">
        <v>1.0</v>
      </c>
      <c r="ACN10" s="8">
        <v>1.0</v>
      </c>
      <c r="ACO10" s="8">
        <v>0.0</v>
      </c>
      <c r="ACP10" s="8">
        <v>1.0</v>
      </c>
      <c r="ACQ10" s="8">
        <v>0.0</v>
      </c>
      <c r="ACR10" s="8">
        <v>0.0</v>
      </c>
      <c r="ACS10" s="9"/>
      <c r="ACT10" s="9" t="s">
        <v>1945</v>
      </c>
      <c r="ACU10" s="9" t="s">
        <v>2045</v>
      </c>
      <c r="ACV10" s="9" t="s">
        <v>914</v>
      </c>
      <c r="ACW10" s="9" t="s">
        <v>1391</v>
      </c>
      <c r="ACX10" s="9" t="s">
        <v>958</v>
      </c>
      <c r="ACY10" s="9" t="s">
        <v>896</v>
      </c>
      <c r="ACZ10" s="8">
        <v>1.0</v>
      </c>
      <c r="ADA10" s="8">
        <v>0.0</v>
      </c>
      <c r="ADB10" s="8">
        <v>0.0</v>
      </c>
      <c r="ADC10" s="8">
        <v>0.0</v>
      </c>
      <c r="ADD10" s="9" t="s">
        <v>1392</v>
      </c>
      <c r="ADE10" s="9" t="s">
        <v>1392</v>
      </c>
      <c r="ADF10" s="9" t="s">
        <v>1392</v>
      </c>
      <c r="ADG10" s="9" t="s">
        <v>1392</v>
      </c>
      <c r="ADH10" s="9" t="s">
        <v>881</v>
      </c>
      <c r="ADI10" s="9"/>
      <c r="ADJ10" s="9" t="s">
        <v>1392</v>
      </c>
      <c r="ADK10" s="9" t="s">
        <v>2178</v>
      </c>
      <c r="ADL10" s="8">
        <v>0.0</v>
      </c>
      <c r="ADM10" s="8">
        <v>0.0</v>
      </c>
      <c r="ADN10" s="8">
        <v>0.0</v>
      </c>
      <c r="ADO10" s="8">
        <v>0.0</v>
      </c>
      <c r="ADP10" s="8">
        <v>1.0</v>
      </c>
      <c r="ADQ10" s="8">
        <v>0.0</v>
      </c>
      <c r="ADR10" s="8">
        <v>0.0</v>
      </c>
      <c r="ADS10" s="8">
        <v>1.0</v>
      </c>
      <c r="ADT10" s="9" t="s">
        <v>2179</v>
      </c>
      <c r="ADU10" s="9" t="s">
        <v>919</v>
      </c>
      <c r="ADV10" s="8">
        <v>0.0</v>
      </c>
      <c r="ADW10" s="8">
        <v>0.0</v>
      </c>
      <c r="ADX10" s="8">
        <v>0.0</v>
      </c>
      <c r="ADY10" s="8">
        <v>0.0</v>
      </c>
      <c r="ADZ10" s="8">
        <v>1.0</v>
      </c>
      <c r="AEA10" s="8">
        <v>0.0</v>
      </c>
      <c r="AEB10" s="8">
        <v>0.0</v>
      </c>
      <c r="AEC10" s="8">
        <v>0.0</v>
      </c>
      <c r="AED10" s="9" t="s">
        <v>2180</v>
      </c>
      <c r="AEE10" s="9" t="s">
        <v>872</v>
      </c>
      <c r="AEF10" s="9"/>
      <c r="AEG10" s="9" t="s">
        <v>969</v>
      </c>
      <c r="AEH10" s="9" t="s">
        <v>2181</v>
      </c>
      <c r="AEI10" s="9" t="s">
        <v>2182</v>
      </c>
      <c r="AEJ10" s="9" t="s">
        <v>961</v>
      </c>
      <c r="AEK10" s="9" t="s">
        <v>2183</v>
      </c>
      <c r="AEL10" s="8">
        <v>0.0</v>
      </c>
      <c r="AEM10" s="8">
        <v>1.0</v>
      </c>
      <c r="AEN10" s="8">
        <v>0.0</v>
      </c>
      <c r="AEO10" s="8">
        <v>0.0</v>
      </c>
      <c r="AEP10" s="8">
        <v>0.0</v>
      </c>
      <c r="AEQ10" s="8">
        <v>0.0</v>
      </c>
      <c r="AER10" s="8">
        <v>1.0</v>
      </c>
      <c r="AES10" s="8">
        <v>0.0</v>
      </c>
      <c r="AET10" s="8">
        <v>0.0</v>
      </c>
      <c r="AEU10" s="8">
        <v>0.0</v>
      </c>
      <c r="AEV10" s="8">
        <v>0.0</v>
      </c>
      <c r="AEW10" s="8">
        <v>0.0</v>
      </c>
      <c r="AEX10" s="9"/>
      <c r="AEY10" s="9" t="s">
        <v>923</v>
      </c>
      <c r="AEZ10" s="9"/>
      <c r="AFA10" s="9" t="s">
        <v>924</v>
      </c>
      <c r="AFB10" s="9"/>
      <c r="AFC10" s="9" t="s">
        <v>2184</v>
      </c>
      <c r="AFD10" s="16" t="s">
        <v>2185</v>
      </c>
      <c r="AFE10" s="9" t="s">
        <v>2186</v>
      </c>
      <c r="AFF10" s="16" t="s">
        <v>2187</v>
      </c>
      <c r="AFG10" s="9" t="s">
        <v>1991</v>
      </c>
      <c r="AFH10" s="9"/>
      <c r="AFI10" s="21"/>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8">
        <v>6.67204904E8</v>
      </c>
      <c r="AWB10" s="9" t="s">
        <v>2188</v>
      </c>
      <c r="AWC10" s="6">
        <v>46062.0</v>
      </c>
      <c r="AWD10" s="9"/>
      <c r="AWE10" s="9"/>
      <c r="AWF10" s="9" t="s">
        <v>1954</v>
      </c>
      <c r="AWG10" s="9"/>
      <c r="AWH10" s="9" t="s">
        <v>1989</v>
      </c>
      <c r="AWI10" s="9"/>
      <c r="AWJ10" s="9" t="s">
        <v>2189</v>
      </c>
      <c r="AWK10" s="8">
        <v>134.0</v>
      </c>
      <c r="AWL10" s="9" t="s">
        <v>2171</v>
      </c>
      <c r="AWM10" s="8">
        <v>0.0</v>
      </c>
      <c r="AWN10" s="9" t="s">
        <v>1957</v>
      </c>
      <c r="AWO10" s="33" t="b">
        <v>1</v>
      </c>
      <c r="AWP10" s="33" t="b">
        <v>1</v>
      </c>
      <c r="AWQ10" s="33" t="b">
        <v>1</v>
      </c>
      <c r="AWR10" s="33" t="b">
        <v>1</v>
      </c>
      <c r="AWS10" s="33" t="b">
        <v>1</v>
      </c>
      <c r="AWT10" s="33" t="b">
        <v>1</v>
      </c>
      <c r="AWU10" s="9"/>
      <c r="AWV10" s="8">
        <v>0.0</v>
      </c>
      <c r="AWW10" s="9"/>
      <c r="AWX10" s="9"/>
      <c r="AWY10" s="9"/>
      <c r="AWZ10" s="9"/>
    </row>
    <row r="11">
      <c r="A11" s="6">
        <v>46056.0</v>
      </c>
      <c r="B11" s="6">
        <v>46062.0</v>
      </c>
      <c r="C11" s="30" t="s">
        <v>1991</v>
      </c>
      <c r="D11" s="30" t="s">
        <v>2190</v>
      </c>
      <c r="E11" s="8">
        <f>+6285230954039</f>
        <v>6285230954039</v>
      </c>
      <c r="F11" s="9" t="s">
        <v>2191</v>
      </c>
      <c r="G11" s="8">
        <v>-5.510805</v>
      </c>
      <c r="H11" s="8">
        <v>119.55996</v>
      </c>
      <c r="I11" s="8">
        <v>113.9</v>
      </c>
      <c r="J11" s="8">
        <v>8.600000381</v>
      </c>
      <c r="K11" s="8">
        <v>0.0</v>
      </c>
      <c r="L11" s="9" t="s">
        <v>2192</v>
      </c>
      <c r="M11" s="8">
        <v>-5.510763</v>
      </c>
      <c r="N11" s="8">
        <v>119.559804</v>
      </c>
      <c r="O11" s="8">
        <v>105.2536011</v>
      </c>
      <c r="P11" s="8">
        <v>4.505000114</v>
      </c>
      <c r="Q11" s="8">
        <v>0.0</v>
      </c>
      <c r="R11" s="9" t="s">
        <v>1923</v>
      </c>
      <c r="S11" s="8">
        <v>0.0</v>
      </c>
      <c r="T11" s="8">
        <v>0.0</v>
      </c>
      <c r="U11" s="8">
        <v>0.0</v>
      </c>
      <c r="V11" s="8">
        <v>0.0</v>
      </c>
      <c r="W11" s="8">
        <v>0.0</v>
      </c>
      <c r="X11" s="8">
        <v>0.0</v>
      </c>
      <c r="Y11" s="8">
        <v>0.0</v>
      </c>
      <c r="Z11" s="8">
        <v>0.0</v>
      </c>
      <c r="AA11" s="8">
        <v>0.0</v>
      </c>
      <c r="AB11" s="8">
        <v>1.0</v>
      </c>
      <c r="AC11" s="7" t="s">
        <v>1962</v>
      </c>
      <c r="AD11" s="7" t="s">
        <v>1963</v>
      </c>
      <c r="AE11" s="7" t="s">
        <v>1964</v>
      </c>
      <c r="AF11" s="9" t="s">
        <v>1927</v>
      </c>
      <c r="AG11" s="9" t="s">
        <v>2193</v>
      </c>
      <c r="AH11" s="8">
        <v>9.0</v>
      </c>
      <c r="AI11" s="9" t="s">
        <v>845</v>
      </c>
      <c r="AJ11" s="9" t="s">
        <v>934</v>
      </c>
      <c r="AK11" s="8">
        <v>46.0</v>
      </c>
      <c r="AL11" s="9" t="s">
        <v>847</v>
      </c>
      <c r="AM11" s="9" t="s">
        <v>848</v>
      </c>
      <c r="AN11" s="9" t="s">
        <v>849</v>
      </c>
      <c r="AO11" s="9" t="s">
        <v>850</v>
      </c>
      <c r="AP11" s="8">
        <v>1.0</v>
      </c>
      <c r="AQ11" s="8">
        <v>0.0</v>
      </c>
      <c r="AR11" s="8">
        <v>0.0</v>
      </c>
      <c r="AS11" s="8">
        <v>0.0</v>
      </c>
      <c r="AT11" s="8">
        <v>0.0</v>
      </c>
      <c r="AU11" s="8">
        <v>0.0</v>
      </c>
      <c r="AV11" s="8">
        <v>0.0</v>
      </c>
      <c r="AW11" s="8">
        <v>0.0</v>
      </c>
      <c r="AX11" s="9"/>
      <c r="AY11" s="9" t="s">
        <v>999</v>
      </c>
      <c r="AZ11" s="8">
        <v>0.0</v>
      </c>
      <c r="BA11" s="8">
        <v>0.0</v>
      </c>
      <c r="BB11" s="8">
        <v>0.0</v>
      </c>
      <c r="BC11" s="8">
        <v>0.0</v>
      </c>
      <c r="BD11" s="8">
        <v>0.0</v>
      </c>
      <c r="BE11" s="8">
        <v>0.0</v>
      </c>
      <c r="BF11" s="8">
        <v>0.0</v>
      </c>
      <c r="BG11" s="8">
        <v>1.0</v>
      </c>
      <c r="BH11" s="11"/>
      <c r="BI11" s="9" t="s">
        <v>2118</v>
      </c>
      <c r="BJ11" s="8">
        <v>1.0</v>
      </c>
      <c r="BK11" s="8">
        <v>1.0</v>
      </c>
      <c r="BL11" s="8">
        <v>1.0</v>
      </c>
      <c r="BM11" s="8">
        <v>0.0</v>
      </c>
      <c r="BN11" s="9" t="s">
        <v>853</v>
      </c>
      <c r="BO11" s="9" t="s">
        <v>2000</v>
      </c>
      <c r="BP11" s="8">
        <v>0.0</v>
      </c>
      <c r="BQ11" s="8">
        <v>1.0</v>
      </c>
      <c r="BR11" s="8">
        <v>0.0</v>
      </c>
      <c r="BS11" s="8">
        <v>0.0</v>
      </c>
      <c r="BT11" s="8">
        <v>0.0</v>
      </c>
      <c r="BU11" s="9"/>
      <c r="BV11" s="9" t="s">
        <v>2065</v>
      </c>
      <c r="BW11" s="8">
        <v>1.0</v>
      </c>
      <c r="BX11" s="8">
        <v>0.0</v>
      </c>
      <c r="BY11" s="8">
        <v>0.0</v>
      </c>
      <c r="BZ11" s="8">
        <v>0.0</v>
      </c>
      <c r="CA11" s="8">
        <v>0.0</v>
      </c>
      <c r="CB11" s="9"/>
      <c r="CC11" s="9" t="s">
        <v>1929</v>
      </c>
      <c r="CD11" s="8">
        <v>0.0</v>
      </c>
      <c r="CE11" s="8">
        <v>0.0</v>
      </c>
      <c r="CF11" s="8">
        <v>0.0</v>
      </c>
      <c r="CG11" s="8">
        <v>0.0</v>
      </c>
      <c r="CH11" s="8">
        <v>1.0</v>
      </c>
      <c r="CI11" s="8">
        <v>0.0</v>
      </c>
      <c r="CJ11" s="8">
        <v>0.0</v>
      </c>
      <c r="CK11" s="9"/>
      <c r="CL11" s="9" t="s">
        <v>857</v>
      </c>
      <c r="CM11" s="8">
        <v>2017.0</v>
      </c>
      <c r="CN11" s="9" t="s">
        <v>858</v>
      </c>
      <c r="CO11" s="9" t="s">
        <v>1968</v>
      </c>
      <c r="CP11" s="9" t="s">
        <v>2194</v>
      </c>
      <c r="CQ11" s="8">
        <v>0.0</v>
      </c>
      <c r="CR11" s="8">
        <v>0.0</v>
      </c>
      <c r="CS11" s="8">
        <v>0.0</v>
      </c>
      <c r="CT11" s="8">
        <v>0.0</v>
      </c>
      <c r="CU11" s="8">
        <v>1.0</v>
      </c>
      <c r="CV11" s="8">
        <v>0.0</v>
      </c>
      <c r="CW11" s="8">
        <v>0.0</v>
      </c>
      <c r="CX11" s="8">
        <v>1.0</v>
      </c>
      <c r="CY11" s="9" t="s">
        <v>1060</v>
      </c>
      <c r="CZ11" s="8">
        <v>1.0</v>
      </c>
      <c r="DA11" s="8">
        <v>1.0</v>
      </c>
      <c r="DB11" s="8">
        <v>0.0</v>
      </c>
      <c r="DC11" s="9"/>
      <c r="DD11" s="9" t="s">
        <v>860</v>
      </c>
      <c r="DE11" s="8">
        <v>1.0</v>
      </c>
      <c r="DF11" s="8">
        <v>0.0</v>
      </c>
      <c r="DG11" s="8">
        <v>0.0</v>
      </c>
      <c r="DH11" s="8">
        <v>0.0</v>
      </c>
      <c r="DI11" s="9"/>
      <c r="DJ11" s="9" t="s">
        <v>937</v>
      </c>
      <c r="DK11" s="8">
        <v>1.0</v>
      </c>
      <c r="DL11" s="8">
        <v>0.0</v>
      </c>
      <c r="DM11" s="8">
        <v>1.0</v>
      </c>
      <c r="DN11" s="8">
        <v>0.0</v>
      </c>
      <c r="DO11" s="9"/>
      <c r="DP11" s="9" t="s">
        <v>938</v>
      </c>
      <c r="DQ11" s="9" t="s">
        <v>939</v>
      </c>
      <c r="DR11" s="17" t="s">
        <v>2030</v>
      </c>
      <c r="DS11" s="9"/>
      <c r="DT11" s="9" t="s">
        <v>2195</v>
      </c>
      <c r="DU11" s="8">
        <v>1.0</v>
      </c>
      <c r="DV11" s="8">
        <v>0.0</v>
      </c>
      <c r="DW11" s="8">
        <v>0.0</v>
      </c>
      <c r="DX11" s="8">
        <v>0.0</v>
      </c>
      <c r="DY11" s="8">
        <v>0.0</v>
      </c>
      <c r="DZ11" s="8">
        <v>0.0</v>
      </c>
      <c r="EA11" s="8">
        <v>0.0</v>
      </c>
      <c r="EB11" s="8">
        <v>0.0</v>
      </c>
      <c r="EC11" s="8">
        <v>0.0</v>
      </c>
      <c r="ED11" s="8">
        <v>0.0</v>
      </c>
      <c r="EE11" s="8">
        <v>1.0</v>
      </c>
      <c r="EF11" s="8">
        <v>1.0</v>
      </c>
      <c r="EG11" s="8">
        <v>0.0</v>
      </c>
      <c r="EH11" s="8">
        <v>0.0</v>
      </c>
      <c r="EI11" s="9" t="s">
        <v>862</v>
      </c>
      <c r="EJ11" s="8">
        <v>0.0</v>
      </c>
      <c r="EK11" s="8">
        <v>0.0</v>
      </c>
      <c r="EL11" s="8">
        <v>0.0</v>
      </c>
      <c r="EM11" s="8">
        <v>1.0</v>
      </c>
      <c r="EN11" s="8">
        <v>0.0</v>
      </c>
      <c r="EO11" s="9"/>
      <c r="EP11" s="9" t="s">
        <v>863</v>
      </c>
      <c r="EQ11" s="9" t="s">
        <v>1380</v>
      </c>
      <c r="ER11" s="9" t="s">
        <v>861</v>
      </c>
      <c r="ES11" s="8">
        <v>1.0</v>
      </c>
      <c r="ET11" s="8">
        <v>0.0</v>
      </c>
      <c r="EU11" s="8">
        <v>0.0</v>
      </c>
      <c r="EV11" s="8">
        <v>0.0</v>
      </c>
      <c r="EW11" s="9"/>
      <c r="EX11" s="9" t="s">
        <v>1013</v>
      </c>
      <c r="EY11" s="8">
        <v>1.0</v>
      </c>
      <c r="EZ11" s="8">
        <v>1.0</v>
      </c>
      <c r="FA11" s="8">
        <v>0.0</v>
      </c>
      <c r="FB11" s="9"/>
      <c r="FC11" s="9" t="s">
        <v>1072</v>
      </c>
      <c r="FD11" s="9" t="s">
        <v>2032</v>
      </c>
      <c r="FE11" s="9" t="s">
        <v>867</v>
      </c>
      <c r="FF11" s="9" t="s">
        <v>868</v>
      </c>
      <c r="FG11" s="9" t="s">
        <v>1971</v>
      </c>
      <c r="FH11" s="9" t="s">
        <v>883</v>
      </c>
      <c r="FI11" s="9" t="s">
        <v>867</v>
      </c>
      <c r="FJ11" s="9" t="s">
        <v>868</v>
      </c>
      <c r="FK11" s="9" t="s">
        <v>1971</v>
      </c>
      <c r="FL11" s="9" t="s">
        <v>883</v>
      </c>
      <c r="FM11" s="9" t="s">
        <v>1971</v>
      </c>
      <c r="FN11" s="9" t="s">
        <v>883</v>
      </c>
      <c r="FO11" s="9" t="s">
        <v>1971</v>
      </c>
      <c r="FP11" s="9" t="s">
        <v>883</v>
      </c>
      <c r="FQ11" s="9" t="s">
        <v>867</v>
      </c>
      <c r="FR11" s="9" t="s">
        <v>857</v>
      </c>
      <c r="FS11" s="9" t="s">
        <v>867</v>
      </c>
      <c r="FT11" s="9" t="s">
        <v>871</v>
      </c>
      <c r="FU11" s="9" t="s">
        <v>989</v>
      </c>
      <c r="FV11" s="8">
        <v>1.0</v>
      </c>
      <c r="FW11" s="8">
        <v>1.0</v>
      </c>
      <c r="FX11" s="8">
        <v>0.0</v>
      </c>
      <c r="FY11" s="8">
        <v>0.0</v>
      </c>
      <c r="FZ11" s="9" t="s">
        <v>2174</v>
      </c>
      <c r="GA11" s="31"/>
      <c r="GB11" s="12"/>
      <c r="GC11" s="12"/>
      <c r="GD11" s="12"/>
      <c r="GE11" s="12"/>
      <c r="GF11" s="9" t="s">
        <v>2174</v>
      </c>
      <c r="GG11" s="9" t="s">
        <v>883</v>
      </c>
      <c r="GH11" s="9" t="s">
        <v>857</v>
      </c>
      <c r="GI11" s="9" t="s">
        <v>2002</v>
      </c>
      <c r="GJ11" s="8">
        <v>1.0</v>
      </c>
      <c r="GK11" s="8">
        <v>0.0</v>
      </c>
      <c r="GL11" s="8">
        <v>1.0</v>
      </c>
      <c r="GM11" s="8">
        <v>0.0</v>
      </c>
      <c r="GN11" s="9"/>
      <c r="GO11" s="8">
        <v>10.0</v>
      </c>
      <c r="GP11" s="9" t="s">
        <v>877</v>
      </c>
      <c r="GQ11" s="9" t="s">
        <v>1102</v>
      </c>
      <c r="GR11" s="8">
        <v>1.0</v>
      </c>
      <c r="GS11" s="8">
        <v>0.0</v>
      </c>
      <c r="GT11" s="8">
        <v>0.0</v>
      </c>
      <c r="GU11" s="8">
        <v>0.0</v>
      </c>
      <c r="GV11" s="8">
        <v>0.0</v>
      </c>
      <c r="GW11" s="8">
        <v>0.0</v>
      </c>
      <c r="GX11" s="8">
        <v>0.0</v>
      </c>
      <c r="GY11" s="9"/>
      <c r="GZ11" s="9" t="s">
        <v>857</v>
      </c>
      <c r="HA11" s="9"/>
      <c r="HB11" s="9"/>
      <c r="HC11" s="9"/>
      <c r="HD11" s="9"/>
      <c r="HE11" s="8">
        <v>6.0</v>
      </c>
      <c r="HF11" s="8">
        <v>30000.0</v>
      </c>
      <c r="HG11" s="8">
        <v>0.0</v>
      </c>
      <c r="HH11" s="35">
        <v>0.0</v>
      </c>
      <c r="HI11" s="9"/>
      <c r="HJ11" s="9"/>
      <c r="HK11" s="9"/>
      <c r="HL11" s="9"/>
      <c r="HM11" s="9"/>
      <c r="HN11" s="9"/>
      <c r="HO11" s="9"/>
      <c r="HP11" s="9"/>
      <c r="HQ11" s="9"/>
      <c r="HR11" s="9"/>
      <c r="HS11" s="9"/>
      <c r="HT11" s="9"/>
      <c r="HU11" s="9"/>
      <c r="HV11" s="9"/>
      <c r="HW11" s="9"/>
      <c r="HX11" s="9"/>
      <c r="HY11" s="9"/>
      <c r="HZ11" s="9"/>
      <c r="IA11" s="8">
        <v>6.0</v>
      </c>
      <c r="IB11" s="8">
        <v>46000.0</v>
      </c>
      <c r="IC11" s="9"/>
      <c r="ID11" s="9"/>
      <c r="IE11" s="9"/>
      <c r="IF11" s="9"/>
      <c r="IG11" s="9"/>
      <c r="IH11" s="9"/>
      <c r="II11" s="9"/>
      <c r="IJ11" s="9"/>
      <c r="IK11" s="9" t="s">
        <v>1382</v>
      </c>
      <c r="IL11" s="9" t="s">
        <v>1366</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945</v>
      </c>
      <c r="KT11" s="9" t="s">
        <v>886</v>
      </c>
      <c r="KU11" s="9" t="s">
        <v>886</v>
      </c>
      <c r="KV11" s="9" t="s">
        <v>989</v>
      </c>
      <c r="KW11" s="8">
        <v>1.0</v>
      </c>
      <c r="KX11" s="8">
        <v>1.0</v>
      </c>
      <c r="KY11" s="8">
        <v>0.0</v>
      </c>
      <c r="KZ11" s="8">
        <v>0.0</v>
      </c>
      <c r="LA11" s="9" t="s">
        <v>884</v>
      </c>
      <c r="LB11" s="9" t="s">
        <v>1180</v>
      </c>
      <c r="LC11" s="8">
        <v>8.0</v>
      </c>
      <c r="LD11" s="8">
        <v>1.0</v>
      </c>
      <c r="LE11" s="8">
        <v>0.0</v>
      </c>
      <c r="LF11" s="8">
        <v>0.0</v>
      </c>
      <c r="LG11" s="9" t="s">
        <v>881</v>
      </c>
      <c r="LH11" s="9"/>
      <c r="LI11" s="8">
        <v>0.0</v>
      </c>
      <c r="LJ11" s="9" t="s">
        <v>969</v>
      </c>
      <c r="LK11" s="8">
        <v>0.0</v>
      </c>
      <c r="LL11" s="8">
        <v>0.0</v>
      </c>
      <c r="LM11" s="8">
        <v>0.0</v>
      </c>
      <c r="LN11" s="8">
        <v>0.0</v>
      </c>
      <c r="LO11" s="8">
        <v>0.0</v>
      </c>
      <c r="LP11" s="8">
        <v>0.0</v>
      </c>
      <c r="LQ11" s="8">
        <v>1.0</v>
      </c>
      <c r="LR11" s="11" t="s">
        <v>1973</v>
      </c>
      <c r="LS11" s="8">
        <v>10.0</v>
      </c>
      <c r="LT11" s="8">
        <v>0.0</v>
      </c>
      <c r="LU11" s="8">
        <v>0.0</v>
      </c>
      <c r="LV11" s="8">
        <v>5.0</v>
      </c>
      <c r="LW11" s="8">
        <v>0.0</v>
      </c>
      <c r="LX11" s="8">
        <v>0.0</v>
      </c>
      <c r="LY11" s="8">
        <v>10.0</v>
      </c>
      <c r="LZ11" s="8">
        <v>0.0</v>
      </c>
      <c r="MA11" s="8">
        <v>0.0</v>
      </c>
      <c r="MB11" s="9" t="s">
        <v>881</v>
      </c>
      <c r="MC11" s="8">
        <v>0.0</v>
      </c>
      <c r="MD11" s="8">
        <v>0.0</v>
      </c>
      <c r="ME11" s="8">
        <v>0.0</v>
      </c>
      <c r="MF11" s="8">
        <v>0.0</v>
      </c>
      <c r="MG11" s="8">
        <v>0.0</v>
      </c>
      <c r="MH11" s="8">
        <v>0.0</v>
      </c>
      <c r="MI11" s="9"/>
      <c r="MJ11" s="9"/>
      <c r="MK11" s="9"/>
      <c r="ML11" s="9"/>
      <c r="MM11" s="9"/>
      <c r="MN11" s="9"/>
      <c r="MO11" s="9"/>
      <c r="MP11" s="9"/>
      <c r="MQ11" s="9"/>
      <c r="MR11" s="17" t="s">
        <v>2035</v>
      </c>
      <c r="MS11" s="9"/>
      <c r="MT11" s="9" t="s">
        <v>2035</v>
      </c>
      <c r="MU11" s="9" t="s">
        <v>881</v>
      </c>
      <c r="MV11" s="9"/>
      <c r="MW11" s="9"/>
      <c r="MX11" s="9"/>
      <c r="MY11" s="9"/>
      <c r="MZ11" s="9"/>
      <c r="NA11" s="9"/>
      <c r="NB11" s="9"/>
      <c r="NC11" s="9"/>
      <c r="ND11" s="9"/>
      <c r="NE11" s="9"/>
      <c r="NF11" s="9"/>
      <c r="NG11" s="9"/>
      <c r="NH11" s="9"/>
      <c r="NI11" s="9"/>
      <c r="NJ11" s="9"/>
      <c r="NK11" s="9"/>
      <c r="NL11" s="9" t="s">
        <v>857</v>
      </c>
      <c r="NM11" s="9" t="s">
        <v>1386</v>
      </c>
      <c r="NN11" s="17" t="s">
        <v>1975</v>
      </c>
      <c r="NO11" s="17" t="s">
        <v>895</v>
      </c>
      <c r="NP11" s="9"/>
      <c r="NQ11" s="9"/>
      <c r="NR11" s="9"/>
      <c r="NS11" s="9"/>
      <c r="NT11" s="9"/>
      <c r="NU11" s="9"/>
      <c r="NV11" s="9"/>
      <c r="NW11" s="9"/>
      <c r="NX11" s="9" t="s">
        <v>914</v>
      </c>
      <c r="NY11" s="8">
        <v>60.0</v>
      </c>
      <c r="NZ11" s="8">
        <v>0.0</v>
      </c>
      <c r="OA11" s="8">
        <v>0.0</v>
      </c>
      <c r="OB11" s="8">
        <v>0.0</v>
      </c>
      <c r="OC11" s="8">
        <v>30.0</v>
      </c>
      <c r="OD11" s="8">
        <v>0.0</v>
      </c>
      <c r="OE11" s="9" t="s">
        <v>945</v>
      </c>
      <c r="OF11" s="9" t="s">
        <v>899</v>
      </c>
      <c r="OG11" s="9" t="s">
        <v>857</v>
      </c>
      <c r="OH11" s="8">
        <v>3.0</v>
      </c>
      <c r="OI11" s="8">
        <v>0.0</v>
      </c>
      <c r="OJ11" s="8">
        <v>0.0</v>
      </c>
      <c r="OK11" s="8">
        <v>0.0</v>
      </c>
      <c r="OL11" s="8">
        <v>0.0</v>
      </c>
      <c r="OM11" s="8">
        <v>0.0</v>
      </c>
      <c r="ON11" s="8">
        <v>1.0</v>
      </c>
      <c r="OO11" s="8">
        <v>0.0</v>
      </c>
      <c r="OP11" s="9" t="str">
        <f>VLOOKUP(AG11,'BUS 2'!$G$1:$CU$424,2,0)</f>
        <v>Sapi pedaging Ayam</v>
      </c>
      <c r="OQ11" s="8">
        <f>VLOOKUP(AG11,'BUS 2'!$G$1:$CU$424,3,0)</f>
        <v>1</v>
      </c>
      <c r="OR11" s="8">
        <f>VLOOKUP(AG11,'BUS 2'!$G$1:$CU$424,4,0)</f>
        <v>0</v>
      </c>
      <c r="OS11" s="8">
        <f>VLOOKUP(AG11,'BUS 2'!$G$1:$CU$424,5,0)</f>
        <v>0</v>
      </c>
      <c r="OT11" s="8">
        <f>VLOOKUP(AG11,'BUS 2'!$G$1:$CU$424,6,0)</f>
        <v>0</v>
      </c>
      <c r="OU11" s="8">
        <f>VLOOKUP(AG11,'BUS 2'!$G$1:$CU$424,7,0)</f>
        <v>0</v>
      </c>
      <c r="OV11" s="8">
        <f>VLOOKUP(AG11,'BUS 2'!$G$1:$CU$424,8,0)</f>
        <v>0</v>
      </c>
      <c r="OW11" s="8">
        <f>VLOOKUP(AG11,'BUS 2'!$G$1:$CU$424,9,0)</f>
        <v>1</v>
      </c>
      <c r="OX11" s="8">
        <f>VLOOKUP(AG11,'BUS 2'!$G$1:$CU$424,10,0)</f>
        <v>0</v>
      </c>
      <c r="OY11" s="8">
        <f>VLOOKUP(AG11,'BUS 2'!$G$1:$CU$424,11,0)</f>
        <v>0</v>
      </c>
      <c r="OZ11" s="8" t="str">
        <f>VLOOKUP(AG11,'BUS 2'!$G$1:$CU$424,12,0)</f>
        <v>Sapi pedaging Ayam</v>
      </c>
      <c r="PA11" s="8">
        <f>VLOOKUP(AG11,'BUS 2'!$G$1:$CU$424,13,0)</f>
        <v>1</v>
      </c>
      <c r="PB11" s="8">
        <f>VLOOKUP(AG11,'BUS 2'!$G$1:$CU$424,14,0)</f>
        <v>0</v>
      </c>
      <c r="PC11" s="8">
        <f>VLOOKUP(AG11,'BUS 2'!$G$1:$CU$424,15,0)</f>
        <v>0</v>
      </c>
      <c r="PD11" s="8">
        <f>VLOOKUP(AG11,'BUS 2'!$G$1:$CU$424,16,0)</f>
        <v>0</v>
      </c>
      <c r="PE11" s="8">
        <f>VLOOKUP(AG11,'BUS 2'!$G$1:$CU$424,17,0)</f>
        <v>0</v>
      </c>
      <c r="PF11" s="8">
        <f>VLOOKUP(AG11,'BUS 2'!$G$1:$CU$424,18,0)</f>
        <v>0</v>
      </c>
      <c r="PG11" s="8">
        <f>VLOOKUP(AG11,'BUS 2'!$G$1:$CU$424,19,0)</f>
        <v>1</v>
      </c>
      <c r="PH11" s="8">
        <f>VLOOKUP(AG11,'BUS 2'!$G$1:$CU$424,20,0)</f>
        <v>0</v>
      </c>
      <c r="PI11" s="8">
        <f>VLOOKUP(AG11,'BUS 2'!$G$1:$CU$424,21,0)</f>
        <v>0</v>
      </c>
      <c r="PJ11" s="8" t="str">
        <f>VLOOKUP(AG11,'BUS 2'!$G$1:$CU$424,22,0)</f>
        <v>Sapi pedaging Ayam</v>
      </c>
      <c r="PK11" s="8">
        <f>VLOOKUP(AG11,'BUS 2'!$G$1:$CU$424,23,0)</f>
        <v>1</v>
      </c>
      <c r="PL11" s="8">
        <f>VLOOKUP(AG11,'BUS 2'!$G$1:$CU$424,24,0)</f>
        <v>0</v>
      </c>
      <c r="PM11" s="8">
        <f>VLOOKUP(AG11,'BUS 2'!$G$1:$CU$424,25,0)</f>
        <v>0</v>
      </c>
      <c r="PN11" s="8">
        <f>VLOOKUP(AG11,'BUS 2'!$G$1:$CU$424,26,0)</f>
        <v>0</v>
      </c>
      <c r="PO11" s="8">
        <f>VLOOKUP(AG11,'BUS 2'!$G$1:$CU$424,27,0)</f>
        <v>0</v>
      </c>
      <c r="PP11" s="8">
        <f>VLOOKUP(AG11,'BUS 2'!$G$1:$CU$424,28,0)</f>
        <v>0</v>
      </c>
      <c r="PQ11" s="8">
        <f>VLOOKUP(AG11,'BUS 2'!$G$1:$CU$424,29,0)</f>
        <v>1</v>
      </c>
      <c r="PR11" s="8">
        <f>VLOOKUP(AG11,'BUS 2'!$G$1:$CU$424,30,0)</f>
        <v>0</v>
      </c>
      <c r="PS11" s="8">
        <f>VLOOKUP(AG11,'BUS 2'!$G$1:$CU$424,31,0)</f>
        <v>0</v>
      </c>
      <c r="PT11" s="9" t="s">
        <v>900</v>
      </c>
      <c r="PU11" s="8">
        <v>0.0</v>
      </c>
      <c r="PV11" s="8">
        <v>0.0</v>
      </c>
      <c r="PW11" s="8">
        <v>0.0</v>
      </c>
      <c r="PX11" s="8">
        <v>0.0</v>
      </c>
      <c r="PY11" s="8">
        <v>0.0</v>
      </c>
      <c r="PZ11" s="8">
        <v>1.0</v>
      </c>
      <c r="QA11" s="8">
        <v>0.0</v>
      </c>
      <c r="QB11" s="8">
        <v>0.0</v>
      </c>
      <c r="QC11" s="8">
        <v>0.0</v>
      </c>
      <c r="QD11" s="9"/>
      <c r="QE11" s="32"/>
      <c r="QF11" s="31"/>
      <c r="QG11" s="31"/>
      <c r="QH11" s="31"/>
      <c r="QI11" s="31"/>
      <c r="QJ11" s="31"/>
      <c r="QK11" s="32"/>
      <c r="QL11" s="32"/>
      <c r="QM11" s="32"/>
      <c r="QN11" s="32"/>
      <c r="QO11" s="32"/>
      <c r="QP11" s="32"/>
      <c r="QQ11" s="32"/>
      <c r="QR11" s="32"/>
      <c r="QS11" s="32"/>
      <c r="QT11" s="32"/>
      <c r="QU11" s="32"/>
      <c r="QV11" s="32"/>
      <c r="QW11" s="31"/>
      <c r="QX11" s="31"/>
      <c r="QY11" s="31"/>
      <c r="QZ11" s="31"/>
      <c r="RA11" s="31"/>
      <c r="RB11" s="32"/>
      <c r="RC11" s="32"/>
      <c r="RD11" s="32"/>
      <c r="RE11" s="32"/>
      <c r="RF11" s="32"/>
      <c r="RG11" s="9"/>
      <c r="RH11" s="31"/>
      <c r="RI11" s="31"/>
      <c r="RJ11" s="31"/>
      <c r="RK11" s="31"/>
      <c r="RL11" s="31"/>
      <c r="RM11" s="9"/>
      <c r="RN11" s="9"/>
      <c r="RO11" s="9"/>
      <c r="RP11" s="9"/>
      <c r="RQ11" s="9"/>
      <c r="RR11" s="9"/>
      <c r="RS11" s="31"/>
      <c r="RT11" s="31"/>
      <c r="RU11" s="31"/>
      <c r="RV11" s="31"/>
      <c r="RW11" s="31"/>
      <c r="RX11" s="9"/>
      <c r="RY11" s="9"/>
      <c r="RZ11" s="9"/>
      <c r="SA11" s="9"/>
      <c r="SB11" s="9"/>
      <c r="SC11" s="9" t="s">
        <v>900</v>
      </c>
      <c r="SD11" s="35">
        <v>0.0</v>
      </c>
      <c r="SE11" s="35">
        <v>0.0</v>
      </c>
      <c r="SF11" s="35">
        <v>0.0</v>
      </c>
      <c r="SG11" s="35">
        <v>0.0</v>
      </c>
      <c r="SH11" s="35">
        <v>0.0</v>
      </c>
      <c r="SI11" s="8">
        <v>1.0</v>
      </c>
      <c r="SJ11" s="8">
        <v>0.0</v>
      </c>
      <c r="SK11" s="8">
        <v>0.0</v>
      </c>
      <c r="SL11" s="8">
        <v>0.0</v>
      </c>
      <c r="SM11" s="9"/>
      <c r="SN11" s="9"/>
      <c r="SO11" s="31"/>
      <c r="SP11" s="31"/>
      <c r="SQ11" s="31"/>
      <c r="SR11" s="31"/>
      <c r="SS11" s="31"/>
      <c r="ST11" s="9"/>
      <c r="SU11" s="9"/>
      <c r="SV11" s="9"/>
      <c r="SW11" s="9"/>
      <c r="SX11" s="9"/>
      <c r="SY11" s="8">
        <f>VLOOKUP(AG11,'BUS 2'!$G$1:$CU$424,33,0)</f>
        <v>6</v>
      </c>
      <c r="SZ11" s="9" t="str">
        <f>VLOOKUP(AG11,'BUS 2'!$G$1:$CU$424,34,0)</f>
        <v/>
      </c>
      <c r="TA11" s="9" t="str">
        <f>VLOOKUP(AG11,'BUS 2'!$G$1:$CU$424,35,0)</f>
        <v/>
      </c>
      <c r="TB11" s="9" t="str">
        <f>VLOOKUP(AG11,'BUS 2'!$G$1:$CU$424,36,0)</f>
        <v/>
      </c>
      <c r="TC11" s="9" t="str">
        <f>VLOOKUP(AG11,'BUS 2'!$G$1:$CU$424,37,0)</f>
        <v/>
      </c>
      <c r="TD11" s="9" t="str">
        <f>VLOOKUP(AG11,'BUS 2'!$G$1:$CU$424,38,0)</f>
        <v/>
      </c>
      <c r="TE11" s="9">
        <f>VLOOKUP(AG11,'BUS 2'!$G$1:$CU$424,39,0)</f>
        <v>2</v>
      </c>
      <c r="TF11" s="9" t="str">
        <f>VLOOKUP(AG11,'BUS 2'!$G$1:$CU$424,40,0)</f>
        <v/>
      </c>
      <c r="TG11" s="8">
        <f>VLOOKUP(AG11,'BUS 2'!$G$1:$CU$424,42,0)</f>
        <v>6</v>
      </c>
      <c r="TH11" s="8" t="str">
        <f>VLOOKUP(AG11,'BUS 2'!$G$1:$CU$424,43,0)</f>
        <v/>
      </c>
      <c r="TI11" s="8" t="str">
        <f>VLOOKUP(AG11,'BUS 2'!$G$1:$CU$424,44,0)</f>
        <v/>
      </c>
      <c r="TJ11" s="8" t="str">
        <f>VLOOKUP(AG11,'BUS 2'!$G$1:$CU$424,45,0)</f>
        <v/>
      </c>
      <c r="TK11" s="8" t="str">
        <f>VLOOKUP(AG11,'BUS 2'!$G$1:$CU$424,46,0)</f>
        <v/>
      </c>
      <c r="TL11" s="8" t="str">
        <f>VLOOKUP(AG11,'BUS 2'!$G$1:$CU$424,47,0)</f>
        <v/>
      </c>
      <c r="TM11" s="8">
        <f>VLOOKUP(AG11,'BUS 2'!$G$1:$CU$424,48,0)</f>
        <v>2</v>
      </c>
      <c r="TN11" s="8" t="str">
        <f>VLOOKUP(AG11,'BUS 2'!$G$1:$CU$424,49,0)</f>
        <v/>
      </c>
      <c r="TO11" s="8">
        <f>VLOOKUP(AG11,'BUS 2'!$G$1:$CU$424,50,0)</f>
        <v>0</v>
      </c>
      <c r="TP11" s="8">
        <f>VLOOKUP(AG11,'BUS 2'!$G$1:$CU$424,51,0)</f>
        <v>0</v>
      </c>
      <c r="TQ11" s="8">
        <f>VLOOKUP(AG11,'BUS 2'!$G$1:$CU$424,52,0)</f>
        <v>0</v>
      </c>
      <c r="TR11" s="8">
        <f>VLOOKUP(AG11,'BUS 2'!$G$1:$CU$424,53,0)</f>
        <v>0</v>
      </c>
      <c r="TS11" s="9" t="str">
        <f>VLOOKUP(AG11,'BUS 2'!$G$1:$CU$424,54,0)</f>
        <v/>
      </c>
      <c r="TT11" s="9" t="str">
        <f>VLOOKUP(AG11,'BUS 2'!$G$1:$CU$424,55,0)</f>
        <v/>
      </c>
      <c r="TU11" s="9" t="str">
        <f>VLOOKUP(AG11,'BUS 2'!$G$1:$CU$424,56,0)</f>
        <v/>
      </c>
      <c r="TV11" s="9" t="str">
        <f>VLOOKUP(AG11,'BUS 2'!$G$1:$CU$424,57,0)</f>
        <v/>
      </c>
      <c r="TW11" s="9" t="str">
        <f>VLOOKUP(AG11,'BUS 2'!$G$1:$CU$424,58,0)</f>
        <v/>
      </c>
      <c r="TX11" s="9" t="str">
        <f>VLOOKUP(AG11,'BUS 2'!$G$1:$CU$424,59,0)</f>
        <v/>
      </c>
      <c r="TY11" s="9" t="str">
        <f>VLOOKUP(AG11,'BUS 2'!$G$1:$CU$424,60,0)</f>
        <v/>
      </c>
      <c r="TZ11" s="9" t="str">
        <f>VLOOKUP(AG11,'BUS 2'!$G$1:$CU$424,61,0)</f>
        <v/>
      </c>
      <c r="UA11" s="9" t="str">
        <f>VLOOKUP(AG11,'BUS 2'!$G$1:$CU$424,62,0)</f>
        <v/>
      </c>
      <c r="UB11" s="9" t="str">
        <f>VLOOKUP(AG11,'BUS 2'!$G$1:$CU$424,63,0)</f>
        <v/>
      </c>
      <c r="UC11" s="9" t="str">
        <f>VLOOKUP(AG11,'BUS 2'!$G$1:$CU$424,64,0)</f>
        <v/>
      </c>
      <c r="UD11" s="9" t="str">
        <f>VLOOKUP(AG11,'BUS 2'!$G$1:$CU$424,65,0)</f>
        <v/>
      </c>
      <c r="UE11" s="9" t="str">
        <f>VLOOKUP(AG11,'BUS 2'!$G$1:$CU$424,66,0)</f>
        <v/>
      </c>
      <c r="UF11" s="9" t="str">
        <f>VLOOKUP(AG11,'BUS 2'!$G$1:$CU$424,67,0)</f>
        <v/>
      </c>
      <c r="UG11" s="9" t="str">
        <f>VLOOKUP(AG11,'BUS 2'!$G$1:$CU$424,68,0)</f>
        <v/>
      </c>
      <c r="UH11" s="9" t="str">
        <f>VLOOKUP(AG11,'BUS 2'!$G$1:$CU$424,69,0)</f>
        <v/>
      </c>
      <c r="UI11" s="9" t="str">
        <f>VLOOKUP(AG11,'BUS 2'!$G$1:$CU$424,70,0)</f>
        <v/>
      </c>
      <c r="UJ11" s="9" t="str">
        <f>VLOOKUP(AG11,'BUS 2'!$G$1:$CU$424,71,0)</f>
        <v/>
      </c>
      <c r="UK11" s="9" t="str">
        <f>VLOOKUP(AG11,'BUS 2'!$G$1:$CU$424,72,0)</f>
        <v/>
      </c>
      <c r="UL11" s="9" t="str">
        <f>VLOOKUP(AG11,'BUS 2'!$G$1:$CU$424,73,0)</f>
        <v/>
      </c>
      <c r="UM11" s="9">
        <f>VLOOKUP(AG11,'BUS 2'!$G$1:$CU$424,74,0)</f>
        <v>0</v>
      </c>
      <c r="UN11" s="9">
        <f>VLOOKUP(AG11,'BUS 2'!$G$1:$CU$424,75,0)</f>
        <v>0</v>
      </c>
      <c r="UO11" s="9">
        <f>VLOOKUP(AG11,'BUS 2'!$G$1:$CU$424,76,0)</f>
        <v>0</v>
      </c>
      <c r="UP11" s="9">
        <f>VLOOKUP(AG11,'BUS 2'!$G$1:$CU$424,77,0)</f>
        <v>0</v>
      </c>
      <c r="UQ11" s="9" t="str">
        <f>VLOOKUP(AG11,'BUS 2'!$G$1:$CU$424,78,0)</f>
        <v/>
      </c>
      <c r="UR11" s="9" t="str">
        <f>VLOOKUP(AG11,'BUS 2'!$G$1:$CU$424,79,0)</f>
        <v/>
      </c>
      <c r="US11" s="9" t="str">
        <f>VLOOKUP(AG11,'BUS 2'!$G$1:$CU$424,80,0)</f>
        <v/>
      </c>
      <c r="UT11" s="9" t="str">
        <f>VLOOKUP(AG11,'BUS 2'!$G$1:$CU$424,81,0)</f>
        <v/>
      </c>
      <c r="UU11" s="9" t="s">
        <v>1937</v>
      </c>
      <c r="UV11" s="9"/>
      <c r="UW11" s="9"/>
      <c r="UX11" s="9"/>
      <c r="UY11" s="9"/>
      <c r="UZ11" s="9"/>
      <c r="VA11" s="9" t="s">
        <v>1937</v>
      </c>
      <c r="VB11" s="9"/>
      <c r="VC11" s="9" t="s">
        <v>1938</v>
      </c>
      <c r="VD11" s="9"/>
      <c r="VE11" s="9"/>
      <c r="VF11" s="9"/>
      <c r="VG11" s="9"/>
      <c r="VH11" s="9"/>
      <c r="VI11" s="9" t="s">
        <v>1938</v>
      </c>
      <c r="VJ11" s="9"/>
      <c r="VK11" s="9" t="s">
        <v>903</v>
      </c>
      <c r="VL11" s="9"/>
      <c r="VM11" s="9"/>
      <c r="VN11" s="9"/>
      <c r="VO11" s="9"/>
      <c r="VP11" s="9"/>
      <c r="VQ11" s="9" t="s">
        <v>1938</v>
      </c>
      <c r="VR11" s="9"/>
      <c r="VS11" s="9" t="s">
        <v>2196</v>
      </c>
      <c r="VT11" s="8">
        <v>0.0</v>
      </c>
      <c r="VU11" s="8">
        <v>0.0</v>
      </c>
      <c r="VV11" s="8">
        <v>0.0</v>
      </c>
      <c r="VW11" s="8">
        <v>0.0</v>
      </c>
      <c r="VX11" s="8">
        <v>0.0</v>
      </c>
      <c r="VY11" s="8">
        <v>1.0</v>
      </c>
      <c r="VZ11" s="8">
        <v>0.0</v>
      </c>
      <c r="WA11" s="8">
        <v>0.0</v>
      </c>
      <c r="WB11" s="8">
        <v>0.0</v>
      </c>
      <c r="WC11" s="8">
        <v>1.0</v>
      </c>
      <c r="WD11" s="8">
        <v>0.0</v>
      </c>
      <c r="WE11" s="8">
        <v>0.0</v>
      </c>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t="s">
        <v>951</v>
      </c>
      <c r="YO11" s="8">
        <v>0.0</v>
      </c>
      <c r="YP11" s="8">
        <v>0.0</v>
      </c>
      <c r="YQ11" s="8">
        <v>0.0</v>
      </c>
      <c r="YR11" s="8">
        <v>0.0</v>
      </c>
      <c r="YS11" s="8">
        <v>0.0</v>
      </c>
      <c r="YT11" s="8">
        <v>0.0</v>
      </c>
      <c r="YU11" s="8">
        <v>1.0</v>
      </c>
      <c r="YV11" s="8">
        <v>0.0</v>
      </c>
      <c r="YW11" s="8">
        <v>0.0</v>
      </c>
      <c r="YX11" s="8">
        <v>0.0</v>
      </c>
      <c r="YY11" s="8">
        <v>0.0</v>
      </c>
      <c r="YZ11" s="8">
        <v>0.0</v>
      </c>
      <c r="ZA11" s="9"/>
      <c r="ZB11" s="9"/>
      <c r="ZC11" s="9"/>
      <c r="ZD11" s="9"/>
      <c r="ZE11" s="9"/>
      <c r="ZF11" s="9"/>
      <c r="ZG11" s="9"/>
      <c r="ZH11" s="9"/>
      <c r="ZI11" s="9"/>
      <c r="ZJ11" s="9"/>
      <c r="ZK11" s="9"/>
      <c r="ZL11" s="9"/>
      <c r="ZM11" s="9"/>
      <c r="ZN11" s="8">
        <v>100.0</v>
      </c>
      <c r="ZO11" s="9"/>
      <c r="ZP11" s="9"/>
      <c r="ZQ11" s="9"/>
      <c r="ZR11" s="9"/>
      <c r="ZS11" s="9"/>
      <c r="ZT11" s="9"/>
      <c r="ZU11" s="9"/>
      <c r="ZV11" s="8">
        <v>3.0</v>
      </c>
      <c r="ZW11" s="9"/>
      <c r="ZX11" s="9"/>
      <c r="ZY11" s="9"/>
      <c r="ZZ11" s="9"/>
      <c r="AAA11" s="9"/>
      <c r="AAB11" s="8">
        <v>2.0</v>
      </c>
      <c r="AAC11" s="9"/>
      <c r="AAD11" s="9" t="s">
        <v>1186</v>
      </c>
      <c r="AAE11" s="9"/>
      <c r="AAF11" s="9"/>
      <c r="AAG11" s="9"/>
      <c r="AAH11" s="9"/>
      <c r="AAI11" s="9"/>
      <c r="AAJ11" s="9" t="s">
        <v>905</v>
      </c>
      <c r="AAK11" s="9"/>
      <c r="AAL11" s="9" t="s">
        <v>881</v>
      </c>
      <c r="AAM11" s="9"/>
      <c r="AAN11" s="9"/>
      <c r="AAO11" s="9"/>
      <c r="AAP11" s="9"/>
      <c r="AAQ11" s="9"/>
      <c r="AAR11" s="9" t="s">
        <v>881</v>
      </c>
      <c r="AAS11" s="9" t="s">
        <v>867</v>
      </c>
      <c r="AAT11" s="9" t="s">
        <v>2176</v>
      </c>
      <c r="AAU11" s="8">
        <v>0.0</v>
      </c>
      <c r="AAV11" s="8">
        <v>0.0</v>
      </c>
      <c r="AAW11" s="8">
        <v>0.0</v>
      </c>
      <c r="AAX11" s="8">
        <v>0.0</v>
      </c>
      <c r="AAY11" s="8">
        <v>0.0</v>
      </c>
      <c r="AAZ11" s="8">
        <v>1.0</v>
      </c>
      <c r="ABA11" s="8">
        <v>0.0</v>
      </c>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t="s">
        <v>2123</v>
      </c>
      <c r="ACL11" s="8">
        <v>0.0</v>
      </c>
      <c r="ACM11" s="8">
        <v>1.0</v>
      </c>
      <c r="ACN11" s="8">
        <v>0.0</v>
      </c>
      <c r="ACO11" s="8">
        <v>0.0</v>
      </c>
      <c r="ACP11" s="8">
        <v>0.0</v>
      </c>
      <c r="ACQ11" s="8">
        <v>0.0</v>
      </c>
      <c r="ACR11" s="8">
        <v>0.0</v>
      </c>
      <c r="ACS11" s="9"/>
      <c r="ACT11" s="9" t="s">
        <v>1945</v>
      </c>
      <c r="ACU11" s="9" t="s">
        <v>1050</v>
      </c>
      <c r="ACV11" s="9" t="s">
        <v>914</v>
      </c>
      <c r="ACW11" s="9" t="s">
        <v>915</v>
      </c>
      <c r="ACX11" s="9" t="s">
        <v>916</v>
      </c>
      <c r="ACY11" s="9" t="s">
        <v>1035</v>
      </c>
      <c r="ACZ11" s="8">
        <v>1.0</v>
      </c>
      <c r="ADA11" s="8">
        <v>1.0</v>
      </c>
      <c r="ADB11" s="8">
        <v>0.0</v>
      </c>
      <c r="ADC11" s="8">
        <v>0.0</v>
      </c>
      <c r="ADD11" s="9" t="s">
        <v>917</v>
      </c>
      <c r="ADE11" s="9" t="s">
        <v>917</v>
      </c>
      <c r="ADF11" s="9" t="s">
        <v>917</v>
      </c>
      <c r="ADG11" s="9" t="s">
        <v>1187</v>
      </c>
      <c r="ADH11" s="9" t="s">
        <v>881</v>
      </c>
      <c r="ADI11" s="9"/>
      <c r="ADJ11" s="9" t="s">
        <v>917</v>
      </c>
      <c r="ADK11" s="9"/>
      <c r="ADL11" s="9"/>
      <c r="ADM11" s="9"/>
      <c r="ADN11" s="9"/>
      <c r="ADO11" s="9"/>
      <c r="ADP11" s="9"/>
      <c r="ADQ11" s="9"/>
      <c r="ADR11" s="9"/>
      <c r="ADS11" s="9"/>
      <c r="ADT11" s="9"/>
      <c r="ADU11" s="9" t="s">
        <v>919</v>
      </c>
      <c r="ADV11" s="8">
        <v>0.0</v>
      </c>
      <c r="ADW11" s="8">
        <v>0.0</v>
      </c>
      <c r="ADX11" s="8">
        <v>0.0</v>
      </c>
      <c r="ADY11" s="8">
        <v>0.0</v>
      </c>
      <c r="ADZ11" s="8">
        <v>1.0</v>
      </c>
      <c r="AEA11" s="8">
        <v>0.0</v>
      </c>
      <c r="AEB11" s="8">
        <v>0.0</v>
      </c>
      <c r="AEC11" s="8">
        <v>0.0</v>
      </c>
      <c r="AED11" s="9" t="s">
        <v>2180</v>
      </c>
      <c r="AEE11" s="9" t="s">
        <v>872</v>
      </c>
      <c r="AEF11" s="9"/>
      <c r="AEG11" s="9" t="s">
        <v>969</v>
      </c>
      <c r="AEH11" s="9" t="s">
        <v>2197</v>
      </c>
      <c r="AEI11" s="9" t="s">
        <v>2198</v>
      </c>
      <c r="AEJ11" s="9" t="s">
        <v>871</v>
      </c>
      <c r="AEK11" s="9" t="s">
        <v>2199</v>
      </c>
      <c r="AEL11" s="8">
        <v>0.0</v>
      </c>
      <c r="AEM11" s="8">
        <v>1.0</v>
      </c>
      <c r="AEN11" s="8">
        <v>0.0</v>
      </c>
      <c r="AEO11" s="8">
        <v>0.0</v>
      </c>
      <c r="AEP11" s="8">
        <v>0.0</v>
      </c>
      <c r="AEQ11" s="8">
        <v>0.0</v>
      </c>
      <c r="AER11" s="8">
        <v>1.0</v>
      </c>
      <c r="AES11" s="8">
        <v>0.0</v>
      </c>
      <c r="AET11" s="8">
        <v>1.0</v>
      </c>
      <c r="AEU11" s="8">
        <v>0.0</v>
      </c>
      <c r="AEV11" s="8">
        <v>1.0</v>
      </c>
      <c r="AEW11" s="8">
        <v>0.0</v>
      </c>
      <c r="AEX11" s="9"/>
      <c r="AEY11" s="9" t="s">
        <v>923</v>
      </c>
      <c r="AEZ11" s="9"/>
      <c r="AFA11" s="9" t="s">
        <v>924</v>
      </c>
      <c r="AFB11" s="9"/>
      <c r="AFC11" s="9" t="s">
        <v>2200</v>
      </c>
      <c r="AFD11" s="16" t="s">
        <v>2201</v>
      </c>
      <c r="AFE11" s="9" t="s">
        <v>2202</v>
      </c>
      <c r="AFF11" s="16" t="s">
        <v>2203</v>
      </c>
      <c r="AFG11" s="9" t="s">
        <v>1991</v>
      </c>
      <c r="AFH11" s="9"/>
      <c r="AFI11" s="21"/>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8">
        <v>6.67231397E8</v>
      </c>
      <c r="AWB11" s="9" t="s">
        <v>2204</v>
      </c>
      <c r="AWC11" s="6">
        <v>46062.0</v>
      </c>
      <c r="AWD11" s="9"/>
      <c r="AWE11" s="9"/>
      <c r="AWF11" s="9" t="s">
        <v>1954</v>
      </c>
      <c r="AWG11" s="9"/>
      <c r="AWH11" s="9" t="s">
        <v>1989</v>
      </c>
      <c r="AWI11" s="9"/>
      <c r="AWJ11" s="9" t="s">
        <v>2205</v>
      </c>
      <c r="AWK11" s="8">
        <v>136.0</v>
      </c>
      <c r="AWL11" s="9" t="s">
        <v>2193</v>
      </c>
      <c r="AWM11" s="8">
        <v>0.0</v>
      </c>
      <c r="AWN11" s="9" t="s">
        <v>1957</v>
      </c>
      <c r="AWO11" s="33" t="b">
        <v>1</v>
      </c>
      <c r="AWP11" s="33" t="b">
        <v>1</v>
      </c>
      <c r="AWQ11" s="33" t="b">
        <v>1</v>
      </c>
      <c r="AWR11" s="33" t="b">
        <v>1</v>
      </c>
      <c r="AWS11" s="33" t="b">
        <v>1</v>
      </c>
      <c r="AWT11" s="33" t="b">
        <v>1</v>
      </c>
      <c r="AWU11" s="9"/>
      <c r="AWV11" s="8">
        <v>6.0</v>
      </c>
      <c r="AWW11" s="9"/>
      <c r="AWX11" s="9"/>
      <c r="AWY11" s="9"/>
      <c r="AWZ11" s="9"/>
    </row>
    <row r="12">
      <c r="A12" s="6">
        <v>46062.0</v>
      </c>
      <c r="B12" s="6">
        <v>46063.0</v>
      </c>
      <c r="C12" s="30" t="s">
        <v>1919</v>
      </c>
      <c r="D12" s="30" t="s">
        <v>2206</v>
      </c>
      <c r="E12" s="8">
        <f>+6281354728607</f>
        <v>6281354728607</v>
      </c>
      <c r="F12" s="9" t="s">
        <v>2207</v>
      </c>
      <c r="G12" s="8">
        <v>-5.010103</v>
      </c>
      <c r="H12" s="8">
        <v>119.654646</v>
      </c>
      <c r="I12" s="8">
        <v>64.40000153</v>
      </c>
      <c r="J12" s="8">
        <v>20.0</v>
      </c>
      <c r="K12" s="8">
        <v>0.0</v>
      </c>
      <c r="L12" s="9" t="s">
        <v>2208</v>
      </c>
      <c r="M12" s="8">
        <v>-5.010096</v>
      </c>
      <c r="N12" s="8">
        <v>119.654642</v>
      </c>
      <c r="O12" s="8">
        <v>64.40000153</v>
      </c>
      <c r="P12" s="8">
        <v>27.79899979</v>
      </c>
      <c r="Q12" s="8">
        <v>0.0</v>
      </c>
      <c r="R12" s="9" t="s">
        <v>1923</v>
      </c>
      <c r="S12" s="8">
        <v>0.0</v>
      </c>
      <c r="T12" s="8">
        <v>0.0</v>
      </c>
      <c r="U12" s="8">
        <v>0.0</v>
      </c>
      <c r="V12" s="8">
        <v>0.0</v>
      </c>
      <c r="W12" s="8">
        <v>0.0</v>
      </c>
      <c r="X12" s="8">
        <v>0.0</v>
      </c>
      <c r="Y12" s="8">
        <v>0.0</v>
      </c>
      <c r="Z12" s="8">
        <v>0.0</v>
      </c>
      <c r="AA12" s="8">
        <v>0.0</v>
      </c>
      <c r="AB12" s="8">
        <v>1.0</v>
      </c>
      <c r="AC12" s="7" t="s">
        <v>1924</v>
      </c>
      <c r="AD12" s="7" t="s">
        <v>2209</v>
      </c>
      <c r="AE12" s="7" t="s">
        <v>2210</v>
      </c>
      <c r="AF12" s="9" t="s">
        <v>2211</v>
      </c>
      <c r="AG12" s="9" t="s">
        <v>2212</v>
      </c>
      <c r="AH12" s="8">
        <v>10.0</v>
      </c>
      <c r="AI12" s="9" t="s">
        <v>933</v>
      </c>
      <c r="AJ12" s="9" t="s">
        <v>934</v>
      </c>
      <c r="AK12" s="8">
        <v>55.0</v>
      </c>
      <c r="AL12" s="9" t="s">
        <v>847</v>
      </c>
      <c r="AM12" s="9" t="s">
        <v>848</v>
      </c>
      <c r="AN12" s="9" t="s">
        <v>1099</v>
      </c>
      <c r="AO12" s="9" t="s">
        <v>1168</v>
      </c>
      <c r="AP12" s="8">
        <v>0.0</v>
      </c>
      <c r="AQ12" s="8">
        <v>0.0</v>
      </c>
      <c r="AR12" s="8">
        <v>0.0</v>
      </c>
      <c r="AS12" s="8">
        <v>0.0</v>
      </c>
      <c r="AT12" s="8">
        <v>1.0</v>
      </c>
      <c r="AU12" s="8">
        <v>0.0</v>
      </c>
      <c r="AV12" s="8">
        <v>0.0</v>
      </c>
      <c r="AW12" s="8">
        <v>0.0</v>
      </c>
      <c r="AX12" s="9"/>
      <c r="AY12" s="9" t="s">
        <v>851</v>
      </c>
      <c r="AZ12" s="8">
        <v>1.0</v>
      </c>
      <c r="BA12" s="8">
        <v>1.0</v>
      </c>
      <c r="BB12" s="8">
        <v>0.0</v>
      </c>
      <c r="BC12" s="8">
        <v>0.0</v>
      </c>
      <c r="BD12" s="8">
        <v>0.0</v>
      </c>
      <c r="BE12" s="8">
        <v>0.0</v>
      </c>
      <c r="BF12" s="8">
        <v>0.0</v>
      </c>
      <c r="BG12" s="8">
        <v>0.0</v>
      </c>
      <c r="BH12" s="11"/>
      <c r="BI12" s="9" t="s">
        <v>1101</v>
      </c>
      <c r="BJ12" s="8">
        <v>2.0</v>
      </c>
      <c r="BK12" s="8">
        <v>1.0</v>
      </c>
      <c r="BL12" s="8">
        <v>0.0</v>
      </c>
      <c r="BM12" s="8">
        <v>0.0</v>
      </c>
      <c r="BN12" s="9" t="s">
        <v>853</v>
      </c>
      <c r="BO12" s="9" t="s">
        <v>2000</v>
      </c>
      <c r="BP12" s="8">
        <v>0.0</v>
      </c>
      <c r="BQ12" s="8">
        <v>1.0</v>
      </c>
      <c r="BR12" s="8">
        <v>0.0</v>
      </c>
      <c r="BS12" s="8">
        <v>0.0</v>
      </c>
      <c r="BT12" s="8">
        <v>0.0</v>
      </c>
      <c r="BU12" s="9"/>
      <c r="BV12" s="9" t="s">
        <v>2065</v>
      </c>
      <c r="BW12" s="8">
        <v>1.0</v>
      </c>
      <c r="BX12" s="8">
        <v>0.0</v>
      </c>
      <c r="BY12" s="8">
        <v>0.0</v>
      </c>
      <c r="BZ12" s="8">
        <v>0.0</v>
      </c>
      <c r="CA12" s="8">
        <v>0.0</v>
      </c>
      <c r="CB12" s="9"/>
      <c r="CC12" s="9" t="s">
        <v>1929</v>
      </c>
      <c r="CD12" s="8">
        <v>0.0</v>
      </c>
      <c r="CE12" s="8">
        <v>0.0</v>
      </c>
      <c r="CF12" s="8">
        <v>0.0</v>
      </c>
      <c r="CG12" s="8">
        <v>0.0</v>
      </c>
      <c r="CH12" s="8">
        <v>1.0</v>
      </c>
      <c r="CI12" s="8">
        <v>0.0</v>
      </c>
      <c r="CJ12" s="8">
        <v>0.0</v>
      </c>
      <c r="CK12" s="9"/>
      <c r="CL12" s="9" t="s">
        <v>857</v>
      </c>
      <c r="CM12" s="8">
        <v>2016.0</v>
      </c>
      <c r="CN12" s="9" t="s">
        <v>858</v>
      </c>
      <c r="CO12" s="9" t="s">
        <v>1968</v>
      </c>
      <c r="CP12" s="9" t="s">
        <v>860</v>
      </c>
      <c r="CQ12" s="8">
        <v>0.0</v>
      </c>
      <c r="CR12" s="8">
        <v>0.0</v>
      </c>
      <c r="CS12" s="8">
        <v>0.0</v>
      </c>
      <c r="CT12" s="8">
        <v>0.0</v>
      </c>
      <c r="CU12" s="8">
        <v>1.0</v>
      </c>
      <c r="CV12" s="8">
        <v>0.0</v>
      </c>
      <c r="CW12" s="8">
        <v>0.0</v>
      </c>
      <c r="CX12" s="8">
        <v>0.0</v>
      </c>
      <c r="CY12" s="9" t="s">
        <v>860</v>
      </c>
      <c r="CZ12" s="8">
        <v>1.0</v>
      </c>
      <c r="DA12" s="8">
        <v>0.0</v>
      </c>
      <c r="DB12" s="8">
        <v>0.0</v>
      </c>
      <c r="DC12" s="9"/>
      <c r="DD12" s="9" t="s">
        <v>860</v>
      </c>
      <c r="DE12" s="8">
        <v>1.0</v>
      </c>
      <c r="DF12" s="8">
        <v>0.0</v>
      </c>
      <c r="DG12" s="8">
        <v>0.0</v>
      </c>
      <c r="DH12" s="8">
        <v>0.0</v>
      </c>
      <c r="DI12" s="9"/>
      <c r="DJ12" s="9" t="s">
        <v>861</v>
      </c>
      <c r="DK12" s="8">
        <v>0.0</v>
      </c>
      <c r="DL12" s="8">
        <v>0.0</v>
      </c>
      <c r="DM12" s="8">
        <v>1.0</v>
      </c>
      <c r="DN12" s="8">
        <v>0.0</v>
      </c>
      <c r="DO12" s="9"/>
      <c r="DP12" s="9" t="s">
        <v>938</v>
      </c>
      <c r="DQ12" s="9" t="s">
        <v>939</v>
      </c>
      <c r="DR12" s="17" t="s">
        <v>969</v>
      </c>
      <c r="DS12" s="9" t="s">
        <v>2213</v>
      </c>
      <c r="DT12" s="9"/>
      <c r="DU12" s="9"/>
      <c r="DV12" s="9"/>
      <c r="DW12" s="9"/>
      <c r="DX12" s="9"/>
      <c r="DY12" s="9"/>
      <c r="DZ12" s="9"/>
      <c r="EA12" s="9"/>
      <c r="EB12" s="9"/>
      <c r="EC12" s="9"/>
      <c r="ED12" s="9"/>
      <c r="EE12" s="9"/>
      <c r="EF12" s="9"/>
      <c r="EG12" s="9"/>
      <c r="EH12" s="9"/>
      <c r="EI12" s="31" t="s">
        <v>862</v>
      </c>
      <c r="EJ12" s="8">
        <v>0.0</v>
      </c>
      <c r="EK12" s="8">
        <v>0.0</v>
      </c>
      <c r="EL12" s="8">
        <v>0.0</v>
      </c>
      <c r="EM12" s="8">
        <v>1.0</v>
      </c>
      <c r="EN12" s="8">
        <v>0.0</v>
      </c>
      <c r="EO12" s="9"/>
      <c r="EP12" s="9" t="s">
        <v>1403</v>
      </c>
      <c r="EQ12" s="9" t="s">
        <v>864</v>
      </c>
      <c r="ER12" s="9" t="s">
        <v>1381</v>
      </c>
      <c r="ES12" s="8">
        <v>0.0</v>
      </c>
      <c r="ET12" s="8">
        <v>1.0</v>
      </c>
      <c r="EU12" s="8">
        <v>0.0</v>
      </c>
      <c r="EV12" s="8">
        <v>0.0</v>
      </c>
      <c r="EW12" s="9"/>
      <c r="EX12" s="9" t="s">
        <v>865</v>
      </c>
      <c r="EY12" s="8">
        <v>1.0</v>
      </c>
      <c r="EZ12" s="8">
        <v>0.0</v>
      </c>
      <c r="FA12" s="8">
        <v>0.0</v>
      </c>
      <c r="FB12" s="9"/>
      <c r="FC12" s="9" t="s">
        <v>942</v>
      </c>
      <c r="FD12" s="9"/>
      <c r="FE12" s="9" t="s">
        <v>867</v>
      </c>
      <c r="FF12" s="9" t="s">
        <v>868</v>
      </c>
      <c r="FG12" s="9" t="s">
        <v>867</v>
      </c>
      <c r="FH12" s="9" t="s">
        <v>869</v>
      </c>
      <c r="FI12" s="9" t="s">
        <v>867</v>
      </c>
      <c r="FJ12" s="9" t="s">
        <v>868</v>
      </c>
      <c r="FK12" s="9" t="s">
        <v>867</v>
      </c>
      <c r="FL12" s="9" t="s">
        <v>868</v>
      </c>
      <c r="FM12" s="9" t="s">
        <v>867</v>
      </c>
      <c r="FN12" s="9" t="s">
        <v>943</v>
      </c>
      <c r="FO12" s="9" t="s">
        <v>867</v>
      </c>
      <c r="FP12" s="9" t="s">
        <v>870</v>
      </c>
      <c r="FQ12" s="9" t="s">
        <v>867</v>
      </c>
      <c r="FR12" s="9" t="s">
        <v>857</v>
      </c>
      <c r="FS12" s="9" t="s">
        <v>867</v>
      </c>
      <c r="FT12" s="9" t="s">
        <v>871</v>
      </c>
      <c r="FU12" s="9" t="s">
        <v>872</v>
      </c>
      <c r="FV12" s="8">
        <v>1.0</v>
      </c>
      <c r="FW12" s="8">
        <v>0.0</v>
      </c>
      <c r="FX12" s="8">
        <v>0.0</v>
      </c>
      <c r="FY12" s="8">
        <v>0.0</v>
      </c>
      <c r="FZ12" s="9" t="s">
        <v>1197</v>
      </c>
      <c r="GA12" s="9" t="s">
        <v>1264</v>
      </c>
      <c r="GB12" s="8">
        <v>0.0</v>
      </c>
      <c r="GC12" s="8">
        <v>0.0</v>
      </c>
      <c r="GD12" s="8">
        <v>1.0</v>
      </c>
      <c r="GE12" s="8">
        <v>0.0</v>
      </c>
      <c r="GF12" s="9"/>
      <c r="GG12" s="9" t="s">
        <v>875</v>
      </c>
      <c r="GH12" s="9" t="s">
        <v>857</v>
      </c>
      <c r="GI12" s="9" t="s">
        <v>1930</v>
      </c>
      <c r="GJ12" s="8">
        <v>1.0</v>
      </c>
      <c r="GK12" s="8">
        <v>1.0</v>
      </c>
      <c r="GL12" s="8">
        <v>1.0</v>
      </c>
      <c r="GM12" s="8">
        <v>0.0</v>
      </c>
      <c r="GN12" s="9"/>
      <c r="GO12" s="8">
        <v>9.0</v>
      </c>
      <c r="GP12" s="34" t="s">
        <v>1931</v>
      </c>
      <c r="GQ12" s="9" t="s">
        <v>1102</v>
      </c>
      <c r="GR12" s="8">
        <v>1.0</v>
      </c>
      <c r="GS12" s="8">
        <v>0.0</v>
      </c>
      <c r="GT12" s="8">
        <v>0.0</v>
      </c>
      <c r="GU12" s="8">
        <v>0.0</v>
      </c>
      <c r="GV12" s="8">
        <v>0.0</v>
      </c>
      <c r="GW12" s="8">
        <v>0.0</v>
      </c>
      <c r="GX12" s="8">
        <v>0.0</v>
      </c>
      <c r="GY12" s="9"/>
      <c r="GZ12" s="9" t="s">
        <v>857</v>
      </c>
      <c r="HA12" s="9"/>
      <c r="HB12" s="9"/>
      <c r="HC12" s="9"/>
      <c r="HD12" s="9"/>
      <c r="HE12" s="8">
        <v>12.0</v>
      </c>
      <c r="HF12" s="8">
        <v>62000.0</v>
      </c>
      <c r="HG12" s="8">
        <v>3.0</v>
      </c>
      <c r="HH12" s="8">
        <v>15500.0</v>
      </c>
      <c r="HI12" s="9"/>
      <c r="HJ12" s="9"/>
      <c r="HK12" s="9"/>
      <c r="HL12" s="9"/>
      <c r="HM12" s="9"/>
      <c r="HN12" s="9"/>
      <c r="HO12" s="9"/>
      <c r="HP12" s="9"/>
      <c r="HQ12" s="9"/>
      <c r="HR12" s="9"/>
      <c r="HS12" s="9"/>
      <c r="HT12" s="9"/>
      <c r="HU12" s="9"/>
      <c r="HV12" s="9"/>
      <c r="HW12" s="9"/>
      <c r="HX12" s="9"/>
      <c r="HY12" s="9"/>
      <c r="HZ12" s="9"/>
      <c r="IA12" s="8">
        <v>9.0</v>
      </c>
      <c r="IB12" s="8">
        <v>46500.0</v>
      </c>
      <c r="IC12" s="9"/>
      <c r="ID12" s="9"/>
      <c r="IE12" s="9"/>
      <c r="IF12" s="9"/>
      <c r="IG12" s="9"/>
      <c r="IH12" s="9"/>
      <c r="II12" s="9"/>
      <c r="IJ12" s="9"/>
      <c r="IK12" s="9" t="s">
        <v>1932</v>
      </c>
      <c r="IL12" s="9" t="s">
        <v>1366</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945</v>
      </c>
      <c r="KT12" s="9" t="s">
        <v>886</v>
      </c>
      <c r="KU12" s="9" t="s">
        <v>886</v>
      </c>
      <c r="KV12" s="9" t="s">
        <v>872</v>
      </c>
      <c r="KW12" s="8">
        <v>1.0</v>
      </c>
      <c r="KX12" s="8">
        <v>0.0</v>
      </c>
      <c r="KY12" s="8">
        <v>0.0</v>
      </c>
      <c r="KZ12" s="8">
        <v>0.0</v>
      </c>
      <c r="LA12" s="9" t="s">
        <v>884</v>
      </c>
      <c r="LB12" s="9" t="s">
        <v>1180</v>
      </c>
      <c r="LC12" s="8">
        <v>3.0</v>
      </c>
      <c r="LD12" s="8">
        <v>2.0</v>
      </c>
      <c r="LE12" s="8">
        <v>0.0</v>
      </c>
      <c r="LF12" s="8">
        <v>0.0</v>
      </c>
      <c r="LG12" s="9" t="s">
        <v>857</v>
      </c>
      <c r="LH12" s="8">
        <v>200000.0</v>
      </c>
      <c r="LI12" s="9"/>
      <c r="LJ12" s="9" t="s">
        <v>887</v>
      </c>
      <c r="LK12" s="8">
        <v>0.0</v>
      </c>
      <c r="LL12" s="8">
        <v>0.0</v>
      </c>
      <c r="LM12" s="8">
        <v>0.0</v>
      </c>
      <c r="LN12" s="8">
        <v>0.0</v>
      </c>
      <c r="LO12" s="8">
        <v>1.0</v>
      </c>
      <c r="LP12" s="8">
        <v>0.0</v>
      </c>
      <c r="LQ12" s="8">
        <v>0.0</v>
      </c>
      <c r="LR12" s="11"/>
      <c r="LS12" s="8">
        <v>15.0</v>
      </c>
      <c r="LT12" s="8">
        <v>0.0</v>
      </c>
      <c r="LU12" s="8">
        <v>0.0</v>
      </c>
      <c r="LV12" s="8">
        <v>10.0</v>
      </c>
      <c r="LW12" s="8">
        <v>0.0</v>
      </c>
      <c r="LX12" s="8">
        <v>0.0</v>
      </c>
      <c r="LY12" s="8">
        <v>10.0</v>
      </c>
      <c r="LZ12" s="8">
        <v>0.0</v>
      </c>
      <c r="MA12" s="8">
        <v>0.0</v>
      </c>
      <c r="MB12" s="9" t="s">
        <v>881</v>
      </c>
      <c r="MC12" s="8">
        <v>0.0</v>
      </c>
      <c r="MD12" s="8">
        <v>0.0</v>
      </c>
      <c r="ME12" s="8">
        <v>0.0</v>
      </c>
      <c r="MF12" s="8">
        <v>0.0</v>
      </c>
      <c r="MG12" s="8">
        <v>0.0</v>
      </c>
      <c r="MH12" s="8">
        <v>0.0</v>
      </c>
      <c r="MI12" s="9"/>
      <c r="MJ12" s="9"/>
      <c r="MK12" s="9"/>
      <c r="ML12" s="9"/>
      <c r="MM12" s="9"/>
      <c r="MN12" s="9"/>
      <c r="MO12" s="9"/>
      <c r="MP12" s="9"/>
      <c r="MQ12" s="9"/>
      <c r="MR12" s="17" t="s">
        <v>2035</v>
      </c>
      <c r="MS12" s="9"/>
      <c r="MT12" s="9" t="s">
        <v>2035</v>
      </c>
      <c r="MU12" s="9" t="s">
        <v>1030</v>
      </c>
      <c r="MV12" s="9" t="s">
        <v>1031</v>
      </c>
      <c r="MW12" s="8">
        <v>0.0</v>
      </c>
      <c r="MX12" s="8">
        <v>1.0</v>
      </c>
      <c r="MY12" s="8">
        <v>0.0</v>
      </c>
      <c r="MZ12" s="8">
        <v>0.0</v>
      </c>
      <c r="NA12" s="9"/>
      <c r="NB12" s="9"/>
      <c r="NC12" s="9"/>
      <c r="ND12" s="9"/>
      <c r="NE12" s="9"/>
      <c r="NF12" s="9"/>
      <c r="NG12" s="9"/>
      <c r="NH12" s="9"/>
      <c r="NI12" s="9"/>
      <c r="NJ12" s="9"/>
      <c r="NK12" s="9"/>
      <c r="NL12" s="9" t="s">
        <v>857</v>
      </c>
      <c r="NM12" s="9" t="s">
        <v>893</v>
      </c>
      <c r="NN12" s="17" t="s">
        <v>2069</v>
      </c>
      <c r="NO12" s="17" t="s">
        <v>994</v>
      </c>
      <c r="NP12" s="9"/>
      <c r="NQ12" s="9"/>
      <c r="NR12" s="9"/>
      <c r="NS12" s="9"/>
      <c r="NT12" s="9"/>
      <c r="NU12" s="9"/>
      <c r="NV12" s="17" t="s">
        <v>896</v>
      </c>
      <c r="NW12" s="9"/>
      <c r="NX12" s="9" t="s">
        <v>897</v>
      </c>
      <c r="NY12" s="8">
        <v>180.0</v>
      </c>
      <c r="NZ12" s="8">
        <v>0.0</v>
      </c>
      <c r="OA12" s="8">
        <v>0.0</v>
      </c>
      <c r="OB12" s="8">
        <v>0.0</v>
      </c>
      <c r="OC12" s="8">
        <v>10.0</v>
      </c>
      <c r="OD12" s="8">
        <v>0.0</v>
      </c>
      <c r="OE12" s="9" t="s">
        <v>898</v>
      </c>
      <c r="OF12" s="9" t="s">
        <v>1184</v>
      </c>
      <c r="OG12" s="9" t="s">
        <v>857</v>
      </c>
      <c r="OH12" s="8">
        <v>4.0</v>
      </c>
      <c r="OI12" s="8">
        <v>0.0</v>
      </c>
      <c r="OJ12" s="8">
        <v>0.0</v>
      </c>
      <c r="OK12" s="8">
        <v>0.0</v>
      </c>
      <c r="OL12" s="8">
        <v>0.0</v>
      </c>
      <c r="OM12" s="8">
        <v>0.0</v>
      </c>
      <c r="ON12" s="8">
        <v>30.0</v>
      </c>
      <c r="OO12" s="8">
        <v>0.0</v>
      </c>
      <c r="OP12" s="9" t="str">
        <f>VLOOKUP(AG12,'BUS 2'!$G$1:$CU$424,2,0)</f>
        <v>Sapi pedaging Ayam</v>
      </c>
      <c r="OQ12" s="8">
        <f>VLOOKUP(AG12,'BUS 2'!$G$1:$CU$424,3,0)</f>
        <v>1</v>
      </c>
      <c r="OR12" s="8">
        <f>VLOOKUP(AG12,'BUS 2'!$G$1:$CU$424,4,0)</f>
        <v>0</v>
      </c>
      <c r="OS12" s="8">
        <f>VLOOKUP(AG12,'BUS 2'!$G$1:$CU$424,5,0)</f>
        <v>0</v>
      </c>
      <c r="OT12" s="8">
        <f>VLOOKUP(AG12,'BUS 2'!$G$1:$CU$424,6,0)</f>
        <v>0</v>
      </c>
      <c r="OU12" s="8">
        <f>VLOOKUP(AG12,'BUS 2'!$G$1:$CU$424,7,0)</f>
        <v>0</v>
      </c>
      <c r="OV12" s="8">
        <f>VLOOKUP(AG12,'BUS 2'!$G$1:$CU$424,8,0)</f>
        <v>0</v>
      </c>
      <c r="OW12" s="8">
        <f>VLOOKUP(AG12,'BUS 2'!$G$1:$CU$424,9,0)</f>
        <v>1</v>
      </c>
      <c r="OX12" s="8">
        <f>VLOOKUP(AG12,'BUS 2'!$G$1:$CU$424,10,0)</f>
        <v>0</v>
      </c>
      <c r="OY12" s="8">
        <f>VLOOKUP(AG12,'BUS 2'!$G$1:$CU$424,11,0)</f>
        <v>0</v>
      </c>
      <c r="OZ12" s="8" t="str">
        <f>VLOOKUP(AG12,'BUS 2'!$G$1:$CU$424,12,0)</f>
        <v>Sapi pedaging Ayam</v>
      </c>
      <c r="PA12" s="8">
        <f>VLOOKUP(AG12,'BUS 2'!$G$1:$CU$424,13,0)</f>
        <v>1</v>
      </c>
      <c r="PB12" s="8">
        <f>VLOOKUP(AG12,'BUS 2'!$G$1:$CU$424,14,0)</f>
        <v>0</v>
      </c>
      <c r="PC12" s="8">
        <f>VLOOKUP(AG12,'BUS 2'!$G$1:$CU$424,15,0)</f>
        <v>0</v>
      </c>
      <c r="PD12" s="8">
        <f>VLOOKUP(AG12,'BUS 2'!$G$1:$CU$424,16,0)</f>
        <v>0</v>
      </c>
      <c r="PE12" s="8">
        <f>VLOOKUP(AG12,'BUS 2'!$G$1:$CU$424,17,0)</f>
        <v>0</v>
      </c>
      <c r="PF12" s="8">
        <f>VLOOKUP(AG12,'BUS 2'!$G$1:$CU$424,18,0)</f>
        <v>0</v>
      </c>
      <c r="PG12" s="8">
        <f>VLOOKUP(AG12,'BUS 2'!$G$1:$CU$424,19,0)</f>
        <v>1</v>
      </c>
      <c r="PH12" s="8">
        <f>VLOOKUP(AG12,'BUS 2'!$G$1:$CU$424,20,0)</f>
        <v>0</v>
      </c>
      <c r="PI12" s="8">
        <f>VLOOKUP(AG12,'BUS 2'!$G$1:$CU$424,21,0)</f>
        <v>0</v>
      </c>
      <c r="PJ12" s="8" t="str">
        <f>VLOOKUP(AG12,'BUS 2'!$G$1:$CU$424,22,0)</f>
        <v>Sapi pedaging Ayam</v>
      </c>
      <c r="PK12" s="8">
        <f>VLOOKUP(AG12,'BUS 2'!$G$1:$CU$424,23,0)</f>
        <v>1</v>
      </c>
      <c r="PL12" s="8">
        <f>VLOOKUP(AG12,'BUS 2'!$G$1:$CU$424,24,0)</f>
        <v>0</v>
      </c>
      <c r="PM12" s="8">
        <f>VLOOKUP(AG12,'BUS 2'!$G$1:$CU$424,25,0)</f>
        <v>0</v>
      </c>
      <c r="PN12" s="8">
        <f>VLOOKUP(AG12,'BUS 2'!$G$1:$CU$424,26,0)</f>
        <v>0</v>
      </c>
      <c r="PO12" s="8">
        <f>VLOOKUP(AG12,'BUS 2'!$G$1:$CU$424,27,0)</f>
        <v>0</v>
      </c>
      <c r="PP12" s="8">
        <f>VLOOKUP(AG12,'BUS 2'!$G$1:$CU$424,28,0)</f>
        <v>0</v>
      </c>
      <c r="PQ12" s="8">
        <f>VLOOKUP(AG12,'BUS 2'!$G$1:$CU$424,29,0)</f>
        <v>1</v>
      </c>
      <c r="PR12" s="8">
        <f>VLOOKUP(AG12,'BUS 2'!$G$1:$CU$424,30,0)</f>
        <v>0</v>
      </c>
      <c r="PS12" s="8">
        <f>VLOOKUP(AG12,'BUS 2'!$G$1:$CU$424,31,0)</f>
        <v>0</v>
      </c>
      <c r="PT12" s="9" t="s">
        <v>900</v>
      </c>
      <c r="PU12" s="8">
        <v>0.0</v>
      </c>
      <c r="PV12" s="8">
        <v>0.0</v>
      </c>
      <c r="PW12" s="8">
        <v>0.0</v>
      </c>
      <c r="PX12" s="8">
        <v>0.0</v>
      </c>
      <c r="PY12" s="8">
        <v>0.0</v>
      </c>
      <c r="PZ12" s="8">
        <v>1.0</v>
      </c>
      <c r="QA12" s="8">
        <v>0.0</v>
      </c>
      <c r="QB12" s="8">
        <v>0.0</v>
      </c>
      <c r="QC12" s="8">
        <v>0.0</v>
      </c>
      <c r="QD12" s="9"/>
      <c r="QE12" s="32"/>
      <c r="QF12" s="31"/>
      <c r="QG12" s="31"/>
      <c r="QH12" s="31"/>
      <c r="QI12" s="31"/>
      <c r="QJ12" s="31"/>
      <c r="QK12" s="32"/>
      <c r="QL12" s="32"/>
      <c r="QM12" s="32"/>
      <c r="QN12" s="32"/>
      <c r="QO12" s="32"/>
      <c r="QP12" s="32"/>
      <c r="QQ12" s="32"/>
      <c r="QR12" s="32"/>
      <c r="QS12" s="32"/>
      <c r="QT12" s="32"/>
      <c r="QU12" s="32"/>
      <c r="QV12" s="32"/>
      <c r="QW12" s="31"/>
      <c r="QX12" s="31"/>
      <c r="QY12" s="31"/>
      <c r="QZ12" s="31"/>
      <c r="RA12" s="31"/>
      <c r="RB12" s="32"/>
      <c r="RC12" s="32"/>
      <c r="RD12" s="32"/>
      <c r="RE12" s="32"/>
      <c r="RF12" s="32"/>
      <c r="RG12" s="9"/>
      <c r="RH12" s="31"/>
      <c r="RI12" s="31"/>
      <c r="RJ12" s="31"/>
      <c r="RK12" s="31"/>
      <c r="RL12" s="31"/>
      <c r="RM12" s="9"/>
      <c r="RN12" s="9"/>
      <c r="RO12" s="9"/>
      <c r="RP12" s="9"/>
      <c r="RQ12" s="9"/>
      <c r="RR12" s="9"/>
      <c r="RS12" s="31"/>
      <c r="RT12" s="31"/>
      <c r="RU12" s="31"/>
      <c r="RV12" s="31"/>
      <c r="RW12" s="31"/>
      <c r="RX12" s="9"/>
      <c r="RY12" s="9"/>
      <c r="RZ12" s="9"/>
      <c r="SA12" s="9"/>
      <c r="SB12" s="9"/>
      <c r="SC12" s="9" t="s">
        <v>900</v>
      </c>
      <c r="SD12" s="35">
        <v>0.0</v>
      </c>
      <c r="SE12" s="35">
        <v>0.0</v>
      </c>
      <c r="SF12" s="35">
        <v>0.0</v>
      </c>
      <c r="SG12" s="35">
        <v>0.0</v>
      </c>
      <c r="SH12" s="35">
        <v>0.0</v>
      </c>
      <c r="SI12" s="8">
        <v>1.0</v>
      </c>
      <c r="SJ12" s="8">
        <v>0.0</v>
      </c>
      <c r="SK12" s="8">
        <v>0.0</v>
      </c>
      <c r="SL12" s="8">
        <v>0.0</v>
      </c>
      <c r="SM12" s="9"/>
      <c r="SN12" s="9"/>
      <c r="SO12" s="31"/>
      <c r="SP12" s="31"/>
      <c r="SQ12" s="31"/>
      <c r="SR12" s="31"/>
      <c r="SS12" s="31"/>
      <c r="ST12" s="9"/>
      <c r="SU12" s="9"/>
      <c r="SV12" s="9"/>
      <c r="SW12" s="9"/>
      <c r="SX12" s="9"/>
      <c r="SY12" s="8">
        <f>VLOOKUP(AG12,'BUS 2'!$G$1:$CU$424,33,0)</f>
        <v>2</v>
      </c>
      <c r="SZ12" s="9" t="str">
        <f>VLOOKUP(AG12,'BUS 2'!$G$1:$CU$424,34,0)</f>
        <v/>
      </c>
      <c r="TA12" s="9" t="str">
        <f>VLOOKUP(AG12,'BUS 2'!$G$1:$CU$424,35,0)</f>
        <v/>
      </c>
      <c r="TB12" s="9" t="str">
        <f>VLOOKUP(AG12,'BUS 2'!$G$1:$CU$424,36,0)</f>
        <v/>
      </c>
      <c r="TC12" s="9" t="str">
        <f>VLOOKUP(AG12,'BUS 2'!$G$1:$CU$424,37,0)</f>
        <v/>
      </c>
      <c r="TD12" s="9" t="str">
        <f>VLOOKUP(AG12,'BUS 2'!$G$1:$CU$424,38,0)</f>
        <v/>
      </c>
      <c r="TE12" s="9">
        <f>VLOOKUP(AG12,'BUS 2'!$G$1:$CU$424,39,0)</f>
        <v>10</v>
      </c>
      <c r="TF12" s="9" t="str">
        <f>VLOOKUP(AG12,'BUS 2'!$G$1:$CU$424,40,0)</f>
        <v/>
      </c>
      <c r="TG12" s="8">
        <f>VLOOKUP(AG12,'BUS 2'!$G$1:$CU$424,42,0)</f>
        <v>4</v>
      </c>
      <c r="TH12" s="8" t="str">
        <f>VLOOKUP(AG12,'BUS 2'!$G$1:$CU$424,43,0)</f>
        <v/>
      </c>
      <c r="TI12" s="8" t="str">
        <f>VLOOKUP(AG12,'BUS 2'!$G$1:$CU$424,44,0)</f>
        <v/>
      </c>
      <c r="TJ12" s="8" t="str">
        <f>VLOOKUP(AG12,'BUS 2'!$G$1:$CU$424,45,0)</f>
        <v/>
      </c>
      <c r="TK12" s="8" t="str">
        <f>VLOOKUP(AG12,'BUS 2'!$G$1:$CU$424,46,0)</f>
        <v/>
      </c>
      <c r="TL12" s="8" t="str">
        <f>VLOOKUP(AG12,'BUS 2'!$G$1:$CU$424,47,0)</f>
        <v/>
      </c>
      <c r="TM12" s="8">
        <f>VLOOKUP(AG12,'BUS 2'!$G$1:$CU$424,48,0)</f>
        <v>30</v>
      </c>
      <c r="TN12" s="8" t="str">
        <f>VLOOKUP(AG12,'BUS 2'!$G$1:$CU$424,49,0)</f>
        <v/>
      </c>
      <c r="TO12" s="8">
        <f>VLOOKUP(AG12,'BUS 2'!$G$1:$CU$424,50,0)</f>
        <v>0</v>
      </c>
      <c r="TP12" s="8">
        <f>VLOOKUP(AG12,'BUS 2'!$G$1:$CU$424,51,0)</f>
        <v>0</v>
      </c>
      <c r="TQ12" s="8">
        <f>VLOOKUP(AG12,'BUS 2'!$G$1:$CU$424,52,0)</f>
        <v>2</v>
      </c>
      <c r="TR12" s="8">
        <f>VLOOKUP(AG12,'BUS 2'!$G$1:$CU$424,53,0)</f>
        <v>0</v>
      </c>
      <c r="TS12" s="9" t="str">
        <f>VLOOKUP(AG12,'BUS 2'!$G$1:$CU$424,54,0)</f>
        <v/>
      </c>
      <c r="TT12" s="9" t="str">
        <f>VLOOKUP(AG12,'BUS 2'!$G$1:$CU$424,55,0)</f>
        <v/>
      </c>
      <c r="TU12" s="9" t="str">
        <f>VLOOKUP(AG12,'BUS 2'!$G$1:$CU$424,56,0)</f>
        <v/>
      </c>
      <c r="TV12" s="9" t="str">
        <f>VLOOKUP(AG12,'BUS 2'!$G$1:$CU$424,57,0)</f>
        <v/>
      </c>
      <c r="TW12" s="9" t="str">
        <f>VLOOKUP(AG12,'BUS 2'!$G$1:$CU$424,58,0)</f>
        <v/>
      </c>
      <c r="TX12" s="9" t="str">
        <f>VLOOKUP(AG12,'BUS 2'!$G$1:$CU$424,59,0)</f>
        <v/>
      </c>
      <c r="TY12" s="9" t="str">
        <f>VLOOKUP(AG12,'BUS 2'!$G$1:$CU$424,60,0)</f>
        <v/>
      </c>
      <c r="TZ12" s="9" t="str">
        <f>VLOOKUP(AG12,'BUS 2'!$G$1:$CU$424,61,0)</f>
        <v/>
      </c>
      <c r="UA12" s="9" t="str">
        <f>VLOOKUP(AG12,'BUS 2'!$G$1:$CU$424,62,0)</f>
        <v/>
      </c>
      <c r="UB12" s="9" t="str">
        <f>VLOOKUP(AG12,'BUS 2'!$G$1:$CU$424,63,0)</f>
        <v/>
      </c>
      <c r="UC12" s="9" t="str">
        <f>VLOOKUP(AG12,'BUS 2'!$G$1:$CU$424,64,0)</f>
        <v/>
      </c>
      <c r="UD12" s="9" t="str">
        <f>VLOOKUP(AG12,'BUS 2'!$G$1:$CU$424,65,0)</f>
        <v/>
      </c>
      <c r="UE12" s="9" t="str">
        <f>VLOOKUP(AG12,'BUS 2'!$G$1:$CU$424,66,0)</f>
        <v/>
      </c>
      <c r="UF12" s="9" t="str">
        <f>VLOOKUP(AG12,'BUS 2'!$G$1:$CU$424,67,0)</f>
        <v/>
      </c>
      <c r="UG12" s="9" t="str">
        <f>VLOOKUP(AG12,'BUS 2'!$G$1:$CU$424,68,0)</f>
        <v/>
      </c>
      <c r="UH12" s="9" t="str">
        <f>VLOOKUP(AG12,'BUS 2'!$G$1:$CU$424,69,0)</f>
        <v/>
      </c>
      <c r="UI12" s="9" t="str">
        <f>VLOOKUP(AG12,'BUS 2'!$G$1:$CU$424,70,0)</f>
        <v/>
      </c>
      <c r="UJ12" s="9" t="str">
        <f>VLOOKUP(AG12,'BUS 2'!$G$1:$CU$424,71,0)</f>
        <v/>
      </c>
      <c r="UK12" s="9" t="str">
        <f>VLOOKUP(AG12,'BUS 2'!$G$1:$CU$424,72,0)</f>
        <v/>
      </c>
      <c r="UL12" s="9" t="str">
        <f>VLOOKUP(AG12,'BUS 2'!$G$1:$CU$424,73,0)</f>
        <v/>
      </c>
      <c r="UM12" s="9">
        <f>VLOOKUP(AG12,'BUS 2'!$G$1:$CU$424,74,0)</f>
        <v>0</v>
      </c>
      <c r="UN12" s="9">
        <f>VLOOKUP(AG12,'BUS 2'!$G$1:$CU$424,75,0)</f>
        <v>0</v>
      </c>
      <c r="UO12" s="9">
        <f>VLOOKUP(AG12,'BUS 2'!$G$1:$CU$424,76,0)</f>
        <v>20</v>
      </c>
      <c r="UP12" s="9">
        <f>VLOOKUP(AG12,'BUS 2'!$G$1:$CU$424,77,0)</f>
        <v>0</v>
      </c>
      <c r="UQ12" s="9" t="str">
        <f>VLOOKUP(AG12,'BUS 2'!$G$1:$CU$424,78,0)</f>
        <v/>
      </c>
      <c r="UR12" s="9" t="str">
        <f>VLOOKUP(AG12,'BUS 2'!$G$1:$CU$424,79,0)</f>
        <v/>
      </c>
      <c r="US12" s="9" t="str">
        <f>VLOOKUP(AG12,'BUS 2'!$G$1:$CU$424,80,0)</f>
        <v/>
      </c>
      <c r="UT12" s="9" t="str">
        <f>VLOOKUP(AG12,'BUS 2'!$G$1:$CU$424,81,0)</f>
        <v/>
      </c>
      <c r="UU12" s="9" t="s">
        <v>1937</v>
      </c>
      <c r="UV12" s="9"/>
      <c r="UW12" s="9"/>
      <c r="UX12" s="9"/>
      <c r="UY12" s="9"/>
      <c r="UZ12" s="9"/>
      <c r="VA12" s="9" t="s">
        <v>1937</v>
      </c>
      <c r="VB12" s="9"/>
      <c r="VC12" s="9" t="s">
        <v>1938</v>
      </c>
      <c r="VD12" s="9"/>
      <c r="VE12" s="9"/>
      <c r="VF12" s="9"/>
      <c r="VG12" s="9"/>
      <c r="VH12" s="9"/>
      <c r="VI12" s="9" t="s">
        <v>1938</v>
      </c>
      <c r="VJ12" s="9"/>
      <c r="VK12" s="9" t="s">
        <v>1939</v>
      </c>
      <c r="VL12" s="9"/>
      <c r="VM12" s="9"/>
      <c r="VN12" s="9"/>
      <c r="VO12" s="9"/>
      <c r="VP12" s="9"/>
      <c r="VQ12" s="9" t="s">
        <v>1939</v>
      </c>
      <c r="VR12" s="9"/>
      <c r="VS12" s="9" t="s">
        <v>1941</v>
      </c>
      <c r="VT12" s="8">
        <v>0.0</v>
      </c>
      <c r="VU12" s="8">
        <v>0.0</v>
      </c>
      <c r="VV12" s="8">
        <v>0.0</v>
      </c>
      <c r="VW12" s="8">
        <v>0.0</v>
      </c>
      <c r="VX12" s="8">
        <v>0.0</v>
      </c>
      <c r="VY12" s="8">
        <v>0.0</v>
      </c>
      <c r="VZ12" s="8">
        <v>0.0</v>
      </c>
      <c r="WA12" s="8">
        <v>0.0</v>
      </c>
      <c r="WB12" s="8">
        <v>0.0</v>
      </c>
      <c r="WC12" s="8">
        <v>0.0</v>
      </c>
      <c r="WD12" s="8">
        <v>0.0</v>
      </c>
      <c r="WE12" s="8">
        <v>1.0</v>
      </c>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t="s">
        <v>1941</v>
      </c>
      <c r="YO12" s="8">
        <v>0.0</v>
      </c>
      <c r="YP12" s="8">
        <v>0.0</v>
      </c>
      <c r="YQ12" s="8">
        <v>0.0</v>
      </c>
      <c r="YR12" s="8">
        <v>0.0</v>
      </c>
      <c r="YS12" s="8">
        <v>0.0</v>
      </c>
      <c r="YT12" s="8">
        <v>0.0</v>
      </c>
      <c r="YU12" s="8">
        <v>0.0</v>
      </c>
      <c r="YV12" s="8">
        <v>0.0</v>
      </c>
      <c r="YW12" s="8">
        <v>0.0</v>
      </c>
      <c r="YX12" s="8">
        <v>0.0</v>
      </c>
      <c r="YY12" s="8">
        <v>0.0</v>
      </c>
      <c r="YZ12" s="8">
        <v>1.0</v>
      </c>
      <c r="ZA12" s="9"/>
      <c r="ZB12" s="9"/>
      <c r="ZC12" s="9"/>
      <c r="ZD12" s="9"/>
      <c r="ZE12" s="9"/>
      <c r="ZF12" s="9"/>
      <c r="ZG12" s="9"/>
      <c r="ZH12" s="9"/>
      <c r="ZI12" s="9"/>
      <c r="ZJ12" s="9"/>
      <c r="ZK12" s="9"/>
      <c r="ZL12" s="9"/>
      <c r="ZM12" s="9"/>
      <c r="ZN12" s="9"/>
      <c r="ZO12" s="9"/>
      <c r="ZP12" s="9"/>
      <c r="ZQ12" s="9"/>
      <c r="ZR12" s="9"/>
      <c r="ZS12" s="9"/>
      <c r="ZT12" s="9"/>
      <c r="ZU12" s="9"/>
      <c r="ZV12" s="8">
        <v>2.0</v>
      </c>
      <c r="ZW12" s="9"/>
      <c r="ZX12" s="9"/>
      <c r="ZY12" s="9"/>
      <c r="ZZ12" s="9"/>
      <c r="AAA12" s="9"/>
      <c r="AAB12" s="8">
        <v>2.0</v>
      </c>
      <c r="AAC12" s="9"/>
      <c r="AAD12" s="9" t="s">
        <v>1186</v>
      </c>
      <c r="AAE12" s="9"/>
      <c r="AAF12" s="9"/>
      <c r="AAG12" s="9"/>
      <c r="AAH12" s="9"/>
      <c r="AAI12" s="9"/>
      <c r="AAJ12" s="9" t="s">
        <v>905</v>
      </c>
      <c r="AAK12" s="9"/>
      <c r="AAL12" s="9" t="s">
        <v>857</v>
      </c>
      <c r="AAM12" s="9" t="s">
        <v>1942</v>
      </c>
      <c r="AAN12" s="8">
        <v>0.0</v>
      </c>
      <c r="AAO12" s="8">
        <v>1.0</v>
      </c>
      <c r="AAP12" s="8">
        <v>45.0</v>
      </c>
      <c r="AAQ12" s="9"/>
      <c r="AAR12" s="9" t="s">
        <v>881</v>
      </c>
      <c r="AAS12" s="9" t="s">
        <v>867</v>
      </c>
      <c r="AAT12" s="9" t="s">
        <v>2101</v>
      </c>
      <c r="AAU12" s="8">
        <v>0.0</v>
      </c>
      <c r="AAV12" s="8">
        <v>0.0</v>
      </c>
      <c r="AAW12" s="8">
        <v>0.0</v>
      </c>
      <c r="AAX12" s="8">
        <v>1.0</v>
      </c>
      <c r="AAY12" s="8">
        <v>0.0</v>
      </c>
      <c r="AAZ12" s="8">
        <v>0.0</v>
      </c>
      <c r="ABA12" s="8">
        <v>0.0</v>
      </c>
      <c r="ABB12" s="9"/>
      <c r="ABC12" s="9"/>
      <c r="ABD12" s="9"/>
      <c r="ABE12" s="9"/>
      <c r="ABF12" s="9"/>
      <c r="ABG12" s="9"/>
      <c r="ABH12" s="9"/>
      <c r="ABI12" s="9"/>
      <c r="ABJ12" s="9"/>
      <c r="ABK12" s="9"/>
      <c r="ABL12" s="9"/>
      <c r="ABM12" s="9"/>
      <c r="ABN12" s="9"/>
      <c r="ABO12" s="9"/>
      <c r="ABP12" s="9"/>
      <c r="ABQ12" s="9" t="s">
        <v>2214</v>
      </c>
      <c r="ABR12" s="9" t="s">
        <v>909</v>
      </c>
      <c r="ABS12" s="9"/>
      <c r="ABT12" s="8">
        <v>800.0</v>
      </c>
      <c r="ABU12" s="9"/>
      <c r="ABV12" s="9"/>
      <c r="ABW12" s="9"/>
      <c r="ABX12" s="9"/>
      <c r="ABY12" s="9"/>
      <c r="ABZ12" s="9"/>
      <c r="ACA12" s="9"/>
      <c r="ACB12" s="9"/>
      <c r="ACC12" s="9"/>
      <c r="ACD12" s="9"/>
      <c r="ACE12" s="9"/>
      <c r="ACF12" s="9"/>
      <c r="ACG12" s="9"/>
      <c r="ACH12" s="9"/>
      <c r="ACI12" s="9"/>
      <c r="ACJ12" s="9"/>
      <c r="ACK12" s="9" t="s">
        <v>2156</v>
      </c>
      <c r="ACL12" s="8">
        <v>0.0</v>
      </c>
      <c r="ACM12" s="8">
        <v>0.0</v>
      </c>
      <c r="ACN12" s="8">
        <v>1.0</v>
      </c>
      <c r="ACO12" s="8">
        <v>0.0</v>
      </c>
      <c r="ACP12" s="8">
        <v>0.0</v>
      </c>
      <c r="ACQ12" s="8">
        <v>0.0</v>
      </c>
      <c r="ACR12" s="8">
        <v>0.0</v>
      </c>
      <c r="ACS12" s="9"/>
      <c r="ACT12" s="9" t="s">
        <v>1945</v>
      </c>
      <c r="ACU12" s="9" t="s">
        <v>1050</v>
      </c>
      <c r="ACV12" s="9" t="s">
        <v>914</v>
      </c>
      <c r="ACW12" s="9" t="s">
        <v>915</v>
      </c>
      <c r="ACX12" s="9" t="s">
        <v>916</v>
      </c>
      <c r="ACY12" s="9" t="s">
        <v>1017</v>
      </c>
      <c r="ACZ12" s="8">
        <v>1.0</v>
      </c>
      <c r="ADA12" s="8">
        <v>1.0</v>
      </c>
      <c r="ADB12" s="8">
        <v>1.0</v>
      </c>
      <c r="ADC12" s="8">
        <v>0.0</v>
      </c>
      <c r="ADD12" s="9" t="s">
        <v>1187</v>
      </c>
      <c r="ADE12" s="9" t="s">
        <v>1187</v>
      </c>
      <c r="ADF12" s="9" t="s">
        <v>1187</v>
      </c>
      <c r="ADG12" s="9" t="s">
        <v>917</v>
      </c>
      <c r="ADH12" s="9" t="s">
        <v>857</v>
      </c>
      <c r="ADI12" s="9" t="s">
        <v>2215</v>
      </c>
      <c r="ADJ12" s="9" t="s">
        <v>917</v>
      </c>
      <c r="ADK12" s="9"/>
      <c r="ADL12" s="9"/>
      <c r="ADM12" s="9"/>
      <c r="ADN12" s="9"/>
      <c r="ADO12" s="9"/>
      <c r="ADP12" s="9"/>
      <c r="ADQ12" s="9"/>
      <c r="ADR12" s="9"/>
      <c r="ADS12" s="9"/>
      <c r="ADT12" s="9"/>
      <c r="ADU12" s="9" t="s">
        <v>2046</v>
      </c>
      <c r="ADV12" s="8">
        <v>0.0</v>
      </c>
      <c r="ADW12" s="8">
        <v>0.0</v>
      </c>
      <c r="ADX12" s="8">
        <v>0.0</v>
      </c>
      <c r="ADY12" s="8">
        <v>0.0</v>
      </c>
      <c r="ADZ12" s="8">
        <v>0.0</v>
      </c>
      <c r="AEA12" s="8">
        <v>1.0</v>
      </c>
      <c r="AEB12" s="8">
        <v>0.0</v>
      </c>
      <c r="AEC12" s="8">
        <v>0.0</v>
      </c>
      <c r="AED12" s="9" t="s">
        <v>1945</v>
      </c>
      <c r="AEE12" s="9" t="s">
        <v>872</v>
      </c>
      <c r="AEF12" s="9"/>
      <c r="AEG12" s="9" t="s">
        <v>920</v>
      </c>
      <c r="AEH12" s="9"/>
      <c r="AEI12" s="9" t="s">
        <v>2216</v>
      </c>
      <c r="AEJ12" s="9" t="s">
        <v>871</v>
      </c>
      <c r="AEK12" s="9" t="s">
        <v>2217</v>
      </c>
      <c r="AEL12" s="8">
        <v>0.0</v>
      </c>
      <c r="AEM12" s="8">
        <v>0.0</v>
      </c>
      <c r="AEN12" s="8">
        <v>0.0</v>
      </c>
      <c r="AEO12" s="8">
        <v>0.0</v>
      </c>
      <c r="AEP12" s="8">
        <v>1.0</v>
      </c>
      <c r="AEQ12" s="8">
        <v>0.0</v>
      </c>
      <c r="AER12" s="8">
        <v>1.0</v>
      </c>
      <c r="AES12" s="8">
        <v>0.0</v>
      </c>
      <c r="AET12" s="8">
        <v>0.0</v>
      </c>
      <c r="AEU12" s="8">
        <v>0.0</v>
      </c>
      <c r="AEV12" s="8">
        <v>0.0</v>
      </c>
      <c r="AEW12" s="8">
        <v>0.0</v>
      </c>
      <c r="AEX12" s="9"/>
      <c r="AEY12" s="9" t="s">
        <v>1273</v>
      </c>
      <c r="AEZ12" s="9"/>
      <c r="AFA12" s="9" t="s">
        <v>2077</v>
      </c>
      <c r="AFB12" s="9"/>
      <c r="AFC12" s="9" t="s">
        <v>2218</v>
      </c>
      <c r="AFD12" s="16" t="s">
        <v>2219</v>
      </c>
      <c r="AFE12" s="9" t="s">
        <v>2220</v>
      </c>
      <c r="AFF12" s="16" t="s">
        <v>2219</v>
      </c>
      <c r="AFG12" s="9" t="s">
        <v>1919</v>
      </c>
      <c r="AFH12" s="9"/>
      <c r="AFI12" s="21" t="s">
        <v>2221</v>
      </c>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8">
        <v>6.68250322E8</v>
      </c>
      <c r="AWB12" s="9" t="s">
        <v>2222</v>
      </c>
      <c r="AWC12" s="6">
        <v>46063.0</v>
      </c>
      <c r="AWD12" s="9"/>
      <c r="AWE12" s="9"/>
      <c r="AWF12" s="9" t="s">
        <v>1954</v>
      </c>
      <c r="AWG12" s="9"/>
      <c r="AWH12" s="9" t="s">
        <v>1989</v>
      </c>
      <c r="AWI12" s="9"/>
      <c r="AWJ12" s="9" t="s">
        <v>2223</v>
      </c>
      <c r="AWK12" s="8">
        <v>169.0</v>
      </c>
      <c r="AWL12" s="9" t="s">
        <v>2212</v>
      </c>
      <c r="AWM12" s="8">
        <v>0.0</v>
      </c>
      <c r="AWN12" s="9" t="s">
        <v>1957</v>
      </c>
      <c r="AWO12" s="33" t="b">
        <v>1</v>
      </c>
      <c r="AWP12" s="33" t="b">
        <v>1</v>
      </c>
      <c r="AWQ12" s="33" t="b">
        <v>1</v>
      </c>
      <c r="AWR12" s="33" t="b">
        <v>1</v>
      </c>
      <c r="AWS12" s="33" t="b">
        <v>1</v>
      </c>
      <c r="AWT12" s="33" t="b">
        <v>1</v>
      </c>
      <c r="AWU12" s="9"/>
      <c r="AWV12" s="8">
        <v>9.0</v>
      </c>
      <c r="AWW12" s="9"/>
      <c r="AWX12" s="9"/>
      <c r="AWY12" s="9"/>
      <c r="AWZ12" s="9"/>
    </row>
    <row r="13">
      <c r="A13" s="6">
        <v>46061.0</v>
      </c>
      <c r="B13" s="6">
        <v>46069.0</v>
      </c>
      <c r="C13" s="30" t="s">
        <v>1958</v>
      </c>
      <c r="D13" s="30" t="s">
        <v>2224</v>
      </c>
      <c r="E13" s="8">
        <f t="shared" ref="E13:E22" si="1">+620</f>
        <v>620</v>
      </c>
      <c r="F13" s="9" t="s">
        <v>2225</v>
      </c>
      <c r="G13" s="8">
        <v>-5.401209</v>
      </c>
      <c r="H13" s="8">
        <v>119.430442</v>
      </c>
      <c r="I13" s="8">
        <v>62.89999771</v>
      </c>
      <c r="J13" s="8">
        <v>9.93599987</v>
      </c>
      <c r="K13" s="8">
        <v>0.0</v>
      </c>
      <c r="L13" s="9" t="s">
        <v>2226</v>
      </c>
      <c r="M13" s="8">
        <v>-5.40119</v>
      </c>
      <c r="N13" s="8">
        <v>119.43045</v>
      </c>
      <c r="O13" s="8">
        <v>63.59999847</v>
      </c>
      <c r="P13" s="8">
        <v>3.789999962</v>
      </c>
      <c r="Q13" s="8">
        <v>0.0</v>
      </c>
      <c r="R13" s="9" t="s">
        <v>1923</v>
      </c>
      <c r="S13" s="8">
        <v>0.0</v>
      </c>
      <c r="T13" s="8">
        <v>0.0</v>
      </c>
      <c r="U13" s="8">
        <v>0.0</v>
      </c>
      <c r="V13" s="8">
        <v>0.0</v>
      </c>
      <c r="W13" s="8">
        <v>0.0</v>
      </c>
      <c r="X13" s="8">
        <v>0.0</v>
      </c>
      <c r="Y13" s="8">
        <v>0.0</v>
      </c>
      <c r="Z13" s="8">
        <v>0.0</v>
      </c>
      <c r="AA13" s="8">
        <v>0.0</v>
      </c>
      <c r="AB13" s="8">
        <v>1.0</v>
      </c>
      <c r="AC13" s="7" t="s">
        <v>2113</v>
      </c>
      <c r="AD13" s="7" t="s">
        <v>2227</v>
      </c>
      <c r="AE13" s="7" t="s">
        <v>2228</v>
      </c>
      <c r="AF13" s="9" t="s">
        <v>2062</v>
      </c>
      <c r="AG13" s="9" t="s">
        <v>2229</v>
      </c>
      <c r="AH13" s="8">
        <v>11.0</v>
      </c>
      <c r="AI13" s="9" t="s">
        <v>933</v>
      </c>
      <c r="AJ13" s="9" t="s">
        <v>934</v>
      </c>
      <c r="AK13" s="8">
        <v>44.0</v>
      </c>
      <c r="AL13" s="9" t="s">
        <v>847</v>
      </c>
      <c r="AM13" s="9" t="s">
        <v>848</v>
      </c>
      <c r="AN13" s="9" t="s">
        <v>986</v>
      </c>
      <c r="AO13" s="9" t="s">
        <v>850</v>
      </c>
      <c r="AP13" s="8">
        <v>1.0</v>
      </c>
      <c r="AQ13" s="8">
        <v>0.0</v>
      </c>
      <c r="AR13" s="8">
        <v>0.0</v>
      </c>
      <c r="AS13" s="8">
        <v>0.0</v>
      </c>
      <c r="AT13" s="8">
        <v>0.0</v>
      </c>
      <c r="AU13" s="8">
        <v>0.0</v>
      </c>
      <c r="AV13" s="8">
        <v>0.0</v>
      </c>
      <c r="AW13" s="8">
        <v>0.0</v>
      </c>
      <c r="AX13" s="9"/>
      <c r="AY13" s="9" t="s">
        <v>999</v>
      </c>
      <c r="AZ13" s="8">
        <v>0.0</v>
      </c>
      <c r="BA13" s="8">
        <v>0.0</v>
      </c>
      <c r="BB13" s="8">
        <v>0.0</v>
      </c>
      <c r="BC13" s="8">
        <v>0.0</v>
      </c>
      <c r="BD13" s="8">
        <v>0.0</v>
      </c>
      <c r="BE13" s="8">
        <v>0.0</v>
      </c>
      <c r="BF13" s="8">
        <v>0.0</v>
      </c>
      <c r="BG13" s="8">
        <v>1.0</v>
      </c>
      <c r="BH13" s="11"/>
      <c r="BI13" s="9" t="s">
        <v>852</v>
      </c>
      <c r="BJ13" s="8">
        <v>2.0</v>
      </c>
      <c r="BK13" s="8">
        <v>1.0</v>
      </c>
      <c r="BL13" s="8">
        <v>1.0</v>
      </c>
      <c r="BM13" s="8">
        <v>0.0</v>
      </c>
      <c r="BN13" s="9" t="s">
        <v>853</v>
      </c>
      <c r="BO13" s="9" t="s">
        <v>854</v>
      </c>
      <c r="BP13" s="8">
        <v>1.0</v>
      </c>
      <c r="BQ13" s="8">
        <v>0.0</v>
      </c>
      <c r="BR13" s="8">
        <v>0.0</v>
      </c>
      <c r="BS13" s="8">
        <v>0.0</v>
      </c>
      <c r="BT13" s="8">
        <v>0.0</v>
      </c>
      <c r="BU13" s="9"/>
      <c r="BV13" s="9" t="s">
        <v>1254</v>
      </c>
      <c r="BW13" s="8">
        <v>0.0</v>
      </c>
      <c r="BX13" s="8">
        <v>1.0</v>
      </c>
      <c r="BY13" s="8">
        <v>0.0</v>
      </c>
      <c r="BZ13" s="8">
        <v>0.0</v>
      </c>
      <c r="CA13" s="8">
        <v>0.0</v>
      </c>
      <c r="CB13" s="9"/>
      <c r="CC13" s="9" t="s">
        <v>1929</v>
      </c>
      <c r="CD13" s="8">
        <v>0.0</v>
      </c>
      <c r="CE13" s="8">
        <v>0.0</v>
      </c>
      <c r="CF13" s="8">
        <v>0.0</v>
      </c>
      <c r="CG13" s="8">
        <v>0.0</v>
      </c>
      <c r="CH13" s="8">
        <v>1.0</v>
      </c>
      <c r="CI13" s="8">
        <v>0.0</v>
      </c>
      <c r="CJ13" s="8">
        <v>0.0</v>
      </c>
      <c r="CK13" s="9"/>
      <c r="CL13" s="9" t="s">
        <v>857</v>
      </c>
      <c r="CM13" s="8">
        <v>2014.0</v>
      </c>
      <c r="CN13" s="9" t="s">
        <v>858</v>
      </c>
      <c r="CO13" s="9" t="s">
        <v>1968</v>
      </c>
      <c r="CP13" s="9" t="s">
        <v>969</v>
      </c>
      <c r="CQ13" s="8">
        <v>0.0</v>
      </c>
      <c r="CR13" s="8">
        <v>0.0</v>
      </c>
      <c r="CS13" s="8">
        <v>0.0</v>
      </c>
      <c r="CT13" s="8">
        <v>0.0</v>
      </c>
      <c r="CU13" s="8">
        <v>0.0</v>
      </c>
      <c r="CV13" s="8">
        <v>0.0</v>
      </c>
      <c r="CW13" s="8">
        <v>0.0</v>
      </c>
      <c r="CX13" s="8">
        <v>1.0</v>
      </c>
      <c r="CY13" s="9" t="s">
        <v>860</v>
      </c>
      <c r="CZ13" s="8">
        <v>1.0</v>
      </c>
      <c r="DA13" s="8">
        <v>0.0</v>
      </c>
      <c r="DB13" s="8">
        <v>0.0</v>
      </c>
      <c r="DC13" s="9"/>
      <c r="DD13" s="9" t="s">
        <v>2194</v>
      </c>
      <c r="DE13" s="8">
        <v>1.0</v>
      </c>
      <c r="DF13" s="8">
        <v>0.0</v>
      </c>
      <c r="DG13" s="8">
        <v>0.0</v>
      </c>
      <c r="DH13" s="8">
        <v>1.0</v>
      </c>
      <c r="DI13" s="9" t="s">
        <v>2230</v>
      </c>
      <c r="DJ13" s="9" t="s">
        <v>937</v>
      </c>
      <c r="DK13" s="8">
        <v>1.0</v>
      </c>
      <c r="DL13" s="8">
        <v>0.0</v>
      </c>
      <c r="DM13" s="8">
        <v>1.0</v>
      </c>
      <c r="DN13" s="8">
        <v>0.0</v>
      </c>
      <c r="DO13" s="9"/>
      <c r="DP13" s="9" t="s">
        <v>938</v>
      </c>
      <c r="DQ13" s="9" t="s">
        <v>939</v>
      </c>
      <c r="DR13" s="17" t="s">
        <v>969</v>
      </c>
      <c r="DS13" s="9" t="s">
        <v>2231</v>
      </c>
      <c r="DT13" s="9"/>
      <c r="DU13" s="9"/>
      <c r="DV13" s="9"/>
      <c r="DW13" s="9"/>
      <c r="DX13" s="9"/>
      <c r="DY13" s="9"/>
      <c r="DZ13" s="9"/>
      <c r="EA13" s="9"/>
      <c r="EB13" s="9"/>
      <c r="EC13" s="9"/>
      <c r="ED13" s="9"/>
      <c r="EE13" s="9"/>
      <c r="EF13" s="9"/>
      <c r="EG13" s="9"/>
      <c r="EH13" s="9"/>
      <c r="EI13" s="31" t="s">
        <v>862</v>
      </c>
      <c r="EJ13" s="8">
        <v>0.0</v>
      </c>
      <c r="EK13" s="8">
        <v>0.0</v>
      </c>
      <c r="EL13" s="8">
        <v>0.0</v>
      </c>
      <c r="EM13" s="8">
        <v>1.0</v>
      </c>
      <c r="EN13" s="8">
        <v>0.0</v>
      </c>
      <c r="EO13" s="9"/>
      <c r="EP13" s="9" t="s">
        <v>1403</v>
      </c>
      <c r="EQ13" s="9" t="s">
        <v>864</v>
      </c>
      <c r="ER13" s="9" t="s">
        <v>969</v>
      </c>
      <c r="ES13" s="8">
        <v>0.0</v>
      </c>
      <c r="ET13" s="8">
        <v>0.0</v>
      </c>
      <c r="EU13" s="8">
        <v>0.0</v>
      </c>
      <c r="EV13" s="8">
        <v>1.0</v>
      </c>
      <c r="EW13" s="31" t="s">
        <v>2230</v>
      </c>
      <c r="EX13" s="9" t="s">
        <v>865</v>
      </c>
      <c r="EY13" s="8">
        <v>1.0</v>
      </c>
      <c r="EZ13" s="8">
        <v>0.0</v>
      </c>
      <c r="FA13" s="8">
        <v>0.0</v>
      </c>
      <c r="FB13" s="9"/>
      <c r="FC13" s="9" t="s">
        <v>1072</v>
      </c>
      <c r="FD13" s="9"/>
      <c r="FE13" s="9" t="s">
        <v>867</v>
      </c>
      <c r="FF13" s="9" t="s">
        <v>868</v>
      </c>
      <c r="FG13" s="9" t="s">
        <v>867</v>
      </c>
      <c r="FH13" s="9" t="s">
        <v>869</v>
      </c>
      <c r="FI13" s="9" t="s">
        <v>867</v>
      </c>
      <c r="FJ13" s="9" t="s">
        <v>868</v>
      </c>
      <c r="FK13" s="9" t="s">
        <v>867</v>
      </c>
      <c r="FL13" s="9" t="s">
        <v>883</v>
      </c>
      <c r="FM13" s="9" t="s">
        <v>867</v>
      </c>
      <c r="FN13" s="9" t="s">
        <v>870</v>
      </c>
      <c r="FO13" s="9" t="s">
        <v>867</v>
      </c>
      <c r="FP13" s="9" t="s">
        <v>868</v>
      </c>
      <c r="FQ13" s="9" t="s">
        <v>867</v>
      </c>
      <c r="FR13" s="9" t="s">
        <v>857</v>
      </c>
      <c r="FS13" s="9" t="s">
        <v>867</v>
      </c>
      <c r="FT13" s="9" t="s">
        <v>2173</v>
      </c>
      <c r="FU13" s="9" t="s">
        <v>872</v>
      </c>
      <c r="FV13" s="8">
        <v>1.0</v>
      </c>
      <c r="FW13" s="8">
        <v>0.0</v>
      </c>
      <c r="FX13" s="8">
        <v>0.0</v>
      </c>
      <c r="FY13" s="8">
        <v>0.0</v>
      </c>
      <c r="FZ13" s="9" t="s">
        <v>873</v>
      </c>
      <c r="GA13" s="9" t="s">
        <v>864</v>
      </c>
      <c r="GB13" s="8">
        <v>0.0</v>
      </c>
      <c r="GC13" s="8">
        <v>1.0</v>
      </c>
      <c r="GD13" s="8">
        <v>0.0</v>
      </c>
      <c r="GE13" s="8">
        <v>0.0</v>
      </c>
      <c r="GF13" s="9"/>
      <c r="GG13" s="9" t="s">
        <v>1232</v>
      </c>
      <c r="GH13" s="9" t="s">
        <v>857</v>
      </c>
      <c r="GI13" s="9" t="s">
        <v>1086</v>
      </c>
      <c r="GJ13" s="8">
        <v>1.0</v>
      </c>
      <c r="GK13" s="8">
        <v>1.0</v>
      </c>
      <c r="GL13" s="8">
        <v>0.0</v>
      </c>
      <c r="GM13" s="8">
        <v>0.0</v>
      </c>
      <c r="GN13" s="9"/>
      <c r="GO13" s="8">
        <v>8.0</v>
      </c>
      <c r="GP13" s="34" t="s">
        <v>877</v>
      </c>
      <c r="GQ13" s="9" t="s">
        <v>1102</v>
      </c>
      <c r="GR13" s="8">
        <v>1.0</v>
      </c>
      <c r="GS13" s="8">
        <v>0.0</v>
      </c>
      <c r="GT13" s="8">
        <v>0.0</v>
      </c>
      <c r="GU13" s="8">
        <v>0.0</v>
      </c>
      <c r="GV13" s="8">
        <v>0.0</v>
      </c>
      <c r="GW13" s="8">
        <v>0.0</v>
      </c>
      <c r="GX13" s="8">
        <v>0.0</v>
      </c>
      <c r="GY13" s="9"/>
      <c r="GZ13" s="9" t="s">
        <v>881</v>
      </c>
      <c r="HA13" s="9"/>
      <c r="HB13" s="9"/>
      <c r="HC13" s="9"/>
      <c r="HD13" s="9"/>
      <c r="HE13" s="8">
        <v>9.0</v>
      </c>
      <c r="HF13" s="8">
        <v>60000.0</v>
      </c>
      <c r="HG13" s="8">
        <v>0.0</v>
      </c>
      <c r="HH13" s="35">
        <v>0.0</v>
      </c>
      <c r="HI13" s="9"/>
      <c r="HJ13" s="9"/>
      <c r="HK13" s="9"/>
      <c r="HL13" s="9"/>
      <c r="HM13" s="9"/>
      <c r="HN13" s="9"/>
      <c r="HO13" s="9"/>
      <c r="HP13" s="9"/>
      <c r="HQ13" s="9"/>
      <c r="HR13" s="9"/>
      <c r="HS13" s="9"/>
      <c r="HT13" s="9"/>
      <c r="HU13" s="9"/>
      <c r="HV13" s="9"/>
      <c r="HW13" s="9"/>
      <c r="HX13" s="9"/>
      <c r="HY13" s="9"/>
      <c r="HZ13" s="9"/>
      <c r="IA13" s="8">
        <v>9.0</v>
      </c>
      <c r="IB13" s="9"/>
      <c r="IC13" s="9"/>
      <c r="ID13" s="9"/>
      <c r="IE13" s="9"/>
      <c r="IF13" s="9"/>
      <c r="IG13" s="9"/>
      <c r="IH13" s="9"/>
      <c r="II13" s="9"/>
      <c r="IJ13" s="9"/>
      <c r="IK13" s="9" t="s">
        <v>1932</v>
      </c>
      <c r="IL13" s="9" t="s">
        <v>2232</v>
      </c>
      <c r="IM13" s="9" t="s">
        <v>857</v>
      </c>
      <c r="IN13" s="9" t="s">
        <v>881</v>
      </c>
      <c r="IO13" s="9" t="s">
        <v>945</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945</v>
      </c>
      <c r="KT13" s="9" t="s">
        <v>886</v>
      </c>
      <c r="KU13" s="9" t="s">
        <v>886</v>
      </c>
      <c r="KV13" s="9" t="s">
        <v>999</v>
      </c>
      <c r="KW13" s="8">
        <v>0.0</v>
      </c>
      <c r="KX13" s="8">
        <v>0.0</v>
      </c>
      <c r="KY13" s="8">
        <v>0.0</v>
      </c>
      <c r="KZ13" s="8">
        <v>1.0</v>
      </c>
      <c r="LA13" s="9" t="s">
        <v>945</v>
      </c>
      <c r="LB13" s="9" t="s">
        <v>1180</v>
      </c>
      <c r="LC13" s="8">
        <v>5.0</v>
      </c>
      <c r="LD13" s="8">
        <v>0.0</v>
      </c>
      <c r="LE13" s="8">
        <v>0.0</v>
      </c>
      <c r="LF13" s="8">
        <v>0.0</v>
      </c>
      <c r="LG13" s="9" t="s">
        <v>881</v>
      </c>
      <c r="LH13" s="9"/>
      <c r="LI13" s="8">
        <v>0.0</v>
      </c>
      <c r="LJ13" s="9" t="s">
        <v>969</v>
      </c>
      <c r="LK13" s="8">
        <v>0.0</v>
      </c>
      <c r="LL13" s="8">
        <v>0.0</v>
      </c>
      <c r="LM13" s="8">
        <v>0.0</v>
      </c>
      <c r="LN13" s="8">
        <v>0.0</v>
      </c>
      <c r="LO13" s="8">
        <v>0.0</v>
      </c>
      <c r="LP13" s="8">
        <v>0.0</v>
      </c>
      <c r="LQ13" s="8">
        <v>1.0</v>
      </c>
      <c r="LR13" s="11" t="s">
        <v>1973</v>
      </c>
      <c r="LS13" s="8">
        <v>10.0</v>
      </c>
      <c r="LT13" s="8">
        <v>0.0</v>
      </c>
      <c r="LU13" s="8">
        <v>0.0</v>
      </c>
      <c r="LV13" s="8">
        <v>10.0</v>
      </c>
      <c r="LW13" s="8">
        <v>0.0</v>
      </c>
      <c r="LX13" s="8">
        <v>0.0</v>
      </c>
      <c r="LY13" s="8">
        <v>30.0</v>
      </c>
      <c r="LZ13" s="8">
        <v>0.0</v>
      </c>
      <c r="MA13" s="8">
        <v>0.0</v>
      </c>
      <c r="MB13" s="9" t="s">
        <v>881</v>
      </c>
      <c r="MC13" s="8">
        <v>0.0</v>
      </c>
      <c r="MD13" s="8">
        <v>0.0</v>
      </c>
      <c r="ME13" s="8">
        <v>0.0</v>
      </c>
      <c r="MF13" s="8">
        <v>0.0</v>
      </c>
      <c r="MG13" s="8">
        <v>0.0</v>
      </c>
      <c r="MH13" s="8">
        <v>0.0</v>
      </c>
      <c r="MI13" s="9"/>
      <c r="MJ13" s="9"/>
      <c r="MK13" s="9"/>
      <c r="ML13" s="9"/>
      <c r="MM13" s="9"/>
      <c r="MN13" s="9"/>
      <c r="MO13" s="9"/>
      <c r="MP13" s="9"/>
      <c r="MQ13" s="9"/>
      <c r="MR13" s="17" t="s">
        <v>2035</v>
      </c>
      <c r="MS13" s="9"/>
      <c r="MT13" s="9" t="s">
        <v>2035</v>
      </c>
      <c r="MU13" s="9" t="s">
        <v>881</v>
      </c>
      <c r="MV13" s="9"/>
      <c r="MW13" s="9"/>
      <c r="MX13" s="9"/>
      <c r="MY13" s="9"/>
      <c r="MZ13" s="9"/>
      <c r="NA13" s="9"/>
      <c r="NB13" s="9"/>
      <c r="NC13" s="9"/>
      <c r="ND13" s="9"/>
      <c r="NE13" s="9"/>
      <c r="NF13" s="9"/>
      <c r="NG13" s="9"/>
      <c r="NH13" s="9"/>
      <c r="NI13" s="9"/>
      <c r="NJ13" s="9"/>
      <c r="NK13" s="9"/>
      <c r="NL13" s="9" t="s">
        <v>881</v>
      </c>
      <c r="NM13" s="9" t="s">
        <v>1386</v>
      </c>
      <c r="NN13" s="17" t="s">
        <v>1975</v>
      </c>
      <c r="NO13" s="17" t="s">
        <v>994</v>
      </c>
      <c r="NP13" s="9"/>
      <c r="NQ13" s="9"/>
      <c r="NR13" s="9"/>
      <c r="NS13" s="9"/>
      <c r="NT13" s="9"/>
      <c r="NU13" s="9"/>
      <c r="NV13" s="9"/>
      <c r="NW13" s="9"/>
      <c r="NX13" s="9" t="s">
        <v>914</v>
      </c>
      <c r="NY13" s="8">
        <v>840.0</v>
      </c>
      <c r="NZ13" s="8">
        <v>0.0</v>
      </c>
      <c r="OA13" s="8">
        <v>0.0</v>
      </c>
      <c r="OB13" s="8">
        <v>0.0</v>
      </c>
      <c r="OC13" s="8">
        <v>60.0</v>
      </c>
      <c r="OD13" s="8">
        <v>0.0</v>
      </c>
      <c r="OE13" s="9" t="s">
        <v>945</v>
      </c>
      <c r="OF13" s="9" t="s">
        <v>1184</v>
      </c>
      <c r="OG13" s="9" t="s">
        <v>857</v>
      </c>
      <c r="OH13" s="8">
        <v>5.0</v>
      </c>
      <c r="OI13" s="8">
        <v>0.0</v>
      </c>
      <c r="OJ13" s="8">
        <v>0.0</v>
      </c>
      <c r="OK13" s="8">
        <v>0.0</v>
      </c>
      <c r="OL13" s="8">
        <v>0.0</v>
      </c>
      <c r="OM13" s="8">
        <v>0.0</v>
      </c>
      <c r="ON13" s="8">
        <v>30.0</v>
      </c>
      <c r="OO13" s="8">
        <v>0.0</v>
      </c>
      <c r="OP13" s="9" t="str">
        <f>VLOOKUP(AG13,'BUS 2'!$G$1:$CU$424,2,0)</f>
        <v>Sapi pedaging Ayam</v>
      </c>
      <c r="OQ13" s="8">
        <f>VLOOKUP(AG13,'BUS 2'!$G$1:$CU$424,3,0)</f>
        <v>1</v>
      </c>
      <c r="OR13" s="8">
        <f>VLOOKUP(AG13,'BUS 2'!$G$1:$CU$424,4,0)</f>
        <v>0</v>
      </c>
      <c r="OS13" s="8">
        <f>VLOOKUP(AG13,'BUS 2'!$G$1:$CU$424,5,0)</f>
        <v>0</v>
      </c>
      <c r="OT13" s="8">
        <f>VLOOKUP(AG13,'BUS 2'!$G$1:$CU$424,6,0)</f>
        <v>0</v>
      </c>
      <c r="OU13" s="8">
        <f>VLOOKUP(AG13,'BUS 2'!$G$1:$CU$424,7,0)</f>
        <v>0</v>
      </c>
      <c r="OV13" s="8">
        <f>VLOOKUP(AG13,'BUS 2'!$G$1:$CU$424,8,0)</f>
        <v>0</v>
      </c>
      <c r="OW13" s="8">
        <f>VLOOKUP(AG13,'BUS 2'!$G$1:$CU$424,9,0)</f>
        <v>1</v>
      </c>
      <c r="OX13" s="8">
        <f>VLOOKUP(AG13,'BUS 2'!$G$1:$CU$424,10,0)</f>
        <v>0</v>
      </c>
      <c r="OY13" s="8">
        <f>VLOOKUP(AG13,'BUS 2'!$G$1:$CU$424,11,0)</f>
        <v>0</v>
      </c>
      <c r="OZ13" s="8" t="str">
        <f>VLOOKUP(AG13,'BUS 2'!$G$1:$CU$424,12,0)</f>
        <v>Sapi pedaging Ayam</v>
      </c>
      <c r="PA13" s="8">
        <f>VLOOKUP(AG13,'BUS 2'!$G$1:$CU$424,13,0)</f>
        <v>1</v>
      </c>
      <c r="PB13" s="8">
        <f>VLOOKUP(AG13,'BUS 2'!$G$1:$CU$424,14,0)</f>
        <v>0</v>
      </c>
      <c r="PC13" s="8">
        <f>VLOOKUP(AG13,'BUS 2'!$G$1:$CU$424,15,0)</f>
        <v>0</v>
      </c>
      <c r="PD13" s="8">
        <f>VLOOKUP(AG13,'BUS 2'!$G$1:$CU$424,16,0)</f>
        <v>0</v>
      </c>
      <c r="PE13" s="8">
        <f>VLOOKUP(AG13,'BUS 2'!$G$1:$CU$424,17,0)</f>
        <v>0</v>
      </c>
      <c r="PF13" s="8">
        <f>VLOOKUP(AG13,'BUS 2'!$G$1:$CU$424,18,0)</f>
        <v>0</v>
      </c>
      <c r="PG13" s="8">
        <f>VLOOKUP(AG13,'BUS 2'!$G$1:$CU$424,19,0)</f>
        <v>1</v>
      </c>
      <c r="PH13" s="8">
        <f>VLOOKUP(AG13,'BUS 2'!$G$1:$CU$424,20,0)</f>
        <v>0</v>
      </c>
      <c r="PI13" s="8">
        <f>VLOOKUP(AG13,'BUS 2'!$G$1:$CU$424,21,0)</f>
        <v>0</v>
      </c>
      <c r="PJ13" s="8" t="str">
        <f>VLOOKUP(AG13,'BUS 2'!$G$1:$CU$424,22,0)</f>
        <v>Sapi pedaging Ayam</v>
      </c>
      <c r="PK13" s="8">
        <f>VLOOKUP(AG13,'BUS 2'!$G$1:$CU$424,23,0)</f>
        <v>1</v>
      </c>
      <c r="PL13" s="8">
        <f>VLOOKUP(AG13,'BUS 2'!$G$1:$CU$424,24,0)</f>
        <v>0</v>
      </c>
      <c r="PM13" s="8">
        <f>VLOOKUP(AG13,'BUS 2'!$G$1:$CU$424,25,0)</f>
        <v>0</v>
      </c>
      <c r="PN13" s="8">
        <f>VLOOKUP(AG13,'BUS 2'!$G$1:$CU$424,26,0)</f>
        <v>0</v>
      </c>
      <c r="PO13" s="8">
        <f>VLOOKUP(AG13,'BUS 2'!$G$1:$CU$424,27,0)</f>
        <v>0</v>
      </c>
      <c r="PP13" s="8">
        <f>VLOOKUP(AG13,'BUS 2'!$G$1:$CU$424,28,0)</f>
        <v>0</v>
      </c>
      <c r="PQ13" s="8">
        <f>VLOOKUP(AG13,'BUS 2'!$G$1:$CU$424,29,0)</f>
        <v>1</v>
      </c>
      <c r="PR13" s="8">
        <f>VLOOKUP(AG13,'BUS 2'!$G$1:$CU$424,30,0)</f>
        <v>0</v>
      </c>
      <c r="PS13" s="8">
        <f>VLOOKUP(AG13,'BUS 2'!$G$1:$CU$424,31,0)</f>
        <v>0</v>
      </c>
      <c r="PT13" s="9" t="s">
        <v>900</v>
      </c>
      <c r="PU13" s="8">
        <v>0.0</v>
      </c>
      <c r="PV13" s="8">
        <v>0.0</v>
      </c>
      <c r="PW13" s="8">
        <v>0.0</v>
      </c>
      <c r="PX13" s="8">
        <v>0.0</v>
      </c>
      <c r="PY13" s="8">
        <v>0.0</v>
      </c>
      <c r="PZ13" s="8">
        <v>1.0</v>
      </c>
      <c r="QA13" s="8">
        <v>0.0</v>
      </c>
      <c r="QB13" s="8">
        <v>0.0</v>
      </c>
      <c r="QC13" s="8">
        <v>0.0</v>
      </c>
      <c r="QD13" s="9"/>
      <c r="QE13" s="32"/>
      <c r="QF13" s="31"/>
      <c r="QG13" s="31"/>
      <c r="QH13" s="31"/>
      <c r="QI13" s="31"/>
      <c r="QJ13" s="31"/>
      <c r="QK13" s="32"/>
      <c r="QL13" s="32"/>
      <c r="QM13" s="32"/>
      <c r="QN13" s="32"/>
      <c r="QO13" s="32"/>
      <c r="QP13" s="32"/>
      <c r="QQ13" s="32"/>
      <c r="QR13" s="32"/>
      <c r="QS13" s="32"/>
      <c r="QT13" s="32"/>
      <c r="QU13" s="32"/>
      <c r="QV13" s="32"/>
      <c r="QW13" s="31"/>
      <c r="QX13" s="31"/>
      <c r="QY13" s="31"/>
      <c r="QZ13" s="31"/>
      <c r="RA13" s="31"/>
      <c r="RB13" s="32"/>
      <c r="RC13" s="32"/>
      <c r="RD13" s="32"/>
      <c r="RE13" s="32"/>
      <c r="RF13" s="32"/>
      <c r="RG13" s="9"/>
      <c r="RH13" s="31"/>
      <c r="RI13" s="31"/>
      <c r="RJ13" s="31"/>
      <c r="RK13" s="31"/>
      <c r="RL13" s="31"/>
      <c r="RM13" s="9"/>
      <c r="RN13" s="9"/>
      <c r="RO13" s="9"/>
      <c r="RP13" s="9"/>
      <c r="RQ13" s="9"/>
      <c r="RR13" s="9"/>
      <c r="RS13" s="31"/>
      <c r="RT13" s="31"/>
      <c r="RU13" s="31"/>
      <c r="RV13" s="31"/>
      <c r="RW13" s="31"/>
      <c r="RX13" s="9"/>
      <c r="RY13" s="9"/>
      <c r="RZ13" s="9"/>
      <c r="SA13" s="9"/>
      <c r="SB13" s="9"/>
      <c r="SC13" s="9" t="s">
        <v>900</v>
      </c>
      <c r="SD13" s="35">
        <v>0.0</v>
      </c>
      <c r="SE13" s="35">
        <v>0.0</v>
      </c>
      <c r="SF13" s="35">
        <v>0.0</v>
      </c>
      <c r="SG13" s="35">
        <v>0.0</v>
      </c>
      <c r="SH13" s="35">
        <v>0.0</v>
      </c>
      <c r="SI13" s="8">
        <v>1.0</v>
      </c>
      <c r="SJ13" s="8">
        <v>0.0</v>
      </c>
      <c r="SK13" s="8">
        <v>0.0</v>
      </c>
      <c r="SL13" s="8">
        <v>0.0</v>
      </c>
      <c r="SM13" s="9"/>
      <c r="SN13" s="9"/>
      <c r="SO13" s="31"/>
      <c r="SP13" s="31"/>
      <c r="SQ13" s="31"/>
      <c r="SR13" s="31"/>
      <c r="SS13" s="31"/>
      <c r="ST13" s="9"/>
      <c r="SU13" s="9"/>
      <c r="SV13" s="9"/>
      <c r="SW13" s="9"/>
      <c r="SX13" s="9"/>
      <c r="SY13" s="8">
        <f>VLOOKUP(AG13,'BUS 2'!$G$1:$CU$424,33,0)</f>
        <v>12</v>
      </c>
      <c r="SZ13" s="9" t="str">
        <f>VLOOKUP(AG13,'BUS 2'!$G$1:$CU$424,34,0)</f>
        <v/>
      </c>
      <c r="TA13" s="9" t="str">
        <f>VLOOKUP(AG13,'BUS 2'!$G$1:$CU$424,35,0)</f>
        <v/>
      </c>
      <c r="TB13" s="9" t="str">
        <f>VLOOKUP(AG13,'BUS 2'!$G$1:$CU$424,36,0)</f>
        <v/>
      </c>
      <c r="TC13" s="9" t="str">
        <f>VLOOKUP(AG13,'BUS 2'!$G$1:$CU$424,37,0)</f>
        <v/>
      </c>
      <c r="TD13" s="9" t="str">
        <f>VLOOKUP(AG13,'BUS 2'!$G$1:$CU$424,38,0)</f>
        <v/>
      </c>
      <c r="TE13" s="9">
        <f>VLOOKUP(AG13,'BUS 2'!$G$1:$CU$424,39,0)</f>
        <v>40</v>
      </c>
      <c r="TF13" s="9" t="str">
        <f>VLOOKUP(AG13,'BUS 2'!$G$1:$CU$424,40,0)</f>
        <v/>
      </c>
      <c r="TG13" s="8">
        <f>VLOOKUP(AG13,'BUS 2'!$G$1:$CU$424,42,0)</f>
        <v>10</v>
      </c>
      <c r="TH13" s="8" t="str">
        <f>VLOOKUP(AG13,'BUS 2'!$G$1:$CU$424,43,0)</f>
        <v/>
      </c>
      <c r="TI13" s="8" t="str">
        <f>VLOOKUP(AG13,'BUS 2'!$G$1:$CU$424,44,0)</f>
        <v/>
      </c>
      <c r="TJ13" s="8" t="str">
        <f>VLOOKUP(AG13,'BUS 2'!$G$1:$CU$424,45,0)</f>
        <v/>
      </c>
      <c r="TK13" s="8" t="str">
        <f>VLOOKUP(AG13,'BUS 2'!$G$1:$CU$424,46,0)</f>
        <v/>
      </c>
      <c r="TL13" s="8" t="str">
        <f>VLOOKUP(AG13,'BUS 2'!$G$1:$CU$424,47,0)</f>
        <v/>
      </c>
      <c r="TM13" s="8">
        <f>VLOOKUP(AG13,'BUS 2'!$G$1:$CU$424,48,0)</f>
        <v>40</v>
      </c>
      <c r="TN13" s="8" t="str">
        <f>VLOOKUP(AG13,'BUS 2'!$G$1:$CU$424,49,0)</f>
        <v/>
      </c>
      <c r="TO13" s="8">
        <f>VLOOKUP(AG13,'BUS 2'!$G$1:$CU$424,50,0)</f>
        <v>0</v>
      </c>
      <c r="TP13" s="8">
        <f>VLOOKUP(AG13,'BUS 2'!$G$1:$CU$424,51,0)</f>
        <v>0</v>
      </c>
      <c r="TQ13" s="8">
        <f>VLOOKUP(AG13,'BUS 2'!$G$1:$CU$424,52,0)</f>
        <v>0</v>
      </c>
      <c r="TR13" s="8">
        <f>VLOOKUP(AG13,'BUS 2'!$G$1:$CU$424,53,0)</f>
        <v>0</v>
      </c>
      <c r="TS13" s="9" t="str">
        <f>VLOOKUP(AG13,'BUS 2'!$G$1:$CU$424,54,0)</f>
        <v/>
      </c>
      <c r="TT13" s="9" t="str">
        <f>VLOOKUP(AG13,'BUS 2'!$G$1:$CU$424,55,0)</f>
        <v/>
      </c>
      <c r="TU13" s="9" t="str">
        <f>VLOOKUP(AG13,'BUS 2'!$G$1:$CU$424,56,0)</f>
        <v/>
      </c>
      <c r="TV13" s="9" t="str">
        <f>VLOOKUP(AG13,'BUS 2'!$G$1:$CU$424,57,0)</f>
        <v/>
      </c>
      <c r="TW13" s="9" t="str">
        <f>VLOOKUP(AG13,'BUS 2'!$G$1:$CU$424,58,0)</f>
        <v/>
      </c>
      <c r="TX13" s="9" t="str">
        <f>VLOOKUP(AG13,'BUS 2'!$G$1:$CU$424,59,0)</f>
        <v/>
      </c>
      <c r="TY13" s="9" t="str">
        <f>VLOOKUP(AG13,'BUS 2'!$G$1:$CU$424,60,0)</f>
        <v/>
      </c>
      <c r="TZ13" s="9" t="str">
        <f>VLOOKUP(AG13,'BUS 2'!$G$1:$CU$424,61,0)</f>
        <v/>
      </c>
      <c r="UA13" s="9" t="str">
        <f>VLOOKUP(AG13,'BUS 2'!$G$1:$CU$424,62,0)</f>
        <v/>
      </c>
      <c r="UB13" s="9" t="str">
        <f>VLOOKUP(AG13,'BUS 2'!$G$1:$CU$424,63,0)</f>
        <v/>
      </c>
      <c r="UC13" s="9" t="str">
        <f>VLOOKUP(AG13,'BUS 2'!$G$1:$CU$424,64,0)</f>
        <v/>
      </c>
      <c r="UD13" s="9" t="str">
        <f>VLOOKUP(AG13,'BUS 2'!$G$1:$CU$424,65,0)</f>
        <v/>
      </c>
      <c r="UE13" s="9" t="str">
        <f>VLOOKUP(AG13,'BUS 2'!$G$1:$CU$424,66,0)</f>
        <v/>
      </c>
      <c r="UF13" s="9" t="str">
        <f>VLOOKUP(AG13,'BUS 2'!$G$1:$CU$424,67,0)</f>
        <v/>
      </c>
      <c r="UG13" s="9" t="str">
        <f>VLOOKUP(AG13,'BUS 2'!$G$1:$CU$424,68,0)</f>
        <v/>
      </c>
      <c r="UH13" s="9" t="str">
        <f>VLOOKUP(AG13,'BUS 2'!$G$1:$CU$424,69,0)</f>
        <v/>
      </c>
      <c r="UI13" s="9" t="str">
        <f>VLOOKUP(AG13,'BUS 2'!$G$1:$CU$424,70,0)</f>
        <v/>
      </c>
      <c r="UJ13" s="9" t="str">
        <f>VLOOKUP(AG13,'BUS 2'!$G$1:$CU$424,71,0)</f>
        <v/>
      </c>
      <c r="UK13" s="9" t="str">
        <f>VLOOKUP(AG13,'BUS 2'!$G$1:$CU$424,72,0)</f>
        <v/>
      </c>
      <c r="UL13" s="9" t="str">
        <f>VLOOKUP(AG13,'BUS 2'!$G$1:$CU$424,73,0)</f>
        <v/>
      </c>
      <c r="UM13" s="9">
        <f>VLOOKUP(AG13,'BUS 2'!$G$1:$CU$424,74,0)</f>
        <v>0</v>
      </c>
      <c r="UN13" s="9">
        <f>VLOOKUP(AG13,'BUS 2'!$G$1:$CU$424,75,0)</f>
        <v>0</v>
      </c>
      <c r="UO13" s="9">
        <f>VLOOKUP(AG13,'BUS 2'!$G$1:$CU$424,76,0)</f>
        <v>0</v>
      </c>
      <c r="UP13" s="9">
        <f>VLOOKUP(AG13,'BUS 2'!$G$1:$CU$424,77,0)</f>
        <v>0</v>
      </c>
      <c r="UQ13" s="9" t="str">
        <f>VLOOKUP(AG13,'BUS 2'!$G$1:$CU$424,78,0)</f>
        <v/>
      </c>
      <c r="UR13" s="9" t="str">
        <f>VLOOKUP(AG13,'BUS 2'!$G$1:$CU$424,79,0)</f>
        <v/>
      </c>
      <c r="US13" s="9" t="str">
        <f>VLOOKUP(AG13,'BUS 2'!$G$1:$CU$424,80,0)</f>
        <v/>
      </c>
      <c r="UT13" s="9" t="str">
        <f>VLOOKUP(AG13,'BUS 2'!$G$1:$CU$424,81,0)</f>
        <v/>
      </c>
      <c r="UU13" s="9" t="s">
        <v>1937</v>
      </c>
      <c r="UV13" s="9"/>
      <c r="UW13" s="9"/>
      <c r="UX13" s="9"/>
      <c r="UY13" s="9"/>
      <c r="UZ13" s="9"/>
      <c r="VA13" s="9" t="s">
        <v>1976</v>
      </c>
      <c r="VB13" s="9"/>
      <c r="VC13" s="9" t="s">
        <v>1938</v>
      </c>
      <c r="VD13" s="9"/>
      <c r="VE13" s="9"/>
      <c r="VF13" s="9"/>
      <c r="VG13" s="9"/>
      <c r="VH13" s="9"/>
      <c r="VI13" s="9" t="s">
        <v>1938</v>
      </c>
      <c r="VJ13" s="9"/>
      <c r="VK13" s="9" t="s">
        <v>2040</v>
      </c>
      <c r="VL13" s="9"/>
      <c r="VM13" s="9"/>
      <c r="VN13" s="9"/>
      <c r="VO13" s="9"/>
      <c r="VP13" s="9"/>
      <c r="VQ13" s="9"/>
      <c r="VR13" s="9"/>
      <c r="VS13" s="9" t="s">
        <v>1940</v>
      </c>
      <c r="VT13" s="8">
        <v>0.0</v>
      </c>
      <c r="VU13" s="8">
        <v>0.0</v>
      </c>
      <c r="VV13" s="8">
        <v>0.0</v>
      </c>
      <c r="VW13" s="8">
        <v>0.0</v>
      </c>
      <c r="VX13" s="8">
        <v>0.0</v>
      </c>
      <c r="VY13" s="8">
        <v>1.0</v>
      </c>
      <c r="VZ13" s="8">
        <v>0.0</v>
      </c>
      <c r="WA13" s="8">
        <v>0.0</v>
      </c>
      <c r="WB13" s="8">
        <v>0.0</v>
      </c>
      <c r="WC13" s="8">
        <v>0.0</v>
      </c>
      <c r="WD13" s="8">
        <v>0.0</v>
      </c>
      <c r="WE13" s="8">
        <v>0.0</v>
      </c>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t="s">
        <v>1941</v>
      </c>
      <c r="YO13" s="8">
        <v>0.0</v>
      </c>
      <c r="YP13" s="8">
        <v>0.0</v>
      </c>
      <c r="YQ13" s="8">
        <v>0.0</v>
      </c>
      <c r="YR13" s="8">
        <v>0.0</v>
      </c>
      <c r="YS13" s="8">
        <v>0.0</v>
      </c>
      <c r="YT13" s="8">
        <v>0.0</v>
      </c>
      <c r="YU13" s="8">
        <v>0.0</v>
      </c>
      <c r="YV13" s="8">
        <v>0.0</v>
      </c>
      <c r="YW13" s="8">
        <v>0.0</v>
      </c>
      <c r="YX13" s="8">
        <v>0.0</v>
      </c>
      <c r="YY13" s="8">
        <v>0.0</v>
      </c>
      <c r="YZ13" s="8">
        <v>1.0</v>
      </c>
      <c r="ZA13" s="9"/>
      <c r="ZB13" s="9"/>
      <c r="ZC13" s="9"/>
      <c r="ZD13" s="9"/>
      <c r="ZE13" s="9"/>
      <c r="ZF13" s="9"/>
      <c r="ZG13" s="9"/>
      <c r="ZH13" s="9"/>
      <c r="ZI13" s="9"/>
      <c r="ZJ13" s="9"/>
      <c r="ZK13" s="9"/>
      <c r="ZL13" s="9"/>
      <c r="ZM13" s="9"/>
      <c r="ZN13" s="9"/>
      <c r="ZO13" s="9"/>
      <c r="ZP13" s="9"/>
      <c r="ZQ13" s="9"/>
      <c r="ZR13" s="9"/>
      <c r="ZS13" s="9"/>
      <c r="ZT13" s="9"/>
      <c r="ZU13" s="9"/>
      <c r="ZV13" s="8">
        <v>2.0</v>
      </c>
      <c r="ZW13" s="9"/>
      <c r="ZX13" s="9"/>
      <c r="ZY13" s="9"/>
      <c r="ZZ13" s="9"/>
      <c r="AAA13" s="9"/>
      <c r="AAB13" s="8">
        <v>2.0</v>
      </c>
      <c r="AAC13" s="9"/>
      <c r="AAD13" s="9" t="s">
        <v>1186</v>
      </c>
      <c r="AAE13" s="9"/>
      <c r="AAF13" s="9"/>
      <c r="AAG13" s="9"/>
      <c r="AAH13" s="9"/>
      <c r="AAI13" s="9"/>
      <c r="AAJ13" s="9" t="s">
        <v>905</v>
      </c>
      <c r="AAK13" s="9"/>
      <c r="AAL13" s="9" t="s">
        <v>857</v>
      </c>
      <c r="AAM13" s="9" t="s">
        <v>1033</v>
      </c>
      <c r="AAN13" s="8">
        <v>1.0</v>
      </c>
      <c r="AAO13" s="8">
        <v>1.0</v>
      </c>
      <c r="AAP13" s="8">
        <v>10.0</v>
      </c>
      <c r="AAQ13" s="8">
        <v>4.0</v>
      </c>
      <c r="AAR13" s="9" t="s">
        <v>857</v>
      </c>
      <c r="AAS13" s="9" t="s">
        <v>867</v>
      </c>
      <c r="AAT13" s="9" t="s">
        <v>995</v>
      </c>
      <c r="AAU13" s="8">
        <v>1.0</v>
      </c>
      <c r="AAV13" s="8">
        <v>0.0</v>
      </c>
      <c r="AAW13" s="8">
        <v>0.0</v>
      </c>
      <c r="AAX13" s="8">
        <v>0.0</v>
      </c>
      <c r="AAY13" s="8">
        <v>1.0</v>
      </c>
      <c r="AAZ13" s="8">
        <v>0.0</v>
      </c>
      <c r="ABA13" s="8">
        <v>0.0</v>
      </c>
      <c r="ABB13" s="9" t="s">
        <v>2072</v>
      </c>
      <c r="ABC13" s="8">
        <v>1.0</v>
      </c>
      <c r="ABD13" s="8">
        <v>1.0</v>
      </c>
      <c r="ABE13" s="8">
        <v>1.0</v>
      </c>
      <c r="ABF13" s="8">
        <v>1.0</v>
      </c>
      <c r="ABG13" s="8">
        <v>0.0</v>
      </c>
      <c r="ABH13" s="9"/>
      <c r="ABI13" s="9"/>
      <c r="ABJ13" s="9"/>
      <c r="ABK13" s="9"/>
      <c r="ABL13" s="9"/>
      <c r="ABM13" s="9"/>
      <c r="ABN13" s="9"/>
      <c r="ABO13" s="9"/>
      <c r="ABP13" s="9"/>
      <c r="ABQ13" s="9" t="s">
        <v>2233</v>
      </c>
      <c r="ABR13" s="9" t="s">
        <v>1075</v>
      </c>
      <c r="ABS13" s="8">
        <v>20000.0</v>
      </c>
      <c r="ABT13" s="9"/>
      <c r="ABU13" s="8">
        <v>1.0</v>
      </c>
      <c r="ABV13" s="8">
        <v>100.0</v>
      </c>
      <c r="ABW13" s="9" t="s">
        <v>1199</v>
      </c>
      <c r="ABX13" s="9"/>
      <c r="ABY13" s="8">
        <v>650.0</v>
      </c>
      <c r="ABZ13" s="8">
        <v>1560000.0</v>
      </c>
      <c r="ACA13" s="8">
        <v>500.0</v>
      </c>
      <c r="ACB13" s="8">
        <v>950000.0</v>
      </c>
      <c r="ACC13" s="8">
        <v>6000.0</v>
      </c>
      <c r="ACD13" s="8">
        <v>7000.0</v>
      </c>
      <c r="ACE13" s="9" t="s">
        <v>857</v>
      </c>
      <c r="ACF13" s="9" t="s">
        <v>1183</v>
      </c>
      <c r="ACG13" s="9" t="s">
        <v>1183</v>
      </c>
      <c r="ACH13" s="9" t="s">
        <v>1183</v>
      </c>
      <c r="ACI13" s="9"/>
      <c r="ACJ13" s="9"/>
      <c r="ACK13" s="9" t="s">
        <v>969</v>
      </c>
      <c r="ACL13" s="8">
        <v>0.0</v>
      </c>
      <c r="ACM13" s="8">
        <v>0.0</v>
      </c>
      <c r="ACN13" s="8">
        <v>0.0</v>
      </c>
      <c r="ACO13" s="8">
        <v>0.0</v>
      </c>
      <c r="ACP13" s="8">
        <v>0.0</v>
      </c>
      <c r="ACQ13" s="8">
        <v>0.0</v>
      </c>
      <c r="ACR13" s="8">
        <v>1.0</v>
      </c>
      <c r="ACS13" s="9" t="s">
        <v>2234</v>
      </c>
      <c r="ACT13" s="9" t="s">
        <v>1945</v>
      </c>
      <c r="ACU13" s="9" t="s">
        <v>1050</v>
      </c>
      <c r="ACV13" s="9" t="s">
        <v>957</v>
      </c>
      <c r="ACW13" s="9" t="s">
        <v>1391</v>
      </c>
      <c r="ACX13" s="9" t="s">
        <v>916</v>
      </c>
      <c r="ACY13" s="9" t="s">
        <v>1035</v>
      </c>
      <c r="ACZ13" s="8">
        <v>1.0</v>
      </c>
      <c r="ADA13" s="8">
        <v>1.0</v>
      </c>
      <c r="ADB13" s="8">
        <v>0.0</v>
      </c>
      <c r="ADC13" s="8">
        <v>0.0</v>
      </c>
      <c r="ADD13" s="9" t="s">
        <v>1187</v>
      </c>
      <c r="ADE13" s="9" t="s">
        <v>1187</v>
      </c>
      <c r="ADF13" s="9" t="s">
        <v>1187</v>
      </c>
      <c r="ADG13" s="9" t="s">
        <v>1187</v>
      </c>
      <c r="ADH13" s="9" t="s">
        <v>881</v>
      </c>
      <c r="ADI13" s="9"/>
      <c r="ADJ13" s="9" t="s">
        <v>917</v>
      </c>
      <c r="ADK13" s="9"/>
      <c r="ADL13" s="9"/>
      <c r="ADM13" s="9"/>
      <c r="ADN13" s="9"/>
      <c r="ADO13" s="9"/>
      <c r="ADP13" s="9"/>
      <c r="ADQ13" s="9"/>
      <c r="ADR13" s="9"/>
      <c r="ADS13" s="9"/>
      <c r="ADT13" s="9"/>
      <c r="ADU13" s="9" t="s">
        <v>2235</v>
      </c>
      <c r="ADV13" s="8">
        <v>0.0</v>
      </c>
      <c r="ADW13" s="8">
        <v>0.0</v>
      </c>
      <c r="ADX13" s="8">
        <v>0.0</v>
      </c>
      <c r="ADY13" s="8">
        <v>0.0</v>
      </c>
      <c r="ADZ13" s="8">
        <v>0.0</v>
      </c>
      <c r="AEA13" s="8">
        <v>0.0</v>
      </c>
      <c r="AEB13" s="8">
        <v>1.0</v>
      </c>
      <c r="AEC13" s="8">
        <v>0.0</v>
      </c>
      <c r="AED13" s="9" t="s">
        <v>2235</v>
      </c>
      <c r="AEE13" s="9" t="s">
        <v>969</v>
      </c>
      <c r="AEF13" s="9" t="s">
        <v>2236</v>
      </c>
      <c r="AEG13" s="9" t="s">
        <v>969</v>
      </c>
      <c r="AEH13" s="9" t="s">
        <v>2236</v>
      </c>
      <c r="AEI13" s="9" t="s">
        <v>2237</v>
      </c>
      <c r="AEJ13" s="9" t="s">
        <v>871</v>
      </c>
      <c r="AEK13" s="9" t="s">
        <v>2238</v>
      </c>
      <c r="AEL13" s="8">
        <v>1.0</v>
      </c>
      <c r="AEM13" s="8">
        <v>1.0</v>
      </c>
      <c r="AEN13" s="8">
        <v>1.0</v>
      </c>
      <c r="AEO13" s="8">
        <v>1.0</v>
      </c>
      <c r="AEP13" s="8">
        <v>1.0</v>
      </c>
      <c r="AEQ13" s="8">
        <v>1.0</v>
      </c>
      <c r="AER13" s="8">
        <v>1.0</v>
      </c>
      <c r="AES13" s="8">
        <v>1.0</v>
      </c>
      <c r="AET13" s="8">
        <v>1.0</v>
      </c>
      <c r="AEU13" s="8">
        <v>0.0</v>
      </c>
      <c r="AEV13" s="8">
        <v>1.0</v>
      </c>
      <c r="AEW13" s="8">
        <v>0.0</v>
      </c>
      <c r="AEX13" s="9"/>
      <c r="AEY13" s="9" t="s">
        <v>1981</v>
      </c>
      <c r="AEZ13" s="9"/>
      <c r="AFA13" s="9" t="s">
        <v>2077</v>
      </c>
      <c r="AFB13" s="9"/>
      <c r="AFC13" s="9" t="s">
        <v>2239</v>
      </c>
      <c r="AFD13" s="16" t="s">
        <v>2240</v>
      </c>
      <c r="AFE13" s="9" t="s">
        <v>2241</v>
      </c>
      <c r="AFF13" s="16" t="s">
        <v>2242</v>
      </c>
      <c r="AFG13" s="9" t="s">
        <v>1986</v>
      </c>
      <c r="AFH13" s="9"/>
      <c r="AFI13" s="21" t="s">
        <v>2243</v>
      </c>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8">
        <v>6.68776785E8</v>
      </c>
      <c r="AWB13" s="9" t="s">
        <v>2244</v>
      </c>
      <c r="AWC13" s="6">
        <v>46064.0</v>
      </c>
      <c r="AWD13" s="9"/>
      <c r="AWE13" s="9"/>
      <c r="AWF13" s="9" t="s">
        <v>1954</v>
      </c>
      <c r="AWG13" s="9"/>
      <c r="AWH13" s="9" t="s">
        <v>1989</v>
      </c>
      <c r="AWI13" s="9"/>
      <c r="AWJ13" s="9" t="s">
        <v>2245</v>
      </c>
      <c r="AWK13" s="8">
        <v>184.0</v>
      </c>
      <c r="AWL13" s="9" t="s">
        <v>2229</v>
      </c>
      <c r="AWM13" s="8">
        <v>0.0</v>
      </c>
      <c r="AWN13" s="9" t="s">
        <v>1957</v>
      </c>
      <c r="AWO13" s="33" t="b">
        <v>1</v>
      </c>
      <c r="AWP13" s="33" t="b">
        <v>1</v>
      </c>
      <c r="AWQ13" s="33" t="b">
        <v>1</v>
      </c>
      <c r="AWR13" s="33" t="b">
        <v>1</v>
      </c>
      <c r="AWS13" s="33" t="b">
        <v>1</v>
      </c>
      <c r="AWT13" s="33" t="b">
        <v>1</v>
      </c>
      <c r="AWU13" s="9"/>
      <c r="AWV13" s="8">
        <v>9.0</v>
      </c>
      <c r="AWW13" s="9"/>
      <c r="AWX13" s="9"/>
      <c r="AWY13" s="9"/>
      <c r="AWZ13" s="9"/>
    </row>
    <row r="14">
      <c r="A14" s="6">
        <v>46048.0</v>
      </c>
      <c r="B14" s="6">
        <v>46069.0</v>
      </c>
      <c r="C14" s="30" t="s">
        <v>1958</v>
      </c>
      <c r="D14" s="30" t="s">
        <v>2246</v>
      </c>
      <c r="E14" s="8">
        <f t="shared" si="1"/>
        <v>620</v>
      </c>
      <c r="F14" s="9" t="s">
        <v>2247</v>
      </c>
      <c r="G14" s="8">
        <v>-5.569439</v>
      </c>
      <c r="H14" s="8">
        <v>119.449975</v>
      </c>
      <c r="I14" s="8">
        <v>78.82989297</v>
      </c>
      <c r="J14" s="8">
        <v>4.881999969</v>
      </c>
      <c r="K14" s="8">
        <v>0.0</v>
      </c>
      <c r="L14" s="9" t="s">
        <v>2248</v>
      </c>
      <c r="M14" s="8">
        <v>-5.569507</v>
      </c>
      <c r="N14" s="8">
        <v>119.450173</v>
      </c>
      <c r="O14" s="8">
        <v>79.03581394</v>
      </c>
      <c r="P14" s="8">
        <v>6.396999836</v>
      </c>
      <c r="Q14" s="8">
        <v>0.0</v>
      </c>
      <c r="R14" s="9" t="s">
        <v>1923</v>
      </c>
      <c r="S14" s="8">
        <v>0.0</v>
      </c>
      <c r="T14" s="8">
        <v>0.0</v>
      </c>
      <c r="U14" s="8">
        <v>0.0</v>
      </c>
      <c r="V14" s="8">
        <v>0.0</v>
      </c>
      <c r="W14" s="8">
        <v>0.0</v>
      </c>
      <c r="X14" s="8">
        <v>0.0</v>
      </c>
      <c r="Y14" s="8">
        <v>0.0</v>
      </c>
      <c r="Z14" s="8">
        <v>0.0</v>
      </c>
      <c r="AA14" s="8">
        <v>0.0</v>
      </c>
      <c r="AB14" s="8">
        <v>1.0</v>
      </c>
      <c r="AC14" s="7" t="s">
        <v>2113</v>
      </c>
      <c r="AD14" s="7" t="s">
        <v>2249</v>
      </c>
      <c r="AE14" s="7" t="s">
        <v>2114</v>
      </c>
      <c r="AF14" s="9" t="s">
        <v>2170</v>
      </c>
      <c r="AG14" s="9" t="s">
        <v>2250</v>
      </c>
      <c r="AH14" s="8">
        <v>5.0</v>
      </c>
      <c r="AI14" s="9" t="s">
        <v>845</v>
      </c>
      <c r="AJ14" s="9" t="s">
        <v>846</v>
      </c>
      <c r="AK14" s="8">
        <v>40.0</v>
      </c>
      <c r="AL14" s="9" t="s">
        <v>847</v>
      </c>
      <c r="AM14" s="9" t="s">
        <v>848</v>
      </c>
      <c r="AN14" s="9" t="s">
        <v>849</v>
      </c>
      <c r="AO14" s="9" t="s">
        <v>850</v>
      </c>
      <c r="AP14" s="8">
        <v>1.0</v>
      </c>
      <c r="AQ14" s="8">
        <v>0.0</v>
      </c>
      <c r="AR14" s="8">
        <v>0.0</v>
      </c>
      <c r="AS14" s="8">
        <v>0.0</v>
      </c>
      <c r="AT14" s="8">
        <v>0.0</v>
      </c>
      <c r="AU14" s="8">
        <v>0.0</v>
      </c>
      <c r="AV14" s="8">
        <v>0.0</v>
      </c>
      <c r="AW14" s="8">
        <v>0.0</v>
      </c>
      <c r="AX14" s="9"/>
      <c r="AY14" s="9" t="s">
        <v>969</v>
      </c>
      <c r="AZ14" s="8">
        <v>0.0</v>
      </c>
      <c r="BA14" s="8">
        <v>0.0</v>
      </c>
      <c r="BB14" s="8">
        <v>0.0</v>
      </c>
      <c r="BC14" s="8">
        <v>0.0</v>
      </c>
      <c r="BD14" s="8">
        <v>0.0</v>
      </c>
      <c r="BE14" s="8">
        <v>0.0</v>
      </c>
      <c r="BF14" s="8">
        <v>1.0</v>
      </c>
      <c r="BG14" s="8">
        <v>0.0</v>
      </c>
      <c r="BH14" s="11" t="s">
        <v>2251</v>
      </c>
      <c r="BI14" s="9" t="s">
        <v>852</v>
      </c>
      <c r="BJ14" s="8">
        <v>1.0</v>
      </c>
      <c r="BK14" s="8">
        <v>2.0</v>
      </c>
      <c r="BL14" s="8">
        <v>0.0</v>
      </c>
      <c r="BM14" s="8">
        <v>0.0</v>
      </c>
      <c r="BN14" s="9" t="s">
        <v>853</v>
      </c>
      <c r="BO14" s="9" t="s">
        <v>2064</v>
      </c>
      <c r="BP14" s="8">
        <v>0.0</v>
      </c>
      <c r="BQ14" s="8">
        <v>0.0</v>
      </c>
      <c r="BR14" s="8">
        <v>1.0</v>
      </c>
      <c r="BS14" s="8">
        <v>0.0</v>
      </c>
      <c r="BT14" s="8">
        <v>0.0</v>
      </c>
      <c r="BU14" s="9"/>
      <c r="BV14" s="9" t="s">
        <v>2065</v>
      </c>
      <c r="BW14" s="8">
        <v>1.0</v>
      </c>
      <c r="BX14" s="8">
        <v>0.0</v>
      </c>
      <c r="BY14" s="8">
        <v>0.0</v>
      </c>
      <c r="BZ14" s="8">
        <v>0.0</v>
      </c>
      <c r="CA14" s="8">
        <v>0.0</v>
      </c>
      <c r="CB14" s="9"/>
      <c r="CC14" s="9" t="s">
        <v>1929</v>
      </c>
      <c r="CD14" s="8">
        <v>0.0</v>
      </c>
      <c r="CE14" s="8">
        <v>0.0</v>
      </c>
      <c r="CF14" s="8">
        <v>0.0</v>
      </c>
      <c r="CG14" s="8">
        <v>0.0</v>
      </c>
      <c r="CH14" s="8">
        <v>1.0</v>
      </c>
      <c r="CI14" s="8">
        <v>0.0</v>
      </c>
      <c r="CJ14" s="8">
        <v>0.0</v>
      </c>
      <c r="CK14" s="9"/>
      <c r="CL14" s="9" t="s">
        <v>857</v>
      </c>
      <c r="CM14" s="8">
        <v>2021.0</v>
      </c>
      <c r="CN14" s="9" t="s">
        <v>858</v>
      </c>
      <c r="CO14" s="9" t="s">
        <v>1968</v>
      </c>
      <c r="CP14" s="9" t="s">
        <v>860</v>
      </c>
      <c r="CQ14" s="8">
        <v>0.0</v>
      </c>
      <c r="CR14" s="8">
        <v>0.0</v>
      </c>
      <c r="CS14" s="8">
        <v>0.0</v>
      </c>
      <c r="CT14" s="8">
        <v>0.0</v>
      </c>
      <c r="CU14" s="8">
        <v>1.0</v>
      </c>
      <c r="CV14" s="8">
        <v>0.0</v>
      </c>
      <c r="CW14" s="8">
        <v>0.0</v>
      </c>
      <c r="CX14" s="8">
        <v>0.0</v>
      </c>
      <c r="CY14" s="9" t="s">
        <v>1060</v>
      </c>
      <c r="CZ14" s="8">
        <v>1.0</v>
      </c>
      <c r="DA14" s="8">
        <v>1.0</v>
      </c>
      <c r="DB14" s="8">
        <v>0.0</v>
      </c>
      <c r="DC14" s="9"/>
      <c r="DD14" s="9" t="s">
        <v>860</v>
      </c>
      <c r="DE14" s="8">
        <v>1.0</v>
      </c>
      <c r="DF14" s="8">
        <v>0.0</v>
      </c>
      <c r="DG14" s="8">
        <v>0.0</v>
      </c>
      <c r="DH14" s="8">
        <v>0.0</v>
      </c>
      <c r="DI14" s="9"/>
      <c r="DJ14" s="9" t="s">
        <v>937</v>
      </c>
      <c r="DK14" s="8">
        <v>1.0</v>
      </c>
      <c r="DL14" s="8">
        <v>0.0</v>
      </c>
      <c r="DM14" s="8">
        <v>1.0</v>
      </c>
      <c r="DN14" s="8">
        <v>0.0</v>
      </c>
      <c r="DO14" s="9"/>
      <c r="DP14" s="9" t="s">
        <v>857</v>
      </c>
      <c r="DQ14" s="9"/>
      <c r="DR14" s="9"/>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1403</v>
      </c>
      <c r="EQ14" s="9" t="s">
        <v>864</v>
      </c>
      <c r="ER14" s="9" t="s">
        <v>1046</v>
      </c>
      <c r="ES14" s="8">
        <v>1.0</v>
      </c>
      <c r="ET14" s="8">
        <v>1.0</v>
      </c>
      <c r="EU14" s="8">
        <v>0.0</v>
      </c>
      <c r="EV14" s="8">
        <v>0.0</v>
      </c>
      <c r="EW14" s="9"/>
      <c r="EX14" s="9" t="s">
        <v>865</v>
      </c>
      <c r="EY14" s="8">
        <v>1.0</v>
      </c>
      <c r="EZ14" s="8">
        <v>0.0</v>
      </c>
      <c r="FA14" s="8">
        <v>0.0</v>
      </c>
      <c r="FB14" s="9"/>
      <c r="FC14" s="9" t="s">
        <v>1028</v>
      </c>
      <c r="FD14" s="9"/>
      <c r="FE14" s="9" t="s">
        <v>867</v>
      </c>
      <c r="FF14" s="9" t="s">
        <v>868</v>
      </c>
      <c r="FG14" s="9" t="s">
        <v>867</v>
      </c>
      <c r="FH14" s="9" t="s">
        <v>869</v>
      </c>
      <c r="FI14" s="9" t="s">
        <v>867</v>
      </c>
      <c r="FJ14" s="9" t="s">
        <v>868</v>
      </c>
      <c r="FK14" s="9" t="s">
        <v>867</v>
      </c>
      <c r="FL14" s="9" t="s">
        <v>870</v>
      </c>
      <c r="FM14" s="9" t="s">
        <v>867</v>
      </c>
      <c r="FN14" s="9" t="s">
        <v>869</v>
      </c>
      <c r="FO14" s="9" t="s">
        <v>867</v>
      </c>
      <c r="FP14" s="9" t="s">
        <v>868</v>
      </c>
      <c r="FQ14" s="9" t="s">
        <v>867</v>
      </c>
      <c r="FR14" s="9" t="s">
        <v>857</v>
      </c>
      <c r="FS14" s="9" t="s">
        <v>867</v>
      </c>
      <c r="FT14" s="9" t="s">
        <v>2173</v>
      </c>
      <c r="FU14" s="9" t="s">
        <v>989</v>
      </c>
      <c r="FV14" s="8">
        <v>1.0</v>
      </c>
      <c r="FW14" s="8">
        <v>1.0</v>
      </c>
      <c r="FX14" s="8">
        <v>0.0</v>
      </c>
      <c r="FY14" s="8">
        <v>0.0</v>
      </c>
      <c r="FZ14" s="9" t="s">
        <v>873</v>
      </c>
      <c r="GA14" s="9" t="s">
        <v>2068</v>
      </c>
      <c r="GB14" s="8">
        <v>1.0</v>
      </c>
      <c r="GC14" s="8">
        <v>0.0</v>
      </c>
      <c r="GD14" s="8">
        <v>0.0</v>
      </c>
      <c r="GE14" s="8">
        <v>1.0</v>
      </c>
      <c r="GF14" s="9" t="s">
        <v>1970</v>
      </c>
      <c r="GG14" s="9" t="s">
        <v>961</v>
      </c>
      <c r="GH14" s="9" t="s">
        <v>857</v>
      </c>
      <c r="GI14" s="9" t="s">
        <v>1086</v>
      </c>
      <c r="GJ14" s="8">
        <v>1.0</v>
      </c>
      <c r="GK14" s="8">
        <v>1.0</v>
      </c>
      <c r="GL14" s="8">
        <v>0.0</v>
      </c>
      <c r="GM14" s="8">
        <v>0.0</v>
      </c>
      <c r="GN14" s="9"/>
      <c r="GO14" s="8">
        <v>9.0</v>
      </c>
      <c r="GP14" s="9" t="s">
        <v>1931</v>
      </c>
      <c r="GQ14" s="9" t="s">
        <v>1102</v>
      </c>
      <c r="GR14" s="8">
        <v>1.0</v>
      </c>
      <c r="GS14" s="8">
        <v>0.0</v>
      </c>
      <c r="GT14" s="8">
        <v>0.0</v>
      </c>
      <c r="GU14" s="8">
        <v>0.0</v>
      </c>
      <c r="GV14" s="8">
        <v>0.0</v>
      </c>
      <c r="GW14" s="8">
        <v>0.0</v>
      </c>
      <c r="GX14" s="8">
        <v>0.0</v>
      </c>
      <c r="GY14" s="9"/>
      <c r="GZ14" s="9" t="s">
        <v>857</v>
      </c>
      <c r="HA14" s="9"/>
      <c r="HB14" s="9"/>
      <c r="HC14" s="9"/>
      <c r="HD14" s="9"/>
      <c r="HE14" s="8">
        <v>12.0</v>
      </c>
      <c r="HF14" s="8">
        <v>80000.0</v>
      </c>
      <c r="HG14" s="8">
        <v>1.0</v>
      </c>
      <c r="HH14" s="8">
        <v>9334.0</v>
      </c>
      <c r="HI14" s="9"/>
      <c r="HJ14" s="9"/>
      <c r="HK14" s="9"/>
      <c r="HL14" s="9"/>
      <c r="HM14" s="9"/>
      <c r="HN14" s="9"/>
      <c r="HO14" s="9"/>
      <c r="HP14" s="9"/>
      <c r="HQ14" s="9"/>
      <c r="HR14" s="9"/>
      <c r="HS14" s="9"/>
      <c r="HT14" s="9"/>
      <c r="HU14" s="9"/>
      <c r="HV14" s="9"/>
      <c r="HW14" s="9"/>
      <c r="HX14" s="9"/>
      <c r="HY14" s="9"/>
      <c r="HZ14" s="9"/>
      <c r="IA14" s="8">
        <v>11.0</v>
      </c>
      <c r="IB14" s="8">
        <v>70666.0</v>
      </c>
      <c r="IC14" s="9"/>
      <c r="ID14" s="9"/>
      <c r="IE14" s="9"/>
      <c r="IF14" s="9"/>
      <c r="IG14" s="9"/>
      <c r="IH14" s="9"/>
      <c r="II14" s="9"/>
      <c r="IJ14" s="9"/>
      <c r="IK14" s="9" t="s">
        <v>1932</v>
      </c>
      <c r="IL14" s="9" t="s">
        <v>880</v>
      </c>
      <c r="IM14" s="9" t="s">
        <v>857</v>
      </c>
      <c r="IN14" s="9" t="s">
        <v>881</v>
      </c>
      <c r="IO14" s="9" t="s">
        <v>1206</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945</v>
      </c>
      <c r="KT14" s="9" t="s">
        <v>886</v>
      </c>
      <c r="KU14" s="9" t="s">
        <v>886</v>
      </c>
      <c r="KV14" s="9" t="s">
        <v>999</v>
      </c>
      <c r="KW14" s="8">
        <v>0.0</v>
      </c>
      <c r="KX14" s="8">
        <v>0.0</v>
      </c>
      <c r="KY14" s="8">
        <v>0.0</v>
      </c>
      <c r="KZ14" s="8">
        <v>1.0</v>
      </c>
      <c r="LA14" s="9" t="s">
        <v>945</v>
      </c>
      <c r="LB14" s="9" t="s">
        <v>1180</v>
      </c>
      <c r="LC14" s="8">
        <v>11.0</v>
      </c>
      <c r="LD14" s="8">
        <v>0.0</v>
      </c>
      <c r="LE14" s="8">
        <v>0.0</v>
      </c>
      <c r="LF14" s="8">
        <v>8.0</v>
      </c>
      <c r="LG14" s="9" t="s">
        <v>857</v>
      </c>
      <c r="LH14" s="8">
        <v>70666.0</v>
      </c>
      <c r="LI14" s="9"/>
      <c r="LJ14" s="9" t="s">
        <v>887</v>
      </c>
      <c r="LK14" s="8">
        <v>0.0</v>
      </c>
      <c r="LL14" s="8">
        <v>0.0</v>
      </c>
      <c r="LM14" s="8">
        <v>0.0</v>
      </c>
      <c r="LN14" s="8">
        <v>0.0</v>
      </c>
      <c r="LO14" s="8">
        <v>1.0</v>
      </c>
      <c r="LP14" s="8">
        <v>0.0</v>
      </c>
      <c r="LQ14" s="8">
        <v>0.0</v>
      </c>
      <c r="LR14" s="11"/>
      <c r="LS14" s="8">
        <v>10.0</v>
      </c>
      <c r="LT14" s="8">
        <v>10.0</v>
      </c>
      <c r="LU14" s="8">
        <v>0.0</v>
      </c>
      <c r="LV14" s="8">
        <v>1.0</v>
      </c>
      <c r="LW14" s="8">
        <v>1.0</v>
      </c>
      <c r="LX14" s="8">
        <v>0.0</v>
      </c>
      <c r="LY14" s="8">
        <v>5.0</v>
      </c>
      <c r="LZ14" s="8">
        <v>10.0</v>
      </c>
      <c r="MA14" s="8">
        <v>0.0</v>
      </c>
      <c r="MB14" s="9" t="s">
        <v>881</v>
      </c>
      <c r="MC14" s="8">
        <v>0.0</v>
      </c>
      <c r="MD14" s="8">
        <v>0.0</v>
      </c>
      <c r="ME14" s="8">
        <v>0.0</v>
      </c>
      <c r="MF14" s="8">
        <v>0.0</v>
      </c>
      <c r="MG14" s="8">
        <v>0.0</v>
      </c>
      <c r="MH14" s="8">
        <v>0.0</v>
      </c>
      <c r="MI14" s="9"/>
      <c r="MJ14" s="9"/>
      <c r="MK14" s="9"/>
      <c r="ML14" s="9"/>
      <c r="MM14" s="9"/>
      <c r="MN14" s="9"/>
      <c r="MO14" s="9"/>
      <c r="MP14" s="9"/>
      <c r="MQ14" s="9"/>
      <c r="MR14" s="17" t="s">
        <v>2035</v>
      </c>
      <c r="MS14" s="9"/>
      <c r="MT14" s="9" t="s">
        <v>2035</v>
      </c>
      <c r="MU14" s="9" t="s">
        <v>881</v>
      </c>
      <c r="MV14" s="9"/>
      <c r="MW14" s="9"/>
      <c r="MX14" s="9"/>
      <c r="MY14" s="9"/>
      <c r="MZ14" s="9"/>
      <c r="NA14" s="9"/>
      <c r="NB14" s="9"/>
      <c r="NC14" s="9"/>
      <c r="ND14" s="9"/>
      <c r="NE14" s="9"/>
      <c r="NF14" s="9"/>
      <c r="NG14" s="9"/>
      <c r="NH14" s="9"/>
      <c r="NI14" s="9"/>
      <c r="NJ14" s="9"/>
      <c r="NK14" s="9"/>
      <c r="NL14" s="9" t="s">
        <v>881</v>
      </c>
      <c r="NM14" s="9" t="s">
        <v>1386</v>
      </c>
      <c r="NN14" s="17" t="s">
        <v>1975</v>
      </c>
      <c r="NO14" s="17" t="s">
        <v>969</v>
      </c>
      <c r="NP14" s="9" t="s">
        <v>2121</v>
      </c>
      <c r="NQ14" s="9"/>
      <c r="NR14" s="9"/>
      <c r="NS14" s="9"/>
      <c r="NT14" s="9"/>
      <c r="NU14" s="9"/>
      <c r="NV14" s="9"/>
      <c r="NW14" s="9"/>
      <c r="NX14" s="9" t="s">
        <v>897</v>
      </c>
      <c r="NY14" s="8">
        <v>180.0</v>
      </c>
      <c r="NZ14" s="8">
        <v>0.0</v>
      </c>
      <c r="OA14" s="8">
        <v>0.0</v>
      </c>
      <c r="OB14" s="8">
        <v>30.0</v>
      </c>
      <c r="OC14" s="8">
        <v>25.0</v>
      </c>
      <c r="OD14" s="8">
        <v>0.0</v>
      </c>
      <c r="OE14" s="9" t="s">
        <v>1180</v>
      </c>
      <c r="OF14" s="9" t="s">
        <v>1184</v>
      </c>
      <c r="OG14" s="9" t="s">
        <v>857</v>
      </c>
      <c r="OH14" s="8">
        <v>12.0</v>
      </c>
      <c r="OI14" s="8">
        <v>0.0</v>
      </c>
      <c r="OJ14" s="8">
        <v>0.0</v>
      </c>
      <c r="OK14" s="8">
        <v>0.0</v>
      </c>
      <c r="OL14" s="8">
        <v>0.0</v>
      </c>
      <c r="OM14" s="8">
        <v>0.0</v>
      </c>
      <c r="ON14" s="8">
        <v>15.0</v>
      </c>
      <c r="OO14" s="8">
        <v>3.0</v>
      </c>
      <c r="OP14" s="9" t="str">
        <f>VLOOKUP(AG14,'BUS 2'!$G$1:$CU$424,2,0)</f>
        <v>Sapi pedaging Kambing</v>
      </c>
      <c r="OQ14" s="8">
        <f>VLOOKUP(AG14,'BUS 2'!$G$1:$CU$424,3,0)</f>
        <v>1</v>
      </c>
      <c r="OR14" s="8">
        <f>VLOOKUP(AG14,'BUS 2'!$G$1:$CU$424,4,0)</f>
        <v>0</v>
      </c>
      <c r="OS14" s="8">
        <f>VLOOKUP(AG14,'BUS 2'!$G$1:$CU$424,5,0)</f>
        <v>0</v>
      </c>
      <c r="OT14" s="8">
        <f>VLOOKUP(AG14,'BUS 2'!$G$1:$CU$424,6,0)</f>
        <v>0</v>
      </c>
      <c r="OU14" s="8">
        <f>VLOOKUP(AG14,'BUS 2'!$G$1:$CU$424,7,0)</f>
        <v>0</v>
      </c>
      <c r="OV14" s="8">
        <f>VLOOKUP(AG14,'BUS 2'!$G$1:$CU$424,8,0)</f>
        <v>1</v>
      </c>
      <c r="OW14" s="8">
        <f>VLOOKUP(AG14,'BUS 2'!$G$1:$CU$424,9,0)</f>
        <v>0</v>
      </c>
      <c r="OX14" s="8">
        <f>VLOOKUP(AG14,'BUS 2'!$G$1:$CU$424,10,0)</f>
        <v>0</v>
      </c>
      <c r="OY14" s="8">
        <f>VLOOKUP(AG14,'BUS 2'!$G$1:$CU$424,11,0)</f>
        <v>0</v>
      </c>
      <c r="OZ14" s="8" t="str">
        <f>VLOOKUP(AG14,'BUS 2'!$G$1:$CU$424,12,0)</f>
        <v>Sapi pedaging Ayam Unggas lainnya</v>
      </c>
      <c r="PA14" s="8">
        <f>VLOOKUP(AG14,'BUS 2'!$G$1:$CU$424,13,0)</f>
        <v>1</v>
      </c>
      <c r="PB14" s="8">
        <f>VLOOKUP(AG14,'BUS 2'!$G$1:$CU$424,14,0)</f>
        <v>0</v>
      </c>
      <c r="PC14" s="8">
        <f>VLOOKUP(AG14,'BUS 2'!$G$1:$CU$424,15,0)</f>
        <v>0</v>
      </c>
      <c r="PD14" s="8">
        <f>VLOOKUP(AG14,'BUS 2'!$G$1:$CU$424,16,0)</f>
        <v>0</v>
      </c>
      <c r="PE14" s="8">
        <f>VLOOKUP(AG14,'BUS 2'!$G$1:$CU$424,17,0)</f>
        <v>0</v>
      </c>
      <c r="PF14" s="8">
        <f>VLOOKUP(AG14,'BUS 2'!$G$1:$CU$424,18,0)</f>
        <v>0</v>
      </c>
      <c r="PG14" s="8">
        <f>VLOOKUP(AG14,'BUS 2'!$G$1:$CU$424,19,0)</f>
        <v>1</v>
      </c>
      <c r="PH14" s="8">
        <f>VLOOKUP(AG14,'BUS 2'!$G$1:$CU$424,20,0)</f>
        <v>1</v>
      </c>
      <c r="PI14" s="8">
        <f>VLOOKUP(AG14,'BUS 2'!$G$1:$CU$424,21,0)</f>
        <v>0</v>
      </c>
      <c r="PJ14" s="8" t="str">
        <f>VLOOKUP(AG14,'BUS 2'!$G$1:$CU$424,22,0)</f>
        <v>Sapi pedaging Ayam Unggas lainnya</v>
      </c>
      <c r="PK14" s="8">
        <f>VLOOKUP(AG14,'BUS 2'!$G$1:$CU$424,23,0)</f>
        <v>1</v>
      </c>
      <c r="PL14" s="8">
        <f>VLOOKUP(AG14,'BUS 2'!$G$1:$CU$424,24,0)</f>
        <v>0</v>
      </c>
      <c r="PM14" s="8">
        <f>VLOOKUP(AG14,'BUS 2'!$G$1:$CU$424,25,0)</f>
        <v>0</v>
      </c>
      <c r="PN14" s="8">
        <f>VLOOKUP(AG14,'BUS 2'!$G$1:$CU$424,26,0)</f>
        <v>0</v>
      </c>
      <c r="PO14" s="8">
        <f>VLOOKUP(AG14,'BUS 2'!$G$1:$CU$424,27,0)</f>
        <v>0</v>
      </c>
      <c r="PP14" s="8">
        <f>VLOOKUP(AG14,'BUS 2'!$G$1:$CU$424,28,0)</f>
        <v>0</v>
      </c>
      <c r="PQ14" s="8">
        <f>VLOOKUP(AG14,'BUS 2'!$G$1:$CU$424,29,0)</f>
        <v>1</v>
      </c>
      <c r="PR14" s="8">
        <f>VLOOKUP(AG14,'BUS 2'!$G$1:$CU$424,30,0)</f>
        <v>1</v>
      </c>
      <c r="PS14" s="8">
        <f>VLOOKUP(AG14,'BUS 2'!$G$1:$CU$424,31,0)</f>
        <v>0</v>
      </c>
      <c r="PT14" s="9" t="s">
        <v>2070</v>
      </c>
      <c r="PU14" s="8">
        <v>0.0</v>
      </c>
      <c r="PV14" s="8">
        <v>0.0</v>
      </c>
      <c r="PW14" s="8">
        <v>0.0</v>
      </c>
      <c r="PX14" s="8">
        <v>0.0</v>
      </c>
      <c r="PY14" s="8">
        <v>0.0</v>
      </c>
      <c r="PZ14" s="8">
        <v>0.0</v>
      </c>
      <c r="QA14" s="8">
        <v>0.0</v>
      </c>
      <c r="QB14" s="8">
        <v>0.0</v>
      </c>
      <c r="QC14" s="8">
        <v>1.0</v>
      </c>
      <c r="QD14" s="21" t="s">
        <v>2071</v>
      </c>
      <c r="QE14" s="32"/>
      <c r="QF14" s="31"/>
      <c r="QG14" s="31"/>
      <c r="QH14" s="31"/>
      <c r="QI14" s="31"/>
      <c r="QJ14" s="31"/>
      <c r="QK14" s="32"/>
      <c r="QL14" s="32"/>
      <c r="QM14" s="32"/>
      <c r="QN14" s="32"/>
      <c r="QO14" s="32"/>
      <c r="QP14" s="32"/>
      <c r="QQ14" s="32"/>
      <c r="QR14" s="32"/>
      <c r="QS14" s="32"/>
      <c r="QT14" s="32"/>
      <c r="QU14" s="32"/>
      <c r="QV14" s="32"/>
      <c r="QW14" s="31"/>
      <c r="QX14" s="31"/>
      <c r="QY14" s="31"/>
      <c r="QZ14" s="31"/>
      <c r="RA14" s="31"/>
      <c r="RB14" s="32"/>
      <c r="RC14" s="32"/>
      <c r="RD14" s="32"/>
      <c r="RE14" s="32"/>
      <c r="RF14" s="32"/>
      <c r="RG14" s="9"/>
      <c r="RH14" s="31"/>
      <c r="RI14" s="31"/>
      <c r="RJ14" s="31"/>
      <c r="RK14" s="31"/>
      <c r="RL14" s="31"/>
      <c r="RM14" s="9"/>
      <c r="RN14" s="9"/>
      <c r="RO14" s="9"/>
      <c r="RP14" s="9"/>
      <c r="RQ14" s="9"/>
      <c r="RR14" s="9" t="s">
        <v>900</v>
      </c>
      <c r="RS14" s="35">
        <v>0.0</v>
      </c>
      <c r="RT14" s="35">
        <v>0.0</v>
      </c>
      <c r="RU14" s="35">
        <v>0.0</v>
      </c>
      <c r="RV14" s="35">
        <v>0.0</v>
      </c>
      <c r="RW14" s="35">
        <v>0.0</v>
      </c>
      <c r="RX14" s="8">
        <v>1.0</v>
      </c>
      <c r="RY14" s="8">
        <v>0.0</v>
      </c>
      <c r="RZ14" s="8">
        <v>0.0</v>
      </c>
      <c r="SA14" s="8">
        <v>0.0</v>
      </c>
      <c r="SB14" s="9"/>
      <c r="SC14" s="9"/>
      <c r="SD14" s="31"/>
      <c r="SE14" s="31"/>
      <c r="SF14" s="31"/>
      <c r="SG14" s="31"/>
      <c r="SH14" s="31"/>
      <c r="SI14" s="9"/>
      <c r="SJ14" s="9"/>
      <c r="SK14" s="9"/>
      <c r="SL14" s="9"/>
      <c r="SM14" s="9"/>
      <c r="SN14" s="9"/>
      <c r="SO14" s="31"/>
      <c r="SP14" s="31"/>
      <c r="SQ14" s="31"/>
      <c r="SR14" s="31"/>
      <c r="SS14" s="31"/>
      <c r="ST14" s="9"/>
      <c r="SU14" s="9"/>
      <c r="SV14" s="9"/>
      <c r="SW14" s="9"/>
      <c r="SX14" s="9"/>
      <c r="SY14" s="8">
        <f>VLOOKUP(AG14,'BUS 2'!$G$1:$CU$424,33,0)</f>
        <v>6</v>
      </c>
      <c r="SZ14" s="9" t="str">
        <f>VLOOKUP(AG14,'BUS 2'!$G$1:$CU$424,34,0)</f>
        <v/>
      </c>
      <c r="TA14" s="9" t="str">
        <f>VLOOKUP(AG14,'BUS 2'!$G$1:$CU$424,35,0)</f>
        <v/>
      </c>
      <c r="TB14" s="9" t="str">
        <f>VLOOKUP(AG14,'BUS 2'!$G$1:$CU$424,36,0)</f>
        <v/>
      </c>
      <c r="TC14" s="9" t="str">
        <f>VLOOKUP(AG14,'BUS 2'!$G$1:$CU$424,37,0)</f>
        <v/>
      </c>
      <c r="TD14" s="9">
        <f>VLOOKUP(AG14,'BUS 2'!$G$1:$CU$424,38,0)</f>
        <v>6</v>
      </c>
      <c r="TE14" s="9" t="str">
        <f>VLOOKUP(AG14,'BUS 2'!$G$1:$CU$424,39,0)</f>
        <v/>
      </c>
      <c r="TF14" s="9" t="str">
        <f>VLOOKUP(AG14,'BUS 2'!$G$1:$CU$424,40,0)</f>
        <v/>
      </c>
      <c r="TG14" s="8">
        <f>VLOOKUP(AG14,'BUS 2'!$G$1:$CU$424,42,0)</f>
        <v>12</v>
      </c>
      <c r="TH14" s="8" t="str">
        <f>VLOOKUP(AG14,'BUS 2'!$G$1:$CU$424,43,0)</f>
        <v/>
      </c>
      <c r="TI14" s="8" t="str">
        <f>VLOOKUP(AG14,'BUS 2'!$G$1:$CU$424,44,0)</f>
        <v/>
      </c>
      <c r="TJ14" s="8" t="str">
        <f>VLOOKUP(AG14,'BUS 2'!$G$1:$CU$424,45,0)</f>
        <v/>
      </c>
      <c r="TK14" s="8" t="str">
        <f>VLOOKUP(AG14,'BUS 2'!$G$1:$CU$424,46,0)</f>
        <v/>
      </c>
      <c r="TL14" s="8" t="str">
        <f>VLOOKUP(AG14,'BUS 2'!$G$1:$CU$424,47,0)</f>
        <v/>
      </c>
      <c r="TM14" s="8">
        <f>VLOOKUP(AG14,'BUS 2'!$G$1:$CU$424,48,0)</f>
        <v>15</v>
      </c>
      <c r="TN14" s="8">
        <f>VLOOKUP(AG14,'BUS 2'!$G$1:$CU$424,49,0)</f>
        <v>3</v>
      </c>
      <c r="TO14" s="8">
        <f>VLOOKUP(AG14,'BUS 2'!$G$1:$CU$424,50,0)</f>
        <v>0</v>
      </c>
      <c r="TP14" s="8">
        <f>VLOOKUP(AG14,'BUS 2'!$G$1:$CU$424,51,0)</f>
        <v>0</v>
      </c>
      <c r="TQ14" s="8">
        <f>VLOOKUP(AG14,'BUS 2'!$G$1:$CU$424,52,0)</f>
        <v>0</v>
      </c>
      <c r="TR14" s="8">
        <f>VLOOKUP(AG14,'BUS 2'!$G$1:$CU$424,53,0)</f>
        <v>0</v>
      </c>
      <c r="TS14" s="9" t="str">
        <f>VLOOKUP(AG14,'BUS 2'!$G$1:$CU$424,54,0)</f>
        <v/>
      </c>
      <c r="TT14" s="9" t="str">
        <f>VLOOKUP(AG14,'BUS 2'!$G$1:$CU$424,55,0)</f>
        <v/>
      </c>
      <c r="TU14" s="9" t="str">
        <f>VLOOKUP(AG14,'BUS 2'!$G$1:$CU$424,56,0)</f>
        <v/>
      </c>
      <c r="TV14" s="9" t="str">
        <f>VLOOKUP(AG14,'BUS 2'!$G$1:$CU$424,57,0)</f>
        <v/>
      </c>
      <c r="TW14" s="9" t="str">
        <f>VLOOKUP(AG14,'BUS 2'!$G$1:$CU$424,58,0)</f>
        <v/>
      </c>
      <c r="TX14" s="9" t="str">
        <f>VLOOKUP(AG14,'BUS 2'!$G$1:$CU$424,59,0)</f>
        <v/>
      </c>
      <c r="TY14" s="9" t="str">
        <f>VLOOKUP(AG14,'BUS 2'!$G$1:$CU$424,60,0)</f>
        <v/>
      </c>
      <c r="TZ14" s="9" t="str">
        <f>VLOOKUP(AG14,'BUS 2'!$G$1:$CU$424,61,0)</f>
        <v/>
      </c>
      <c r="UA14" s="9" t="str">
        <f>VLOOKUP(AG14,'BUS 2'!$G$1:$CU$424,62,0)</f>
        <v/>
      </c>
      <c r="UB14" s="9" t="str">
        <f>VLOOKUP(AG14,'BUS 2'!$G$1:$CU$424,63,0)</f>
        <v/>
      </c>
      <c r="UC14" s="9" t="str">
        <f>VLOOKUP(AG14,'BUS 2'!$G$1:$CU$424,64,0)</f>
        <v/>
      </c>
      <c r="UD14" s="9" t="str">
        <f>VLOOKUP(AG14,'BUS 2'!$G$1:$CU$424,65,0)</f>
        <v/>
      </c>
      <c r="UE14" s="9" t="str">
        <f>VLOOKUP(AG14,'BUS 2'!$G$1:$CU$424,66,0)</f>
        <v/>
      </c>
      <c r="UF14" s="9" t="str">
        <f>VLOOKUP(AG14,'BUS 2'!$G$1:$CU$424,67,0)</f>
        <v/>
      </c>
      <c r="UG14" s="9" t="str">
        <f>VLOOKUP(AG14,'BUS 2'!$G$1:$CU$424,68,0)</f>
        <v/>
      </c>
      <c r="UH14" s="9" t="str">
        <f>VLOOKUP(AG14,'BUS 2'!$G$1:$CU$424,69,0)</f>
        <v/>
      </c>
      <c r="UI14" s="9" t="str">
        <f>VLOOKUP(AG14,'BUS 2'!$G$1:$CU$424,70,0)</f>
        <v/>
      </c>
      <c r="UJ14" s="9" t="str">
        <f>VLOOKUP(AG14,'BUS 2'!$G$1:$CU$424,71,0)</f>
        <v/>
      </c>
      <c r="UK14" s="9" t="str">
        <f>VLOOKUP(AG14,'BUS 2'!$G$1:$CU$424,72,0)</f>
        <v/>
      </c>
      <c r="UL14" s="9" t="str">
        <f>VLOOKUP(AG14,'BUS 2'!$G$1:$CU$424,73,0)</f>
        <v/>
      </c>
      <c r="UM14" s="9">
        <f>VLOOKUP(AG14,'BUS 2'!$G$1:$CU$424,74,0)</f>
        <v>0</v>
      </c>
      <c r="UN14" s="9">
        <f>VLOOKUP(AG14,'BUS 2'!$G$1:$CU$424,75,0)</f>
        <v>0</v>
      </c>
      <c r="UO14" s="9">
        <f>VLOOKUP(AG14,'BUS 2'!$G$1:$CU$424,76,0)</f>
        <v>0</v>
      </c>
      <c r="UP14" s="9">
        <f>VLOOKUP(AG14,'BUS 2'!$G$1:$CU$424,77,0)</f>
        <v>0</v>
      </c>
      <c r="UQ14" s="9">
        <f>VLOOKUP(AG14,'BUS 2'!$G$1:$CU$424,78,0)</f>
        <v>0</v>
      </c>
      <c r="UR14" s="9">
        <f>VLOOKUP(AG14,'BUS 2'!$G$1:$CU$424,79,0)</f>
        <v>0</v>
      </c>
      <c r="US14" s="9">
        <f>VLOOKUP(AG14,'BUS 2'!$G$1:$CU$424,80,0)</f>
        <v>0</v>
      </c>
      <c r="UT14" s="9">
        <f>VLOOKUP(AG14,'BUS 2'!$G$1:$CU$424,81,0)</f>
        <v>0</v>
      </c>
      <c r="UU14" s="9" t="s">
        <v>1937</v>
      </c>
      <c r="UV14" s="9"/>
      <c r="UW14" s="9"/>
      <c r="UX14" s="9"/>
      <c r="UY14" s="9"/>
      <c r="UZ14" s="9"/>
      <c r="VA14" s="9" t="s">
        <v>1976</v>
      </c>
      <c r="VB14" s="9" t="s">
        <v>901</v>
      </c>
      <c r="VC14" s="9" t="s">
        <v>1938</v>
      </c>
      <c r="VD14" s="9"/>
      <c r="VE14" s="9"/>
      <c r="VF14" s="9"/>
      <c r="VG14" s="9"/>
      <c r="VH14" s="9"/>
      <c r="VI14" s="9" t="s">
        <v>1938</v>
      </c>
      <c r="VJ14" s="9" t="s">
        <v>1938</v>
      </c>
      <c r="VK14" s="9" t="s">
        <v>1158</v>
      </c>
      <c r="VL14" s="9"/>
      <c r="VM14" s="9"/>
      <c r="VN14" s="9"/>
      <c r="VO14" s="9"/>
      <c r="VP14" s="9"/>
      <c r="VQ14" s="9"/>
      <c r="VR14" s="9" t="s">
        <v>1158</v>
      </c>
      <c r="VS14" s="9" t="s">
        <v>951</v>
      </c>
      <c r="VT14" s="8">
        <v>0.0</v>
      </c>
      <c r="VU14" s="8">
        <v>0.0</v>
      </c>
      <c r="VV14" s="8">
        <v>0.0</v>
      </c>
      <c r="VW14" s="8">
        <v>0.0</v>
      </c>
      <c r="VX14" s="8">
        <v>0.0</v>
      </c>
      <c r="VY14" s="8">
        <v>0.0</v>
      </c>
      <c r="VZ14" s="8">
        <v>1.0</v>
      </c>
      <c r="WA14" s="8">
        <v>0.0</v>
      </c>
      <c r="WB14" s="8">
        <v>0.0</v>
      </c>
      <c r="WC14" s="8">
        <v>0.0</v>
      </c>
      <c r="WD14" s="8">
        <v>0.0</v>
      </c>
      <c r="WE14" s="8">
        <v>0.0</v>
      </c>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t="s">
        <v>1941</v>
      </c>
      <c r="YO14" s="8">
        <v>0.0</v>
      </c>
      <c r="YP14" s="8">
        <v>0.0</v>
      </c>
      <c r="YQ14" s="8">
        <v>0.0</v>
      </c>
      <c r="YR14" s="8">
        <v>0.0</v>
      </c>
      <c r="YS14" s="8">
        <v>0.0</v>
      </c>
      <c r="YT14" s="8">
        <v>0.0</v>
      </c>
      <c r="YU14" s="8">
        <v>0.0</v>
      </c>
      <c r="YV14" s="8">
        <v>0.0</v>
      </c>
      <c r="YW14" s="8">
        <v>0.0</v>
      </c>
      <c r="YX14" s="8">
        <v>0.0</v>
      </c>
      <c r="YY14" s="8">
        <v>0.0</v>
      </c>
      <c r="YZ14" s="8">
        <v>1.0</v>
      </c>
      <c r="ZA14" s="9" t="s">
        <v>1941</v>
      </c>
      <c r="ZB14" s="8">
        <v>0.0</v>
      </c>
      <c r="ZC14" s="8">
        <v>0.0</v>
      </c>
      <c r="ZD14" s="8">
        <v>0.0</v>
      </c>
      <c r="ZE14" s="8">
        <v>0.0</v>
      </c>
      <c r="ZF14" s="8">
        <v>0.0</v>
      </c>
      <c r="ZG14" s="8">
        <v>0.0</v>
      </c>
      <c r="ZH14" s="8">
        <v>0.0</v>
      </c>
      <c r="ZI14" s="8">
        <v>0.0</v>
      </c>
      <c r="ZJ14" s="8">
        <v>0.0</v>
      </c>
      <c r="ZK14" s="8">
        <v>0.0</v>
      </c>
      <c r="ZL14" s="8">
        <v>0.0</v>
      </c>
      <c r="ZM14" s="8">
        <v>1.0</v>
      </c>
      <c r="ZN14" s="9"/>
      <c r="ZO14" s="9"/>
      <c r="ZP14" s="9"/>
      <c r="ZQ14" s="9"/>
      <c r="ZR14" s="9"/>
      <c r="ZS14" s="9"/>
      <c r="ZT14" s="9"/>
      <c r="ZU14" s="9"/>
      <c r="ZV14" s="8">
        <v>2.0</v>
      </c>
      <c r="ZW14" s="9"/>
      <c r="ZX14" s="9"/>
      <c r="ZY14" s="9"/>
      <c r="ZZ14" s="9"/>
      <c r="AAA14" s="9"/>
      <c r="AAB14" s="8">
        <v>3.0</v>
      </c>
      <c r="AAC14" s="8">
        <v>3.0</v>
      </c>
      <c r="AAD14" s="9" t="s">
        <v>1186</v>
      </c>
      <c r="AAE14" s="9"/>
      <c r="AAF14" s="9"/>
      <c r="AAG14" s="9"/>
      <c r="AAH14" s="9"/>
      <c r="AAI14" s="9"/>
      <c r="AAJ14" s="9" t="s">
        <v>905</v>
      </c>
      <c r="AAK14" s="9" t="s">
        <v>905</v>
      </c>
      <c r="AAL14" s="9" t="s">
        <v>857</v>
      </c>
      <c r="AAM14" s="9" t="s">
        <v>1942</v>
      </c>
      <c r="AAN14" s="8">
        <v>0.0</v>
      </c>
      <c r="AAO14" s="8">
        <v>1.0</v>
      </c>
      <c r="AAP14" s="8">
        <v>10.0</v>
      </c>
      <c r="AAQ14" s="9"/>
      <c r="AAR14" s="9" t="s">
        <v>857</v>
      </c>
      <c r="AAS14" s="9" t="s">
        <v>867</v>
      </c>
      <c r="AAT14" s="9" t="s">
        <v>995</v>
      </c>
      <c r="AAU14" s="8">
        <v>1.0</v>
      </c>
      <c r="AAV14" s="8">
        <v>0.0</v>
      </c>
      <c r="AAW14" s="8">
        <v>0.0</v>
      </c>
      <c r="AAX14" s="8">
        <v>0.0</v>
      </c>
      <c r="AAY14" s="8">
        <v>1.0</v>
      </c>
      <c r="AAZ14" s="8">
        <v>0.0</v>
      </c>
      <c r="ABA14" s="8">
        <v>0.0</v>
      </c>
      <c r="ABB14" s="9" t="s">
        <v>2072</v>
      </c>
      <c r="ABC14" s="8">
        <v>1.0</v>
      </c>
      <c r="ABD14" s="8">
        <v>1.0</v>
      </c>
      <c r="ABE14" s="8">
        <v>1.0</v>
      </c>
      <c r="ABF14" s="8">
        <v>1.0</v>
      </c>
      <c r="ABG14" s="8">
        <v>0.0</v>
      </c>
      <c r="ABH14" s="9"/>
      <c r="ABI14" s="9"/>
      <c r="ABJ14" s="9"/>
      <c r="ABK14" s="9"/>
      <c r="ABL14" s="9"/>
      <c r="ABM14" s="9"/>
      <c r="ABN14" s="9"/>
      <c r="ABO14" s="9"/>
      <c r="ABP14" s="9"/>
      <c r="ABQ14" s="9" t="s">
        <v>2252</v>
      </c>
      <c r="ABR14" s="9" t="s">
        <v>909</v>
      </c>
      <c r="ABS14" s="8">
        <v>6700.0</v>
      </c>
      <c r="ABT14" s="9"/>
      <c r="ABU14" s="8">
        <v>90.0</v>
      </c>
      <c r="ABV14" s="8">
        <v>0.0</v>
      </c>
      <c r="ABW14" s="9" t="s">
        <v>1199</v>
      </c>
      <c r="ABX14" s="9"/>
      <c r="ABY14" s="8">
        <v>200.0</v>
      </c>
      <c r="ABZ14" s="8">
        <v>560000.0</v>
      </c>
      <c r="ACA14" s="8">
        <v>150.0</v>
      </c>
      <c r="ACB14" s="8">
        <v>270000.0</v>
      </c>
      <c r="ACC14" s="8">
        <v>1000.0</v>
      </c>
      <c r="ACD14" s="8">
        <v>1000.0</v>
      </c>
      <c r="ACE14" s="9" t="s">
        <v>857</v>
      </c>
      <c r="ACF14" s="9" t="s">
        <v>1183</v>
      </c>
      <c r="ACG14" s="9" t="s">
        <v>1183</v>
      </c>
      <c r="ACH14" s="9" t="s">
        <v>1183</v>
      </c>
      <c r="ACI14" s="9"/>
      <c r="ACJ14" s="9"/>
      <c r="ACK14" s="9" t="s">
        <v>969</v>
      </c>
      <c r="ACL14" s="8">
        <v>0.0</v>
      </c>
      <c r="ACM14" s="8">
        <v>0.0</v>
      </c>
      <c r="ACN14" s="8">
        <v>0.0</v>
      </c>
      <c r="ACO14" s="8">
        <v>0.0</v>
      </c>
      <c r="ACP14" s="8">
        <v>0.0</v>
      </c>
      <c r="ACQ14" s="8">
        <v>0.0</v>
      </c>
      <c r="ACR14" s="8">
        <v>1.0</v>
      </c>
      <c r="ACS14" s="9" t="s">
        <v>2253</v>
      </c>
      <c r="ACT14" s="9" t="s">
        <v>2254</v>
      </c>
      <c r="ACU14" s="9" t="s">
        <v>1216</v>
      </c>
      <c r="ACV14" s="9" t="s">
        <v>914</v>
      </c>
      <c r="ACW14" s="9" t="s">
        <v>915</v>
      </c>
      <c r="ACX14" s="9" t="s">
        <v>1348</v>
      </c>
      <c r="ACY14" s="9" t="s">
        <v>1017</v>
      </c>
      <c r="ACZ14" s="8">
        <v>1.0</v>
      </c>
      <c r="ADA14" s="8">
        <v>1.0</v>
      </c>
      <c r="ADB14" s="8">
        <v>1.0</v>
      </c>
      <c r="ADC14" s="8">
        <v>0.0</v>
      </c>
      <c r="ADD14" s="9" t="s">
        <v>1187</v>
      </c>
      <c r="ADE14" s="9" t="s">
        <v>917</v>
      </c>
      <c r="ADF14" s="9" t="s">
        <v>1187</v>
      </c>
      <c r="ADG14" s="9" t="s">
        <v>1187</v>
      </c>
      <c r="ADH14" s="9" t="s">
        <v>881</v>
      </c>
      <c r="ADI14" s="9"/>
      <c r="ADJ14" s="9" t="s">
        <v>917</v>
      </c>
      <c r="ADK14" s="9"/>
      <c r="ADL14" s="9"/>
      <c r="ADM14" s="9"/>
      <c r="ADN14" s="9"/>
      <c r="ADO14" s="9"/>
      <c r="ADP14" s="9"/>
      <c r="ADQ14" s="9"/>
      <c r="ADR14" s="9"/>
      <c r="ADS14" s="9"/>
      <c r="ADT14" s="9"/>
      <c r="ADU14" s="9" t="s">
        <v>919</v>
      </c>
      <c r="ADV14" s="8">
        <v>0.0</v>
      </c>
      <c r="ADW14" s="8">
        <v>0.0</v>
      </c>
      <c r="ADX14" s="8">
        <v>0.0</v>
      </c>
      <c r="ADY14" s="8">
        <v>0.0</v>
      </c>
      <c r="ADZ14" s="8">
        <v>1.0</v>
      </c>
      <c r="AEA14" s="8">
        <v>0.0</v>
      </c>
      <c r="AEB14" s="8">
        <v>0.0</v>
      </c>
      <c r="AEC14" s="8">
        <v>0.0</v>
      </c>
      <c r="AED14" s="9" t="s">
        <v>1945</v>
      </c>
      <c r="AEE14" s="9" t="s">
        <v>872</v>
      </c>
      <c r="AEF14" s="9"/>
      <c r="AEG14" s="9" t="s">
        <v>920</v>
      </c>
      <c r="AEH14" s="9"/>
      <c r="AEI14" s="9" t="s">
        <v>2255</v>
      </c>
      <c r="AEJ14" s="9" t="s">
        <v>871</v>
      </c>
      <c r="AEK14" s="9" t="s">
        <v>2256</v>
      </c>
      <c r="AEL14" s="8">
        <v>1.0</v>
      </c>
      <c r="AEM14" s="8">
        <v>1.0</v>
      </c>
      <c r="AEN14" s="8">
        <v>1.0</v>
      </c>
      <c r="AEO14" s="8">
        <v>0.0</v>
      </c>
      <c r="AEP14" s="8">
        <v>1.0</v>
      </c>
      <c r="AEQ14" s="8">
        <v>1.0</v>
      </c>
      <c r="AER14" s="8">
        <v>1.0</v>
      </c>
      <c r="AES14" s="8">
        <v>0.0</v>
      </c>
      <c r="AET14" s="8">
        <v>1.0</v>
      </c>
      <c r="AEU14" s="8">
        <v>0.0</v>
      </c>
      <c r="AEV14" s="8">
        <v>0.0</v>
      </c>
      <c r="AEW14" s="8">
        <v>0.0</v>
      </c>
      <c r="AEX14" s="9"/>
      <c r="AEY14" s="9" t="s">
        <v>923</v>
      </c>
      <c r="AEZ14" s="9"/>
      <c r="AFA14" s="9" t="s">
        <v>969</v>
      </c>
      <c r="AFB14" s="9" t="s">
        <v>2257</v>
      </c>
      <c r="AFC14" s="9" t="s">
        <v>2258</v>
      </c>
      <c r="AFD14" s="16" t="s">
        <v>2259</v>
      </c>
      <c r="AFE14" s="9" t="s">
        <v>2260</v>
      </c>
      <c r="AFF14" s="16" t="s">
        <v>2261</v>
      </c>
      <c r="AFG14" s="9" t="s">
        <v>1986</v>
      </c>
      <c r="AFH14" s="9"/>
      <c r="AFI14" s="21" t="s">
        <v>2262</v>
      </c>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8">
        <v>6.70994701E8</v>
      </c>
      <c r="AWB14" s="9" t="s">
        <v>2263</v>
      </c>
      <c r="AWC14" s="6">
        <v>46066.0</v>
      </c>
      <c r="AWD14" s="9"/>
      <c r="AWE14" s="9"/>
      <c r="AWF14" s="9" t="s">
        <v>1954</v>
      </c>
      <c r="AWG14" s="9"/>
      <c r="AWH14" s="9" t="s">
        <v>1989</v>
      </c>
      <c r="AWI14" s="9"/>
      <c r="AWJ14" s="9" t="s">
        <v>2264</v>
      </c>
      <c r="AWK14" s="8">
        <v>209.0</v>
      </c>
      <c r="AWL14" s="9" t="s">
        <v>2250</v>
      </c>
      <c r="AWM14" s="8">
        <v>0.0</v>
      </c>
      <c r="AWN14" s="9" t="s">
        <v>1957</v>
      </c>
      <c r="AWO14" s="33" t="b">
        <v>1</v>
      </c>
      <c r="AWP14" s="33" t="b">
        <v>1</v>
      </c>
      <c r="AWQ14" s="33" t="b">
        <v>1</v>
      </c>
      <c r="AWR14" s="33" t="b">
        <v>1</v>
      </c>
      <c r="AWS14" s="33" t="b">
        <v>1</v>
      </c>
      <c r="AWT14" s="33" t="b">
        <v>1</v>
      </c>
      <c r="AWU14" s="9"/>
      <c r="AWV14" s="8">
        <v>11.0</v>
      </c>
      <c r="AWW14" s="9"/>
      <c r="AWX14" s="9"/>
      <c r="AWY14" s="9"/>
      <c r="AWZ14" s="9"/>
    </row>
    <row r="15">
      <c r="A15" s="6">
        <v>46048.0</v>
      </c>
      <c r="B15" s="6">
        <v>46069.0</v>
      </c>
      <c r="C15" s="30" t="s">
        <v>1958</v>
      </c>
      <c r="D15" s="30" t="s">
        <v>2265</v>
      </c>
      <c r="E15" s="8">
        <f t="shared" si="1"/>
        <v>620</v>
      </c>
      <c r="F15" s="9" t="s">
        <v>2266</v>
      </c>
      <c r="G15" s="8">
        <v>-5.569514</v>
      </c>
      <c r="H15" s="8">
        <v>119.449875</v>
      </c>
      <c r="I15" s="8">
        <v>90.29101563</v>
      </c>
      <c r="J15" s="8">
        <v>4.55700016</v>
      </c>
      <c r="K15" s="8">
        <v>0.0</v>
      </c>
      <c r="L15" s="9" t="s">
        <v>2267</v>
      </c>
      <c r="M15" s="8">
        <v>-5.569506</v>
      </c>
      <c r="N15" s="8">
        <v>119.449898</v>
      </c>
      <c r="O15" s="8">
        <v>90.08048291</v>
      </c>
      <c r="P15" s="8">
        <v>11.18299961</v>
      </c>
      <c r="Q15" s="8">
        <v>0.0</v>
      </c>
      <c r="R15" s="9" t="s">
        <v>1923</v>
      </c>
      <c r="S15" s="8">
        <v>0.0</v>
      </c>
      <c r="T15" s="8">
        <v>0.0</v>
      </c>
      <c r="U15" s="8">
        <v>0.0</v>
      </c>
      <c r="V15" s="8">
        <v>0.0</v>
      </c>
      <c r="W15" s="8">
        <v>0.0</v>
      </c>
      <c r="X15" s="8">
        <v>0.0</v>
      </c>
      <c r="Y15" s="8">
        <v>0.0</v>
      </c>
      <c r="Z15" s="8">
        <v>0.0</v>
      </c>
      <c r="AA15" s="8">
        <v>0.0</v>
      </c>
      <c r="AB15" s="8">
        <v>1.0</v>
      </c>
      <c r="AC15" s="7" t="s">
        <v>2113</v>
      </c>
      <c r="AD15" s="7" t="s">
        <v>2249</v>
      </c>
      <c r="AE15" s="7" t="s">
        <v>2114</v>
      </c>
      <c r="AF15" s="9" t="s">
        <v>2170</v>
      </c>
      <c r="AG15" s="9" t="s">
        <v>2268</v>
      </c>
      <c r="AH15" s="8">
        <v>1.0</v>
      </c>
      <c r="AI15" s="9" t="s">
        <v>845</v>
      </c>
      <c r="AJ15" s="9" t="s">
        <v>846</v>
      </c>
      <c r="AK15" s="8">
        <v>46.0</v>
      </c>
      <c r="AL15" s="9" t="s">
        <v>847</v>
      </c>
      <c r="AM15" s="9" t="s">
        <v>848</v>
      </c>
      <c r="AN15" s="9" t="s">
        <v>849</v>
      </c>
      <c r="AO15" s="9" t="s">
        <v>850</v>
      </c>
      <c r="AP15" s="8">
        <v>1.0</v>
      </c>
      <c r="AQ15" s="8">
        <v>0.0</v>
      </c>
      <c r="AR15" s="8">
        <v>0.0</v>
      </c>
      <c r="AS15" s="8">
        <v>0.0</v>
      </c>
      <c r="AT15" s="8">
        <v>0.0</v>
      </c>
      <c r="AU15" s="8">
        <v>0.0</v>
      </c>
      <c r="AV15" s="8">
        <v>0.0</v>
      </c>
      <c r="AW15" s="8">
        <v>0.0</v>
      </c>
      <c r="AX15" s="9"/>
      <c r="AY15" s="9" t="s">
        <v>969</v>
      </c>
      <c r="AZ15" s="8">
        <v>0.0</v>
      </c>
      <c r="BA15" s="8">
        <v>0.0</v>
      </c>
      <c r="BB15" s="8">
        <v>0.0</v>
      </c>
      <c r="BC15" s="8">
        <v>0.0</v>
      </c>
      <c r="BD15" s="8">
        <v>0.0</v>
      </c>
      <c r="BE15" s="8">
        <v>0.0</v>
      </c>
      <c r="BF15" s="8">
        <v>1.0</v>
      </c>
      <c r="BG15" s="8">
        <v>0.0</v>
      </c>
      <c r="BH15" s="11" t="s">
        <v>2269</v>
      </c>
      <c r="BI15" s="9" t="s">
        <v>2118</v>
      </c>
      <c r="BJ15" s="8">
        <v>1.0</v>
      </c>
      <c r="BK15" s="8">
        <v>1.0</v>
      </c>
      <c r="BL15" s="8">
        <v>2.0</v>
      </c>
      <c r="BM15" s="8">
        <v>0.0</v>
      </c>
      <c r="BN15" s="9" t="s">
        <v>853</v>
      </c>
      <c r="BO15" s="9" t="s">
        <v>2000</v>
      </c>
      <c r="BP15" s="8">
        <v>0.0</v>
      </c>
      <c r="BQ15" s="8">
        <v>1.0</v>
      </c>
      <c r="BR15" s="8">
        <v>0.0</v>
      </c>
      <c r="BS15" s="8">
        <v>0.0</v>
      </c>
      <c r="BT15" s="8">
        <v>0.0</v>
      </c>
      <c r="BU15" s="9"/>
      <c r="BV15" s="9" t="s">
        <v>1254</v>
      </c>
      <c r="BW15" s="8">
        <v>0.0</v>
      </c>
      <c r="BX15" s="8">
        <v>1.0</v>
      </c>
      <c r="BY15" s="8">
        <v>0.0</v>
      </c>
      <c r="BZ15" s="8">
        <v>0.0</v>
      </c>
      <c r="CA15" s="8">
        <v>0.0</v>
      </c>
      <c r="CB15" s="9"/>
      <c r="CC15" s="9" t="s">
        <v>1929</v>
      </c>
      <c r="CD15" s="8">
        <v>0.0</v>
      </c>
      <c r="CE15" s="8">
        <v>0.0</v>
      </c>
      <c r="CF15" s="8">
        <v>0.0</v>
      </c>
      <c r="CG15" s="8">
        <v>0.0</v>
      </c>
      <c r="CH15" s="8">
        <v>1.0</v>
      </c>
      <c r="CI15" s="8">
        <v>0.0</v>
      </c>
      <c r="CJ15" s="8">
        <v>0.0</v>
      </c>
      <c r="CK15" s="9"/>
      <c r="CL15" s="9" t="s">
        <v>857</v>
      </c>
      <c r="CM15" s="8">
        <v>2025.0</v>
      </c>
      <c r="CN15" s="9" t="s">
        <v>858</v>
      </c>
      <c r="CO15" s="9" t="s">
        <v>859</v>
      </c>
      <c r="CP15" s="9" t="s">
        <v>969</v>
      </c>
      <c r="CQ15" s="8">
        <v>0.0</v>
      </c>
      <c r="CR15" s="8">
        <v>0.0</v>
      </c>
      <c r="CS15" s="8">
        <v>0.0</v>
      </c>
      <c r="CT15" s="8">
        <v>0.0</v>
      </c>
      <c r="CU15" s="8">
        <v>0.0</v>
      </c>
      <c r="CV15" s="8">
        <v>0.0</v>
      </c>
      <c r="CW15" s="8">
        <v>0.0</v>
      </c>
      <c r="CX15" s="8">
        <v>1.0</v>
      </c>
      <c r="CY15" s="9" t="s">
        <v>1060</v>
      </c>
      <c r="CZ15" s="8">
        <v>1.0</v>
      </c>
      <c r="DA15" s="8">
        <v>1.0</v>
      </c>
      <c r="DB15" s="8">
        <v>0.0</v>
      </c>
      <c r="DC15" s="9"/>
      <c r="DD15" s="9" t="s">
        <v>860</v>
      </c>
      <c r="DE15" s="8">
        <v>1.0</v>
      </c>
      <c r="DF15" s="8">
        <v>0.0</v>
      </c>
      <c r="DG15" s="8">
        <v>0.0</v>
      </c>
      <c r="DH15" s="8">
        <v>0.0</v>
      </c>
      <c r="DI15" s="9"/>
      <c r="DJ15" s="9" t="s">
        <v>937</v>
      </c>
      <c r="DK15" s="8">
        <v>1.0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864</v>
      </c>
      <c r="ER15" s="9" t="s">
        <v>861</v>
      </c>
      <c r="ES15" s="8">
        <v>1.0</v>
      </c>
      <c r="ET15" s="8">
        <v>0.0</v>
      </c>
      <c r="EU15" s="8">
        <v>0.0</v>
      </c>
      <c r="EV15" s="8">
        <v>0.0</v>
      </c>
      <c r="EW15" s="9"/>
      <c r="EX15" s="9" t="s">
        <v>1013</v>
      </c>
      <c r="EY15" s="8">
        <v>1.0</v>
      </c>
      <c r="EZ15" s="8">
        <v>1.0</v>
      </c>
      <c r="FA15" s="8">
        <v>0.0</v>
      </c>
      <c r="FB15" s="9"/>
      <c r="FC15" s="9" t="s">
        <v>1072</v>
      </c>
      <c r="FD15" s="9"/>
      <c r="FE15" s="9" t="s">
        <v>867</v>
      </c>
      <c r="FF15" s="9" t="s">
        <v>868</v>
      </c>
      <c r="FG15" s="9" t="s">
        <v>867</v>
      </c>
      <c r="FH15" s="9" t="s">
        <v>883</v>
      </c>
      <c r="FI15" s="9" t="s">
        <v>867</v>
      </c>
      <c r="FJ15" s="9" t="s">
        <v>868</v>
      </c>
      <c r="FK15" s="9" t="s">
        <v>867</v>
      </c>
      <c r="FL15" s="9" t="s">
        <v>883</v>
      </c>
      <c r="FM15" s="9" t="s">
        <v>867</v>
      </c>
      <c r="FN15" s="9" t="s">
        <v>883</v>
      </c>
      <c r="FO15" s="9" t="s">
        <v>867</v>
      </c>
      <c r="FP15" s="9" t="s">
        <v>870</v>
      </c>
      <c r="FQ15" s="9" t="s">
        <v>867</v>
      </c>
      <c r="FR15" s="9" t="s">
        <v>857</v>
      </c>
      <c r="FS15" s="9" t="s">
        <v>867</v>
      </c>
      <c r="FT15" s="9" t="s">
        <v>2173</v>
      </c>
      <c r="FU15" s="9" t="s">
        <v>989</v>
      </c>
      <c r="FV15" s="8">
        <v>1.0</v>
      </c>
      <c r="FW15" s="8">
        <v>1.0</v>
      </c>
      <c r="FX15" s="8">
        <v>0.0</v>
      </c>
      <c r="FY15" s="8">
        <v>0.0</v>
      </c>
      <c r="FZ15" s="9" t="s">
        <v>2174</v>
      </c>
      <c r="GA15" s="31"/>
      <c r="GB15" s="12"/>
      <c r="GC15" s="12"/>
      <c r="GD15" s="12"/>
      <c r="GE15" s="12"/>
      <c r="GF15" s="9" t="s">
        <v>2174</v>
      </c>
      <c r="GG15" s="9" t="s">
        <v>883</v>
      </c>
      <c r="GH15" s="9" t="s">
        <v>857</v>
      </c>
      <c r="GI15" s="9" t="s">
        <v>1086</v>
      </c>
      <c r="GJ15" s="8">
        <v>1.0</v>
      </c>
      <c r="GK15" s="8">
        <v>1.0</v>
      </c>
      <c r="GL15" s="8">
        <v>0.0</v>
      </c>
      <c r="GM15" s="8">
        <v>0.0</v>
      </c>
      <c r="GN15" s="9"/>
      <c r="GO15" s="8">
        <v>10.0</v>
      </c>
      <c r="GP15" s="9" t="s">
        <v>1931</v>
      </c>
      <c r="GQ15" s="9" t="s">
        <v>1102</v>
      </c>
      <c r="GR15" s="8">
        <v>1.0</v>
      </c>
      <c r="GS15" s="8">
        <v>0.0</v>
      </c>
      <c r="GT15" s="8">
        <v>0.0</v>
      </c>
      <c r="GU15" s="8">
        <v>0.0</v>
      </c>
      <c r="GV15" s="8">
        <v>0.0</v>
      </c>
      <c r="GW15" s="8">
        <v>0.0</v>
      </c>
      <c r="GX15" s="8">
        <v>0.0</v>
      </c>
      <c r="GY15" s="9"/>
      <c r="GZ15" s="21" t="s">
        <v>881</v>
      </c>
      <c r="HA15" s="21"/>
      <c r="HB15" s="21"/>
      <c r="HC15" s="21"/>
      <c r="HD15" s="21"/>
      <c r="HE15" s="39">
        <v>30.0</v>
      </c>
      <c r="HF15" s="39">
        <v>280000.0</v>
      </c>
      <c r="HG15" s="39">
        <v>1.0</v>
      </c>
      <c r="HH15" s="39">
        <v>9333.0</v>
      </c>
      <c r="HI15" s="9"/>
      <c r="HJ15" s="9"/>
      <c r="HK15" s="9"/>
      <c r="HL15" s="9"/>
      <c r="HM15" s="9"/>
      <c r="HN15" s="9"/>
      <c r="HO15" s="9"/>
      <c r="HP15" s="9"/>
      <c r="HQ15" s="9"/>
      <c r="HR15" s="9"/>
      <c r="HS15" s="9"/>
      <c r="HT15" s="9"/>
      <c r="HU15" s="9"/>
      <c r="HV15" s="9"/>
      <c r="HW15" s="9"/>
      <c r="HX15" s="9"/>
      <c r="HY15" s="9"/>
      <c r="HZ15" s="9"/>
      <c r="IA15" s="35">
        <v>29.0</v>
      </c>
      <c r="IB15" s="31"/>
      <c r="IC15" s="9"/>
      <c r="ID15" s="9"/>
      <c r="IE15" s="9"/>
      <c r="IF15" s="9"/>
      <c r="IG15" s="9"/>
      <c r="IH15" s="9"/>
      <c r="II15" s="9"/>
      <c r="IJ15" s="9"/>
      <c r="IK15" s="9" t="s">
        <v>1932</v>
      </c>
      <c r="IL15" s="9" t="s">
        <v>1366</v>
      </c>
      <c r="IM15" s="9" t="s">
        <v>857</v>
      </c>
      <c r="IN15" s="9" t="s">
        <v>881</v>
      </c>
      <c r="IO15" s="9" t="s">
        <v>945</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945</v>
      </c>
      <c r="KT15" s="9" t="s">
        <v>886</v>
      </c>
      <c r="KU15" s="9" t="s">
        <v>886</v>
      </c>
      <c r="KV15" s="9" t="s">
        <v>999</v>
      </c>
      <c r="KW15" s="8">
        <v>0.0</v>
      </c>
      <c r="KX15" s="8">
        <v>0.0</v>
      </c>
      <c r="KY15" s="8">
        <v>0.0</v>
      </c>
      <c r="KZ15" s="8">
        <v>1.0</v>
      </c>
      <c r="LA15" s="9" t="s">
        <v>945</v>
      </c>
      <c r="LB15" s="9" t="s">
        <v>1180</v>
      </c>
      <c r="LC15" s="8">
        <v>11.0</v>
      </c>
      <c r="LD15" s="8">
        <v>0.0</v>
      </c>
      <c r="LE15" s="8">
        <v>0.0</v>
      </c>
      <c r="LF15" s="8">
        <v>0.0</v>
      </c>
      <c r="LG15" s="9" t="s">
        <v>857</v>
      </c>
      <c r="LH15" s="8">
        <v>50000.0</v>
      </c>
      <c r="LI15" s="9"/>
      <c r="LJ15" s="9" t="s">
        <v>887</v>
      </c>
      <c r="LK15" s="8">
        <v>0.0</v>
      </c>
      <c r="LL15" s="8">
        <v>0.0</v>
      </c>
      <c r="LM15" s="8">
        <v>0.0</v>
      </c>
      <c r="LN15" s="8">
        <v>0.0</v>
      </c>
      <c r="LO15" s="8">
        <v>1.0</v>
      </c>
      <c r="LP15" s="8">
        <v>0.0</v>
      </c>
      <c r="LQ15" s="8">
        <v>0.0</v>
      </c>
      <c r="LR15" s="11"/>
      <c r="LS15" s="8">
        <v>5.0</v>
      </c>
      <c r="LT15" s="8">
        <v>5.0</v>
      </c>
      <c r="LU15" s="8">
        <v>0.0</v>
      </c>
      <c r="LV15" s="8">
        <v>1.0</v>
      </c>
      <c r="LW15" s="8">
        <v>1.0</v>
      </c>
      <c r="LX15" s="8">
        <v>0.0</v>
      </c>
      <c r="LY15" s="8">
        <v>5.0</v>
      </c>
      <c r="LZ15" s="8">
        <v>5.0</v>
      </c>
      <c r="MA15" s="8">
        <v>0.0</v>
      </c>
      <c r="MB15" s="9" t="s">
        <v>881</v>
      </c>
      <c r="MC15" s="8">
        <v>0.0</v>
      </c>
      <c r="MD15" s="8">
        <v>0.0</v>
      </c>
      <c r="ME15" s="8">
        <v>0.0</v>
      </c>
      <c r="MF15" s="8">
        <v>0.0</v>
      </c>
      <c r="MG15" s="8">
        <v>0.0</v>
      </c>
      <c r="MH15" s="8">
        <v>0.0</v>
      </c>
      <c r="MI15" s="9"/>
      <c r="MJ15" s="9"/>
      <c r="MK15" s="9"/>
      <c r="ML15" s="9"/>
      <c r="MM15" s="9"/>
      <c r="MN15" s="9"/>
      <c r="MO15" s="9"/>
      <c r="MP15" s="9"/>
      <c r="MQ15" s="9"/>
      <c r="MR15" s="17" t="s">
        <v>2270</v>
      </c>
      <c r="MS15" s="9"/>
      <c r="MT15" s="9" t="s">
        <v>2270</v>
      </c>
      <c r="MU15" s="9" t="s">
        <v>881</v>
      </c>
      <c r="MV15" s="9"/>
      <c r="MW15" s="9"/>
      <c r="MX15" s="9"/>
      <c r="MY15" s="9"/>
      <c r="MZ15" s="9"/>
      <c r="NA15" s="9"/>
      <c r="NB15" s="9"/>
      <c r="NC15" s="9"/>
      <c r="ND15" s="9"/>
      <c r="NE15" s="9"/>
      <c r="NF15" s="9"/>
      <c r="NG15" s="9"/>
      <c r="NH15" s="9"/>
      <c r="NI15" s="9"/>
      <c r="NJ15" s="9"/>
      <c r="NK15" s="9"/>
      <c r="NL15" s="9" t="s">
        <v>881</v>
      </c>
      <c r="NM15" s="9" t="s">
        <v>1386</v>
      </c>
      <c r="NN15" s="17" t="s">
        <v>1975</v>
      </c>
      <c r="NO15" s="17" t="s">
        <v>969</v>
      </c>
      <c r="NP15" s="9" t="s">
        <v>2121</v>
      </c>
      <c r="NQ15" s="9"/>
      <c r="NR15" s="9"/>
      <c r="NS15" s="9"/>
      <c r="NT15" s="9"/>
      <c r="NU15" s="9"/>
      <c r="NV15" s="9"/>
      <c r="NW15" s="9"/>
      <c r="NX15" s="9" t="s">
        <v>1183</v>
      </c>
      <c r="NY15" s="8">
        <v>180.0</v>
      </c>
      <c r="NZ15" s="8">
        <v>60.0</v>
      </c>
      <c r="OA15" s="8">
        <v>0.0</v>
      </c>
      <c r="OB15" s="8">
        <v>30.0</v>
      </c>
      <c r="OC15" s="8">
        <v>30.0</v>
      </c>
      <c r="OD15" s="8">
        <v>0.0</v>
      </c>
      <c r="OE15" s="9" t="s">
        <v>1180</v>
      </c>
      <c r="OF15" s="9" t="s">
        <v>1184</v>
      </c>
      <c r="OG15" s="9" t="s">
        <v>857</v>
      </c>
      <c r="OH15" s="8">
        <v>3.0</v>
      </c>
      <c r="OI15" s="8">
        <v>0.0</v>
      </c>
      <c r="OJ15" s="8">
        <v>0.0</v>
      </c>
      <c r="OK15" s="8">
        <v>0.0</v>
      </c>
      <c r="OL15" s="8">
        <v>0.0</v>
      </c>
      <c r="OM15" s="8">
        <v>0.0</v>
      </c>
      <c r="ON15" s="8">
        <v>0.0</v>
      </c>
      <c r="OO15" s="8">
        <v>0.0</v>
      </c>
      <c r="OP15" s="9" t="str">
        <f>VLOOKUP(AG15,'BUS 2'!$G$1:$CU$424,2,0)</f>
        <v>Sapi pedaging</v>
      </c>
      <c r="OQ15" s="8">
        <f>VLOOKUP(AG15,'BUS 2'!$G$1:$CU$424,3,0)</f>
        <v>1</v>
      </c>
      <c r="OR15" s="8">
        <f>VLOOKUP(AG15,'BUS 2'!$G$1:$CU$424,4,0)</f>
        <v>0</v>
      </c>
      <c r="OS15" s="8">
        <f>VLOOKUP(AG15,'BUS 2'!$G$1:$CU$424,5,0)</f>
        <v>0</v>
      </c>
      <c r="OT15" s="8">
        <f>VLOOKUP(AG15,'BUS 2'!$G$1:$CU$424,6,0)</f>
        <v>0</v>
      </c>
      <c r="OU15" s="8">
        <f>VLOOKUP(AG15,'BUS 2'!$G$1:$CU$424,7,0)</f>
        <v>0</v>
      </c>
      <c r="OV15" s="8">
        <f>VLOOKUP(AG15,'BUS 2'!$G$1:$CU$424,8,0)</f>
        <v>0</v>
      </c>
      <c r="OW15" s="8">
        <f>VLOOKUP(AG15,'BUS 2'!$G$1:$CU$424,9,0)</f>
        <v>0</v>
      </c>
      <c r="OX15" s="8">
        <f>VLOOKUP(AG15,'BUS 2'!$G$1:$CU$424,10,0)</f>
        <v>0</v>
      </c>
      <c r="OY15" s="8">
        <f>VLOOKUP(AG15,'BUS 2'!$G$1:$CU$424,11,0)</f>
        <v>0</v>
      </c>
      <c r="OZ15" s="8" t="str">
        <f>VLOOKUP(AG15,'BUS 2'!$G$1:$CU$424,12,0)</f>
        <v>Sapi pedaging</v>
      </c>
      <c r="PA15" s="8">
        <f>VLOOKUP(AG15,'BUS 2'!$G$1:$CU$424,13,0)</f>
        <v>1</v>
      </c>
      <c r="PB15" s="8">
        <f>VLOOKUP(AG15,'BUS 2'!$G$1:$CU$424,14,0)</f>
        <v>0</v>
      </c>
      <c r="PC15" s="8">
        <f>VLOOKUP(AG15,'BUS 2'!$G$1:$CU$424,15,0)</f>
        <v>0</v>
      </c>
      <c r="PD15" s="8">
        <f>VLOOKUP(AG15,'BUS 2'!$G$1:$CU$424,16,0)</f>
        <v>0</v>
      </c>
      <c r="PE15" s="8">
        <f>VLOOKUP(AG15,'BUS 2'!$G$1:$CU$424,17,0)</f>
        <v>0</v>
      </c>
      <c r="PF15" s="8">
        <f>VLOOKUP(AG15,'BUS 2'!$G$1:$CU$424,18,0)</f>
        <v>0</v>
      </c>
      <c r="PG15" s="8">
        <f>VLOOKUP(AG15,'BUS 2'!$G$1:$CU$424,19,0)</f>
        <v>0</v>
      </c>
      <c r="PH15" s="8">
        <f>VLOOKUP(AG15,'BUS 2'!$G$1:$CU$424,20,0)</f>
        <v>0</v>
      </c>
      <c r="PI15" s="8">
        <f>VLOOKUP(AG15,'BUS 2'!$G$1:$CU$424,21,0)</f>
        <v>0</v>
      </c>
      <c r="PJ15" s="8" t="str">
        <f>VLOOKUP(AG15,'BUS 2'!$G$1:$CU$424,22,0)</f>
        <v>Sapi pedaging</v>
      </c>
      <c r="PK15" s="8">
        <f>VLOOKUP(AG15,'BUS 2'!$G$1:$CU$424,23,0)</f>
        <v>1</v>
      </c>
      <c r="PL15" s="8">
        <f>VLOOKUP(AG15,'BUS 2'!$G$1:$CU$424,24,0)</f>
        <v>0</v>
      </c>
      <c r="PM15" s="8">
        <f>VLOOKUP(AG15,'BUS 2'!$G$1:$CU$424,25,0)</f>
        <v>0</v>
      </c>
      <c r="PN15" s="8">
        <f>VLOOKUP(AG15,'BUS 2'!$G$1:$CU$424,26,0)</f>
        <v>0</v>
      </c>
      <c r="PO15" s="8">
        <f>VLOOKUP(AG15,'BUS 2'!$G$1:$CU$424,27,0)</f>
        <v>0</v>
      </c>
      <c r="PP15" s="8">
        <f>VLOOKUP(AG15,'BUS 2'!$G$1:$CU$424,28,0)</f>
        <v>0</v>
      </c>
      <c r="PQ15" s="8">
        <f>VLOOKUP(AG15,'BUS 2'!$G$1:$CU$424,29,0)</f>
        <v>0</v>
      </c>
      <c r="PR15" s="8">
        <f>VLOOKUP(AG15,'BUS 2'!$G$1:$CU$424,30,0)</f>
        <v>0</v>
      </c>
      <c r="PS15" s="8">
        <f>VLOOKUP(AG15,'BUS 2'!$G$1:$CU$424,31,0)</f>
        <v>0</v>
      </c>
      <c r="PT15" s="9" t="s">
        <v>2070</v>
      </c>
      <c r="PU15" s="8">
        <v>0.0</v>
      </c>
      <c r="PV15" s="8">
        <v>0.0</v>
      </c>
      <c r="PW15" s="8">
        <v>0.0</v>
      </c>
      <c r="PX15" s="8">
        <v>0.0</v>
      </c>
      <c r="PY15" s="8">
        <v>0.0</v>
      </c>
      <c r="PZ15" s="8">
        <v>0.0</v>
      </c>
      <c r="QA15" s="8">
        <v>0.0</v>
      </c>
      <c r="QB15" s="8">
        <v>0.0</v>
      </c>
      <c r="QC15" s="8">
        <v>1.0</v>
      </c>
      <c r="QD15" s="21" t="s">
        <v>2071</v>
      </c>
      <c r="QE15" s="32"/>
      <c r="QF15" s="31"/>
      <c r="QG15" s="31"/>
      <c r="QH15" s="31"/>
      <c r="QI15" s="31"/>
      <c r="QJ15" s="31"/>
      <c r="QK15" s="32"/>
      <c r="QL15" s="32"/>
      <c r="QM15" s="32"/>
      <c r="QN15" s="32"/>
      <c r="QO15" s="32"/>
      <c r="QP15" s="32"/>
      <c r="QQ15" s="32"/>
      <c r="QR15" s="32"/>
      <c r="QS15" s="32"/>
      <c r="QT15" s="32"/>
      <c r="QU15" s="32"/>
      <c r="QV15" s="32"/>
      <c r="QW15" s="31"/>
      <c r="QX15" s="31"/>
      <c r="QY15" s="31"/>
      <c r="QZ15" s="31"/>
      <c r="RA15" s="31"/>
      <c r="RB15" s="32"/>
      <c r="RC15" s="32"/>
      <c r="RD15" s="32"/>
      <c r="RE15" s="32"/>
      <c r="RF15" s="32"/>
      <c r="RG15" s="9"/>
      <c r="RH15" s="31"/>
      <c r="RI15" s="31"/>
      <c r="RJ15" s="31"/>
      <c r="RK15" s="31"/>
      <c r="RL15" s="31"/>
      <c r="RM15" s="9"/>
      <c r="RN15" s="9"/>
      <c r="RO15" s="9"/>
      <c r="RP15" s="9"/>
      <c r="RQ15" s="9"/>
      <c r="RR15" s="9"/>
      <c r="RS15" s="31"/>
      <c r="RT15" s="31"/>
      <c r="RU15" s="31"/>
      <c r="RV15" s="31"/>
      <c r="RW15" s="31"/>
      <c r="RX15" s="9"/>
      <c r="RY15" s="9"/>
      <c r="RZ15" s="9"/>
      <c r="SA15" s="9"/>
      <c r="SB15" s="9"/>
      <c r="SC15" s="9"/>
      <c r="SD15" s="31"/>
      <c r="SE15" s="31"/>
      <c r="SF15" s="31"/>
      <c r="SG15" s="31"/>
      <c r="SH15" s="31"/>
      <c r="SI15" s="9"/>
      <c r="SJ15" s="9"/>
      <c r="SK15" s="9"/>
      <c r="SL15" s="9"/>
      <c r="SM15" s="9"/>
      <c r="SN15" s="9"/>
      <c r="SO15" s="31"/>
      <c r="SP15" s="31"/>
      <c r="SQ15" s="31"/>
      <c r="SR15" s="31"/>
      <c r="SS15" s="31"/>
      <c r="ST15" s="9"/>
      <c r="SU15" s="9"/>
      <c r="SV15" s="9"/>
      <c r="SW15" s="9"/>
      <c r="SX15" s="9"/>
      <c r="SY15" s="8">
        <f>VLOOKUP(AG15,'BUS 2'!$G$1:$CU$424,33,0)</f>
        <v>3</v>
      </c>
      <c r="SZ15" s="9" t="str">
        <f>VLOOKUP(AG15,'BUS 2'!$G$1:$CU$424,34,0)</f>
        <v/>
      </c>
      <c r="TA15" s="9" t="str">
        <f>VLOOKUP(AG15,'BUS 2'!$G$1:$CU$424,35,0)</f>
        <v/>
      </c>
      <c r="TB15" s="9" t="str">
        <f>VLOOKUP(AG15,'BUS 2'!$G$1:$CU$424,36,0)</f>
        <v/>
      </c>
      <c r="TC15" s="9" t="str">
        <f>VLOOKUP(AG15,'BUS 2'!$G$1:$CU$424,37,0)</f>
        <v/>
      </c>
      <c r="TD15" s="9" t="str">
        <f>VLOOKUP(AG15,'BUS 2'!$G$1:$CU$424,38,0)</f>
        <v/>
      </c>
      <c r="TE15" s="9" t="str">
        <f>VLOOKUP(AG15,'BUS 2'!$G$1:$CU$424,39,0)</f>
        <v/>
      </c>
      <c r="TF15" s="9" t="str">
        <f>VLOOKUP(AG15,'BUS 2'!$G$1:$CU$424,40,0)</f>
        <v/>
      </c>
      <c r="TG15" s="8">
        <f>VLOOKUP(AG15,'BUS 2'!$G$1:$CU$424,42,0)</f>
        <v>3</v>
      </c>
      <c r="TH15" s="8" t="str">
        <f>VLOOKUP(AG15,'BUS 2'!$G$1:$CU$424,43,0)</f>
        <v/>
      </c>
      <c r="TI15" s="8" t="str">
        <f>VLOOKUP(AG15,'BUS 2'!$G$1:$CU$424,44,0)</f>
        <v/>
      </c>
      <c r="TJ15" s="8" t="str">
        <f>VLOOKUP(AG15,'BUS 2'!$G$1:$CU$424,45,0)</f>
        <v/>
      </c>
      <c r="TK15" s="8" t="str">
        <f>VLOOKUP(AG15,'BUS 2'!$G$1:$CU$424,46,0)</f>
        <v/>
      </c>
      <c r="TL15" s="8" t="str">
        <f>VLOOKUP(AG15,'BUS 2'!$G$1:$CU$424,47,0)</f>
        <v/>
      </c>
      <c r="TM15" s="8" t="str">
        <f>VLOOKUP(AG15,'BUS 2'!$G$1:$CU$424,48,0)</f>
        <v/>
      </c>
      <c r="TN15" s="8" t="str">
        <f>VLOOKUP(AG15,'BUS 2'!$G$1:$CU$424,49,0)</f>
        <v/>
      </c>
      <c r="TO15" s="8">
        <f>VLOOKUP(AG15,'BUS 2'!$G$1:$CU$424,50,0)</f>
        <v>0</v>
      </c>
      <c r="TP15" s="8">
        <f>VLOOKUP(AG15,'BUS 2'!$G$1:$CU$424,51,0)</f>
        <v>0</v>
      </c>
      <c r="TQ15" s="8">
        <f>VLOOKUP(AG15,'BUS 2'!$G$1:$CU$424,52,0)</f>
        <v>0</v>
      </c>
      <c r="TR15" s="8">
        <f>VLOOKUP(AG15,'BUS 2'!$G$1:$CU$424,53,0)</f>
        <v>0</v>
      </c>
      <c r="TS15" s="9" t="str">
        <f>VLOOKUP(AG15,'BUS 2'!$G$1:$CU$424,54,0)</f>
        <v/>
      </c>
      <c r="TT15" s="9" t="str">
        <f>VLOOKUP(AG15,'BUS 2'!$G$1:$CU$424,55,0)</f>
        <v/>
      </c>
      <c r="TU15" s="9" t="str">
        <f>VLOOKUP(AG15,'BUS 2'!$G$1:$CU$424,56,0)</f>
        <v/>
      </c>
      <c r="TV15" s="9" t="str">
        <f>VLOOKUP(AG15,'BUS 2'!$G$1:$CU$424,57,0)</f>
        <v/>
      </c>
      <c r="TW15" s="9" t="str">
        <f>VLOOKUP(AG15,'BUS 2'!$G$1:$CU$424,58,0)</f>
        <v/>
      </c>
      <c r="TX15" s="9" t="str">
        <f>VLOOKUP(AG15,'BUS 2'!$G$1:$CU$424,59,0)</f>
        <v/>
      </c>
      <c r="TY15" s="9" t="str">
        <f>VLOOKUP(AG15,'BUS 2'!$G$1:$CU$424,60,0)</f>
        <v/>
      </c>
      <c r="TZ15" s="9" t="str">
        <f>VLOOKUP(AG15,'BUS 2'!$G$1:$CU$424,61,0)</f>
        <v/>
      </c>
      <c r="UA15" s="9" t="str">
        <f>VLOOKUP(AG15,'BUS 2'!$G$1:$CU$424,62,0)</f>
        <v/>
      </c>
      <c r="UB15" s="9" t="str">
        <f>VLOOKUP(AG15,'BUS 2'!$G$1:$CU$424,63,0)</f>
        <v/>
      </c>
      <c r="UC15" s="9" t="str">
        <f>VLOOKUP(AG15,'BUS 2'!$G$1:$CU$424,64,0)</f>
        <v/>
      </c>
      <c r="UD15" s="9" t="str">
        <f>VLOOKUP(AG15,'BUS 2'!$G$1:$CU$424,65,0)</f>
        <v/>
      </c>
      <c r="UE15" s="9" t="str">
        <f>VLOOKUP(AG15,'BUS 2'!$G$1:$CU$424,66,0)</f>
        <v/>
      </c>
      <c r="UF15" s="9" t="str">
        <f>VLOOKUP(AG15,'BUS 2'!$G$1:$CU$424,67,0)</f>
        <v/>
      </c>
      <c r="UG15" s="9" t="str">
        <f>VLOOKUP(AG15,'BUS 2'!$G$1:$CU$424,68,0)</f>
        <v/>
      </c>
      <c r="UH15" s="9" t="str">
        <f>VLOOKUP(AG15,'BUS 2'!$G$1:$CU$424,69,0)</f>
        <v/>
      </c>
      <c r="UI15" s="9" t="str">
        <f>VLOOKUP(AG15,'BUS 2'!$G$1:$CU$424,70,0)</f>
        <v/>
      </c>
      <c r="UJ15" s="9" t="str">
        <f>VLOOKUP(AG15,'BUS 2'!$G$1:$CU$424,71,0)</f>
        <v/>
      </c>
      <c r="UK15" s="9" t="str">
        <f>VLOOKUP(AG15,'BUS 2'!$G$1:$CU$424,72,0)</f>
        <v/>
      </c>
      <c r="UL15" s="9" t="str">
        <f>VLOOKUP(AG15,'BUS 2'!$G$1:$CU$424,73,0)</f>
        <v/>
      </c>
      <c r="UM15" s="9" t="str">
        <f>VLOOKUP(AG15,'BUS 2'!$G$1:$CU$424,74,0)</f>
        <v/>
      </c>
      <c r="UN15" s="9" t="str">
        <f>VLOOKUP(AG15,'BUS 2'!$G$1:$CU$424,75,0)</f>
        <v/>
      </c>
      <c r="UO15" s="9" t="str">
        <f>VLOOKUP(AG15,'BUS 2'!$G$1:$CU$424,76,0)</f>
        <v/>
      </c>
      <c r="UP15" s="9" t="str">
        <f>VLOOKUP(AG15,'BUS 2'!$G$1:$CU$424,77,0)</f>
        <v/>
      </c>
      <c r="UQ15" s="9" t="str">
        <f>VLOOKUP(AG15,'BUS 2'!$G$1:$CU$424,78,0)</f>
        <v/>
      </c>
      <c r="UR15" s="9" t="str">
        <f>VLOOKUP(AG15,'BUS 2'!$G$1:$CU$424,79,0)</f>
        <v/>
      </c>
      <c r="US15" s="9" t="str">
        <f>VLOOKUP(AG15,'BUS 2'!$G$1:$CU$424,80,0)</f>
        <v/>
      </c>
      <c r="UT15" s="9" t="str">
        <f>VLOOKUP(AG15,'BUS 2'!$G$1:$CU$424,81,0)</f>
        <v/>
      </c>
      <c r="UU15" s="9" t="s">
        <v>1937</v>
      </c>
      <c r="UV15" s="9"/>
      <c r="UW15" s="9"/>
      <c r="UX15" s="9"/>
      <c r="UY15" s="9"/>
      <c r="UZ15" s="9"/>
      <c r="VA15" s="9"/>
      <c r="VB15" s="9"/>
      <c r="VC15" s="9" t="s">
        <v>1938</v>
      </c>
      <c r="VD15" s="9"/>
      <c r="VE15" s="9"/>
      <c r="VF15" s="9"/>
      <c r="VG15" s="9"/>
      <c r="VH15" s="9"/>
      <c r="VI15" s="9"/>
      <c r="VJ15" s="9"/>
      <c r="VK15" s="9" t="s">
        <v>903</v>
      </c>
      <c r="VL15" s="9"/>
      <c r="VM15" s="9"/>
      <c r="VN15" s="9"/>
      <c r="VO15" s="9"/>
      <c r="VP15" s="9"/>
      <c r="VQ15" s="9"/>
      <c r="VR15" s="9"/>
      <c r="VS15" s="9" t="s">
        <v>951</v>
      </c>
      <c r="VT15" s="8">
        <v>0.0</v>
      </c>
      <c r="VU15" s="8">
        <v>0.0</v>
      </c>
      <c r="VV15" s="8">
        <v>0.0</v>
      </c>
      <c r="VW15" s="8">
        <v>0.0</v>
      </c>
      <c r="VX15" s="8">
        <v>0.0</v>
      </c>
      <c r="VY15" s="8">
        <v>0.0</v>
      </c>
      <c r="VZ15" s="8">
        <v>1.0</v>
      </c>
      <c r="WA15" s="8">
        <v>0.0</v>
      </c>
      <c r="WB15" s="8">
        <v>0.0</v>
      </c>
      <c r="WC15" s="8">
        <v>0.0</v>
      </c>
      <c r="WD15" s="8">
        <v>0.0</v>
      </c>
      <c r="WE15" s="8">
        <v>0.0</v>
      </c>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8">
        <v>3.0</v>
      </c>
      <c r="ZW15" s="9"/>
      <c r="ZX15" s="9"/>
      <c r="ZY15" s="9"/>
      <c r="ZZ15" s="9"/>
      <c r="AAA15" s="9"/>
      <c r="AAB15" s="9"/>
      <c r="AAC15" s="9"/>
      <c r="AAD15" s="9" t="s">
        <v>1186</v>
      </c>
      <c r="AAE15" s="9"/>
      <c r="AAF15" s="9"/>
      <c r="AAG15" s="9"/>
      <c r="AAH15" s="9"/>
      <c r="AAI15" s="9"/>
      <c r="AAJ15" s="9"/>
      <c r="AAK15" s="9"/>
      <c r="AAL15" s="9" t="s">
        <v>881</v>
      </c>
      <c r="AAM15" s="9"/>
      <c r="AAN15" s="9"/>
      <c r="AAO15" s="9"/>
      <c r="AAP15" s="9"/>
      <c r="AAQ15" s="9"/>
      <c r="AAR15" s="9" t="s">
        <v>857</v>
      </c>
      <c r="AAS15" s="9" t="s">
        <v>867</v>
      </c>
      <c r="AAT15" s="9" t="s">
        <v>2176</v>
      </c>
      <c r="AAU15" s="8">
        <v>0.0</v>
      </c>
      <c r="AAV15" s="8">
        <v>0.0</v>
      </c>
      <c r="AAW15" s="8">
        <v>0.0</v>
      </c>
      <c r="AAX15" s="8">
        <v>0.0</v>
      </c>
      <c r="AAY15" s="8">
        <v>0.0</v>
      </c>
      <c r="AAZ15" s="8">
        <v>1.0</v>
      </c>
      <c r="ABA15" s="8">
        <v>0.0</v>
      </c>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t="s">
        <v>969</v>
      </c>
      <c r="ACL15" s="8">
        <v>0.0</v>
      </c>
      <c r="ACM15" s="8">
        <v>0.0</v>
      </c>
      <c r="ACN15" s="8">
        <v>0.0</v>
      </c>
      <c r="ACO15" s="8">
        <v>0.0</v>
      </c>
      <c r="ACP15" s="8">
        <v>0.0</v>
      </c>
      <c r="ACQ15" s="8">
        <v>0.0</v>
      </c>
      <c r="ACR15" s="8">
        <v>1.0</v>
      </c>
      <c r="ACS15" s="9" t="s">
        <v>2271</v>
      </c>
      <c r="ACT15" s="9" t="s">
        <v>2272</v>
      </c>
      <c r="ACU15" s="9" t="s">
        <v>1050</v>
      </c>
      <c r="ACV15" s="9" t="s">
        <v>914</v>
      </c>
      <c r="ACW15" s="9" t="s">
        <v>915</v>
      </c>
      <c r="ACX15" s="9" t="s">
        <v>958</v>
      </c>
      <c r="ACY15" s="9" t="s">
        <v>1035</v>
      </c>
      <c r="ACZ15" s="8">
        <v>1.0</v>
      </c>
      <c r="ADA15" s="8">
        <v>1.0</v>
      </c>
      <c r="ADB15" s="8">
        <v>0.0</v>
      </c>
      <c r="ADC15" s="8">
        <v>0.0</v>
      </c>
      <c r="ADD15" s="9" t="s">
        <v>917</v>
      </c>
      <c r="ADE15" s="9" t="s">
        <v>917</v>
      </c>
      <c r="ADF15" s="9" t="s">
        <v>917</v>
      </c>
      <c r="ADG15" s="9" t="s">
        <v>917</v>
      </c>
      <c r="ADH15" s="9" t="s">
        <v>881</v>
      </c>
      <c r="ADI15" s="9"/>
      <c r="ADJ15" s="9" t="s">
        <v>917</v>
      </c>
      <c r="ADK15" s="9"/>
      <c r="ADL15" s="9"/>
      <c r="ADM15" s="9"/>
      <c r="ADN15" s="9"/>
      <c r="ADO15" s="9"/>
      <c r="ADP15" s="9"/>
      <c r="ADQ15" s="9"/>
      <c r="ADR15" s="9"/>
      <c r="ADS15" s="9"/>
      <c r="ADT15" s="9"/>
      <c r="ADU15" s="9" t="s">
        <v>969</v>
      </c>
      <c r="ADV15" s="8">
        <v>0.0</v>
      </c>
      <c r="ADW15" s="8">
        <v>0.0</v>
      </c>
      <c r="ADX15" s="8">
        <v>0.0</v>
      </c>
      <c r="ADY15" s="8">
        <v>0.0</v>
      </c>
      <c r="ADZ15" s="8">
        <v>0.0</v>
      </c>
      <c r="AEA15" s="8">
        <v>0.0</v>
      </c>
      <c r="AEB15" s="8">
        <v>0.0</v>
      </c>
      <c r="AEC15" s="8">
        <v>1.0</v>
      </c>
      <c r="AED15" s="9" t="s">
        <v>2273</v>
      </c>
      <c r="AEE15" s="9" t="s">
        <v>969</v>
      </c>
      <c r="AEF15" s="9" t="s">
        <v>2274</v>
      </c>
      <c r="AEG15" s="9" t="s">
        <v>1367</v>
      </c>
      <c r="AEH15" s="9"/>
      <c r="AEI15" s="9" t="s">
        <v>2275</v>
      </c>
      <c r="AEJ15" s="9" t="s">
        <v>871</v>
      </c>
      <c r="AEK15" s="9" t="s">
        <v>2276</v>
      </c>
      <c r="AEL15" s="8">
        <v>1.0</v>
      </c>
      <c r="AEM15" s="8">
        <v>1.0</v>
      </c>
      <c r="AEN15" s="8">
        <v>1.0</v>
      </c>
      <c r="AEO15" s="8">
        <v>1.0</v>
      </c>
      <c r="AEP15" s="8">
        <v>1.0</v>
      </c>
      <c r="AEQ15" s="8">
        <v>0.0</v>
      </c>
      <c r="AER15" s="8">
        <v>0.0</v>
      </c>
      <c r="AES15" s="8">
        <v>0.0</v>
      </c>
      <c r="AET15" s="8">
        <v>0.0</v>
      </c>
      <c r="AEU15" s="8">
        <v>0.0</v>
      </c>
      <c r="AEV15" s="8">
        <v>1.0</v>
      </c>
      <c r="AEW15" s="8">
        <v>0.0</v>
      </c>
      <c r="AEX15" s="9"/>
      <c r="AEY15" s="9" t="s">
        <v>923</v>
      </c>
      <c r="AEZ15" s="9"/>
      <c r="AFA15" s="9" t="s">
        <v>2077</v>
      </c>
      <c r="AFB15" s="9"/>
      <c r="AFC15" s="9" t="s">
        <v>2277</v>
      </c>
      <c r="AFD15" s="16" t="s">
        <v>2278</v>
      </c>
      <c r="AFE15" s="9" t="s">
        <v>2279</v>
      </c>
      <c r="AFF15" s="16" t="s">
        <v>2280</v>
      </c>
      <c r="AFG15" s="9" t="s">
        <v>1986</v>
      </c>
      <c r="AFH15" s="9"/>
      <c r="AFI15" s="21"/>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8">
        <v>6.7110006E8</v>
      </c>
      <c r="AWB15" s="9" t="s">
        <v>2281</v>
      </c>
      <c r="AWC15" s="6">
        <v>46066.0</v>
      </c>
      <c r="AWD15" s="9"/>
      <c r="AWE15" s="9"/>
      <c r="AWF15" s="9" t="s">
        <v>1954</v>
      </c>
      <c r="AWG15" s="9"/>
      <c r="AWH15" s="9" t="s">
        <v>1989</v>
      </c>
      <c r="AWI15" s="9"/>
      <c r="AWJ15" s="9" t="s">
        <v>2282</v>
      </c>
      <c r="AWK15" s="8">
        <v>210.0</v>
      </c>
      <c r="AWL15" s="9" t="s">
        <v>2268</v>
      </c>
      <c r="AWM15" s="8">
        <v>0.0</v>
      </c>
      <c r="AWN15" s="9" t="s">
        <v>1957</v>
      </c>
      <c r="AWO15" s="33" t="b">
        <v>1</v>
      </c>
      <c r="AWP15" s="33" t="b">
        <v>1</v>
      </c>
      <c r="AWQ15" s="33" t="b">
        <v>1</v>
      </c>
      <c r="AWR15" s="33" t="b">
        <v>1</v>
      </c>
      <c r="AWS15" s="33" t="b">
        <v>1</v>
      </c>
      <c r="AWT15" s="33" t="b">
        <v>1</v>
      </c>
      <c r="AWU15" s="9"/>
      <c r="AWV15" s="8">
        <v>29.0</v>
      </c>
      <c r="AWW15" s="9"/>
      <c r="AWX15" s="9"/>
      <c r="AWY15" s="9"/>
      <c r="AWZ15" s="9"/>
    </row>
    <row r="16">
      <c r="A16" s="6">
        <v>46059.0</v>
      </c>
      <c r="B16" s="6">
        <v>46069.0</v>
      </c>
      <c r="C16" s="30" t="s">
        <v>1958</v>
      </c>
      <c r="D16" s="30" t="s">
        <v>2283</v>
      </c>
      <c r="E16" s="8">
        <f t="shared" si="1"/>
        <v>620</v>
      </c>
      <c r="F16" s="9" t="s">
        <v>2284</v>
      </c>
      <c r="G16" s="8">
        <v>-5.49818</v>
      </c>
      <c r="H16" s="8">
        <v>119.526625</v>
      </c>
      <c r="I16" s="8">
        <v>99.50671425</v>
      </c>
      <c r="J16" s="8">
        <v>8.711000443</v>
      </c>
      <c r="K16" s="8">
        <v>0.0</v>
      </c>
      <c r="L16" s="9" t="s">
        <v>2285</v>
      </c>
      <c r="M16" s="8">
        <v>-5.498223</v>
      </c>
      <c r="N16" s="8">
        <v>119.526532</v>
      </c>
      <c r="O16" s="8">
        <v>82.1</v>
      </c>
      <c r="P16" s="8">
        <v>4.400000095</v>
      </c>
      <c r="Q16" s="8">
        <v>0.0</v>
      </c>
      <c r="R16" s="9" t="s">
        <v>1923</v>
      </c>
      <c r="S16" s="8">
        <v>0.0</v>
      </c>
      <c r="T16" s="8">
        <v>0.0</v>
      </c>
      <c r="U16" s="8">
        <v>0.0</v>
      </c>
      <c r="V16" s="8">
        <v>0.0</v>
      </c>
      <c r="W16" s="8">
        <v>0.0</v>
      </c>
      <c r="X16" s="8">
        <v>0.0</v>
      </c>
      <c r="Y16" s="8">
        <v>0.0</v>
      </c>
      <c r="Z16" s="8">
        <v>0.0</v>
      </c>
      <c r="AA16" s="8">
        <v>0.0</v>
      </c>
      <c r="AB16" s="8">
        <v>1.0</v>
      </c>
      <c r="AC16" s="7" t="s">
        <v>1962</v>
      </c>
      <c r="AD16" s="7" t="s">
        <v>1963</v>
      </c>
      <c r="AE16" s="7" t="s">
        <v>1964</v>
      </c>
      <c r="AF16" s="9" t="s">
        <v>2170</v>
      </c>
      <c r="AG16" s="9" t="s">
        <v>2286</v>
      </c>
      <c r="AH16" s="8">
        <v>9.0</v>
      </c>
      <c r="AI16" s="9" t="s">
        <v>845</v>
      </c>
      <c r="AJ16" s="9" t="s">
        <v>934</v>
      </c>
      <c r="AK16" s="8">
        <v>49.0</v>
      </c>
      <c r="AL16" s="9" t="s">
        <v>847</v>
      </c>
      <c r="AM16" s="9" t="s">
        <v>848</v>
      </c>
      <c r="AN16" s="9" t="s">
        <v>986</v>
      </c>
      <c r="AO16" s="9" t="s">
        <v>850</v>
      </c>
      <c r="AP16" s="8">
        <v>1.0</v>
      </c>
      <c r="AQ16" s="8">
        <v>0.0</v>
      </c>
      <c r="AR16" s="8">
        <v>0.0</v>
      </c>
      <c r="AS16" s="8">
        <v>0.0</v>
      </c>
      <c r="AT16" s="8">
        <v>0.0</v>
      </c>
      <c r="AU16" s="8">
        <v>0.0</v>
      </c>
      <c r="AV16" s="8">
        <v>0.0</v>
      </c>
      <c r="AW16" s="8">
        <v>0.0</v>
      </c>
      <c r="AX16" s="9"/>
      <c r="AY16" s="9" t="s">
        <v>999</v>
      </c>
      <c r="AZ16" s="8">
        <v>0.0</v>
      </c>
      <c r="BA16" s="8">
        <v>0.0</v>
      </c>
      <c r="BB16" s="8">
        <v>0.0</v>
      </c>
      <c r="BC16" s="8">
        <v>0.0</v>
      </c>
      <c r="BD16" s="8">
        <v>0.0</v>
      </c>
      <c r="BE16" s="8">
        <v>0.0</v>
      </c>
      <c r="BF16" s="8">
        <v>0.0</v>
      </c>
      <c r="BG16" s="8">
        <v>1.0</v>
      </c>
      <c r="BH16" s="11"/>
      <c r="BI16" s="9" t="s">
        <v>936</v>
      </c>
      <c r="BJ16" s="8">
        <v>2.0</v>
      </c>
      <c r="BK16" s="8">
        <v>1.0</v>
      </c>
      <c r="BL16" s="8">
        <v>1.0</v>
      </c>
      <c r="BM16" s="8">
        <v>0.0</v>
      </c>
      <c r="BN16" s="9" t="s">
        <v>853</v>
      </c>
      <c r="BO16" s="9" t="s">
        <v>854</v>
      </c>
      <c r="BP16" s="8">
        <v>1.0</v>
      </c>
      <c r="BQ16" s="8">
        <v>0.0</v>
      </c>
      <c r="BR16" s="8">
        <v>0.0</v>
      </c>
      <c r="BS16" s="8">
        <v>0.0</v>
      </c>
      <c r="BT16" s="8">
        <v>0.0</v>
      </c>
      <c r="BU16" s="9"/>
      <c r="BV16" s="9" t="s">
        <v>1254</v>
      </c>
      <c r="BW16" s="8">
        <v>0.0</v>
      </c>
      <c r="BX16" s="8">
        <v>1.0</v>
      </c>
      <c r="BY16" s="8">
        <v>0.0</v>
      </c>
      <c r="BZ16" s="8">
        <v>0.0</v>
      </c>
      <c r="CA16" s="8">
        <v>0.0</v>
      </c>
      <c r="CB16" s="9"/>
      <c r="CC16" s="9" t="s">
        <v>1929</v>
      </c>
      <c r="CD16" s="8">
        <v>0.0</v>
      </c>
      <c r="CE16" s="8">
        <v>0.0</v>
      </c>
      <c r="CF16" s="8">
        <v>0.0</v>
      </c>
      <c r="CG16" s="8">
        <v>0.0</v>
      </c>
      <c r="CH16" s="8">
        <v>1.0</v>
      </c>
      <c r="CI16" s="8">
        <v>0.0</v>
      </c>
      <c r="CJ16" s="8">
        <v>0.0</v>
      </c>
      <c r="CK16" s="9"/>
      <c r="CL16" s="9" t="s">
        <v>857</v>
      </c>
      <c r="CM16" s="8">
        <v>2017.0</v>
      </c>
      <c r="CN16" s="9" t="s">
        <v>858</v>
      </c>
      <c r="CO16" s="9" t="s">
        <v>1968</v>
      </c>
      <c r="CP16" s="9" t="s">
        <v>860</v>
      </c>
      <c r="CQ16" s="8">
        <v>0.0</v>
      </c>
      <c r="CR16" s="8">
        <v>0.0</v>
      </c>
      <c r="CS16" s="8">
        <v>0.0</v>
      </c>
      <c r="CT16" s="8">
        <v>0.0</v>
      </c>
      <c r="CU16" s="8">
        <v>1.0</v>
      </c>
      <c r="CV16" s="8">
        <v>0.0</v>
      </c>
      <c r="CW16" s="8">
        <v>0.0</v>
      </c>
      <c r="CX16" s="8">
        <v>0.0</v>
      </c>
      <c r="CY16" s="9" t="s">
        <v>860</v>
      </c>
      <c r="CZ16" s="8">
        <v>1.0</v>
      </c>
      <c r="DA16" s="8">
        <v>0.0</v>
      </c>
      <c r="DB16" s="8">
        <v>0.0</v>
      </c>
      <c r="DC16" s="9"/>
      <c r="DD16" s="9" t="s">
        <v>860</v>
      </c>
      <c r="DE16" s="8">
        <v>1.0</v>
      </c>
      <c r="DF16" s="8">
        <v>0.0</v>
      </c>
      <c r="DG16" s="8">
        <v>0.0</v>
      </c>
      <c r="DH16" s="8">
        <v>0.0</v>
      </c>
      <c r="DI16" s="9"/>
      <c r="DJ16" s="9" t="s">
        <v>937</v>
      </c>
      <c r="DK16" s="8">
        <v>1.0</v>
      </c>
      <c r="DL16" s="8">
        <v>0.0</v>
      </c>
      <c r="DM16" s="8">
        <v>1.0</v>
      </c>
      <c r="DN16" s="8">
        <v>0.0</v>
      </c>
      <c r="DO16" s="9"/>
      <c r="DP16" s="9" t="s">
        <v>938</v>
      </c>
      <c r="DQ16" s="9" t="s">
        <v>939</v>
      </c>
      <c r="DR16" s="17" t="s">
        <v>2030</v>
      </c>
      <c r="DS16" s="9"/>
      <c r="DT16" s="9" t="s">
        <v>2031</v>
      </c>
      <c r="DU16" s="8">
        <v>1.0</v>
      </c>
      <c r="DV16" s="8">
        <v>0.0</v>
      </c>
      <c r="DW16" s="8">
        <v>0.0</v>
      </c>
      <c r="DX16" s="8">
        <v>0.0</v>
      </c>
      <c r="DY16" s="8">
        <v>0.0</v>
      </c>
      <c r="DZ16" s="8">
        <v>0.0</v>
      </c>
      <c r="EA16" s="8">
        <v>0.0</v>
      </c>
      <c r="EB16" s="8">
        <v>0.0</v>
      </c>
      <c r="EC16" s="8">
        <v>0.0</v>
      </c>
      <c r="ED16" s="8">
        <v>0.0</v>
      </c>
      <c r="EE16" s="8">
        <v>0.0</v>
      </c>
      <c r="EF16" s="8">
        <v>0.0</v>
      </c>
      <c r="EG16" s="8">
        <v>0.0</v>
      </c>
      <c r="EH16" s="8">
        <v>0.0</v>
      </c>
      <c r="EI16" s="9" t="s">
        <v>862</v>
      </c>
      <c r="EJ16" s="8">
        <v>0.0</v>
      </c>
      <c r="EK16" s="8">
        <v>0.0</v>
      </c>
      <c r="EL16" s="8">
        <v>0.0</v>
      </c>
      <c r="EM16" s="8">
        <v>1.0</v>
      </c>
      <c r="EN16" s="8">
        <v>0.0</v>
      </c>
      <c r="EO16" s="9"/>
      <c r="EP16" s="9" t="s">
        <v>1403</v>
      </c>
      <c r="EQ16" s="9" t="s">
        <v>864</v>
      </c>
      <c r="ER16" s="9" t="s">
        <v>861</v>
      </c>
      <c r="ES16" s="8">
        <v>1.0</v>
      </c>
      <c r="ET16" s="8">
        <v>0.0</v>
      </c>
      <c r="EU16" s="8">
        <v>0.0</v>
      </c>
      <c r="EV16" s="8">
        <v>0.0</v>
      </c>
      <c r="EW16" s="9"/>
      <c r="EX16" s="9" t="s">
        <v>865</v>
      </c>
      <c r="EY16" s="8">
        <v>1.0</v>
      </c>
      <c r="EZ16" s="8">
        <v>0.0</v>
      </c>
      <c r="FA16" s="8">
        <v>0.0</v>
      </c>
      <c r="FB16" s="9"/>
      <c r="FC16" s="9" t="s">
        <v>1072</v>
      </c>
      <c r="FD16" s="9" t="s">
        <v>2032</v>
      </c>
      <c r="FE16" s="9" t="s">
        <v>867</v>
      </c>
      <c r="FF16" s="9" t="s">
        <v>868</v>
      </c>
      <c r="FG16" s="9" t="s">
        <v>867</v>
      </c>
      <c r="FH16" s="9" t="s">
        <v>868</v>
      </c>
      <c r="FI16" s="9" t="s">
        <v>867</v>
      </c>
      <c r="FJ16" s="9" t="s">
        <v>868</v>
      </c>
      <c r="FK16" s="9" t="s">
        <v>867</v>
      </c>
      <c r="FL16" s="9" t="s">
        <v>870</v>
      </c>
      <c r="FM16" s="9" t="s">
        <v>867</v>
      </c>
      <c r="FN16" s="9" t="s">
        <v>943</v>
      </c>
      <c r="FO16" s="9" t="s">
        <v>867</v>
      </c>
      <c r="FP16" s="9" t="s">
        <v>870</v>
      </c>
      <c r="FQ16" s="9" t="s">
        <v>867</v>
      </c>
      <c r="FR16" s="9" t="s">
        <v>857</v>
      </c>
      <c r="FS16" s="9" t="s">
        <v>867</v>
      </c>
      <c r="FT16" s="9" t="s">
        <v>2173</v>
      </c>
      <c r="FU16" s="9" t="s">
        <v>872</v>
      </c>
      <c r="FV16" s="8">
        <v>1.0</v>
      </c>
      <c r="FW16" s="8">
        <v>0.0</v>
      </c>
      <c r="FX16" s="8">
        <v>0.0</v>
      </c>
      <c r="FY16" s="8">
        <v>0.0</v>
      </c>
      <c r="FZ16" s="9" t="s">
        <v>2174</v>
      </c>
      <c r="GA16" s="31"/>
      <c r="GB16" s="12"/>
      <c r="GC16" s="12"/>
      <c r="GD16" s="12"/>
      <c r="GE16" s="12"/>
      <c r="GF16" s="9" t="s">
        <v>2174</v>
      </c>
      <c r="GG16" s="9" t="s">
        <v>883</v>
      </c>
      <c r="GH16" s="9" t="s">
        <v>857</v>
      </c>
      <c r="GI16" s="9" t="s">
        <v>1086</v>
      </c>
      <c r="GJ16" s="8">
        <v>1.0</v>
      </c>
      <c r="GK16" s="8">
        <v>1.0</v>
      </c>
      <c r="GL16" s="8">
        <v>0.0</v>
      </c>
      <c r="GM16" s="8">
        <v>0.0</v>
      </c>
      <c r="GN16" s="9"/>
      <c r="GO16" s="8">
        <v>10.0</v>
      </c>
      <c r="GP16" s="9" t="s">
        <v>1931</v>
      </c>
      <c r="GQ16" s="9" t="s">
        <v>1102</v>
      </c>
      <c r="GR16" s="8">
        <v>1.0</v>
      </c>
      <c r="GS16" s="8">
        <v>0.0</v>
      </c>
      <c r="GT16" s="8">
        <v>0.0</v>
      </c>
      <c r="GU16" s="8">
        <v>0.0</v>
      </c>
      <c r="GV16" s="8">
        <v>0.0</v>
      </c>
      <c r="GW16" s="8">
        <v>0.0</v>
      </c>
      <c r="GX16" s="8">
        <v>0.0</v>
      </c>
      <c r="GY16" s="9"/>
      <c r="GZ16" s="9" t="s">
        <v>857</v>
      </c>
      <c r="HA16" s="9"/>
      <c r="HB16" s="9"/>
      <c r="HC16" s="9"/>
      <c r="HD16" s="9"/>
      <c r="HE16" s="8">
        <v>12.0</v>
      </c>
      <c r="HF16" s="8">
        <v>72000.0</v>
      </c>
      <c r="HG16" s="8">
        <v>6.0</v>
      </c>
      <c r="HH16" s="8">
        <v>44000.0</v>
      </c>
      <c r="HI16" s="9"/>
      <c r="HJ16" s="9"/>
      <c r="HK16" s="9"/>
      <c r="HL16" s="9"/>
      <c r="HM16" s="9"/>
      <c r="HN16" s="9"/>
      <c r="HO16" s="9"/>
      <c r="HP16" s="9"/>
      <c r="HQ16" s="9"/>
      <c r="HR16" s="9"/>
      <c r="HS16" s="9"/>
      <c r="HT16" s="9"/>
      <c r="HU16" s="9"/>
      <c r="HV16" s="9"/>
      <c r="HW16" s="9"/>
      <c r="HX16" s="9"/>
      <c r="HY16" s="9"/>
      <c r="HZ16" s="9"/>
      <c r="IA16" s="8">
        <v>6.0</v>
      </c>
      <c r="IB16" s="8">
        <v>28000.0</v>
      </c>
      <c r="IC16" s="9"/>
      <c r="ID16" s="9"/>
      <c r="IE16" s="9"/>
      <c r="IF16" s="9"/>
      <c r="IG16" s="9"/>
      <c r="IH16" s="9"/>
      <c r="II16" s="9"/>
      <c r="IJ16" s="9"/>
      <c r="IK16" s="9" t="s">
        <v>1932</v>
      </c>
      <c r="IL16" s="9" t="s">
        <v>1366</v>
      </c>
      <c r="IM16" s="9" t="s">
        <v>857</v>
      </c>
      <c r="IN16" s="9" t="s">
        <v>881</v>
      </c>
      <c r="IO16" s="9" t="s">
        <v>945</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945</v>
      </c>
      <c r="KT16" s="9" t="s">
        <v>886</v>
      </c>
      <c r="KU16" s="9" t="s">
        <v>886</v>
      </c>
      <c r="KV16" s="9" t="s">
        <v>999</v>
      </c>
      <c r="KW16" s="8">
        <v>0.0</v>
      </c>
      <c r="KX16" s="8">
        <v>0.0</v>
      </c>
      <c r="KY16" s="8">
        <v>0.0</v>
      </c>
      <c r="KZ16" s="8">
        <v>1.0</v>
      </c>
      <c r="LA16" s="9" t="s">
        <v>945</v>
      </c>
      <c r="LB16" s="9" t="s">
        <v>1180</v>
      </c>
      <c r="LC16" s="8">
        <v>4.0</v>
      </c>
      <c r="LD16" s="8">
        <v>0.0</v>
      </c>
      <c r="LE16" s="8">
        <v>0.0</v>
      </c>
      <c r="LF16" s="8">
        <v>0.0</v>
      </c>
      <c r="LG16" s="9" t="s">
        <v>881</v>
      </c>
      <c r="LH16" s="9"/>
      <c r="LI16" s="8">
        <v>0.0</v>
      </c>
      <c r="LJ16" s="9" t="s">
        <v>969</v>
      </c>
      <c r="LK16" s="8">
        <v>0.0</v>
      </c>
      <c r="LL16" s="8">
        <v>0.0</v>
      </c>
      <c r="LM16" s="8">
        <v>0.0</v>
      </c>
      <c r="LN16" s="8">
        <v>0.0</v>
      </c>
      <c r="LO16" s="8">
        <v>0.0</v>
      </c>
      <c r="LP16" s="8">
        <v>0.0</v>
      </c>
      <c r="LQ16" s="8">
        <v>1.0</v>
      </c>
      <c r="LR16" s="11" t="s">
        <v>1973</v>
      </c>
      <c r="LS16" s="8">
        <v>5.0</v>
      </c>
      <c r="LT16" s="8">
        <v>0.0</v>
      </c>
      <c r="LU16" s="8">
        <v>0.0</v>
      </c>
      <c r="LV16" s="8">
        <v>5.0</v>
      </c>
      <c r="LW16" s="8">
        <v>0.0</v>
      </c>
      <c r="LX16" s="8">
        <v>0.0</v>
      </c>
      <c r="LY16" s="8">
        <v>5.0</v>
      </c>
      <c r="LZ16" s="8">
        <v>0.0</v>
      </c>
      <c r="MA16" s="8">
        <v>0.0</v>
      </c>
      <c r="MB16" s="9" t="s">
        <v>881</v>
      </c>
      <c r="MC16" s="8">
        <v>0.0</v>
      </c>
      <c r="MD16" s="8">
        <v>0.0</v>
      </c>
      <c r="ME16" s="8">
        <v>0.0</v>
      </c>
      <c r="MF16" s="8">
        <v>0.0</v>
      </c>
      <c r="MG16" s="8">
        <v>0.0</v>
      </c>
      <c r="MH16" s="8">
        <v>0.0</v>
      </c>
      <c r="MI16" s="9"/>
      <c r="MJ16" s="9"/>
      <c r="MK16" s="9"/>
      <c r="ML16" s="9"/>
      <c r="MM16" s="9"/>
      <c r="MN16" s="9"/>
      <c r="MO16" s="9"/>
      <c r="MP16" s="9"/>
      <c r="MQ16" s="9"/>
      <c r="MR16" s="17" t="s">
        <v>2287</v>
      </c>
      <c r="MS16" s="9"/>
      <c r="MT16" s="9" t="s">
        <v>2287</v>
      </c>
      <c r="MU16" s="9" t="s">
        <v>881</v>
      </c>
      <c r="MV16" s="9"/>
      <c r="MW16" s="9"/>
      <c r="MX16" s="9"/>
      <c r="MY16" s="9"/>
      <c r="MZ16" s="9"/>
      <c r="NA16" s="9"/>
      <c r="NB16" s="9"/>
      <c r="NC16" s="9"/>
      <c r="ND16" s="9"/>
      <c r="NE16" s="9"/>
      <c r="NF16" s="9"/>
      <c r="NG16" s="9"/>
      <c r="NH16" s="9"/>
      <c r="NI16" s="9"/>
      <c r="NJ16" s="9"/>
      <c r="NK16" s="9"/>
      <c r="NL16" s="9" t="s">
        <v>857</v>
      </c>
      <c r="NM16" s="9" t="s">
        <v>893</v>
      </c>
      <c r="NN16" s="17" t="s">
        <v>2069</v>
      </c>
      <c r="NO16" s="17" t="s">
        <v>895</v>
      </c>
      <c r="NP16" s="9"/>
      <c r="NQ16" s="9"/>
      <c r="NR16" s="9"/>
      <c r="NS16" s="9"/>
      <c r="NT16" s="9"/>
      <c r="NU16" s="9"/>
      <c r="NV16" s="17" t="s">
        <v>896</v>
      </c>
      <c r="NW16" s="9"/>
      <c r="NX16" s="9" t="s">
        <v>914</v>
      </c>
      <c r="NY16" s="8">
        <v>180.0</v>
      </c>
      <c r="NZ16" s="8">
        <v>0.0</v>
      </c>
      <c r="OA16" s="8">
        <v>0.0</v>
      </c>
      <c r="OB16" s="8">
        <v>0.0</v>
      </c>
      <c r="OC16" s="8">
        <v>20.0</v>
      </c>
      <c r="OD16" s="8">
        <v>0.0</v>
      </c>
      <c r="OE16" s="9" t="s">
        <v>945</v>
      </c>
      <c r="OF16" s="9" t="s">
        <v>1184</v>
      </c>
      <c r="OG16" s="9" t="s">
        <v>857</v>
      </c>
      <c r="OH16" s="8">
        <v>1.0</v>
      </c>
      <c r="OI16" s="8">
        <v>0.0</v>
      </c>
      <c r="OJ16" s="8">
        <v>0.0</v>
      </c>
      <c r="OK16" s="8">
        <v>0.0</v>
      </c>
      <c r="OL16" s="8">
        <v>0.0</v>
      </c>
      <c r="OM16" s="8">
        <v>0.0</v>
      </c>
      <c r="ON16" s="8">
        <v>10.0</v>
      </c>
      <c r="OO16" s="8">
        <v>8.0</v>
      </c>
      <c r="OP16" s="9" t="str">
        <f>VLOOKUP(AG16,'BUS 2'!$G$1:$CU$424,2,0)</f>
        <v>Sapi pedaging Ayam Unggas lainnya</v>
      </c>
      <c r="OQ16" s="8">
        <f>VLOOKUP(AG16,'BUS 2'!$G$1:$CU$424,3,0)</f>
        <v>1</v>
      </c>
      <c r="OR16" s="8">
        <f>VLOOKUP(AG16,'BUS 2'!$G$1:$CU$424,4,0)</f>
        <v>0</v>
      </c>
      <c r="OS16" s="8">
        <f>VLOOKUP(AG16,'BUS 2'!$G$1:$CU$424,5,0)</f>
        <v>0</v>
      </c>
      <c r="OT16" s="8">
        <f>VLOOKUP(AG16,'BUS 2'!$G$1:$CU$424,6,0)</f>
        <v>0</v>
      </c>
      <c r="OU16" s="8">
        <f>VLOOKUP(AG16,'BUS 2'!$G$1:$CU$424,7,0)</f>
        <v>0</v>
      </c>
      <c r="OV16" s="8">
        <f>VLOOKUP(AG16,'BUS 2'!$G$1:$CU$424,8,0)</f>
        <v>0</v>
      </c>
      <c r="OW16" s="8">
        <f>VLOOKUP(AG16,'BUS 2'!$G$1:$CU$424,9,0)</f>
        <v>1</v>
      </c>
      <c r="OX16" s="8">
        <f>VLOOKUP(AG16,'BUS 2'!$G$1:$CU$424,10,0)</f>
        <v>1</v>
      </c>
      <c r="OY16" s="8">
        <f>VLOOKUP(AG16,'BUS 2'!$G$1:$CU$424,11,0)</f>
        <v>0</v>
      </c>
      <c r="OZ16" s="8" t="str">
        <f>VLOOKUP(AG16,'BUS 2'!$G$1:$CU$424,12,0)</f>
        <v>Sapi pedaging Ayam Unggas lainnya</v>
      </c>
      <c r="PA16" s="8">
        <f>VLOOKUP(AG16,'BUS 2'!$G$1:$CU$424,13,0)</f>
        <v>1</v>
      </c>
      <c r="PB16" s="8">
        <f>VLOOKUP(AG16,'BUS 2'!$G$1:$CU$424,14,0)</f>
        <v>0</v>
      </c>
      <c r="PC16" s="8">
        <f>VLOOKUP(AG16,'BUS 2'!$G$1:$CU$424,15,0)</f>
        <v>0</v>
      </c>
      <c r="PD16" s="8">
        <f>VLOOKUP(AG16,'BUS 2'!$G$1:$CU$424,16,0)</f>
        <v>0</v>
      </c>
      <c r="PE16" s="8">
        <f>VLOOKUP(AG16,'BUS 2'!$G$1:$CU$424,17,0)</f>
        <v>0</v>
      </c>
      <c r="PF16" s="8">
        <f>VLOOKUP(AG16,'BUS 2'!$G$1:$CU$424,18,0)</f>
        <v>0</v>
      </c>
      <c r="PG16" s="8">
        <f>VLOOKUP(AG16,'BUS 2'!$G$1:$CU$424,19,0)</f>
        <v>1</v>
      </c>
      <c r="PH16" s="8">
        <f>VLOOKUP(AG16,'BUS 2'!$G$1:$CU$424,20,0)</f>
        <v>1</v>
      </c>
      <c r="PI16" s="8">
        <f>VLOOKUP(AG16,'BUS 2'!$G$1:$CU$424,21,0)</f>
        <v>0</v>
      </c>
      <c r="PJ16" s="8" t="str">
        <f>VLOOKUP(AG16,'BUS 2'!$G$1:$CU$424,22,0)</f>
        <v>Sapi pedaging Ayam Unggas lainnya</v>
      </c>
      <c r="PK16" s="8">
        <f>VLOOKUP(AG16,'BUS 2'!$G$1:$CU$424,23,0)</f>
        <v>1</v>
      </c>
      <c r="PL16" s="8">
        <f>VLOOKUP(AG16,'BUS 2'!$G$1:$CU$424,24,0)</f>
        <v>0</v>
      </c>
      <c r="PM16" s="8">
        <f>VLOOKUP(AG16,'BUS 2'!$G$1:$CU$424,25,0)</f>
        <v>0</v>
      </c>
      <c r="PN16" s="8">
        <f>VLOOKUP(AG16,'BUS 2'!$G$1:$CU$424,26,0)</f>
        <v>0</v>
      </c>
      <c r="PO16" s="8">
        <f>VLOOKUP(AG16,'BUS 2'!$G$1:$CU$424,27,0)</f>
        <v>0</v>
      </c>
      <c r="PP16" s="8">
        <f>VLOOKUP(AG16,'BUS 2'!$G$1:$CU$424,28,0)</f>
        <v>0</v>
      </c>
      <c r="PQ16" s="8">
        <f>VLOOKUP(AG16,'BUS 2'!$G$1:$CU$424,29,0)</f>
        <v>1</v>
      </c>
      <c r="PR16" s="8">
        <f>VLOOKUP(AG16,'BUS 2'!$G$1:$CU$424,30,0)</f>
        <v>1</v>
      </c>
      <c r="PS16" s="8">
        <f>VLOOKUP(AG16,'BUS 2'!$G$1:$CU$424,31,0)</f>
        <v>0</v>
      </c>
      <c r="PT16" s="9" t="s">
        <v>900</v>
      </c>
      <c r="PU16" s="8">
        <v>0.0</v>
      </c>
      <c r="PV16" s="8">
        <v>0.0</v>
      </c>
      <c r="PW16" s="8">
        <v>0.0</v>
      </c>
      <c r="PX16" s="8">
        <v>0.0</v>
      </c>
      <c r="PY16" s="8">
        <v>0.0</v>
      </c>
      <c r="PZ16" s="8">
        <v>1.0</v>
      </c>
      <c r="QA16" s="8">
        <v>0.0</v>
      </c>
      <c r="QB16" s="8">
        <v>0.0</v>
      </c>
      <c r="QC16" s="8">
        <v>0.0</v>
      </c>
      <c r="QD16" s="9"/>
      <c r="QE16" s="32"/>
      <c r="QF16" s="31"/>
      <c r="QG16" s="31"/>
      <c r="QH16" s="31"/>
      <c r="QI16" s="31"/>
      <c r="QJ16" s="31"/>
      <c r="QK16" s="32"/>
      <c r="QL16" s="32"/>
      <c r="QM16" s="32"/>
      <c r="QN16" s="32"/>
      <c r="QO16" s="32"/>
      <c r="QP16" s="32"/>
      <c r="QQ16" s="32"/>
      <c r="QR16" s="32"/>
      <c r="QS16" s="32"/>
      <c r="QT16" s="32"/>
      <c r="QU16" s="32"/>
      <c r="QV16" s="32"/>
      <c r="QW16" s="31"/>
      <c r="QX16" s="31"/>
      <c r="QY16" s="31"/>
      <c r="QZ16" s="31"/>
      <c r="RA16" s="31"/>
      <c r="RB16" s="32"/>
      <c r="RC16" s="32"/>
      <c r="RD16" s="32"/>
      <c r="RE16" s="32"/>
      <c r="RF16" s="32"/>
      <c r="RG16" s="9"/>
      <c r="RH16" s="31"/>
      <c r="RI16" s="31"/>
      <c r="RJ16" s="31"/>
      <c r="RK16" s="31"/>
      <c r="RL16" s="31"/>
      <c r="RM16" s="9"/>
      <c r="RN16" s="9"/>
      <c r="RO16" s="9"/>
      <c r="RP16" s="9"/>
      <c r="RQ16" s="9"/>
      <c r="RR16" s="9"/>
      <c r="RS16" s="31"/>
      <c r="RT16" s="31"/>
      <c r="RU16" s="31"/>
      <c r="RV16" s="31"/>
      <c r="RW16" s="31"/>
      <c r="RX16" s="9"/>
      <c r="RY16" s="9"/>
      <c r="RZ16" s="9"/>
      <c r="SA16" s="9"/>
      <c r="SB16" s="9"/>
      <c r="SC16" s="9" t="s">
        <v>900</v>
      </c>
      <c r="SD16" s="35">
        <v>0.0</v>
      </c>
      <c r="SE16" s="35">
        <v>0.0</v>
      </c>
      <c r="SF16" s="35">
        <v>0.0</v>
      </c>
      <c r="SG16" s="35">
        <v>0.0</v>
      </c>
      <c r="SH16" s="35">
        <v>0.0</v>
      </c>
      <c r="SI16" s="8">
        <v>1.0</v>
      </c>
      <c r="SJ16" s="8">
        <v>0.0</v>
      </c>
      <c r="SK16" s="8">
        <v>0.0</v>
      </c>
      <c r="SL16" s="8">
        <v>0.0</v>
      </c>
      <c r="SM16" s="9"/>
      <c r="SN16" s="9" t="s">
        <v>900</v>
      </c>
      <c r="SO16" s="35">
        <v>0.0</v>
      </c>
      <c r="SP16" s="35">
        <v>0.0</v>
      </c>
      <c r="SQ16" s="35">
        <v>0.0</v>
      </c>
      <c r="SR16" s="35">
        <v>0.0</v>
      </c>
      <c r="SS16" s="35">
        <v>0.0</v>
      </c>
      <c r="ST16" s="8">
        <v>1.0</v>
      </c>
      <c r="SU16" s="8">
        <v>0.0</v>
      </c>
      <c r="SV16" s="8">
        <v>0.0</v>
      </c>
      <c r="SW16" s="8">
        <v>0.0</v>
      </c>
      <c r="SX16" s="9"/>
      <c r="SY16" s="8">
        <f>VLOOKUP(AG16,'BUS 2'!$G$1:$CU$424,33,0)</f>
        <v>4</v>
      </c>
      <c r="SZ16" s="9" t="str">
        <f>VLOOKUP(AG16,'BUS 2'!$G$1:$CU$424,34,0)</f>
        <v/>
      </c>
      <c r="TA16" s="9" t="str">
        <f>VLOOKUP(AG16,'BUS 2'!$G$1:$CU$424,35,0)</f>
        <v/>
      </c>
      <c r="TB16" s="9" t="str">
        <f>VLOOKUP(AG16,'BUS 2'!$G$1:$CU$424,36,0)</f>
        <v/>
      </c>
      <c r="TC16" s="9" t="str">
        <f>VLOOKUP(AG16,'BUS 2'!$G$1:$CU$424,37,0)</f>
        <v/>
      </c>
      <c r="TD16" s="9" t="str">
        <f>VLOOKUP(AG16,'BUS 2'!$G$1:$CU$424,38,0)</f>
        <v/>
      </c>
      <c r="TE16" s="9">
        <f>VLOOKUP(AG16,'BUS 2'!$G$1:$CU$424,39,0)</f>
        <v>10</v>
      </c>
      <c r="TF16" s="9">
        <f>VLOOKUP(AG16,'BUS 2'!$G$1:$CU$424,40,0)</f>
        <v>2</v>
      </c>
      <c r="TG16" s="8">
        <f>VLOOKUP(AG16,'BUS 2'!$G$1:$CU$424,42,0)</f>
        <v>12</v>
      </c>
      <c r="TH16" s="8" t="str">
        <f>VLOOKUP(AG16,'BUS 2'!$G$1:$CU$424,43,0)</f>
        <v/>
      </c>
      <c r="TI16" s="8" t="str">
        <f>VLOOKUP(AG16,'BUS 2'!$G$1:$CU$424,44,0)</f>
        <v/>
      </c>
      <c r="TJ16" s="8" t="str">
        <f>VLOOKUP(AG16,'BUS 2'!$G$1:$CU$424,45,0)</f>
        <v/>
      </c>
      <c r="TK16" s="8" t="str">
        <f>VLOOKUP(AG16,'BUS 2'!$G$1:$CU$424,46,0)</f>
        <v/>
      </c>
      <c r="TL16" s="8" t="str">
        <f>VLOOKUP(AG16,'BUS 2'!$G$1:$CU$424,47,0)</f>
        <v/>
      </c>
      <c r="TM16" s="8">
        <f>VLOOKUP(AG16,'BUS 2'!$G$1:$CU$424,48,0)</f>
        <v>5</v>
      </c>
      <c r="TN16" s="8">
        <f>VLOOKUP(AG16,'BUS 2'!$G$1:$CU$424,49,0)</f>
        <v>2</v>
      </c>
      <c r="TO16" s="8">
        <f>VLOOKUP(AG16,'BUS 2'!$G$1:$CU$424,50,0)</f>
        <v>1</v>
      </c>
      <c r="TP16" s="8">
        <f>VLOOKUP(AG16,'BUS 2'!$G$1:$CU$424,51,0)</f>
        <v>0</v>
      </c>
      <c r="TQ16" s="8">
        <f>VLOOKUP(AG16,'BUS 2'!$G$1:$CU$424,52,0)</f>
        <v>0</v>
      </c>
      <c r="TR16" s="8">
        <f>VLOOKUP(AG16,'BUS 2'!$G$1:$CU$424,53,0)</f>
        <v>0</v>
      </c>
      <c r="TS16" s="9" t="str">
        <f>VLOOKUP(AG16,'BUS 2'!$G$1:$CU$424,54,0)</f>
        <v/>
      </c>
      <c r="TT16" s="9" t="str">
        <f>VLOOKUP(AG16,'BUS 2'!$G$1:$CU$424,55,0)</f>
        <v/>
      </c>
      <c r="TU16" s="9" t="str">
        <f>VLOOKUP(AG16,'BUS 2'!$G$1:$CU$424,56,0)</f>
        <v/>
      </c>
      <c r="TV16" s="9" t="str">
        <f>VLOOKUP(AG16,'BUS 2'!$G$1:$CU$424,57,0)</f>
        <v/>
      </c>
      <c r="TW16" s="9" t="str">
        <f>VLOOKUP(AG16,'BUS 2'!$G$1:$CU$424,58,0)</f>
        <v/>
      </c>
      <c r="TX16" s="9" t="str">
        <f>VLOOKUP(AG16,'BUS 2'!$G$1:$CU$424,59,0)</f>
        <v/>
      </c>
      <c r="TY16" s="9" t="str">
        <f>VLOOKUP(AG16,'BUS 2'!$G$1:$CU$424,60,0)</f>
        <v/>
      </c>
      <c r="TZ16" s="9" t="str">
        <f>VLOOKUP(AG16,'BUS 2'!$G$1:$CU$424,61,0)</f>
        <v/>
      </c>
      <c r="UA16" s="9" t="str">
        <f>VLOOKUP(AG16,'BUS 2'!$G$1:$CU$424,62,0)</f>
        <v/>
      </c>
      <c r="UB16" s="9" t="str">
        <f>VLOOKUP(AG16,'BUS 2'!$G$1:$CU$424,63,0)</f>
        <v/>
      </c>
      <c r="UC16" s="9" t="str">
        <f>VLOOKUP(AG16,'BUS 2'!$G$1:$CU$424,64,0)</f>
        <v/>
      </c>
      <c r="UD16" s="9" t="str">
        <f>VLOOKUP(AG16,'BUS 2'!$G$1:$CU$424,65,0)</f>
        <v/>
      </c>
      <c r="UE16" s="9" t="str">
        <f>VLOOKUP(AG16,'BUS 2'!$G$1:$CU$424,66,0)</f>
        <v/>
      </c>
      <c r="UF16" s="9" t="str">
        <f>VLOOKUP(AG16,'BUS 2'!$G$1:$CU$424,67,0)</f>
        <v/>
      </c>
      <c r="UG16" s="9" t="str">
        <f>VLOOKUP(AG16,'BUS 2'!$G$1:$CU$424,68,0)</f>
        <v/>
      </c>
      <c r="UH16" s="9" t="str">
        <f>VLOOKUP(AG16,'BUS 2'!$G$1:$CU$424,69,0)</f>
        <v/>
      </c>
      <c r="UI16" s="9" t="str">
        <f>VLOOKUP(AG16,'BUS 2'!$G$1:$CU$424,70,0)</f>
        <v/>
      </c>
      <c r="UJ16" s="9" t="str">
        <f>VLOOKUP(AG16,'BUS 2'!$G$1:$CU$424,71,0)</f>
        <v/>
      </c>
      <c r="UK16" s="9" t="str">
        <f>VLOOKUP(AG16,'BUS 2'!$G$1:$CU$424,72,0)</f>
        <v/>
      </c>
      <c r="UL16" s="9" t="str">
        <f>VLOOKUP(AG16,'BUS 2'!$G$1:$CU$424,73,0)</f>
        <v/>
      </c>
      <c r="UM16" s="9">
        <f>VLOOKUP(AG16,'BUS 2'!$G$1:$CU$424,74,0)</f>
        <v>0</v>
      </c>
      <c r="UN16" s="9">
        <f>VLOOKUP(AG16,'BUS 2'!$G$1:$CU$424,75,0)</f>
        <v>0</v>
      </c>
      <c r="UO16" s="9">
        <f>VLOOKUP(AG16,'BUS 2'!$G$1:$CU$424,76,0)</f>
        <v>0</v>
      </c>
      <c r="UP16" s="9">
        <f>VLOOKUP(AG16,'BUS 2'!$G$1:$CU$424,77,0)</f>
        <v>15</v>
      </c>
      <c r="UQ16" s="9">
        <f>VLOOKUP(AG16,'BUS 2'!$G$1:$CU$424,78,0)</f>
        <v>0</v>
      </c>
      <c r="UR16" s="9">
        <f>VLOOKUP(AG16,'BUS 2'!$G$1:$CU$424,79,0)</f>
        <v>0</v>
      </c>
      <c r="US16" s="9">
        <f>VLOOKUP(AG16,'BUS 2'!$G$1:$CU$424,80,0)</f>
        <v>3</v>
      </c>
      <c r="UT16" s="9">
        <f>VLOOKUP(AG16,'BUS 2'!$G$1:$CU$424,81,0)</f>
        <v>0</v>
      </c>
      <c r="UU16" s="9" t="s">
        <v>901</v>
      </c>
      <c r="UV16" s="9"/>
      <c r="UW16" s="9"/>
      <c r="UX16" s="9"/>
      <c r="UY16" s="9"/>
      <c r="UZ16" s="9"/>
      <c r="VA16" s="9" t="s">
        <v>1976</v>
      </c>
      <c r="VB16" s="9" t="s">
        <v>1976</v>
      </c>
      <c r="VC16" s="9" t="s">
        <v>1938</v>
      </c>
      <c r="VD16" s="9"/>
      <c r="VE16" s="9"/>
      <c r="VF16" s="9"/>
      <c r="VG16" s="9"/>
      <c r="VH16" s="9"/>
      <c r="VI16" s="9" t="s">
        <v>1938</v>
      </c>
      <c r="VJ16" s="9" t="s">
        <v>1938</v>
      </c>
      <c r="VK16" s="9" t="s">
        <v>1938</v>
      </c>
      <c r="VL16" s="9"/>
      <c r="VM16" s="9"/>
      <c r="VN16" s="9"/>
      <c r="VO16" s="9"/>
      <c r="VP16" s="9"/>
      <c r="VQ16" s="9"/>
      <c r="VR16" s="9"/>
      <c r="VS16" s="9" t="s">
        <v>1940</v>
      </c>
      <c r="VT16" s="8">
        <v>0.0</v>
      </c>
      <c r="VU16" s="8">
        <v>0.0</v>
      </c>
      <c r="VV16" s="8">
        <v>0.0</v>
      </c>
      <c r="VW16" s="8">
        <v>0.0</v>
      </c>
      <c r="VX16" s="8">
        <v>0.0</v>
      </c>
      <c r="VY16" s="8">
        <v>1.0</v>
      </c>
      <c r="VZ16" s="8">
        <v>0.0</v>
      </c>
      <c r="WA16" s="8">
        <v>0.0</v>
      </c>
      <c r="WB16" s="8">
        <v>0.0</v>
      </c>
      <c r="WC16" s="8">
        <v>0.0</v>
      </c>
      <c r="WD16" s="8">
        <v>0.0</v>
      </c>
      <c r="WE16" s="8">
        <v>0.0</v>
      </c>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t="s">
        <v>1941</v>
      </c>
      <c r="YO16" s="8">
        <v>0.0</v>
      </c>
      <c r="YP16" s="8">
        <v>0.0</v>
      </c>
      <c r="YQ16" s="8">
        <v>0.0</v>
      </c>
      <c r="YR16" s="8">
        <v>0.0</v>
      </c>
      <c r="YS16" s="8">
        <v>0.0</v>
      </c>
      <c r="YT16" s="8">
        <v>0.0</v>
      </c>
      <c r="YU16" s="8">
        <v>0.0</v>
      </c>
      <c r="YV16" s="8">
        <v>0.0</v>
      </c>
      <c r="YW16" s="8">
        <v>0.0</v>
      </c>
      <c r="YX16" s="8">
        <v>0.0</v>
      </c>
      <c r="YY16" s="8">
        <v>0.0</v>
      </c>
      <c r="YZ16" s="8">
        <v>1.0</v>
      </c>
      <c r="ZA16" s="9" t="s">
        <v>1941</v>
      </c>
      <c r="ZB16" s="8">
        <v>0.0</v>
      </c>
      <c r="ZC16" s="8">
        <v>0.0</v>
      </c>
      <c r="ZD16" s="8">
        <v>0.0</v>
      </c>
      <c r="ZE16" s="8">
        <v>0.0</v>
      </c>
      <c r="ZF16" s="8">
        <v>0.0</v>
      </c>
      <c r="ZG16" s="8">
        <v>0.0</v>
      </c>
      <c r="ZH16" s="8">
        <v>0.0</v>
      </c>
      <c r="ZI16" s="8">
        <v>0.0</v>
      </c>
      <c r="ZJ16" s="8">
        <v>0.0</v>
      </c>
      <c r="ZK16" s="8">
        <v>0.0</v>
      </c>
      <c r="ZL16" s="8">
        <v>0.0</v>
      </c>
      <c r="ZM16" s="8">
        <v>1.0</v>
      </c>
      <c r="ZN16" s="9"/>
      <c r="ZO16" s="9"/>
      <c r="ZP16" s="9"/>
      <c r="ZQ16" s="9"/>
      <c r="ZR16" s="9"/>
      <c r="ZS16" s="9"/>
      <c r="ZT16" s="9"/>
      <c r="ZU16" s="9"/>
      <c r="ZV16" s="8">
        <v>6.0</v>
      </c>
      <c r="ZW16" s="9"/>
      <c r="ZX16" s="9"/>
      <c r="ZY16" s="9"/>
      <c r="ZZ16" s="9"/>
      <c r="AAA16" s="9"/>
      <c r="AAB16" s="8">
        <v>1.0</v>
      </c>
      <c r="AAC16" s="8">
        <v>1.0</v>
      </c>
      <c r="AAD16" s="9" t="s">
        <v>1186</v>
      </c>
      <c r="AAE16" s="9"/>
      <c r="AAF16" s="9"/>
      <c r="AAG16" s="9"/>
      <c r="AAH16" s="9"/>
      <c r="AAI16" s="9"/>
      <c r="AAJ16" s="9" t="s">
        <v>1186</v>
      </c>
      <c r="AAK16" s="9" t="s">
        <v>1186</v>
      </c>
      <c r="AAL16" s="9" t="s">
        <v>857</v>
      </c>
      <c r="AAM16" s="9" t="s">
        <v>1033</v>
      </c>
      <c r="AAN16" s="8">
        <v>1.0</v>
      </c>
      <c r="AAO16" s="8">
        <v>1.0</v>
      </c>
      <c r="AAP16" s="8">
        <v>15.0</v>
      </c>
      <c r="AAQ16" s="8">
        <v>10.0</v>
      </c>
      <c r="AAR16" s="9" t="s">
        <v>857</v>
      </c>
      <c r="AAS16" s="9" t="s">
        <v>867</v>
      </c>
      <c r="AAT16" s="9" t="s">
        <v>906</v>
      </c>
      <c r="AAU16" s="8">
        <v>1.0</v>
      </c>
      <c r="AAV16" s="8">
        <v>0.0</v>
      </c>
      <c r="AAW16" s="8">
        <v>0.0</v>
      </c>
      <c r="AAX16" s="8">
        <v>0.0</v>
      </c>
      <c r="AAY16" s="8">
        <v>0.0</v>
      </c>
      <c r="AAZ16" s="8">
        <v>0.0</v>
      </c>
      <c r="ABA16" s="8">
        <v>0.0</v>
      </c>
      <c r="ABB16" s="9" t="s">
        <v>2072</v>
      </c>
      <c r="ABC16" s="8">
        <v>1.0</v>
      </c>
      <c r="ABD16" s="8">
        <v>1.0</v>
      </c>
      <c r="ABE16" s="8">
        <v>1.0</v>
      </c>
      <c r="ABF16" s="8">
        <v>1.0</v>
      </c>
      <c r="ABG16" s="8">
        <v>0.0</v>
      </c>
      <c r="ABH16" s="9"/>
      <c r="ABI16" s="9"/>
      <c r="ABJ16" s="9"/>
      <c r="ABK16" s="9"/>
      <c r="ABL16" s="9"/>
      <c r="ABM16" s="9"/>
      <c r="ABN16" s="9"/>
      <c r="ABO16" s="9"/>
      <c r="ABP16" s="9"/>
      <c r="ABQ16" s="9" t="s">
        <v>2288</v>
      </c>
      <c r="ABR16" s="9" t="s">
        <v>2289</v>
      </c>
      <c r="ABS16" s="8">
        <v>5000.0</v>
      </c>
      <c r="ABT16" s="9"/>
      <c r="ABU16" s="8">
        <v>30.0</v>
      </c>
      <c r="ABV16" s="8">
        <v>100.0</v>
      </c>
      <c r="ABW16" s="9" t="s">
        <v>1199</v>
      </c>
      <c r="ABX16" s="9"/>
      <c r="ABY16" s="8">
        <v>500.0</v>
      </c>
      <c r="ABZ16" s="8">
        <v>920000.0</v>
      </c>
      <c r="ACA16" s="8">
        <v>500.0</v>
      </c>
      <c r="ACB16" s="8">
        <v>920000.0</v>
      </c>
      <c r="ACC16" s="8">
        <v>1000.0</v>
      </c>
      <c r="ACD16" s="8">
        <v>1200.0</v>
      </c>
      <c r="ACE16" s="9" t="s">
        <v>857</v>
      </c>
      <c r="ACF16" s="9" t="s">
        <v>1183</v>
      </c>
      <c r="ACG16" s="9" t="s">
        <v>945</v>
      </c>
      <c r="ACH16" s="9" t="s">
        <v>945</v>
      </c>
      <c r="ACI16" s="9"/>
      <c r="ACJ16" s="9"/>
      <c r="ACK16" s="9"/>
      <c r="ACL16" s="9"/>
      <c r="ACM16" s="9"/>
      <c r="ACN16" s="9"/>
      <c r="ACO16" s="9"/>
      <c r="ACP16" s="9"/>
      <c r="ACQ16" s="9"/>
      <c r="ACR16" s="9"/>
      <c r="ACS16" s="9"/>
      <c r="ACT16" s="9" t="s">
        <v>2290</v>
      </c>
      <c r="ACU16" s="9" t="s">
        <v>1050</v>
      </c>
      <c r="ACV16" s="9" t="s">
        <v>2291</v>
      </c>
      <c r="ACW16" s="9" t="s">
        <v>1391</v>
      </c>
      <c r="ACX16" s="9" t="s">
        <v>916</v>
      </c>
      <c r="ACY16" s="9" t="s">
        <v>1017</v>
      </c>
      <c r="ACZ16" s="8">
        <v>1.0</v>
      </c>
      <c r="ADA16" s="8">
        <v>1.0</v>
      </c>
      <c r="ADB16" s="8">
        <v>1.0</v>
      </c>
      <c r="ADC16" s="8">
        <v>0.0</v>
      </c>
      <c r="ADD16" s="9" t="s">
        <v>917</v>
      </c>
      <c r="ADE16" s="9" t="s">
        <v>917</v>
      </c>
      <c r="ADF16" s="9" t="s">
        <v>917</v>
      </c>
      <c r="ADG16" s="9" t="s">
        <v>917</v>
      </c>
      <c r="ADH16" s="9" t="s">
        <v>881</v>
      </c>
      <c r="ADI16" s="9"/>
      <c r="ADJ16" s="9" t="s">
        <v>917</v>
      </c>
      <c r="ADK16" s="9"/>
      <c r="ADL16" s="9"/>
      <c r="ADM16" s="9"/>
      <c r="ADN16" s="9"/>
      <c r="ADO16" s="9"/>
      <c r="ADP16" s="9"/>
      <c r="ADQ16" s="9"/>
      <c r="ADR16" s="9"/>
      <c r="ADS16" s="9"/>
      <c r="ADT16" s="9"/>
      <c r="ADU16" s="9" t="s">
        <v>919</v>
      </c>
      <c r="ADV16" s="8">
        <v>0.0</v>
      </c>
      <c r="ADW16" s="8">
        <v>0.0</v>
      </c>
      <c r="ADX16" s="8">
        <v>0.0</v>
      </c>
      <c r="ADY16" s="8">
        <v>0.0</v>
      </c>
      <c r="ADZ16" s="8">
        <v>1.0</v>
      </c>
      <c r="AEA16" s="8">
        <v>0.0</v>
      </c>
      <c r="AEB16" s="8">
        <v>0.0</v>
      </c>
      <c r="AEC16" s="8">
        <v>0.0</v>
      </c>
      <c r="AED16" s="9" t="s">
        <v>2124</v>
      </c>
      <c r="AEE16" s="9" t="s">
        <v>872</v>
      </c>
      <c r="AEF16" s="9"/>
      <c r="AEG16" s="9" t="s">
        <v>920</v>
      </c>
      <c r="AEH16" s="9"/>
      <c r="AEI16" s="9" t="s">
        <v>2292</v>
      </c>
      <c r="AEJ16" s="9" t="s">
        <v>871</v>
      </c>
      <c r="AEK16" s="9" t="s">
        <v>2293</v>
      </c>
      <c r="AEL16" s="8">
        <v>1.0</v>
      </c>
      <c r="AEM16" s="8">
        <v>1.0</v>
      </c>
      <c r="AEN16" s="8">
        <v>1.0</v>
      </c>
      <c r="AEO16" s="8">
        <v>1.0</v>
      </c>
      <c r="AEP16" s="8">
        <v>1.0</v>
      </c>
      <c r="AEQ16" s="8">
        <v>1.0</v>
      </c>
      <c r="AER16" s="8">
        <v>0.0</v>
      </c>
      <c r="AES16" s="8">
        <v>1.0</v>
      </c>
      <c r="AET16" s="8">
        <v>0.0</v>
      </c>
      <c r="AEU16" s="8">
        <v>0.0</v>
      </c>
      <c r="AEV16" s="8">
        <v>1.0</v>
      </c>
      <c r="AEW16" s="8">
        <v>0.0</v>
      </c>
      <c r="AEX16" s="9"/>
      <c r="AEY16" s="9" t="s">
        <v>923</v>
      </c>
      <c r="AEZ16" s="9"/>
      <c r="AFA16" s="9" t="s">
        <v>924</v>
      </c>
      <c r="AFB16" s="9"/>
      <c r="AFC16" s="9" t="s">
        <v>2294</v>
      </c>
      <c r="AFD16" s="16" t="s">
        <v>2295</v>
      </c>
      <c r="AFE16" s="9" t="s">
        <v>2296</v>
      </c>
      <c r="AFF16" s="16" t="s">
        <v>2297</v>
      </c>
      <c r="AFG16" s="9" t="s">
        <v>1986</v>
      </c>
      <c r="AFH16" s="9"/>
      <c r="AFI16" s="21"/>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8">
        <v>6.71388954E8</v>
      </c>
      <c r="AWB16" s="9" t="s">
        <v>2298</v>
      </c>
      <c r="AWC16" s="6">
        <v>46066.0</v>
      </c>
      <c r="AWD16" s="9"/>
      <c r="AWE16" s="9"/>
      <c r="AWF16" s="9" t="s">
        <v>1954</v>
      </c>
      <c r="AWG16" s="9"/>
      <c r="AWH16" s="9" t="s">
        <v>1989</v>
      </c>
      <c r="AWI16" s="9"/>
      <c r="AWJ16" s="9" t="s">
        <v>2299</v>
      </c>
      <c r="AWK16" s="8">
        <v>219.0</v>
      </c>
      <c r="AWL16" s="9" t="s">
        <v>2286</v>
      </c>
      <c r="AWM16" s="8">
        <v>0.0</v>
      </c>
      <c r="AWN16" s="9" t="s">
        <v>1957</v>
      </c>
      <c r="AWO16" s="33" t="b">
        <v>1</v>
      </c>
      <c r="AWP16" s="33" t="b">
        <v>1</v>
      </c>
      <c r="AWQ16" s="33" t="b">
        <v>1</v>
      </c>
      <c r="AWR16" s="33" t="b">
        <v>1</v>
      </c>
      <c r="AWS16" s="33" t="b">
        <v>1</v>
      </c>
      <c r="AWT16" s="33" t="b">
        <v>1</v>
      </c>
      <c r="AWU16" s="9"/>
      <c r="AWV16" s="8">
        <v>6.0</v>
      </c>
      <c r="AWW16" s="9"/>
      <c r="AWX16" s="9"/>
      <c r="AWY16" s="9"/>
      <c r="AWZ16" s="9"/>
    </row>
    <row r="17">
      <c r="A17" s="6">
        <v>46061.0</v>
      </c>
      <c r="B17" s="6">
        <v>46069.0</v>
      </c>
      <c r="C17" s="30" t="s">
        <v>1958</v>
      </c>
      <c r="D17" s="30" t="s">
        <v>2300</v>
      </c>
      <c r="E17" s="8">
        <f t="shared" si="1"/>
        <v>620</v>
      </c>
      <c r="F17" s="9" t="s">
        <v>2301</v>
      </c>
      <c r="G17" s="8">
        <v>-5.404569</v>
      </c>
      <c r="H17" s="8">
        <v>119.430606</v>
      </c>
      <c r="I17" s="8">
        <v>65.80000305</v>
      </c>
      <c r="J17" s="8">
        <v>7.910999775</v>
      </c>
      <c r="K17" s="8">
        <v>0.0</v>
      </c>
      <c r="L17" s="9" t="s">
        <v>2302</v>
      </c>
      <c r="M17" s="8">
        <v>-5.404499</v>
      </c>
      <c r="N17" s="8">
        <v>119.430543</v>
      </c>
      <c r="O17" s="8">
        <v>65.80000305</v>
      </c>
      <c r="P17" s="8">
        <v>4.629000187</v>
      </c>
      <c r="Q17" s="8">
        <v>0.0</v>
      </c>
      <c r="R17" s="9" t="s">
        <v>1923</v>
      </c>
      <c r="S17" s="8">
        <v>0.0</v>
      </c>
      <c r="T17" s="8">
        <v>0.0</v>
      </c>
      <c r="U17" s="8">
        <v>0.0</v>
      </c>
      <c r="V17" s="8">
        <v>0.0</v>
      </c>
      <c r="W17" s="8">
        <v>0.0</v>
      </c>
      <c r="X17" s="8">
        <v>0.0</v>
      </c>
      <c r="Y17" s="8">
        <v>0.0</v>
      </c>
      <c r="Z17" s="8">
        <v>0.0</v>
      </c>
      <c r="AA17" s="8">
        <v>0.0</v>
      </c>
      <c r="AB17" s="8">
        <v>1.0</v>
      </c>
      <c r="AC17" s="7" t="s">
        <v>2113</v>
      </c>
      <c r="AD17" s="7" t="s">
        <v>2227</v>
      </c>
      <c r="AE17" s="7" t="s">
        <v>2228</v>
      </c>
      <c r="AF17" s="9" t="s">
        <v>2303</v>
      </c>
      <c r="AG17" s="7" t="s">
        <v>2304</v>
      </c>
      <c r="AH17" s="8">
        <v>11.0</v>
      </c>
      <c r="AI17" s="9" t="s">
        <v>933</v>
      </c>
      <c r="AJ17" s="9" t="s">
        <v>934</v>
      </c>
      <c r="AK17" s="35">
        <v>66.0</v>
      </c>
      <c r="AL17" s="9" t="s">
        <v>847</v>
      </c>
      <c r="AM17" s="9" t="s">
        <v>848</v>
      </c>
      <c r="AN17" s="9" t="s">
        <v>849</v>
      </c>
      <c r="AO17" s="9" t="s">
        <v>850</v>
      </c>
      <c r="AP17" s="8">
        <v>1.0</v>
      </c>
      <c r="AQ17" s="8">
        <v>0.0</v>
      </c>
      <c r="AR17" s="8">
        <v>0.0</v>
      </c>
      <c r="AS17" s="8">
        <v>0.0</v>
      </c>
      <c r="AT17" s="8">
        <v>0.0</v>
      </c>
      <c r="AU17" s="8">
        <v>0.0</v>
      </c>
      <c r="AV17" s="8">
        <v>0.0</v>
      </c>
      <c r="AW17" s="8">
        <v>0.0</v>
      </c>
      <c r="AX17" s="9"/>
      <c r="AY17" s="9" t="s">
        <v>999</v>
      </c>
      <c r="AZ17" s="8">
        <v>0.0</v>
      </c>
      <c r="BA17" s="8">
        <v>0.0</v>
      </c>
      <c r="BB17" s="8">
        <v>0.0</v>
      </c>
      <c r="BC17" s="8">
        <v>0.0</v>
      </c>
      <c r="BD17" s="8">
        <v>0.0</v>
      </c>
      <c r="BE17" s="8">
        <v>0.0</v>
      </c>
      <c r="BF17" s="8">
        <v>0.0</v>
      </c>
      <c r="BG17" s="8">
        <v>1.0</v>
      </c>
      <c r="BH17" s="11"/>
      <c r="BI17" s="9" t="s">
        <v>852</v>
      </c>
      <c r="BJ17" s="8">
        <v>2.0</v>
      </c>
      <c r="BK17" s="8">
        <v>1.0</v>
      </c>
      <c r="BL17" s="8">
        <v>2.0</v>
      </c>
      <c r="BM17" s="8">
        <v>2.0</v>
      </c>
      <c r="BN17" s="9" t="s">
        <v>853</v>
      </c>
      <c r="BO17" s="9" t="s">
        <v>2064</v>
      </c>
      <c r="BP17" s="8">
        <v>0.0</v>
      </c>
      <c r="BQ17" s="8">
        <v>0.0</v>
      </c>
      <c r="BR17" s="8">
        <v>1.0</v>
      </c>
      <c r="BS17" s="8">
        <v>0.0</v>
      </c>
      <c r="BT17" s="8">
        <v>0.0</v>
      </c>
      <c r="BU17" s="9"/>
      <c r="BV17" s="9" t="s">
        <v>1254</v>
      </c>
      <c r="BW17" s="8">
        <v>0.0</v>
      </c>
      <c r="BX17" s="8">
        <v>1.0</v>
      </c>
      <c r="BY17" s="8">
        <v>0.0</v>
      </c>
      <c r="BZ17" s="8">
        <v>0.0</v>
      </c>
      <c r="CA17" s="8">
        <v>0.0</v>
      </c>
      <c r="CB17" s="9"/>
      <c r="CC17" s="9" t="s">
        <v>1929</v>
      </c>
      <c r="CD17" s="8">
        <v>0.0</v>
      </c>
      <c r="CE17" s="8">
        <v>0.0</v>
      </c>
      <c r="CF17" s="8">
        <v>0.0</v>
      </c>
      <c r="CG17" s="8">
        <v>0.0</v>
      </c>
      <c r="CH17" s="8">
        <v>1.0</v>
      </c>
      <c r="CI17" s="8">
        <v>0.0</v>
      </c>
      <c r="CJ17" s="8">
        <v>0.0</v>
      </c>
      <c r="CK17" s="9"/>
      <c r="CL17" s="9" t="s">
        <v>857</v>
      </c>
      <c r="CM17" s="8">
        <v>2014.0</v>
      </c>
      <c r="CN17" s="9" t="s">
        <v>858</v>
      </c>
      <c r="CO17" s="9" t="s">
        <v>1968</v>
      </c>
      <c r="CP17" s="9" t="s">
        <v>969</v>
      </c>
      <c r="CQ17" s="8">
        <v>0.0</v>
      </c>
      <c r="CR17" s="8">
        <v>0.0</v>
      </c>
      <c r="CS17" s="8">
        <v>0.0</v>
      </c>
      <c r="CT17" s="8">
        <v>0.0</v>
      </c>
      <c r="CU17" s="8">
        <v>0.0</v>
      </c>
      <c r="CV17" s="8">
        <v>0.0</v>
      </c>
      <c r="CW17" s="8">
        <v>0.0</v>
      </c>
      <c r="CX17" s="8">
        <v>1.0</v>
      </c>
      <c r="CY17" s="9" t="s">
        <v>860</v>
      </c>
      <c r="CZ17" s="8">
        <v>1.0</v>
      </c>
      <c r="DA17" s="8">
        <v>0.0</v>
      </c>
      <c r="DB17" s="8">
        <v>0.0</v>
      </c>
      <c r="DC17" s="9"/>
      <c r="DD17" s="9" t="s">
        <v>860</v>
      </c>
      <c r="DE17" s="8">
        <v>1.0</v>
      </c>
      <c r="DF17" s="8">
        <v>0.0</v>
      </c>
      <c r="DG17" s="8">
        <v>0.0</v>
      </c>
      <c r="DH17" s="8">
        <v>0.0</v>
      </c>
      <c r="DI17" s="9"/>
      <c r="DJ17" s="9" t="s">
        <v>860</v>
      </c>
      <c r="DK17" s="8">
        <v>1.0</v>
      </c>
      <c r="DL17" s="8">
        <v>0.0</v>
      </c>
      <c r="DM17" s="8">
        <v>0.0</v>
      </c>
      <c r="DN17" s="8">
        <v>0.0</v>
      </c>
      <c r="DO17" s="9"/>
      <c r="DP17" s="9" t="s">
        <v>938</v>
      </c>
      <c r="DQ17" s="9" t="s">
        <v>939</v>
      </c>
      <c r="DR17" s="17" t="s">
        <v>969</v>
      </c>
      <c r="DS17" s="9" t="s">
        <v>2305</v>
      </c>
      <c r="DT17" s="9"/>
      <c r="DU17" s="9"/>
      <c r="DV17" s="9"/>
      <c r="DW17" s="9"/>
      <c r="DX17" s="9"/>
      <c r="DY17" s="9"/>
      <c r="DZ17" s="9"/>
      <c r="EA17" s="9"/>
      <c r="EB17" s="9"/>
      <c r="EC17" s="9"/>
      <c r="ED17" s="9"/>
      <c r="EE17" s="9"/>
      <c r="EF17" s="9"/>
      <c r="EG17" s="9"/>
      <c r="EH17" s="9"/>
      <c r="EI17" s="31" t="s">
        <v>862</v>
      </c>
      <c r="EJ17" s="8">
        <v>0.0</v>
      </c>
      <c r="EK17" s="8">
        <v>0.0</v>
      </c>
      <c r="EL17" s="8">
        <v>0.0</v>
      </c>
      <c r="EM17" s="8">
        <v>1.0</v>
      </c>
      <c r="EN17" s="8">
        <v>0.0</v>
      </c>
      <c r="EO17" s="9"/>
      <c r="EP17" s="9" t="s">
        <v>2306</v>
      </c>
      <c r="EQ17" s="9"/>
      <c r="ER17" s="9"/>
      <c r="ES17" s="9"/>
      <c r="ET17" s="9"/>
      <c r="EU17" s="9"/>
      <c r="EV17" s="9"/>
      <c r="EW17" s="9"/>
      <c r="EX17" s="9"/>
      <c r="EY17" s="9"/>
      <c r="EZ17" s="9"/>
      <c r="FA17" s="9"/>
      <c r="FB17" s="9"/>
      <c r="FC17" s="9" t="s">
        <v>1072</v>
      </c>
      <c r="FD17" s="9"/>
      <c r="FE17" s="9" t="s">
        <v>867</v>
      </c>
      <c r="FF17" s="9" t="s">
        <v>868</v>
      </c>
      <c r="FG17" s="9" t="s">
        <v>867</v>
      </c>
      <c r="FH17" s="9" t="s">
        <v>869</v>
      </c>
      <c r="FI17" s="9" t="s">
        <v>867</v>
      </c>
      <c r="FJ17" s="9" t="s">
        <v>868</v>
      </c>
      <c r="FK17" s="9" t="s">
        <v>867</v>
      </c>
      <c r="FL17" s="9" t="s">
        <v>868</v>
      </c>
      <c r="FM17" s="9" t="s">
        <v>867</v>
      </c>
      <c r="FN17" s="9" t="s">
        <v>883</v>
      </c>
      <c r="FO17" s="9" t="s">
        <v>867</v>
      </c>
      <c r="FP17" s="9" t="s">
        <v>883</v>
      </c>
      <c r="FQ17" s="9" t="s">
        <v>867</v>
      </c>
      <c r="FR17" s="9" t="s">
        <v>857</v>
      </c>
      <c r="FS17" s="9" t="s">
        <v>867</v>
      </c>
      <c r="FT17" s="9" t="s">
        <v>2173</v>
      </c>
      <c r="FU17" s="9" t="s">
        <v>872</v>
      </c>
      <c r="FV17" s="8">
        <v>1.0</v>
      </c>
      <c r="FW17" s="8">
        <v>0.0</v>
      </c>
      <c r="FX17" s="8">
        <v>0.0</v>
      </c>
      <c r="FY17" s="8">
        <v>0.0</v>
      </c>
      <c r="FZ17" s="9" t="s">
        <v>944</v>
      </c>
      <c r="GA17" s="9" t="s">
        <v>1264</v>
      </c>
      <c r="GB17" s="8">
        <v>0.0</v>
      </c>
      <c r="GC17" s="8">
        <v>0.0</v>
      </c>
      <c r="GD17" s="8">
        <v>1.0</v>
      </c>
      <c r="GE17" s="8">
        <v>0.0</v>
      </c>
      <c r="GF17" s="9"/>
      <c r="GG17" s="9" t="s">
        <v>961</v>
      </c>
      <c r="GH17" s="9" t="s">
        <v>881</v>
      </c>
      <c r="GI17" s="9"/>
      <c r="GJ17" s="9"/>
      <c r="GK17" s="9"/>
      <c r="GL17" s="9"/>
      <c r="GM17" s="9"/>
      <c r="GN17" s="9"/>
      <c r="GO17" s="9"/>
      <c r="GP17" s="34" t="s">
        <v>1931</v>
      </c>
      <c r="GQ17" s="9" t="s">
        <v>1102</v>
      </c>
      <c r="GR17" s="8">
        <v>1.0</v>
      </c>
      <c r="GS17" s="8">
        <v>0.0</v>
      </c>
      <c r="GT17" s="8">
        <v>0.0</v>
      </c>
      <c r="GU17" s="8">
        <v>0.0</v>
      </c>
      <c r="GV17" s="8">
        <v>0.0</v>
      </c>
      <c r="GW17" s="8">
        <v>0.0</v>
      </c>
      <c r="GX17" s="8">
        <v>0.0</v>
      </c>
      <c r="GY17" s="9"/>
      <c r="GZ17" s="21" t="s">
        <v>881</v>
      </c>
      <c r="HA17" s="21"/>
      <c r="HB17" s="21"/>
      <c r="HC17" s="21"/>
      <c r="HD17" s="21"/>
      <c r="HE17" s="39">
        <v>6.0</v>
      </c>
      <c r="HF17" s="39">
        <v>50000.0</v>
      </c>
      <c r="HG17" s="39">
        <v>6.0</v>
      </c>
      <c r="HH17" s="39">
        <v>50000.0</v>
      </c>
      <c r="HI17" s="9"/>
      <c r="HJ17" s="9"/>
      <c r="HK17" s="9"/>
      <c r="HL17" s="9"/>
      <c r="HM17" s="9"/>
      <c r="HN17" s="9"/>
      <c r="HO17" s="9"/>
      <c r="HP17" s="9"/>
      <c r="HQ17" s="9"/>
      <c r="HR17" s="9"/>
      <c r="HS17" s="9"/>
      <c r="HT17" s="9"/>
      <c r="HU17" s="9"/>
      <c r="HV17" s="9"/>
      <c r="HW17" s="9"/>
      <c r="HX17" s="9"/>
      <c r="HY17" s="9"/>
      <c r="HZ17" s="9"/>
      <c r="IA17" s="8">
        <v>0.0</v>
      </c>
      <c r="IB17" s="9"/>
      <c r="IC17" s="9"/>
      <c r="ID17" s="9"/>
      <c r="IE17" s="9"/>
      <c r="IF17" s="9"/>
      <c r="IG17" s="9"/>
      <c r="IH17" s="9"/>
      <c r="II17" s="9"/>
      <c r="IJ17" s="9"/>
      <c r="IK17" s="9" t="s">
        <v>1932</v>
      </c>
      <c r="IL17" s="9" t="s">
        <v>1366</v>
      </c>
      <c r="IM17" s="9" t="s">
        <v>857</v>
      </c>
      <c r="IN17" s="9" t="s">
        <v>857</v>
      </c>
      <c r="IO17" s="9" t="s">
        <v>945</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945</v>
      </c>
      <c r="KT17" s="9" t="s">
        <v>886</v>
      </c>
      <c r="KU17" s="9" t="s">
        <v>886</v>
      </c>
      <c r="KV17" s="9" t="s">
        <v>999</v>
      </c>
      <c r="KW17" s="8">
        <v>0.0</v>
      </c>
      <c r="KX17" s="8">
        <v>0.0</v>
      </c>
      <c r="KY17" s="8">
        <v>0.0</v>
      </c>
      <c r="KZ17" s="8">
        <v>1.0</v>
      </c>
      <c r="LA17" s="9" t="s">
        <v>945</v>
      </c>
      <c r="LB17" s="9" t="s">
        <v>1180</v>
      </c>
      <c r="LC17" s="8">
        <v>6.0</v>
      </c>
      <c r="LD17" s="8">
        <v>0.0</v>
      </c>
      <c r="LE17" s="8">
        <v>0.0</v>
      </c>
      <c r="LF17" s="8">
        <v>0.0</v>
      </c>
      <c r="LG17" s="9" t="s">
        <v>881</v>
      </c>
      <c r="LH17" s="9"/>
      <c r="LI17" s="8">
        <v>0.0</v>
      </c>
      <c r="LJ17" s="9" t="s">
        <v>969</v>
      </c>
      <c r="LK17" s="8">
        <v>0.0</v>
      </c>
      <c r="LL17" s="8">
        <v>0.0</v>
      </c>
      <c r="LM17" s="8">
        <v>0.0</v>
      </c>
      <c r="LN17" s="8">
        <v>0.0</v>
      </c>
      <c r="LO17" s="8">
        <v>0.0</v>
      </c>
      <c r="LP17" s="8">
        <v>0.0</v>
      </c>
      <c r="LQ17" s="8">
        <v>1.0</v>
      </c>
      <c r="LR17" s="11" t="s">
        <v>1973</v>
      </c>
      <c r="LS17" s="8">
        <v>10.0</v>
      </c>
      <c r="LT17" s="8">
        <v>0.0</v>
      </c>
      <c r="LU17" s="8">
        <v>0.0</v>
      </c>
      <c r="LV17" s="8">
        <v>15.0</v>
      </c>
      <c r="LW17" s="8">
        <v>0.0</v>
      </c>
      <c r="LX17" s="8">
        <v>0.0</v>
      </c>
      <c r="LY17" s="8">
        <v>35.0</v>
      </c>
      <c r="LZ17" s="8">
        <v>0.0</v>
      </c>
      <c r="MA17" s="8">
        <v>0.0</v>
      </c>
      <c r="MB17" s="9" t="s">
        <v>881</v>
      </c>
      <c r="MC17" s="8">
        <v>0.0</v>
      </c>
      <c r="MD17" s="8">
        <v>0.0</v>
      </c>
      <c r="ME17" s="8">
        <v>0.0</v>
      </c>
      <c r="MF17" s="8">
        <v>0.0</v>
      </c>
      <c r="MG17" s="8">
        <v>0.0</v>
      </c>
      <c r="MH17" s="8">
        <v>0.0</v>
      </c>
      <c r="MI17" s="9"/>
      <c r="MJ17" s="9"/>
      <c r="MK17" s="9"/>
      <c r="ML17" s="9"/>
      <c r="MM17" s="9"/>
      <c r="MN17" s="9"/>
      <c r="MO17" s="9"/>
      <c r="MP17" s="9"/>
      <c r="MQ17" s="9"/>
      <c r="MR17" s="17" t="s">
        <v>2287</v>
      </c>
      <c r="MS17" s="9"/>
      <c r="MT17" s="9" t="s">
        <v>2287</v>
      </c>
      <c r="MU17" s="9" t="s">
        <v>881</v>
      </c>
      <c r="MV17" s="9"/>
      <c r="MW17" s="9"/>
      <c r="MX17" s="9"/>
      <c r="MY17" s="9"/>
      <c r="MZ17" s="9"/>
      <c r="NA17" s="9"/>
      <c r="NB17" s="9"/>
      <c r="NC17" s="9"/>
      <c r="ND17" s="9"/>
      <c r="NE17" s="9"/>
      <c r="NF17" s="9"/>
      <c r="NG17" s="9"/>
      <c r="NH17" s="9"/>
      <c r="NI17" s="9"/>
      <c r="NJ17" s="9"/>
      <c r="NK17" s="9"/>
      <c r="NL17" s="9" t="s">
        <v>881</v>
      </c>
      <c r="NM17" s="9" t="s">
        <v>1386</v>
      </c>
      <c r="NN17" s="17" t="s">
        <v>1975</v>
      </c>
      <c r="NO17" s="17" t="s">
        <v>994</v>
      </c>
      <c r="NP17" s="9"/>
      <c r="NQ17" s="9"/>
      <c r="NR17" s="9"/>
      <c r="NS17" s="9"/>
      <c r="NT17" s="9"/>
      <c r="NU17" s="9"/>
      <c r="NV17" s="9"/>
      <c r="NW17" s="9"/>
      <c r="NX17" s="9" t="s">
        <v>914</v>
      </c>
      <c r="NY17" s="8">
        <v>0.0</v>
      </c>
      <c r="NZ17" s="8">
        <v>0.0</v>
      </c>
      <c r="OA17" s="8">
        <v>0.0</v>
      </c>
      <c r="OB17" s="8">
        <v>0.0</v>
      </c>
      <c r="OC17" s="8">
        <v>60.0</v>
      </c>
      <c r="OD17" s="8">
        <v>0.0</v>
      </c>
      <c r="OE17" s="9" t="s">
        <v>945</v>
      </c>
      <c r="OF17" s="9" t="s">
        <v>1388</v>
      </c>
      <c r="OG17" s="9" t="s">
        <v>857</v>
      </c>
      <c r="OH17" s="8">
        <v>0.0</v>
      </c>
      <c r="OI17" s="8">
        <v>0.0</v>
      </c>
      <c r="OJ17" s="8">
        <v>0.0</v>
      </c>
      <c r="OK17" s="8">
        <v>0.0</v>
      </c>
      <c r="OL17" s="8">
        <v>0.0</v>
      </c>
      <c r="OM17" s="8">
        <v>0.0</v>
      </c>
      <c r="ON17" s="8">
        <v>13.0</v>
      </c>
      <c r="OO17" s="8">
        <v>0.0</v>
      </c>
      <c r="OP17" s="9" t="str">
        <f>VLOOKUP(AG17,'BUS 2'!$G$1:$CU$424,2,0)</f>
        <v>Sapi pedaging Ayam Unggas lainnya</v>
      </c>
      <c r="OQ17" s="8">
        <f>VLOOKUP(AG17,'BUS 2'!$G$1:$CU$424,3,0)</f>
        <v>1</v>
      </c>
      <c r="OR17" s="8">
        <f>VLOOKUP(AG17,'BUS 2'!$G$1:$CU$424,4,0)</f>
        <v>0</v>
      </c>
      <c r="OS17" s="8">
        <f>VLOOKUP(AG17,'BUS 2'!$G$1:$CU$424,5,0)</f>
        <v>0</v>
      </c>
      <c r="OT17" s="8">
        <f>VLOOKUP(AG17,'BUS 2'!$G$1:$CU$424,6,0)</f>
        <v>0</v>
      </c>
      <c r="OU17" s="8">
        <f>VLOOKUP(AG17,'BUS 2'!$G$1:$CU$424,7,0)</f>
        <v>0</v>
      </c>
      <c r="OV17" s="8">
        <f>VLOOKUP(AG17,'BUS 2'!$G$1:$CU$424,8,0)</f>
        <v>0</v>
      </c>
      <c r="OW17" s="8">
        <f>VLOOKUP(AG17,'BUS 2'!$G$1:$CU$424,9,0)</f>
        <v>1</v>
      </c>
      <c r="OX17" s="8">
        <f>VLOOKUP(AG17,'BUS 2'!$G$1:$CU$424,10,0)</f>
        <v>1</v>
      </c>
      <c r="OY17" s="8">
        <f>VLOOKUP(AG17,'BUS 2'!$G$1:$CU$424,11,0)</f>
        <v>0</v>
      </c>
      <c r="OZ17" s="8" t="str">
        <f>VLOOKUP(AG17,'BUS 2'!$G$1:$CU$424,12,0)</f>
        <v>Sapi pedaging</v>
      </c>
      <c r="PA17" s="8">
        <f>VLOOKUP(AG17,'BUS 2'!$G$1:$CU$424,13,0)</f>
        <v>1</v>
      </c>
      <c r="PB17" s="8">
        <f>VLOOKUP(AG17,'BUS 2'!$G$1:$CU$424,14,0)</f>
        <v>0</v>
      </c>
      <c r="PC17" s="8">
        <f>VLOOKUP(AG17,'BUS 2'!$G$1:$CU$424,15,0)</f>
        <v>0</v>
      </c>
      <c r="PD17" s="8">
        <f>VLOOKUP(AG17,'BUS 2'!$G$1:$CU$424,16,0)</f>
        <v>0</v>
      </c>
      <c r="PE17" s="8">
        <f>VLOOKUP(AG17,'BUS 2'!$G$1:$CU$424,17,0)</f>
        <v>0</v>
      </c>
      <c r="PF17" s="8">
        <f>VLOOKUP(AG17,'BUS 2'!$G$1:$CU$424,18,0)</f>
        <v>0</v>
      </c>
      <c r="PG17" s="8">
        <f>VLOOKUP(AG17,'BUS 2'!$G$1:$CU$424,19,0)</f>
        <v>0</v>
      </c>
      <c r="PH17" s="8">
        <f>VLOOKUP(AG17,'BUS 2'!$G$1:$CU$424,20,0)</f>
        <v>0</v>
      </c>
      <c r="PI17" s="8">
        <f>VLOOKUP(AG17,'BUS 2'!$G$1:$CU$424,21,0)</f>
        <v>0</v>
      </c>
      <c r="PJ17" s="8" t="str">
        <f>VLOOKUP(AG17,'BUS 2'!$G$1:$CU$424,22,0)</f>
        <v>Ayam</v>
      </c>
      <c r="PK17" s="8">
        <f>VLOOKUP(AG17,'BUS 2'!$G$1:$CU$424,23,0)</f>
        <v>0</v>
      </c>
      <c r="PL17" s="8">
        <f>VLOOKUP(AG17,'BUS 2'!$G$1:$CU$424,24,0)</f>
        <v>0</v>
      </c>
      <c r="PM17" s="8">
        <f>VLOOKUP(AG17,'BUS 2'!$G$1:$CU$424,25,0)</f>
        <v>0</v>
      </c>
      <c r="PN17" s="8">
        <f>VLOOKUP(AG17,'BUS 2'!$G$1:$CU$424,26,0)</f>
        <v>0</v>
      </c>
      <c r="PO17" s="8">
        <f>VLOOKUP(AG17,'BUS 2'!$G$1:$CU$424,27,0)</f>
        <v>0</v>
      </c>
      <c r="PP17" s="8">
        <f>VLOOKUP(AG17,'BUS 2'!$G$1:$CU$424,28,0)</f>
        <v>0</v>
      </c>
      <c r="PQ17" s="8">
        <f>VLOOKUP(AG17,'BUS 2'!$G$1:$CU$424,29,0)</f>
        <v>1</v>
      </c>
      <c r="PR17" s="8">
        <f>VLOOKUP(AG17,'BUS 2'!$G$1:$CU$424,30,0)</f>
        <v>0</v>
      </c>
      <c r="PS17" s="8">
        <f>VLOOKUP(AG17,'BUS 2'!$G$1:$CU$424,31,0)</f>
        <v>0</v>
      </c>
      <c r="PT17" s="9" t="s">
        <v>2070</v>
      </c>
      <c r="PU17" s="8">
        <v>0.0</v>
      </c>
      <c r="PV17" s="8">
        <v>0.0</v>
      </c>
      <c r="PW17" s="8">
        <v>0.0</v>
      </c>
      <c r="PX17" s="8">
        <v>0.0</v>
      </c>
      <c r="PY17" s="8">
        <v>0.0</v>
      </c>
      <c r="PZ17" s="8">
        <v>0.0</v>
      </c>
      <c r="QA17" s="8">
        <v>0.0</v>
      </c>
      <c r="QB17" s="8">
        <v>0.0</v>
      </c>
      <c r="QC17" s="8">
        <v>1.0</v>
      </c>
      <c r="QD17" s="21" t="s">
        <v>2071</v>
      </c>
      <c r="QE17" s="32"/>
      <c r="QF17" s="31"/>
      <c r="QG17" s="31"/>
      <c r="QH17" s="31"/>
      <c r="QI17" s="31"/>
      <c r="QJ17" s="31"/>
      <c r="QK17" s="32"/>
      <c r="QL17" s="32"/>
      <c r="QM17" s="32"/>
      <c r="QN17" s="32"/>
      <c r="QO17" s="32"/>
      <c r="QP17" s="32"/>
      <c r="QQ17" s="32"/>
      <c r="QR17" s="32"/>
      <c r="QS17" s="32"/>
      <c r="QT17" s="32"/>
      <c r="QU17" s="32"/>
      <c r="QV17" s="32"/>
      <c r="QW17" s="31"/>
      <c r="QX17" s="31"/>
      <c r="QY17" s="31"/>
      <c r="QZ17" s="31"/>
      <c r="RA17" s="31"/>
      <c r="RB17" s="32"/>
      <c r="RC17" s="32"/>
      <c r="RD17" s="32"/>
      <c r="RE17" s="32"/>
      <c r="RF17" s="32"/>
      <c r="RG17" s="9"/>
      <c r="RH17" s="31"/>
      <c r="RI17" s="31"/>
      <c r="RJ17" s="31"/>
      <c r="RK17" s="31"/>
      <c r="RL17" s="31"/>
      <c r="RM17" s="9"/>
      <c r="RN17" s="9"/>
      <c r="RO17" s="9"/>
      <c r="RP17" s="9"/>
      <c r="RQ17" s="9"/>
      <c r="RR17" s="9"/>
      <c r="RS17" s="31"/>
      <c r="RT17" s="31"/>
      <c r="RU17" s="31"/>
      <c r="RV17" s="31"/>
      <c r="RW17" s="31"/>
      <c r="RX17" s="9"/>
      <c r="RY17" s="9"/>
      <c r="RZ17" s="9"/>
      <c r="SA17" s="9"/>
      <c r="SB17" s="9"/>
      <c r="SC17" s="9" t="s">
        <v>900</v>
      </c>
      <c r="SD17" s="35">
        <v>0.0</v>
      </c>
      <c r="SE17" s="35">
        <v>0.0</v>
      </c>
      <c r="SF17" s="35">
        <v>0.0</v>
      </c>
      <c r="SG17" s="35">
        <v>0.0</v>
      </c>
      <c r="SH17" s="35">
        <v>0.0</v>
      </c>
      <c r="SI17" s="8">
        <v>1.0</v>
      </c>
      <c r="SJ17" s="8">
        <v>0.0</v>
      </c>
      <c r="SK17" s="8">
        <v>0.0</v>
      </c>
      <c r="SL17" s="8">
        <v>0.0</v>
      </c>
      <c r="SM17" s="9"/>
      <c r="SN17" s="9" t="s">
        <v>900</v>
      </c>
      <c r="SO17" s="35">
        <v>0.0</v>
      </c>
      <c r="SP17" s="35">
        <v>0.0</v>
      </c>
      <c r="SQ17" s="35">
        <v>0.0</v>
      </c>
      <c r="SR17" s="35">
        <v>0.0</v>
      </c>
      <c r="SS17" s="35">
        <v>0.0</v>
      </c>
      <c r="ST17" s="8">
        <v>1.0</v>
      </c>
      <c r="SU17" s="8">
        <v>0.0</v>
      </c>
      <c r="SV17" s="8">
        <v>0.0</v>
      </c>
      <c r="SW17" s="8">
        <v>0.0</v>
      </c>
      <c r="SX17" s="9"/>
      <c r="SY17" s="8">
        <f>VLOOKUP(AG17,'BUS 2'!$G$1:$CU$424,33,0)</f>
        <v>2</v>
      </c>
      <c r="SZ17" s="9" t="str">
        <f>VLOOKUP(AG17,'BUS 2'!$G$1:$CU$424,34,0)</f>
        <v/>
      </c>
      <c r="TA17" s="9" t="str">
        <f>VLOOKUP(AG17,'BUS 2'!$G$1:$CU$424,35,0)</f>
        <v/>
      </c>
      <c r="TB17" s="9" t="str">
        <f>VLOOKUP(AG17,'BUS 2'!$G$1:$CU$424,36,0)</f>
        <v/>
      </c>
      <c r="TC17" s="9" t="str">
        <f>VLOOKUP(AG17,'BUS 2'!$G$1:$CU$424,37,0)</f>
        <v/>
      </c>
      <c r="TD17" s="9" t="str">
        <f>VLOOKUP(AG17,'BUS 2'!$G$1:$CU$424,38,0)</f>
        <v/>
      </c>
      <c r="TE17" s="9">
        <f>VLOOKUP(AG17,'BUS 2'!$G$1:$CU$424,39,0)</f>
        <v>10</v>
      </c>
      <c r="TF17" s="9">
        <f>VLOOKUP(AG17,'BUS 2'!$G$1:$CU$424,40,0)</f>
        <v>5</v>
      </c>
      <c r="TG17" s="8">
        <f>VLOOKUP(AG17,'BUS 2'!$G$1:$CU$424,42,0)</f>
        <v>2</v>
      </c>
      <c r="TH17" s="8" t="str">
        <f>VLOOKUP(AG17,'BUS 2'!$G$1:$CU$424,43,0)</f>
        <v/>
      </c>
      <c r="TI17" s="8" t="str">
        <f>VLOOKUP(AG17,'BUS 2'!$G$1:$CU$424,44,0)</f>
        <v/>
      </c>
      <c r="TJ17" s="8" t="str">
        <f>VLOOKUP(AG17,'BUS 2'!$G$1:$CU$424,45,0)</f>
        <v/>
      </c>
      <c r="TK17" s="8" t="str">
        <f>VLOOKUP(AG17,'BUS 2'!$G$1:$CU$424,46,0)</f>
        <v/>
      </c>
      <c r="TL17" s="8" t="str">
        <f>VLOOKUP(AG17,'BUS 2'!$G$1:$CU$424,47,0)</f>
        <v/>
      </c>
      <c r="TM17" s="8" t="str">
        <f>VLOOKUP(AG17,'BUS 2'!$G$1:$CU$424,48,0)</f>
        <v/>
      </c>
      <c r="TN17" s="8" t="str">
        <f>VLOOKUP(AG17,'BUS 2'!$G$1:$CU$424,49,0)</f>
        <v/>
      </c>
      <c r="TO17" s="8" t="str">
        <f>VLOOKUP(AG17,'BUS 2'!$G$1:$CU$424,50,0)</f>
        <v/>
      </c>
      <c r="TP17" s="8" t="str">
        <f>VLOOKUP(AG17,'BUS 2'!$G$1:$CU$424,51,0)</f>
        <v/>
      </c>
      <c r="TQ17" s="8" t="str">
        <f>VLOOKUP(AG17,'BUS 2'!$G$1:$CU$424,52,0)</f>
        <v/>
      </c>
      <c r="TR17" s="8" t="str">
        <f>VLOOKUP(AG17,'BUS 2'!$G$1:$CU$424,53,0)</f>
        <v/>
      </c>
      <c r="TS17" s="9" t="str">
        <f>VLOOKUP(AG17,'BUS 2'!$G$1:$CU$424,54,0)</f>
        <v/>
      </c>
      <c r="TT17" s="9" t="str">
        <f>VLOOKUP(AG17,'BUS 2'!$G$1:$CU$424,55,0)</f>
        <v/>
      </c>
      <c r="TU17" s="9" t="str">
        <f>VLOOKUP(AG17,'BUS 2'!$G$1:$CU$424,56,0)</f>
        <v/>
      </c>
      <c r="TV17" s="9" t="str">
        <f>VLOOKUP(AG17,'BUS 2'!$G$1:$CU$424,57,0)</f>
        <v/>
      </c>
      <c r="TW17" s="9" t="str">
        <f>VLOOKUP(AG17,'BUS 2'!$G$1:$CU$424,58,0)</f>
        <v/>
      </c>
      <c r="TX17" s="9" t="str">
        <f>VLOOKUP(AG17,'BUS 2'!$G$1:$CU$424,59,0)</f>
        <v/>
      </c>
      <c r="TY17" s="9" t="str">
        <f>VLOOKUP(AG17,'BUS 2'!$G$1:$CU$424,60,0)</f>
        <v/>
      </c>
      <c r="TZ17" s="9" t="str">
        <f>VLOOKUP(AG17,'BUS 2'!$G$1:$CU$424,61,0)</f>
        <v/>
      </c>
      <c r="UA17" s="9" t="str">
        <f>VLOOKUP(AG17,'BUS 2'!$G$1:$CU$424,62,0)</f>
        <v/>
      </c>
      <c r="UB17" s="9" t="str">
        <f>VLOOKUP(AG17,'BUS 2'!$G$1:$CU$424,63,0)</f>
        <v/>
      </c>
      <c r="UC17" s="9" t="str">
        <f>VLOOKUP(AG17,'BUS 2'!$G$1:$CU$424,64,0)</f>
        <v/>
      </c>
      <c r="UD17" s="9" t="str">
        <f>VLOOKUP(AG17,'BUS 2'!$G$1:$CU$424,65,0)</f>
        <v/>
      </c>
      <c r="UE17" s="9" t="str">
        <f>VLOOKUP(AG17,'BUS 2'!$G$1:$CU$424,66,0)</f>
        <v/>
      </c>
      <c r="UF17" s="9" t="str">
        <f>VLOOKUP(AG17,'BUS 2'!$G$1:$CU$424,67,0)</f>
        <v/>
      </c>
      <c r="UG17" s="9" t="str">
        <f>VLOOKUP(AG17,'BUS 2'!$G$1:$CU$424,68,0)</f>
        <v/>
      </c>
      <c r="UH17" s="9" t="str">
        <f>VLOOKUP(AG17,'BUS 2'!$G$1:$CU$424,69,0)</f>
        <v/>
      </c>
      <c r="UI17" s="9" t="str">
        <f>VLOOKUP(AG17,'BUS 2'!$G$1:$CU$424,70,0)</f>
        <v/>
      </c>
      <c r="UJ17" s="9" t="str">
        <f>VLOOKUP(AG17,'BUS 2'!$G$1:$CU$424,71,0)</f>
        <v/>
      </c>
      <c r="UK17" s="9" t="str">
        <f>VLOOKUP(AG17,'BUS 2'!$G$1:$CU$424,72,0)</f>
        <v/>
      </c>
      <c r="UL17" s="9" t="str">
        <f>VLOOKUP(AG17,'BUS 2'!$G$1:$CU$424,73,0)</f>
        <v/>
      </c>
      <c r="UM17" s="9">
        <f>VLOOKUP(AG17,'BUS 2'!$G$1:$CU$424,74,0)</f>
        <v>0</v>
      </c>
      <c r="UN17" s="9">
        <f>VLOOKUP(AG17,'BUS 2'!$G$1:$CU$424,75,0)</f>
        <v>0</v>
      </c>
      <c r="UO17" s="9">
        <f>VLOOKUP(AG17,'BUS 2'!$G$1:$CU$424,76,0)</f>
        <v>10</v>
      </c>
      <c r="UP17" s="9">
        <f>VLOOKUP(AG17,'BUS 2'!$G$1:$CU$424,77,0)</f>
        <v>0</v>
      </c>
      <c r="UQ17" s="9" t="str">
        <f>VLOOKUP(AG17,'BUS 2'!$G$1:$CU$424,78,0)</f>
        <v/>
      </c>
      <c r="UR17" s="9" t="str">
        <f>VLOOKUP(AG17,'BUS 2'!$G$1:$CU$424,79,0)</f>
        <v/>
      </c>
      <c r="US17" s="9" t="str">
        <f>VLOOKUP(AG17,'BUS 2'!$G$1:$CU$424,80,0)</f>
        <v/>
      </c>
      <c r="UT17" s="9" t="str">
        <f>VLOOKUP(AG17,'BUS 2'!$G$1:$CU$424,81,0)</f>
        <v/>
      </c>
      <c r="UU17" s="9"/>
      <c r="UV17" s="9"/>
      <c r="UW17" s="9"/>
      <c r="UX17" s="9"/>
      <c r="UY17" s="9"/>
      <c r="UZ17" s="9"/>
      <c r="VA17" s="9" t="s">
        <v>1976</v>
      </c>
      <c r="VB17" s="9"/>
      <c r="VC17" s="9"/>
      <c r="VD17" s="9"/>
      <c r="VE17" s="9"/>
      <c r="VF17" s="9"/>
      <c r="VG17" s="9"/>
      <c r="VH17" s="9"/>
      <c r="VI17" s="9" t="s">
        <v>1938</v>
      </c>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t="s">
        <v>1941</v>
      </c>
      <c r="YO17" s="8">
        <v>0.0</v>
      </c>
      <c r="YP17" s="8">
        <v>0.0</v>
      </c>
      <c r="YQ17" s="8">
        <v>0.0</v>
      </c>
      <c r="YR17" s="8">
        <v>0.0</v>
      </c>
      <c r="YS17" s="8">
        <v>0.0</v>
      </c>
      <c r="YT17" s="8">
        <v>0.0</v>
      </c>
      <c r="YU17" s="8">
        <v>0.0</v>
      </c>
      <c r="YV17" s="8">
        <v>0.0</v>
      </c>
      <c r="YW17" s="8">
        <v>0.0</v>
      </c>
      <c r="YX17" s="8">
        <v>0.0</v>
      </c>
      <c r="YY17" s="8">
        <v>0.0</v>
      </c>
      <c r="YZ17" s="8">
        <v>1.0</v>
      </c>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8">
        <v>1.0</v>
      </c>
      <c r="AAC17" s="9"/>
      <c r="AAD17" s="9"/>
      <c r="AAE17" s="9"/>
      <c r="AAF17" s="9"/>
      <c r="AAG17" s="9"/>
      <c r="AAH17" s="9"/>
      <c r="AAI17" s="9"/>
      <c r="AAJ17" s="9" t="s">
        <v>1186</v>
      </c>
      <c r="AAK17" s="9"/>
      <c r="AAL17" s="9" t="s">
        <v>881</v>
      </c>
      <c r="AAM17" s="9"/>
      <c r="AAN17" s="9"/>
      <c r="AAO17" s="9"/>
      <c r="AAP17" s="9"/>
      <c r="AAQ17" s="9"/>
      <c r="AAR17" s="9" t="s">
        <v>857</v>
      </c>
      <c r="AAS17" s="9" t="s">
        <v>867</v>
      </c>
      <c r="AAT17" s="9" t="s">
        <v>2176</v>
      </c>
      <c r="AAU17" s="8">
        <v>0.0</v>
      </c>
      <c r="AAV17" s="8">
        <v>0.0</v>
      </c>
      <c r="AAW17" s="8">
        <v>0.0</v>
      </c>
      <c r="AAX17" s="8">
        <v>0.0</v>
      </c>
      <c r="AAY17" s="8">
        <v>0.0</v>
      </c>
      <c r="AAZ17" s="8">
        <v>1.0</v>
      </c>
      <c r="ABA17" s="8">
        <v>0.0</v>
      </c>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t="s">
        <v>969</v>
      </c>
      <c r="ACL17" s="8">
        <v>0.0</v>
      </c>
      <c r="ACM17" s="8">
        <v>0.0</v>
      </c>
      <c r="ACN17" s="8">
        <v>0.0</v>
      </c>
      <c r="ACO17" s="8">
        <v>0.0</v>
      </c>
      <c r="ACP17" s="8">
        <v>0.0</v>
      </c>
      <c r="ACQ17" s="8">
        <v>0.0</v>
      </c>
      <c r="ACR17" s="8">
        <v>1.0</v>
      </c>
      <c r="ACS17" s="9" t="s">
        <v>2307</v>
      </c>
      <c r="ACT17" s="9" t="s">
        <v>1945</v>
      </c>
      <c r="ACU17" s="9" t="s">
        <v>2045</v>
      </c>
      <c r="ACV17" s="9" t="s">
        <v>914</v>
      </c>
      <c r="ACW17" s="9" t="s">
        <v>1391</v>
      </c>
      <c r="ACX17" s="9" t="s">
        <v>958</v>
      </c>
      <c r="ACY17" s="9" t="s">
        <v>2308</v>
      </c>
      <c r="ACZ17" s="8">
        <v>0.0</v>
      </c>
      <c r="ADA17" s="8">
        <v>0.0</v>
      </c>
      <c r="ADB17" s="8">
        <v>0.0</v>
      </c>
      <c r="ADC17" s="8">
        <v>1.0</v>
      </c>
      <c r="ADD17" s="9" t="s">
        <v>1392</v>
      </c>
      <c r="ADE17" s="9" t="s">
        <v>917</v>
      </c>
      <c r="ADF17" s="9" t="s">
        <v>917</v>
      </c>
      <c r="ADG17" s="9" t="s">
        <v>1392</v>
      </c>
      <c r="ADH17" s="9" t="s">
        <v>881</v>
      </c>
      <c r="ADI17" s="9"/>
      <c r="ADJ17" s="9" t="s">
        <v>917</v>
      </c>
      <c r="ADK17" s="9"/>
      <c r="ADL17" s="9"/>
      <c r="ADM17" s="9"/>
      <c r="ADN17" s="9"/>
      <c r="ADO17" s="9"/>
      <c r="ADP17" s="9"/>
      <c r="ADQ17" s="9"/>
      <c r="ADR17" s="9"/>
      <c r="ADS17" s="9"/>
      <c r="ADT17" s="9"/>
      <c r="ADU17" s="9" t="s">
        <v>2235</v>
      </c>
      <c r="ADV17" s="8">
        <v>0.0</v>
      </c>
      <c r="ADW17" s="8">
        <v>0.0</v>
      </c>
      <c r="ADX17" s="8">
        <v>0.0</v>
      </c>
      <c r="ADY17" s="8">
        <v>0.0</v>
      </c>
      <c r="ADZ17" s="8">
        <v>0.0</v>
      </c>
      <c r="AEA17" s="8">
        <v>0.0</v>
      </c>
      <c r="AEB17" s="8">
        <v>1.0</v>
      </c>
      <c r="AEC17" s="8">
        <v>0.0</v>
      </c>
      <c r="AED17" s="9" t="s">
        <v>2235</v>
      </c>
      <c r="AEE17" s="9" t="s">
        <v>969</v>
      </c>
      <c r="AEF17" s="9" t="s">
        <v>2309</v>
      </c>
      <c r="AEG17" s="9" t="s">
        <v>969</v>
      </c>
      <c r="AEH17" s="9" t="s">
        <v>2309</v>
      </c>
      <c r="AEI17" s="9" t="s">
        <v>2310</v>
      </c>
      <c r="AEJ17" s="9" t="s">
        <v>961</v>
      </c>
      <c r="AEK17" s="9" t="s">
        <v>969</v>
      </c>
      <c r="AEL17" s="8">
        <v>0.0</v>
      </c>
      <c r="AEM17" s="8">
        <v>0.0</v>
      </c>
      <c r="AEN17" s="8">
        <v>0.0</v>
      </c>
      <c r="AEO17" s="8">
        <v>0.0</v>
      </c>
      <c r="AEP17" s="8">
        <v>0.0</v>
      </c>
      <c r="AEQ17" s="8">
        <v>0.0</v>
      </c>
      <c r="AER17" s="8">
        <v>0.0</v>
      </c>
      <c r="AES17" s="8">
        <v>0.0</v>
      </c>
      <c r="AET17" s="8">
        <v>0.0</v>
      </c>
      <c r="AEU17" s="8">
        <v>0.0</v>
      </c>
      <c r="AEV17" s="8">
        <v>0.0</v>
      </c>
      <c r="AEW17" s="8">
        <v>1.0</v>
      </c>
      <c r="AEX17" s="9" t="s">
        <v>2311</v>
      </c>
      <c r="AEY17" s="9" t="s">
        <v>923</v>
      </c>
      <c r="AEZ17" s="9"/>
      <c r="AFA17" s="9" t="s">
        <v>2077</v>
      </c>
      <c r="AFB17" s="9"/>
      <c r="AFC17" s="9" t="s">
        <v>2312</v>
      </c>
      <c r="AFD17" s="16" t="s">
        <v>2313</v>
      </c>
      <c r="AFE17" s="9" t="s">
        <v>2314</v>
      </c>
      <c r="AFF17" s="16" t="s">
        <v>2315</v>
      </c>
      <c r="AFG17" s="9" t="s">
        <v>1986</v>
      </c>
      <c r="AFH17" s="9"/>
      <c r="AFI17" s="21" t="s">
        <v>2316</v>
      </c>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8">
        <v>6.71409329E8</v>
      </c>
      <c r="AWB17" s="9" t="s">
        <v>2317</v>
      </c>
      <c r="AWC17" s="6">
        <v>46066.0</v>
      </c>
      <c r="AWD17" s="9"/>
      <c r="AWE17" s="9"/>
      <c r="AWF17" s="9" t="s">
        <v>1954</v>
      </c>
      <c r="AWG17" s="9"/>
      <c r="AWH17" s="9" t="s">
        <v>1989</v>
      </c>
      <c r="AWI17" s="9"/>
      <c r="AWJ17" s="9" t="s">
        <v>2318</v>
      </c>
      <c r="AWK17" s="8">
        <v>220.0</v>
      </c>
      <c r="AWL17" s="9" t="s">
        <v>2319</v>
      </c>
      <c r="AWM17" s="8">
        <v>0.0</v>
      </c>
      <c r="AWN17" s="9" t="s">
        <v>1957</v>
      </c>
      <c r="AWO17" s="33" t="b">
        <v>1</v>
      </c>
      <c r="AWP17" s="33" t="b">
        <v>1</v>
      </c>
      <c r="AWQ17" s="33" t="b">
        <v>1</v>
      </c>
      <c r="AWR17" s="33" t="b">
        <v>1</v>
      </c>
      <c r="AWS17" s="33" t="b">
        <v>1</v>
      </c>
      <c r="AWT17" s="33" t="b">
        <v>1</v>
      </c>
      <c r="AWU17" s="9"/>
      <c r="AWV17" s="8">
        <v>0.0</v>
      </c>
      <c r="AWW17" s="9"/>
      <c r="AWX17" s="9"/>
      <c r="AWY17" s="9"/>
      <c r="AWZ17" s="9"/>
    </row>
    <row r="18">
      <c r="A18" s="6">
        <v>46047.0</v>
      </c>
      <c r="B18" s="6">
        <v>46066.0</v>
      </c>
      <c r="C18" s="30" t="s">
        <v>1958</v>
      </c>
      <c r="D18" s="30" t="s">
        <v>1204</v>
      </c>
      <c r="E18" s="8">
        <f t="shared" si="1"/>
        <v>620</v>
      </c>
      <c r="F18" s="9" t="s">
        <v>2320</v>
      </c>
      <c r="G18" s="8">
        <v>-5.151895</v>
      </c>
      <c r="H18" s="8">
        <v>119.636938</v>
      </c>
      <c r="I18" s="8">
        <v>113.3093872</v>
      </c>
      <c r="J18" s="8">
        <v>4.034999847</v>
      </c>
      <c r="K18" s="8">
        <v>0.0</v>
      </c>
      <c r="L18" s="9" t="s">
        <v>2321</v>
      </c>
      <c r="M18" s="8">
        <v>-5.152032</v>
      </c>
      <c r="N18" s="8">
        <v>119.637003</v>
      </c>
      <c r="O18" s="8">
        <v>114.2840555</v>
      </c>
      <c r="P18" s="8">
        <v>3.789999962</v>
      </c>
      <c r="Q18" s="8">
        <v>0.0</v>
      </c>
      <c r="R18" s="9" t="s">
        <v>1923</v>
      </c>
      <c r="S18" s="8">
        <v>0.0</v>
      </c>
      <c r="T18" s="8">
        <v>0.0</v>
      </c>
      <c r="U18" s="8">
        <v>0.0</v>
      </c>
      <c r="V18" s="8">
        <v>0.0</v>
      </c>
      <c r="W18" s="8">
        <v>0.0</v>
      </c>
      <c r="X18" s="8">
        <v>0.0</v>
      </c>
      <c r="Y18" s="8">
        <v>0.0</v>
      </c>
      <c r="Z18" s="8">
        <v>0.0</v>
      </c>
      <c r="AA18" s="8">
        <v>0.0</v>
      </c>
      <c r="AB18" s="8">
        <v>1.0</v>
      </c>
      <c r="AC18" s="7" t="s">
        <v>1924</v>
      </c>
      <c r="AD18" s="7" t="s">
        <v>2088</v>
      </c>
      <c r="AE18" s="7" t="s">
        <v>2089</v>
      </c>
      <c r="AF18" s="9" t="s">
        <v>2090</v>
      </c>
      <c r="AG18" s="9" t="s">
        <v>2322</v>
      </c>
      <c r="AH18" s="8">
        <v>13.0</v>
      </c>
      <c r="AI18" s="9" t="s">
        <v>933</v>
      </c>
      <c r="AJ18" s="9" t="s">
        <v>934</v>
      </c>
      <c r="AK18" s="35">
        <v>69.0</v>
      </c>
      <c r="AL18" s="9" t="s">
        <v>847</v>
      </c>
      <c r="AM18" s="9" t="s">
        <v>848</v>
      </c>
      <c r="AN18" s="9" t="s">
        <v>986</v>
      </c>
      <c r="AO18" s="9" t="s">
        <v>850</v>
      </c>
      <c r="AP18" s="8">
        <v>1.0</v>
      </c>
      <c r="AQ18" s="8">
        <v>0.0</v>
      </c>
      <c r="AR18" s="8">
        <v>0.0</v>
      </c>
      <c r="AS18" s="8">
        <v>0.0</v>
      </c>
      <c r="AT18" s="8">
        <v>0.0</v>
      </c>
      <c r="AU18" s="8">
        <v>0.0</v>
      </c>
      <c r="AV18" s="8">
        <v>0.0</v>
      </c>
      <c r="AW18" s="8">
        <v>0.0</v>
      </c>
      <c r="AX18" s="9"/>
      <c r="AY18" s="9" t="s">
        <v>935</v>
      </c>
      <c r="AZ18" s="8">
        <v>0.0</v>
      </c>
      <c r="BA18" s="8">
        <v>1.0</v>
      </c>
      <c r="BB18" s="8">
        <v>0.0</v>
      </c>
      <c r="BC18" s="8">
        <v>0.0</v>
      </c>
      <c r="BD18" s="8">
        <v>0.0</v>
      </c>
      <c r="BE18" s="8">
        <v>0.0</v>
      </c>
      <c r="BF18" s="8">
        <v>0.0</v>
      </c>
      <c r="BG18" s="8">
        <v>0.0</v>
      </c>
      <c r="BH18" s="11"/>
      <c r="BI18" s="9" t="s">
        <v>936</v>
      </c>
      <c r="BJ18" s="8">
        <v>3.0</v>
      </c>
      <c r="BK18" s="8">
        <v>1.0</v>
      </c>
      <c r="BL18" s="8">
        <v>1.0</v>
      </c>
      <c r="BM18" s="8">
        <v>1.0</v>
      </c>
      <c r="BN18" s="9" t="s">
        <v>853</v>
      </c>
      <c r="BO18" s="9" t="s">
        <v>854</v>
      </c>
      <c r="BP18" s="8">
        <v>1.0</v>
      </c>
      <c r="BQ18" s="8">
        <v>0.0</v>
      </c>
      <c r="BR18" s="8">
        <v>0.0</v>
      </c>
      <c r="BS18" s="8">
        <v>0.0</v>
      </c>
      <c r="BT18" s="8">
        <v>0.0</v>
      </c>
      <c r="BU18" s="9"/>
      <c r="BV18" s="9" t="s">
        <v>1254</v>
      </c>
      <c r="BW18" s="8">
        <v>0.0</v>
      </c>
      <c r="BX18" s="8">
        <v>1.0</v>
      </c>
      <c r="BY18" s="8">
        <v>0.0</v>
      </c>
      <c r="BZ18" s="8">
        <v>0.0</v>
      </c>
      <c r="CA18" s="8">
        <v>0.0</v>
      </c>
      <c r="CB18" s="9"/>
      <c r="CC18" s="9" t="s">
        <v>1929</v>
      </c>
      <c r="CD18" s="8">
        <v>0.0</v>
      </c>
      <c r="CE18" s="8">
        <v>0.0</v>
      </c>
      <c r="CF18" s="8">
        <v>0.0</v>
      </c>
      <c r="CG18" s="8">
        <v>0.0</v>
      </c>
      <c r="CH18" s="8">
        <v>1.0</v>
      </c>
      <c r="CI18" s="8">
        <v>0.0</v>
      </c>
      <c r="CJ18" s="8">
        <v>0.0</v>
      </c>
      <c r="CK18" s="9"/>
      <c r="CL18" s="9" t="s">
        <v>857</v>
      </c>
      <c r="CM18" s="8">
        <v>2013.0</v>
      </c>
      <c r="CN18" s="9" t="s">
        <v>858</v>
      </c>
      <c r="CO18" s="9" t="s">
        <v>859</v>
      </c>
      <c r="CP18" s="9" t="s">
        <v>1060</v>
      </c>
      <c r="CQ18" s="8">
        <v>0.0</v>
      </c>
      <c r="CR18" s="8">
        <v>0.0</v>
      </c>
      <c r="CS18" s="8">
        <v>0.0</v>
      </c>
      <c r="CT18" s="8">
        <v>0.0</v>
      </c>
      <c r="CU18" s="8">
        <v>1.0</v>
      </c>
      <c r="CV18" s="8">
        <v>1.0</v>
      </c>
      <c r="CW18" s="8">
        <v>0.0</v>
      </c>
      <c r="CX18" s="8">
        <v>0.0</v>
      </c>
      <c r="CY18" s="9" t="s">
        <v>860</v>
      </c>
      <c r="CZ18" s="8">
        <v>1.0</v>
      </c>
      <c r="DA18" s="8">
        <v>0.0</v>
      </c>
      <c r="DB18" s="8">
        <v>0.0</v>
      </c>
      <c r="DC18" s="9"/>
      <c r="DD18" s="9" t="s">
        <v>860</v>
      </c>
      <c r="DE18" s="8">
        <v>1.0</v>
      </c>
      <c r="DF18" s="8">
        <v>0.0</v>
      </c>
      <c r="DG18" s="8">
        <v>0.0</v>
      </c>
      <c r="DH18" s="8">
        <v>0.0</v>
      </c>
      <c r="DI18" s="9"/>
      <c r="DJ18" s="9" t="s">
        <v>861</v>
      </c>
      <c r="DK18" s="8">
        <v>0.0</v>
      </c>
      <c r="DL18" s="8">
        <v>0.0</v>
      </c>
      <c r="DM18" s="8">
        <v>1.0</v>
      </c>
      <c r="DN18" s="8">
        <v>0.0</v>
      </c>
      <c r="DO18" s="9"/>
      <c r="DP18" s="9" t="s">
        <v>857</v>
      </c>
      <c r="DQ18" s="9"/>
      <c r="DR18" s="9"/>
      <c r="DS18" s="9"/>
      <c r="DT18" s="9"/>
      <c r="DU18" s="9"/>
      <c r="DV18" s="9"/>
      <c r="DW18" s="9"/>
      <c r="DX18" s="9"/>
      <c r="DY18" s="9"/>
      <c r="DZ18" s="9"/>
      <c r="EA18" s="9"/>
      <c r="EB18" s="9"/>
      <c r="EC18" s="9"/>
      <c r="ED18" s="9"/>
      <c r="EE18" s="9"/>
      <c r="EF18" s="9"/>
      <c r="EG18" s="9"/>
      <c r="EH18" s="9"/>
      <c r="EI18" s="9" t="s">
        <v>862</v>
      </c>
      <c r="EJ18" s="8">
        <v>0.0</v>
      </c>
      <c r="EK18" s="8">
        <v>0.0</v>
      </c>
      <c r="EL18" s="8">
        <v>0.0</v>
      </c>
      <c r="EM18" s="8">
        <v>1.0</v>
      </c>
      <c r="EN18" s="8">
        <v>0.0</v>
      </c>
      <c r="EO18" s="9"/>
      <c r="EP18" s="9" t="s">
        <v>1403</v>
      </c>
      <c r="EQ18" s="9" t="s">
        <v>1380</v>
      </c>
      <c r="ER18" s="9" t="s">
        <v>2066</v>
      </c>
      <c r="ES18" s="8">
        <v>1.0</v>
      </c>
      <c r="ET18" s="8">
        <v>0.0</v>
      </c>
      <c r="EU18" s="8">
        <v>0.0</v>
      </c>
      <c r="EV18" s="8">
        <v>1.0</v>
      </c>
      <c r="EW18" s="9" t="s">
        <v>1970</v>
      </c>
      <c r="EX18" s="9" t="s">
        <v>865</v>
      </c>
      <c r="EY18" s="8">
        <v>1.0</v>
      </c>
      <c r="EZ18" s="8">
        <v>0.0</v>
      </c>
      <c r="FA18" s="8">
        <v>0.0</v>
      </c>
      <c r="FB18" s="9"/>
      <c r="FC18" s="9" t="s">
        <v>866</v>
      </c>
      <c r="FD18" s="9"/>
      <c r="FE18" s="9" t="s">
        <v>867</v>
      </c>
      <c r="FF18" s="9" t="s">
        <v>868</v>
      </c>
      <c r="FG18" s="9" t="s">
        <v>867</v>
      </c>
      <c r="FH18" s="9" t="s">
        <v>869</v>
      </c>
      <c r="FI18" s="9" t="s">
        <v>867</v>
      </c>
      <c r="FJ18" s="9" t="s">
        <v>868</v>
      </c>
      <c r="FK18" s="9" t="s">
        <v>867</v>
      </c>
      <c r="FL18" s="9" t="s">
        <v>870</v>
      </c>
      <c r="FM18" s="9" t="s">
        <v>867</v>
      </c>
      <c r="FN18" s="9" t="s">
        <v>868</v>
      </c>
      <c r="FO18" s="9" t="s">
        <v>867</v>
      </c>
      <c r="FP18" s="9" t="s">
        <v>870</v>
      </c>
      <c r="FQ18" s="9" t="s">
        <v>867</v>
      </c>
      <c r="FR18" s="9" t="s">
        <v>857</v>
      </c>
      <c r="FS18" s="9" t="s">
        <v>867</v>
      </c>
      <c r="FT18" s="9" t="s">
        <v>2173</v>
      </c>
      <c r="FU18" s="9" t="s">
        <v>872</v>
      </c>
      <c r="FV18" s="8">
        <v>1.0</v>
      </c>
      <c r="FW18" s="8">
        <v>0.0</v>
      </c>
      <c r="FX18" s="8">
        <v>0.0</v>
      </c>
      <c r="FY18" s="8">
        <v>0.0</v>
      </c>
      <c r="FZ18" s="9" t="s">
        <v>944</v>
      </c>
      <c r="GA18" s="9" t="s">
        <v>969</v>
      </c>
      <c r="GB18" s="8">
        <v>0.0</v>
      </c>
      <c r="GC18" s="8">
        <v>0.0</v>
      </c>
      <c r="GD18" s="8">
        <v>0.0</v>
      </c>
      <c r="GE18" s="8">
        <v>1.0</v>
      </c>
      <c r="GF18" s="21" t="s">
        <v>1970</v>
      </c>
      <c r="GG18" s="9" t="s">
        <v>2033</v>
      </c>
      <c r="GH18" s="9" t="s">
        <v>857</v>
      </c>
      <c r="GI18" s="9" t="s">
        <v>876</v>
      </c>
      <c r="GJ18" s="8">
        <v>1.0</v>
      </c>
      <c r="GK18" s="8">
        <v>0.0</v>
      </c>
      <c r="GL18" s="8">
        <v>0.0</v>
      </c>
      <c r="GM18" s="8">
        <v>0.0</v>
      </c>
      <c r="GN18" s="9"/>
      <c r="GO18" s="8">
        <v>9.0</v>
      </c>
      <c r="GP18" s="9" t="s">
        <v>1931</v>
      </c>
      <c r="GQ18" s="9" t="s">
        <v>1102</v>
      </c>
      <c r="GR18" s="8">
        <v>1.0</v>
      </c>
      <c r="GS18" s="8">
        <v>0.0</v>
      </c>
      <c r="GT18" s="8">
        <v>0.0</v>
      </c>
      <c r="GU18" s="8">
        <v>0.0</v>
      </c>
      <c r="GV18" s="8">
        <v>0.0</v>
      </c>
      <c r="GW18" s="8">
        <v>0.0</v>
      </c>
      <c r="GX18" s="8">
        <v>0.0</v>
      </c>
      <c r="GY18" s="9"/>
      <c r="GZ18" s="9" t="s">
        <v>857</v>
      </c>
      <c r="HA18" s="9"/>
      <c r="HB18" s="9"/>
      <c r="HC18" s="9"/>
      <c r="HD18" s="9"/>
      <c r="HE18" s="8">
        <v>12.0</v>
      </c>
      <c r="HF18" s="8">
        <v>80000.0</v>
      </c>
      <c r="HG18" s="8">
        <v>1.0</v>
      </c>
      <c r="HH18" s="8">
        <v>7333.0</v>
      </c>
      <c r="HI18" s="9"/>
      <c r="HJ18" s="9"/>
      <c r="HK18" s="9"/>
      <c r="HL18" s="9"/>
      <c r="HM18" s="9"/>
      <c r="HN18" s="9"/>
      <c r="HO18" s="9"/>
      <c r="HP18" s="9"/>
      <c r="HQ18" s="9"/>
      <c r="HR18" s="9"/>
      <c r="HS18" s="9"/>
      <c r="HT18" s="9"/>
      <c r="HU18" s="9"/>
      <c r="HV18" s="9"/>
      <c r="HW18" s="9"/>
      <c r="HX18" s="9"/>
      <c r="HY18" s="9"/>
      <c r="HZ18" s="9"/>
      <c r="IA18" s="8">
        <v>11.0</v>
      </c>
      <c r="IB18" s="8">
        <v>72666.0</v>
      </c>
      <c r="IC18" s="9"/>
      <c r="ID18" s="9"/>
      <c r="IE18" s="9"/>
      <c r="IF18" s="9"/>
      <c r="IG18" s="9"/>
      <c r="IH18" s="9"/>
      <c r="II18" s="9"/>
      <c r="IJ18" s="9"/>
      <c r="IK18" s="9" t="s">
        <v>1932</v>
      </c>
      <c r="IL18" s="9" t="s">
        <v>880</v>
      </c>
      <c r="IM18" s="9" t="s">
        <v>881</v>
      </c>
      <c r="IN18" s="9" t="s">
        <v>881</v>
      </c>
      <c r="IO18" s="9" t="s">
        <v>1206</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945</v>
      </c>
      <c r="KT18" s="9" t="s">
        <v>886</v>
      </c>
      <c r="KU18" s="9" t="s">
        <v>886</v>
      </c>
      <c r="KV18" s="9" t="s">
        <v>999</v>
      </c>
      <c r="KW18" s="8">
        <v>0.0</v>
      </c>
      <c r="KX18" s="8">
        <v>0.0</v>
      </c>
      <c r="KY18" s="8">
        <v>0.0</v>
      </c>
      <c r="KZ18" s="8">
        <v>1.0</v>
      </c>
      <c r="LA18" s="9" t="s">
        <v>884</v>
      </c>
      <c r="LB18" s="9" t="s">
        <v>1180</v>
      </c>
      <c r="LC18" s="8">
        <v>5.0</v>
      </c>
      <c r="LD18" s="8">
        <v>1.0</v>
      </c>
      <c r="LE18" s="8">
        <v>0.0</v>
      </c>
      <c r="LF18" s="8">
        <v>0.0</v>
      </c>
      <c r="LG18" s="9" t="s">
        <v>857</v>
      </c>
      <c r="LH18" s="8">
        <v>300000.0</v>
      </c>
      <c r="LI18" s="9"/>
      <c r="LJ18" s="9" t="s">
        <v>887</v>
      </c>
      <c r="LK18" s="8">
        <v>0.0</v>
      </c>
      <c r="LL18" s="8">
        <v>0.0</v>
      </c>
      <c r="LM18" s="8">
        <v>0.0</v>
      </c>
      <c r="LN18" s="8">
        <v>0.0</v>
      </c>
      <c r="LO18" s="8">
        <v>1.0</v>
      </c>
      <c r="LP18" s="8">
        <v>0.0</v>
      </c>
      <c r="LQ18" s="8">
        <v>0.0</v>
      </c>
      <c r="LR18" s="11"/>
      <c r="LS18" s="8">
        <v>10.0</v>
      </c>
      <c r="LT18" s="8">
        <v>0.0</v>
      </c>
      <c r="LU18" s="8">
        <v>0.0</v>
      </c>
      <c r="LV18" s="8">
        <v>5.0</v>
      </c>
      <c r="LW18" s="8">
        <v>0.0</v>
      </c>
      <c r="LX18" s="8">
        <v>0.0</v>
      </c>
      <c r="LY18" s="8">
        <v>15.0</v>
      </c>
      <c r="LZ18" s="8">
        <v>0.0</v>
      </c>
      <c r="MA18" s="8">
        <v>0.0</v>
      </c>
      <c r="MB18" s="9" t="s">
        <v>857</v>
      </c>
      <c r="MC18" s="8">
        <v>0.0</v>
      </c>
      <c r="MD18" s="8">
        <v>0.0</v>
      </c>
      <c r="ME18" s="8">
        <v>0.0</v>
      </c>
      <c r="MF18" s="8">
        <v>0.0</v>
      </c>
      <c r="MG18" s="8">
        <v>0.0</v>
      </c>
      <c r="MH18" s="8">
        <v>0.0</v>
      </c>
      <c r="MI18" s="9" t="s">
        <v>946</v>
      </c>
      <c r="MJ18" s="8">
        <v>0.0</v>
      </c>
      <c r="MK18" s="8">
        <v>0.0</v>
      </c>
      <c r="ML18" s="8">
        <v>1.0</v>
      </c>
      <c r="MM18" s="8">
        <v>0.0</v>
      </c>
      <c r="MN18" s="8">
        <v>0.0</v>
      </c>
      <c r="MO18" s="8">
        <v>0.0</v>
      </c>
      <c r="MP18" s="9"/>
      <c r="MQ18" s="9"/>
      <c r="MR18" s="36" t="s">
        <v>2323</v>
      </c>
      <c r="MS18" s="9"/>
      <c r="MT18" s="9" t="s">
        <v>2323</v>
      </c>
      <c r="MU18" s="9" t="s">
        <v>881</v>
      </c>
      <c r="MV18" s="9"/>
      <c r="MW18" s="9"/>
      <c r="MX18" s="9"/>
      <c r="MY18" s="9"/>
      <c r="MZ18" s="9"/>
      <c r="NA18" s="9"/>
      <c r="NB18" s="9"/>
      <c r="NC18" s="9"/>
      <c r="ND18" s="9"/>
      <c r="NE18" s="9"/>
      <c r="NF18" s="9"/>
      <c r="NG18" s="9"/>
      <c r="NH18" s="9"/>
      <c r="NI18" s="9"/>
      <c r="NJ18" s="9"/>
      <c r="NK18" s="9"/>
      <c r="NL18" s="9" t="s">
        <v>881</v>
      </c>
      <c r="NM18" s="9" t="s">
        <v>2324</v>
      </c>
      <c r="NN18" s="17" t="s">
        <v>2150</v>
      </c>
      <c r="NO18" s="9"/>
      <c r="NP18" s="9"/>
      <c r="NQ18" s="9"/>
      <c r="NR18" s="9"/>
      <c r="NS18" s="9"/>
      <c r="NT18" s="9"/>
      <c r="NU18" s="9"/>
      <c r="NV18" s="17" t="s">
        <v>896</v>
      </c>
      <c r="NW18" s="9"/>
      <c r="NX18" s="9" t="s">
        <v>897</v>
      </c>
      <c r="NY18" s="8">
        <v>120.0</v>
      </c>
      <c r="NZ18" s="8">
        <v>60.0</v>
      </c>
      <c r="OA18" s="8">
        <v>0.0</v>
      </c>
      <c r="OB18" s="8">
        <v>0.0</v>
      </c>
      <c r="OC18" s="8">
        <v>60.0</v>
      </c>
      <c r="OD18" s="8">
        <v>0.0</v>
      </c>
      <c r="OE18" s="9" t="s">
        <v>1180</v>
      </c>
      <c r="OF18" s="9" t="s">
        <v>1184</v>
      </c>
      <c r="OG18" s="9" t="s">
        <v>857</v>
      </c>
      <c r="OH18" s="8">
        <v>2.0</v>
      </c>
      <c r="OI18" s="8">
        <v>0.0</v>
      </c>
      <c r="OJ18" s="8">
        <v>0.0</v>
      </c>
      <c r="OK18" s="8">
        <v>0.0</v>
      </c>
      <c r="OL18" s="8">
        <v>0.0</v>
      </c>
      <c r="OM18" s="8">
        <v>0.0</v>
      </c>
      <c r="ON18" s="8">
        <v>30.0</v>
      </c>
      <c r="OO18" s="8">
        <v>12.0</v>
      </c>
      <c r="OP18" s="9" t="str">
        <f>VLOOKUP(AG18,'BUS 2'!$G$1:$CU$424,2,0)</f>
        <v>Sapi pedaging</v>
      </c>
      <c r="OQ18" s="8">
        <f>VLOOKUP(AG18,'BUS 2'!$G$1:$CU$424,3,0)</f>
        <v>1</v>
      </c>
      <c r="OR18" s="8">
        <f>VLOOKUP(AG18,'BUS 2'!$G$1:$CU$424,4,0)</f>
        <v>0</v>
      </c>
      <c r="OS18" s="8">
        <f>VLOOKUP(AG18,'BUS 2'!$G$1:$CU$424,5,0)</f>
        <v>0</v>
      </c>
      <c r="OT18" s="8">
        <f>VLOOKUP(AG18,'BUS 2'!$G$1:$CU$424,6,0)</f>
        <v>0</v>
      </c>
      <c r="OU18" s="8">
        <f>VLOOKUP(AG18,'BUS 2'!$G$1:$CU$424,7,0)</f>
        <v>0</v>
      </c>
      <c r="OV18" s="8">
        <f>VLOOKUP(AG18,'BUS 2'!$G$1:$CU$424,8,0)</f>
        <v>0</v>
      </c>
      <c r="OW18" s="8">
        <f>VLOOKUP(AG18,'BUS 2'!$G$1:$CU$424,9,0)</f>
        <v>0</v>
      </c>
      <c r="OX18" s="8">
        <f>VLOOKUP(AG18,'BUS 2'!$G$1:$CU$424,10,0)</f>
        <v>0</v>
      </c>
      <c r="OY18" s="8">
        <f>VLOOKUP(AG18,'BUS 2'!$G$1:$CU$424,11,0)</f>
        <v>0</v>
      </c>
      <c r="OZ18" s="8" t="str">
        <f>VLOOKUP(AG18,'BUS 2'!$G$1:$CU$424,12,0)</f>
        <v>Sapi pedaging Ayam Unggas lainnya</v>
      </c>
      <c r="PA18" s="8">
        <f>VLOOKUP(AG18,'BUS 2'!$G$1:$CU$424,13,0)</f>
        <v>1</v>
      </c>
      <c r="PB18" s="8">
        <f>VLOOKUP(AG18,'BUS 2'!$G$1:$CU$424,14,0)</f>
        <v>0</v>
      </c>
      <c r="PC18" s="8">
        <f>VLOOKUP(AG18,'BUS 2'!$G$1:$CU$424,15,0)</f>
        <v>0</v>
      </c>
      <c r="PD18" s="8">
        <f>VLOOKUP(AG18,'BUS 2'!$G$1:$CU$424,16,0)</f>
        <v>0</v>
      </c>
      <c r="PE18" s="8">
        <f>VLOOKUP(AG18,'BUS 2'!$G$1:$CU$424,17,0)</f>
        <v>0</v>
      </c>
      <c r="PF18" s="8">
        <f>VLOOKUP(AG18,'BUS 2'!$G$1:$CU$424,18,0)</f>
        <v>0</v>
      </c>
      <c r="PG18" s="8">
        <f>VLOOKUP(AG18,'BUS 2'!$G$1:$CU$424,19,0)</f>
        <v>1</v>
      </c>
      <c r="PH18" s="8">
        <f>VLOOKUP(AG18,'BUS 2'!$G$1:$CU$424,20,0)</f>
        <v>1</v>
      </c>
      <c r="PI18" s="8">
        <f>VLOOKUP(AG18,'BUS 2'!$G$1:$CU$424,21,0)</f>
        <v>0</v>
      </c>
      <c r="PJ18" s="8" t="str">
        <f>VLOOKUP(AG18,'BUS 2'!$G$1:$CU$424,22,0)</f>
        <v>Sapi pedaging Ayam Unggas lainnya</v>
      </c>
      <c r="PK18" s="8">
        <f>VLOOKUP(AG18,'BUS 2'!$G$1:$CU$424,23,0)</f>
        <v>1</v>
      </c>
      <c r="PL18" s="8">
        <f>VLOOKUP(AG18,'BUS 2'!$G$1:$CU$424,24,0)</f>
        <v>0</v>
      </c>
      <c r="PM18" s="8">
        <f>VLOOKUP(AG18,'BUS 2'!$G$1:$CU$424,25,0)</f>
        <v>0</v>
      </c>
      <c r="PN18" s="8">
        <f>VLOOKUP(AG18,'BUS 2'!$G$1:$CU$424,26,0)</f>
        <v>0</v>
      </c>
      <c r="PO18" s="8">
        <f>VLOOKUP(AG18,'BUS 2'!$G$1:$CU$424,27,0)</f>
        <v>0</v>
      </c>
      <c r="PP18" s="8">
        <f>VLOOKUP(AG18,'BUS 2'!$G$1:$CU$424,28,0)</f>
        <v>0</v>
      </c>
      <c r="PQ18" s="8">
        <f>VLOOKUP(AG18,'BUS 2'!$G$1:$CU$424,29,0)</f>
        <v>1</v>
      </c>
      <c r="PR18" s="8">
        <f>VLOOKUP(AG18,'BUS 2'!$G$1:$CU$424,30,0)</f>
        <v>1</v>
      </c>
      <c r="PS18" s="8">
        <f>VLOOKUP(AG18,'BUS 2'!$G$1:$CU$424,31,0)</f>
        <v>0</v>
      </c>
      <c r="PT18" s="9" t="s">
        <v>900</v>
      </c>
      <c r="PU18" s="8">
        <v>0.0</v>
      </c>
      <c r="PV18" s="8">
        <v>0.0</v>
      </c>
      <c r="PW18" s="8">
        <v>0.0</v>
      </c>
      <c r="PX18" s="8">
        <v>0.0</v>
      </c>
      <c r="PY18" s="8">
        <v>0.0</v>
      </c>
      <c r="PZ18" s="8">
        <v>1.0</v>
      </c>
      <c r="QA18" s="8">
        <v>0.0</v>
      </c>
      <c r="QB18" s="8">
        <v>0.0</v>
      </c>
      <c r="QC18" s="8">
        <v>0.0</v>
      </c>
      <c r="QD18" s="9"/>
      <c r="QE18" s="32"/>
      <c r="QF18" s="31"/>
      <c r="QG18" s="31"/>
      <c r="QH18" s="31"/>
      <c r="QI18" s="31"/>
      <c r="QJ18" s="31"/>
      <c r="QK18" s="32"/>
      <c r="QL18" s="32"/>
      <c r="QM18" s="32"/>
      <c r="QN18" s="32"/>
      <c r="QO18" s="32"/>
      <c r="QP18" s="32"/>
      <c r="QQ18" s="32"/>
      <c r="QR18" s="32"/>
      <c r="QS18" s="32"/>
      <c r="QT18" s="32"/>
      <c r="QU18" s="32"/>
      <c r="QV18" s="32"/>
      <c r="QW18" s="31"/>
      <c r="QX18" s="31"/>
      <c r="QY18" s="31"/>
      <c r="QZ18" s="31"/>
      <c r="RA18" s="31"/>
      <c r="RB18" s="32"/>
      <c r="RC18" s="32"/>
      <c r="RD18" s="32"/>
      <c r="RE18" s="32"/>
      <c r="RF18" s="32"/>
      <c r="RG18" s="9"/>
      <c r="RH18" s="31"/>
      <c r="RI18" s="31"/>
      <c r="RJ18" s="31"/>
      <c r="RK18" s="31"/>
      <c r="RL18" s="31"/>
      <c r="RM18" s="9"/>
      <c r="RN18" s="9"/>
      <c r="RO18" s="9"/>
      <c r="RP18" s="9"/>
      <c r="RQ18" s="9"/>
      <c r="RR18" s="9"/>
      <c r="RS18" s="31"/>
      <c r="RT18" s="31"/>
      <c r="RU18" s="31"/>
      <c r="RV18" s="31"/>
      <c r="RW18" s="31"/>
      <c r="RX18" s="9"/>
      <c r="RY18" s="9"/>
      <c r="RZ18" s="9"/>
      <c r="SA18" s="9"/>
      <c r="SB18" s="9"/>
      <c r="SC18" s="9" t="s">
        <v>900</v>
      </c>
      <c r="SD18" s="35">
        <v>0.0</v>
      </c>
      <c r="SE18" s="35">
        <v>0.0</v>
      </c>
      <c r="SF18" s="35">
        <v>0.0</v>
      </c>
      <c r="SG18" s="35">
        <v>0.0</v>
      </c>
      <c r="SH18" s="35">
        <v>0.0</v>
      </c>
      <c r="SI18" s="8">
        <v>1.0</v>
      </c>
      <c r="SJ18" s="8">
        <v>0.0</v>
      </c>
      <c r="SK18" s="8">
        <v>0.0</v>
      </c>
      <c r="SL18" s="8">
        <v>0.0</v>
      </c>
      <c r="SM18" s="9"/>
      <c r="SN18" s="9"/>
      <c r="SO18" s="31"/>
      <c r="SP18" s="31"/>
      <c r="SQ18" s="31"/>
      <c r="SR18" s="31"/>
      <c r="SS18" s="31"/>
      <c r="ST18" s="9"/>
      <c r="SU18" s="9"/>
      <c r="SV18" s="9"/>
      <c r="SW18" s="9"/>
      <c r="SX18" s="9"/>
      <c r="SY18" s="8">
        <f>VLOOKUP(AG18,'BUS 2'!$G$1:$CU$424,33,0)</f>
        <v>2</v>
      </c>
      <c r="SZ18" s="9" t="str">
        <f>VLOOKUP(AG18,'BUS 2'!$G$1:$CU$424,34,0)</f>
        <v/>
      </c>
      <c r="TA18" s="9" t="str">
        <f>VLOOKUP(AG18,'BUS 2'!$G$1:$CU$424,35,0)</f>
        <v/>
      </c>
      <c r="TB18" s="9" t="str">
        <f>VLOOKUP(AG18,'BUS 2'!$G$1:$CU$424,36,0)</f>
        <v/>
      </c>
      <c r="TC18" s="9" t="str">
        <f>VLOOKUP(AG18,'BUS 2'!$G$1:$CU$424,37,0)</f>
        <v/>
      </c>
      <c r="TD18" s="9" t="str">
        <f>VLOOKUP(AG18,'BUS 2'!$G$1:$CU$424,38,0)</f>
        <v/>
      </c>
      <c r="TE18" s="9" t="str">
        <f>VLOOKUP(AG18,'BUS 2'!$G$1:$CU$424,39,0)</f>
        <v/>
      </c>
      <c r="TF18" s="9" t="str">
        <f>VLOOKUP(AG18,'BUS 2'!$G$1:$CU$424,40,0)</f>
        <v/>
      </c>
      <c r="TG18" s="8">
        <f>VLOOKUP(AG18,'BUS 2'!$G$1:$CU$424,42,0)</f>
        <v>2</v>
      </c>
      <c r="TH18" s="8" t="str">
        <f>VLOOKUP(AG18,'BUS 2'!$G$1:$CU$424,43,0)</f>
        <v/>
      </c>
      <c r="TI18" s="8" t="str">
        <f>VLOOKUP(AG18,'BUS 2'!$G$1:$CU$424,44,0)</f>
        <v/>
      </c>
      <c r="TJ18" s="8" t="str">
        <f>VLOOKUP(AG18,'BUS 2'!$G$1:$CU$424,45,0)</f>
        <v/>
      </c>
      <c r="TK18" s="8" t="str">
        <f>VLOOKUP(AG18,'BUS 2'!$G$1:$CU$424,46,0)</f>
        <v/>
      </c>
      <c r="TL18" s="8" t="str">
        <f>VLOOKUP(AG18,'BUS 2'!$G$1:$CU$424,47,0)</f>
        <v/>
      </c>
      <c r="TM18" s="8">
        <f>VLOOKUP(AG18,'BUS 2'!$G$1:$CU$424,48,0)</f>
        <v>30</v>
      </c>
      <c r="TN18" s="8">
        <f>VLOOKUP(AG18,'BUS 2'!$G$1:$CU$424,49,0)</f>
        <v>12</v>
      </c>
      <c r="TO18" s="8">
        <f>VLOOKUP(AG18,'BUS 2'!$G$1:$CU$424,50,0)</f>
        <v>3</v>
      </c>
      <c r="TP18" s="8">
        <f>VLOOKUP(AG18,'BUS 2'!$G$1:$CU$424,51,0)</f>
        <v>0</v>
      </c>
      <c r="TQ18" s="8">
        <f>VLOOKUP(AG18,'BUS 2'!$G$1:$CU$424,52,0)</f>
        <v>0</v>
      </c>
      <c r="TR18" s="8">
        <f>VLOOKUP(AG18,'BUS 2'!$G$1:$CU$424,53,0)</f>
        <v>0</v>
      </c>
      <c r="TS18" s="9" t="str">
        <f>VLOOKUP(AG18,'BUS 2'!$G$1:$CU$424,54,0)</f>
        <v/>
      </c>
      <c r="TT18" s="9" t="str">
        <f>VLOOKUP(AG18,'BUS 2'!$G$1:$CU$424,55,0)</f>
        <v/>
      </c>
      <c r="TU18" s="9" t="str">
        <f>VLOOKUP(AG18,'BUS 2'!$G$1:$CU$424,56,0)</f>
        <v/>
      </c>
      <c r="TV18" s="9" t="str">
        <f>VLOOKUP(AG18,'BUS 2'!$G$1:$CU$424,57,0)</f>
        <v/>
      </c>
      <c r="TW18" s="9" t="str">
        <f>VLOOKUP(AG18,'BUS 2'!$G$1:$CU$424,58,0)</f>
        <v/>
      </c>
      <c r="TX18" s="9" t="str">
        <f>VLOOKUP(AG18,'BUS 2'!$G$1:$CU$424,59,0)</f>
        <v/>
      </c>
      <c r="TY18" s="9" t="str">
        <f>VLOOKUP(AG18,'BUS 2'!$G$1:$CU$424,60,0)</f>
        <v/>
      </c>
      <c r="TZ18" s="9" t="str">
        <f>VLOOKUP(AG18,'BUS 2'!$G$1:$CU$424,61,0)</f>
        <v/>
      </c>
      <c r="UA18" s="9" t="str">
        <f>VLOOKUP(AG18,'BUS 2'!$G$1:$CU$424,62,0)</f>
        <v/>
      </c>
      <c r="UB18" s="9" t="str">
        <f>VLOOKUP(AG18,'BUS 2'!$G$1:$CU$424,63,0)</f>
        <v/>
      </c>
      <c r="UC18" s="9" t="str">
        <f>VLOOKUP(AG18,'BUS 2'!$G$1:$CU$424,64,0)</f>
        <v/>
      </c>
      <c r="UD18" s="9" t="str">
        <f>VLOOKUP(AG18,'BUS 2'!$G$1:$CU$424,65,0)</f>
        <v/>
      </c>
      <c r="UE18" s="9" t="str">
        <f>VLOOKUP(AG18,'BUS 2'!$G$1:$CU$424,66,0)</f>
        <v/>
      </c>
      <c r="UF18" s="9" t="str">
        <f>VLOOKUP(AG18,'BUS 2'!$G$1:$CU$424,67,0)</f>
        <v/>
      </c>
      <c r="UG18" s="9" t="str">
        <f>VLOOKUP(AG18,'BUS 2'!$G$1:$CU$424,68,0)</f>
        <v/>
      </c>
      <c r="UH18" s="9" t="str">
        <f>VLOOKUP(AG18,'BUS 2'!$G$1:$CU$424,69,0)</f>
        <v/>
      </c>
      <c r="UI18" s="9" t="str">
        <f>VLOOKUP(AG18,'BUS 2'!$G$1:$CU$424,70,0)</f>
        <v/>
      </c>
      <c r="UJ18" s="9" t="str">
        <f>VLOOKUP(AG18,'BUS 2'!$G$1:$CU$424,71,0)</f>
        <v/>
      </c>
      <c r="UK18" s="9" t="str">
        <f>VLOOKUP(AG18,'BUS 2'!$G$1:$CU$424,72,0)</f>
        <v/>
      </c>
      <c r="UL18" s="9" t="str">
        <f>VLOOKUP(AG18,'BUS 2'!$G$1:$CU$424,73,0)</f>
        <v/>
      </c>
      <c r="UM18" s="9">
        <f>VLOOKUP(AG18,'BUS 2'!$G$1:$CU$424,74,0)</f>
        <v>0</v>
      </c>
      <c r="UN18" s="9">
        <f>VLOOKUP(AG18,'BUS 2'!$G$1:$CU$424,75,0)</f>
        <v>0</v>
      </c>
      <c r="UO18" s="9">
        <f>VLOOKUP(AG18,'BUS 2'!$G$1:$CU$424,76,0)</f>
        <v>0</v>
      </c>
      <c r="UP18" s="9">
        <f>VLOOKUP(AG18,'BUS 2'!$G$1:$CU$424,77,0)</f>
        <v>0</v>
      </c>
      <c r="UQ18" s="9">
        <f>VLOOKUP(AG18,'BUS 2'!$G$1:$CU$424,78,0)</f>
        <v>0</v>
      </c>
      <c r="UR18" s="9">
        <f>VLOOKUP(AG18,'BUS 2'!$G$1:$CU$424,79,0)</f>
        <v>0</v>
      </c>
      <c r="US18" s="9">
        <f>VLOOKUP(AG18,'BUS 2'!$G$1:$CU$424,80,0)</f>
        <v>0</v>
      </c>
      <c r="UT18" s="9">
        <f>VLOOKUP(AG18,'BUS 2'!$G$1:$CU$424,81,0)</f>
        <v>0</v>
      </c>
      <c r="UU18" s="9" t="s">
        <v>1937</v>
      </c>
      <c r="UV18" s="9"/>
      <c r="UW18" s="9"/>
      <c r="UX18" s="9"/>
      <c r="UY18" s="9"/>
      <c r="UZ18" s="9"/>
      <c r="VA18" s="9" t="s">
        <v>1976</v>
      </c>
      <c r="VB18" s="9" t="s">
        <v>1976</v>
      </c>
      <c r="VC18" s="9" t="s">
        <v>1938</v>
      </c>
      <c r="VD18" s="9"/>
      <c r="VE18" s="9"/>
      <c r="VF18" s="9"/>
      <c r="VG18" s="9"/>
      <c r="VH18" s="9"/>
      <c r="VI18" s="9" t="s">
        <v>1938</v>
      </c>
      <c r="VJ18" s="9" t="s">
        <v>1938</v>
      </c>
      <c r="VK18" s="9" t="s">
        <v>903</v>
      </c>
      <c r="VL18" s="9"/>
      <c r="VM18" s="9"/>
      <c r="VN18" s="9"/>
      <c r="VO18" s="9"/>
      <c r="VP18" s="9"/>
      <c r="VQ18" s="9"/>
      <c r="VR18" s="9"/>
      <c r="VS18" s="9" t="s">
        <v>2325</v>
      </c>
      <c r="VT18" s="8">
        <v>0.0</v>
      </c>
      <c r="VU18" s="8">
        <v>0.0</v>
      </c>
      <c r="VV18" s="8">
        <v>0.0</v>
      </c>
      <c r="VW18" s="8">
        <v>0.0</v>
      </c>
      <c r="VX18" s="8">
        <v>0.0</v>
      </c>
      <c r="VY18" s="8">
        <v>0.0</v>
      </c>
      <c r="VZ18" s="8">
        <v>0.0</v>
      </c>
      <c r="WA18" s="8">
        <v>0.0</v>
      </c>
      <c r="WB18" s="8">
        <v>0.0</v>
      </c>
      <c r="WC18" s="8">
        <v>1.0</v>
      </c>
      <c r="WD18" s="8">
        <v>0.0</v>
      </c>
      <c r="WE18" s="8">
        <v>0.0</v>
      </c>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t="s">
        <v>1941</v>
      </c>
      <c r="YO18" s="8">
        <v>0.0</v>
      </c>
      <c r="YP18" s="8">
        <v>0.0</v>
      </c>
      <c r="YQ18" s="8">
        <v>0.0</v>
      </c>
      <c r="YR18" s="8">
        <v>0.0</v>
      </c>
      <c r="YS18" s="8">
        <v>0.0</v>
      </c>
      <c r="YT18" s="8">
        <v>0.0</v>
      </c>
      <c r="YU18" s="8">
        <v>0.0</v>
      </c>
      <c r="YV18" s="8">
        <v>0.0</v>
      </c>
      <c r="YW18" s="8">
        <v>0.0</v>
      </c>
      <c r="YX18" s="8">
        <v>0.0</v>
      </c>
      <c r="YY18" s="8">
        <v>0.0</v>
      </c>
      <c r="YZ18" s="8">
        <v>1.0</v>
      </c>
      <c r="ZA18" s="9" t="s">
        <v>1941</v>
      </c>
      <c r="ZB18" s="8">
        <v>0.0</v>
      </c>
      <c r="ZC18" s="8">
        <v>0.0</v>
      </c>
      <c r="ZD18" s="8">
        <v>0.0</v>
      </c>
      <c r="ZE18" s="8">
        <v>0.0</v>
      </c>
      <c r="ZF18" s="8">
        <v>0.0</v>
      </c>
      <c r="ZG18" s="8">
        <v>0.0</v>
      </c>
      <c r="ZH18" s="8">
        <v>0.0</v>
      </c>
      <c r="ZI18" s="8">
        <v>0.0</v>
      </c>
      <c r="ZJ18" s="8">
        <v>0.0</v>
      </c>
      <c r="ZK18" s="8">
        <v>0.0</v>
      </c>
      <c r="ZL18" s="8">
        <v>0.0</v>
      </c>
      <c r="ZM18" s="8">
        <v>1.0</v>
      </c>
      <c r="ZN18" s="8">
        <v>80.0</v>
      </c>
      <c r="ZO18" s="9"/>
      <c r="ZP18" s="9"/>
      <c r="ZQ18" s="9"/>
      <c r="ZR18" s="9"/>
      <c r="ZS18" s="9"/>
      <c r="ZT18" s="9"/>
      <c r="ZU18" s="9"/>
      <c r="ZV18" s="8">
        <v>2.0</v>
      </c>
      <c r="ZW18" s="9"/>
      <c r="ZX18" s="9"/>
      <c r="ZY18" s="9"/>
      <c r="ZZ18" s="9"/>
      <c r="AAA18" s="9"/>
      <c r="AAB18" s="8">
        <v>2.0</v>
      </c>
      <c r="AAC18" s="8">
        <v>2.0</v>
      </c>
      <c r="AAD18" s="9" t="s">
        <v>1186</v>
      </c>
      <c r="AAE18" s="9"/>
      <c r="AAF18" s="9"/>
      <c r="AAG18" s="9"/>
      <c r="AAH18" s="9"/>
      <c r="AAI18" s="9"/>
      <c r="AAJ18" s="9" t="s">
        <v>905</v>
      </c>
      <c r="AAK18" s="9" t="s">
        <v>905</v>
      </c>
      <c r="AAL18" s="9" t="s">
        <v>857</v>
      </c>
      <c r="AAM18" s="9" t="s">
        <v>1942</v>
      </c>
      <c r="AAN18" s="8">
        <v>0.0</v>
      </c>
      <c r="AAO18" s="8">
        <v>1.0</v>
      </c>
      <c r="AAP18" s="8">
        <v>20.0</v>
      </c>
      <c r="AAQ18" s="9"/>
      <c r="AAR18" s="9" t="s">
        <v>857</v>
      </c>
      <c r="AAS18" s="9" t="s">
        <v>867</v>
      </c>
      <c r="AAT18" s="9" t="s">
        <v>2326</v>
      </c>
      <c r="AAU18" s="8">
        <v>1.0</v>
      </c>
      <c r="AAV18" s="8">
        <v>0.0</v>
      </c>
      <c r="AAW18" s="8">
        <v>1.0</v>
      </c>
      <c r="AAX18" s="8">
        <v>0.0</v>
      </c>
      <c r="AAY18" s="8">
        <v>0.0</v>
      </c>
      <c r="AAZ18" s="8">
        <v>0.0</v>
      </c>
      <c r="ABA18" s="8">
        <v>0.0</v>
      </c>
      <c r="ABB18" s="9" t="s">
        <v>2072</v>
      </c>
      <c r="ABC18" s="8">
        <v>1.0</v>
      </c>
      <c r="ABD18" s="8">
        <v>1.0</v>
      </c>
      <c r="ABE18" s="8">
        <v>1.0</v>
      </c>
      <c r="ABF18" s="8">
        <v>1.0</v>
      </c>
      <c r="ABG18" s="8">
        <v>0.0</v>
      </c>
      <c r="ABH18" s="9"/>
      <c r="ABI18" s="9"/>
      <c r="ABJ18" s="9"/>
      <c r="ABK18" s="9"/>
      <c r="ABL18" s="9"/>
      <c r="ABM18" s="9"/>
      <c r="ABN18" s="9"/>
      <c r="ABO18" s="9"/>
      <c r="ABP18" s="9" t="s">
        <v>2327</v>
      </c>
      <c r="ABQ18" s="9" t="s">
        <v>2328</v>
      </c>
      <c r="ABR18" s="9" t="s">
        <v>1075</v>
      </c>
      <c r="ABS18" s="8">
        <v>5000.0</v>
      </c>
      <c r="ABT18" s="9"/>
      <c r="ABU18" s="8">
        <v>20.0</v>
      </c>
      <c r="ABV18" s="8">
        <v>0.0</v>
      </c>
      <c r="ABW18" s="9" t="s">
        <v>1199</v>
      </c>
      <c r="ABX18" s="9"/>
      <c r="ABY18" s="8">
        <v>50.0</v>
      </c>
      <c r="ABZ18" s="8">
        <v>125000.0</v>
      </c>
      <c r="ACA18" s="8">
        <v>25.0</v>
      </c>
      <c r="ACB18" s="8">
        <v>62500.0</v>
      </c>
      <c r="ACC18" s="8">
        <v>900.0</v>
      </c>
      <c r="ACD18" s="8">
        <v>900.0</v>
      </c>
      <c r="ACE18" s="9" t="s">
        <v>881</v>
      </c>
      <c r="ACF18" s="9" t="s">
        <v>1183</v>
      </c>
      <c r="ACG18" s="9" t="s">
        <v>1183</v>
      </c>
      <c r="ACH18" s="9" t="s">
        <v>1183</v>
      </c>
      <c r="ACI18" s="9"/>
      <c r="ACJ18" s="9"/>
      <c r="ACK18" s="9"/>
      <c r="ACL18" s="9"/>
      <c r="ACM18" s="9"/>
      <c r="ACN18" s="9"/>
      <c r="ACO18" s="9"/>
      <c r="ACP18" s="9"/>
      <c r="ACQ18" s="9"/>
      <c r="ACR18" s="9"/>
      <c r="ACS18" s="9"/>
      <c r="ACT18" s="9" t="s">
        <v>1945</v>
      </c>
      <c r="ACU18" s="9" t="s">
        <v>913</v>
      </c>
      <c r="ACV18" s="9" t="s">
        <v>914</v>
      </c>
      <c r="ACW18" s="9" t="s">
        <v>997</v>
      </c>
      <c r="ACX18" s="9" t="s">
        <v>916</v>
      </c>
      <c r="ACY18" s="9" t="s">
        <v>1035</v>
      </c>
      <c r="ACZ18" s="8">
        <v>1.0</v>
      </c>
      <c r="ADA18" s="8">
        <v>1.0</v>
      </c>
      <c r="ADB18" s="8">
        <v>0.0</v>
      </c>
      <c r="ADC18" s="8">
        <v>0.0</v>
      </c>
      <c r="ADD18" s="9" t="s">
        <v>1187</v>
      </c>
      <c r="ADE18" s="9" t="s">
        <v>1187</v>
      </c>
      <c r="ADF18" s="9" t="s">
        <v>1187</v>
      </c>
      <c r="ADG18" s="9" t="s">
        <v>1187</v>
      </c>
      <c r="ADH18" s="9" t="s">
        <v>881</v>
      </c>
      <c r="ADI18" s="9"/>
      <c r="ADJ18" s="9" t="s">
        <v>917</v>
      </c>
      <c r="ADK18" s="9"/>
      <c r="ADL18" s="9"/>
      <c r="ADM18" s="9"/>
      <c r="ADN18" s="9"/>
      <c r="ADO18" s="9"/>
      <c r="ADP18" s="9"/>
      <c r="ADQ18" s="9"/>
      <c r="ADR18" s="9"/>
      <c r="ADS18" s="9"/>
      <c r="ADT18" s="9"/>
      <c r="ADU18" s="9" t="s">
        <v>2046</v>
      </c>
      <c r="ADV18" s="8">
        <v>0.0</v>
      </c>
      <c r="ADW18" s="8">
        <v>0.0</v>
      </c>
      <c r="ADX18" s="8">
        <v>0.0</v>
      </c>
      <c r="ADY18" s="8">
        <v>0.0</v>
      </c>
      <c r="ADZ18" s="8">
        <v>0.0</v>
      </c>
      <c r="AEA18" s="8">
        <v>1.0</v>
      </c>
      <c r="AEB18" s="8">
        <v>0.0</v>
      </c>
      <c r="AEC18" s="8">
        <v>0.0</v>
      </c>
      <c r="AED18" s="9" t="s">
        <v>2158</v>
      </c>
      <c r="AEE18" s="9" t="s">
        <v>872</v>
      </c>
      <c r="AEF18" s="9"/>
      <c r="AEG18" s="9" t="s">
        <v>920</v>
      </c>
      <c r="AEH18" s="9"/>
      <c r="AEI18" s="9" t="s">
        <v>2329</v>
      </c>
      <c r="AEJ18" s="9" t="s">
        <v>871</v>
      </c>
      <c r="AEK18" s="9" t="s">
        <v>2330</v>
      </c>
      <c r="AEL18" s="8">
        <v>1.0</v>
      </c>
      <c r="AEM18" s="8">
        <v>1.0</v>
      </c>
      <c r="AEN18" s="8">
        <v>1.0</v>
      </c>
      <c r="AEO18" s="8">
        <v>0.0</v>
      </c>
      <c r="AEP18" s="8">
        <v>0.0</v>
      </c>
      <c r="AEQ18" s="8">
        <v>1.0</v>
      </c>
      <c r="AER18" s="8">
        <v>1.0</v>
      </c>
      <c r="AES18" s="8">
        <v>1.0</v>
      </c>
      <c r="AET18" s="8">
        <v>1.0</v>
      </c>
      <c r="AEU18" s="8">
        <v>0.0</v>
      </c>
      <c r="AEV18" s="8">
        <v>0.0</v>
      </c>
      <c r="AEW18" s="8">
        <v>0.0</v>
      </c>
      <c r="AEX18" s="9"/>
      <c r="AEY18" s="9" t="s">
        <v>923</v>
      </c>
      <c r="AEZ18" s="9"/>
      <c r="AFA18" s="9" t="s">
        <v>924</v>
      </c>
      <c r="AFB18" s="9"/>
      <c r="AFC18" s="9" t="s">
        <v>2331</v>
      </c>
      <c r="AFD18" s="16" t="s">
        <v>2332</v>
      </c>
      <c r="AFE18" s="9" t="s">
        <v>2333</v>
      </c>
      <c r="AFF18" s="16" t="s">
        <v>2334</v>
      </c>
      <c r="AFG18" s="9" t="s">
        <v>1986</v>
      </c>
      <c r="AFH18" s="9"/>
      <c r="AFI18" s="21" t="s">
        <v>2335</v>
      </c>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8">
        <v>6.71413321E8</v>
      </c>
      <c r="AWB18" s="9" t="s">
        <v>2336</v>
      </c>
      <c r="AWC18" s="6">
        <v>46066.0</v>
      </c>
      <c r="AWD18" s="9"/>
      <c r="AWE18" s="9"/>
      <c r="AWF18" s="9" t="s">
        <v>1954</v>
      </c>
      <c r="AWG18" s="9"/>
      <c r="AWH18" s="9" t="s">
        <v>1989</v>
      </c>
      <c r="AWI18" s="9"/>
      <c r="AWJ18" s="9" t="s">
        <v>2337</v>
      </c>
      <c r="AWK18" s="8">
        <v>221.0</v>
      </c>
      <c r="AWL18" s="9" t="s">
        <v>2322</v>
      </c>
      <c r="AWM18" s="8">
        <v>0.0</v>
      </c>
      <c r="AWN18" s="9" t="s">
        <v>1957</v>
      </c>
      <c r="AWO18" s="33" t="b">
        <v>1</v>
      </c>
      <c r="AWP18" s="33" t="b">
        <v>1</v>
      </c>
      <c r="AWQ18" s="33" t="b">
        <v>1</v>
      </c>
      <c r="AWR18" s="33" t="b">
        <v>1</v>
      </c>
      <c r="AWS18" s="33" t="b">
        <v>1</v>
      </c>
      <c r="AWT18" s="33" t="b">
        <v>1</v>
      </c>
      <c r="AWU18" s="9"/>
      <c r="AWV18" s="8">
        <v>11.0</v>
      </c>
      <c r="AWW18" s="9"/>
      <c r="AWX18" s="9"/>
      <c r="AWY18" s="9"/>
      <c r="AWZ18" s="9"/>
    </row>
    <row r="19">
      <c r="A19" s="6">
        <v>46056.0</v>
      </c>
      <c r="B19" s="6">
        <v>46067.0</v>
      </c>
      <c r="C19" s="30" t="s">
        <v>1919</v>
      </c>
      <c r="D19" s="30" t="s">
        <v>2338</v>
      </c>
      <c r="E19" s="8">
        <f t="shared" si="1"/>
        <v>620</v>
      </c>
      <c r="F19" s="9" t="s">
        <v>2339</v>
      </c>
      <c r="G19" s="8">
        <v>-4.987236</v>
      </c>
      <c r="H19" s="8">
        <v>119.629725</v>
      </c>
      <c r="I19" s="8">
        <v>13.58210754</v>
      </c>
      <c r="J19" s="8">
        <v>3.253193404</v>
      </c>
      <c r="K19" s="8">
        <v>0.0</v>
      </c>
      <c r="L19" s="9" t="s">
        <v>2340</v>
      </c>
      <c r="M19" s="8">
        <v>-4.987353</v>
      </c>
      <c r="N19" s="8">
        <v>119.629847</v>
      </c>
      <c r="O19" s="8">
        <v>13.508255</v>
      </c>
      <c r="P19" s="8">
        <v>29.6801985</v>
      </c>
      <c r="Q19" s="8">
        <v>0.0</v>
      </c>
      <c r="R19" s="9" t="s">
        <v>1923</v>
      </c>
      <c r="S19" s="8">
        <v>0.0</v>
      </c>
      <c r="T19" s="8">
        <v>0.0</v>
      </c>
      <c r="U19" s="8">
        <v>0.0</v>
      </c>
      <c r="V19" s="8">
        <v>0.0</v>
      </c>
      <c r="W19" s="8">
        <v>0.0</v>
      </c>
      <c r="X19" s="8">
        <v>0.0</v>
      </c>
      <c r="Y19" s="8">
        <v>0.0</v>
      </c>
      <c r="Z19" s="8">
        <v>0.0</v>
      </c>
      <c r="AA19" s="8">
        <v>0.0</v>
      </c>
      <c r="AB19" s="8">
        <v>1.0</v>
      </c>
      <c r="AC19" s="7" t="s">
        <v>1924</v>
      </c>
      <c r="AD19" s="7" t="s">
        <v>2209</v>
      </c>
      <c r="AE19" s="7" t="s">
        <v>2341</v>
      </c>
      <c r="AF19" s="9" t="s">
        <v>2090</v>
      </c>
      <c r="AG19" s="9" t="s">
        <v>2342</v>
      </c>
      <c r="AH19" s="8">
        <v>10.0</v>
      </c>
      <c r="AI19" s="9" t="s">
        <v>933</v>
      </c>
      <c r="AJ19" s="9" t="s">
        <v>934</v>
      </c>
      <c r="AK19" s="8">
        <v>60.0</v>
      </c>
      <c r="AL19" s="9" t="s">
        <v>847</v>
      </c>
      <c r="AM19" s="9" t="s">
        <v>848</v>
      </c>
      <c r="AN19" s="9" t="s">
        <v>1009</v>
      </c>
      <c r="AO19" s="9" t="s">
        <v>850</v>
      </c>
      <c r="AP19" s="8">
        <v>1.0</v>
      </c>
      <c r="AQ19" s="8">
        <v>0.0</v>
      </c>
      <c r="AR19" s="8">
        <v>0.0</v>
      </c>
      <c r="AS19" s="8">
        <v>0.0</v>
      </c>
      <c r="AT19" s="8">
        <v>0.0</v>
      </c>
      <c r="AU19" s="8">
        <v>0.0</v>
      </c>
      <c r="AV19" s="8">
        <v>0.0</v>
      </c>
      <c r="AW19" s="8">
        <v>0.0</v>
      </c>
      <c r="AX19" s="9"/>
      <c r="AY19" s="9" t="s">
        <v>935</v>
      </c>
      <c r="AZ19" s="8">
        <v>0.0</v>
      </c>
      <c r="BA19" s="8">
        <v>1.0</v>
      </c>
      <c r="BB19" s="8">
        <v>0.0</v>
      </c>
      <c r="BC19" s="8">
        <v>0.0</v>
      </c>
      <c r="BD19" s="8">
        <v>0.0</v>
      </c>
      <c r="BE19" s="8">
        <v>0.0</v>
      </c>
      <c r="BF19" s="8">
        <v>0.0</v>
      </c>
      <c r="BG19" s="8">
        <v>0.0</v>
      </c>
      <c r="BH19" s="11"/>
      <c r="BI19" s="9" t="s">
        <v>2118</v>
      </c>
      <c r="BJ19" s="8">
        <v>1.0</v>
      </c>
      <c r="BK19" s="8">
        <v>1.0</v>
      </c>
      <c r="BL19" s="8">
        <v>0.0</v>
      </c>
      <c r="BM19" s="8">
        <v>0.0</v>
      </c>
      <c r="BN19" s="9" t="s">
        <v>853</v>
      </c>
      <c r="BO19" s="9" t="s">
        <v>2000</v>
      </c>
      <c r="BP19" s="8">
        <v>0.0</v>
      </c>
      <c r="BQ19" s="8">
        <v>1.0</v>
      </c>
      <c r="BR19" s="8">
        <v>0.0</v>
      </c>
      <c r="BS19" s="8">
        <v>0.0</v>
      </c>
      <c r="BT19" s="8">
        <v>0.0</v>
      </c>
      <c r="BU19" s="9"/>
      <c r="BV19" s="9" t="s">
        <v>2065</v>
      </c>
      <c r="BW19" s="8">
        <v>1.0</v>
      </c>
      <c r="BX19" s="8">
        <v>0.0</v>
      </c>
      <c r="BY19" s="8">
        <v>0.0</v>
      </c>
      <c r="BZ19" s="8">
        <v>0.0</v>
      </c>
      <c r="CA19" s="8">
        <v>0.0</v>
      </c>
      <c r="CB19" s="9"/>
      <c r="CC19" s="9" t="s">
        <v>1929</v>
      </c>
      <c r="CD19" s="8">
        <v>0.0</v>
      </c>
      <c r="CE19" s="8">
        <v>0.0</v>
      </c>
      <c r="CF19" s="8">
        <v>0.0</v>
      </c>
      <c r="CG19" s="8">
        <v>0.0</v>
      </c>
      <c r="CH19" s="8">
        <v>1.0</v>
      </c>
      <c r="CI19" s="8">
        <v>0.0</v>
      </c>
      <c r="CJ19" s="8">
        <v>0.0</v>
      </c>
      <c r="CK19" s="9"/>
      <c r="CL19" s="9" t="s">
        <v>857</v>
      </c>
      <c r="CM19" s="8">
        <v>2016.0</v>
      </c>
      <c r="CN19" s="9" t="s">
        <v>858</v>
      </c>
      <c r="CO19" s="9" t="s">
        <v>1968</v>
      </c>
      <c r="CP19" s="9" t="s">
        <v>860</v>
      </c>
      <c r="CQ19" s="8">
        <v>0.0</v>
      </c>
      <c r="CR19" s="8">
        <v>0.0</v>
      </c>
      <c r="CS19" s="8">
        <v>0.0</v>
      </c>
      <c r="CT19" s="8">
        <v>0.0</v>
      </c>
      <c r="CU19" s="8">
        <v>1.0</v>
      </c>
      <c r="CV19" s="8">
        <v>0.0</v>
      </c>
      <c r="CW19" s="8">
        <v>0.0</v>
      </c>
      <c r="CX19" s="8">
        <v>0.0</v>
      </c>
      <c r="CY19" s="9" t="s">
        <v>860</v>
      </c>
      <c r="CZ19" s="8">
        <v>1.0</v>
      </c>
      <c r="DA19" s="8">
        <v>0.0</v>
      </c>
      <c r="DB19" s="8">
        <v>0.0</v>
      </c>
      <c r="DC19" s="9"/>
      <c r="DD19" s="9" t="s">
        <v>860</v>
      </c>
      <c r="DE19" s="8">
        <v>1.0</v>
      </c>
      <c r="DF19" s="8">
        <v>0.0</v>
      </c>
      <c r="DG19" s="8">
        <v>0.0</v>
      </c>
      <c r="DH19" s="8">
        <v>0.0</v>
      </c>
      <c r="DI19" s="9"/>
      <c r="DJ19" s="9" t="s">
        <v>860</v>
      </c>
      <c r="DK19" s="8">
        <v>1.0</v>
      </c>
      <c r="DL19" s="8">
        <v>0.0</v>
      </c>
      <c r="DM19" s="8">
        <v>0.0</v>
      </c>
      <c r="DN19" s="8">
        <v>0.0</v>
      </c>
      <c r="DO19" s="9"/>
      <c r="DP19" s="9" t="s">
        <v>938</v>
      </c>
      <c r="DQ19" s="9" t="s">
        <v>939</v>
      </c>
      <c r="DR19" s="17" t="s">
        <v>987</v>
      </c>
      <c r="DS19" s="9"/>
      <c r="DT19" s="9"/>
      <c r="DU19" s="9"/>
      <c r="DV19" s="9"/>
      <c r="DW19" s="9"/>
      <c r="DX19" s="9"/>
      <c r="DY19" s="9"/>
      <c r="DZ19" s="9"/>
      <c r="EA19" s="9"/>
      <c r="EB19" s="9"/>
      <c r="EC19" s="9"/>
      <c r="ED19" s="9"/>
      <c r="EE19" s="9"/>
      <c r="EF19" s="9"/>
      <c r="EG19" s="9"/>
      <c r="EH19" s="9"/>
      <c r="EI19" s="31" t="s">
        <v>862</v>
      </c>
      <c r="EJ19" s="8">
        <v>0.0</v>
      </c>
      <c r="EK19" s="8">
        <v>0.0</v>
      </c>
      <c r="EL19" s="8">
        <v>0.0</v>
      </c>
      <c r="EM19" s="8">
        <v>1.0</v>
      </c>
      <c r="EN19" s="8">
        <v>0.0</v>
      </c>
      <c r="EO19" s="9"/>
      <c r="EP19" s="9" t="s">
        <v>863</v>
      </c>
      <c r="EQ19" s="9" t="s">
        <v>1380</v>
      </c>
      <c r="ER19" s="9" t="s">
        <v>969</v>
      </c>
      <c r="ES19" s="8">
        <v>0.0</v>
      </c>
      <c r="ET19" s="8">
        <v>0.0</v>
      </c>
      <c r="EU19" s="8">
        <v>0.0</v>
      </c>
      <c r="EV19" s="8">
        <v>1.0</v>
      </c>
      <c r="EW19" s="9" t="s">
        <v>2343</v>
      </c>
      <c r="EX19" s="9" t="s">
        <v>865</v>
      </c>
      <c r="EY19" s="8">
        <v>1.0</v>
      </c>
      <c r="EZ19" s="8">
        <v>0.0</v>
      </c>
      <c r="FA19" s="8">
        <v>0.0</v>
      </c>
      <c r="FB19" s="9"/>
      <c r="FC19" s="9" t="s">
        <v>866</v>
      </c>
      <c r="FD19" s="9"/>
      <c r="FE19" s="9" t="s">
        <v>867</v>
      </c>
      <c r="FF19" s="9" t="s">
        <v>869</v>
      </c>
      <c r="FG19" s="9" t="s">
        <v>867</v>
      </c>
      <c r="FH19" s="9" t="s">
        <v>869</v>
      </c>
      <c r="FI19" s="9" t="s">
        <v>867</v>
      </c>
      <c r="FJ19" s="9" t="s">
        <v>868</v>
      </c>
      <c r="FK19" s="9" t="s">
        <v>867</v>
      </c>
      <c r="FL19" s="9" t="s">
        <v>869</v>
      </c>
      <c r="FM19" s="9" t="s">
        <v>867</v>
      </c>
      <c r="FN19" s="9" t="s">
        <v>869</v>
      </c>
      <c r="FO19" s="9" t="s">
        <v>1971</v>
      </c>
      <c r="FP19" s="9" t="s">
        <v>870</v>
      </c>
      <c r="FQ19" s="9" t="s">
        <v>867</v>
      </c>
      <c r="FR19" s="9" t="s">
        <v>857</v>
      </c>
      <c r="FS19" s="9" t="s">
        <v>867</v>
      </c>
      <c r="FT19" s="9" t="s">
        <v>871</v>
      </c>
      <c r="FU19" s="9" t="s">
        <v>872</v>
      </c>
      <c r="FV19" s="8">
        <v>1.0</v>
      </c>
      <c r="FW19" s="8">
        <v>0.0</v>
      </c>
      <c r="FX19" s="8">
        <v>0.0</v>
      </c>
      <c r="FY19" s="8">
        <v>0.0</v>
      </c>
      <c r="FZ19" s="9" t="s">
        <v>873</v>
      </c>
      <c r="GA19" s="9" t="s">
        <v>1264</v>
      </c>
      <c r="GB19" s="8">
        <v>0.0</v>
      </c>
      <c r="GC19" s="8">
        <v>0.0</v>
      </c>
      <c r="GD19" s="8">
        <v>1.0</v>
      </c>
      <c r="GE19" s="8">
        <v>0.0</v>
      </c>
      <c r="GF19" s="9"/>
      <c r="GG19" s="9" t="s">
        <v>961</v>
      </c>
      <c r="GH19" s="9" t="s">
        <v>857</v>
      </c>
      <c r="GI19" s="9" t="s">
        <v>1264</v>
      </c>
      <c r="GJ19" s="8">
        <v>0.0</v>
      </c>
      <c r="GK19" s="8">
        <v>1.0</v>
      </c>
      <c r="GL19" s="8">
        <v>0.0</v>
      </c>
      <c r="GM19" s="8">
        <v>0.0</v>
      </c>
      <c r="GN19" s="9"/>
      <c r="GO19" s="8">
        <v>8.0</v>
      </c>
      <c r="GP19" s="34" t="s">
        <v>1931</v>
      </c>
      <c r="GQ19" s="9" t="s">
        <v>1102</v>
      </c>
      <c r="GR19" s="8">
        <v>1.0</v>
      </c>
      <c r="GS19" s="8">
        <v>0.0</v>
      </c>
      <c r="GT19" s="8">
        <v>0.0</v>
      </c>
      <c r="GU19" s="8">
        <v>0.0</v>
      </c>
      <c r="GV19" s="8">
        <v>0.0</v>
      </c>
      <c r="GW19" s="8">
        <v>0.0</v>
      </c>
      <c r="GX19" s="8">
        <v>0.0</v>
      </c>
      <c r="GY19" s="9"/>
      <c r="GZ19" s="9" t="s">
        <v>857</v>
      </c>
      <c r="HA19" s="9"/>
      <c r="HB19" s="9"/>
      <c r="HC19" s="9"/>
      <c r="HD19" s="9"/>
      <c r="HE19" s="8">
        <v>9.0</v>
      </c>
      <c r="HF19" s="8">
        <v>48000.0</v>
      </c>
      <c r="HG19" s="8">
        <v>1.0</v>
      </c>
      <c r="HH19" s="8">
        <v>20000.0</v>
      </c>
      <c r="HI19" s="9"/>
      <c r="HJ19" s="9"/>
      <c r="HK19" s="9"/>
      <c r="HL19" s="9"/>
      <c r="HM19" s="9"/>
      <c r="HN19" s="9"/>
      <c r="HO19" s="9"/>
      <c r="HP19" s="9"/>
      <c r="HQ19" s="9"/>
      <c r="HR19" s="9"/>
      <c r="HS19" s="9"/>
      <c r="HT19" s="9"/>
      <c r="HU19" s="9"/>
      <c r="HV19" s="9"/>
      <c r="HW19" s="9"/>
      <c r="HX19" s="9"/>
      <c r="HY19" s="9"/>
      <c r="HZ19" s="9"/>
      <c r="IA19" s="8">
        <v>6.0</v>
      </c>
      <c r="IB19" s="8">
        <v>28000.0</v>
      </c>
      <c r="IC19" s="9"/>
      <c r="ID19" s="9"/>
      <c r="IE19" s="9"/>
      <c r="IF19" s="9"/>
      <c r="IG19" s="9"/>
      <c r="IH19" s="9"/>
      <c r="II19" s="9"/>
      <c r="IJ19" s="9"/>
      <c r="IK19" s="9" t="s">
        <v>1932</v>
      </c>
      <c r="IL19" s="9" t="s">
        <v>1366</v>
      </c>
      <c r="IM19" s="9" t="s">
        <v>857</v>
      </c>
      <c r="IN19" s="9" t="s">
        <v>857</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884</v>
      </c>
      <c r="KT19" s="9" t="s">
        <v>886</v>
      </c>
      <c r="KU19" s="9" t="s">
        <v>886</v>
      </c>
      <c r="KV19" s="9" t="s">
        <v>999</v>
      </c>
      <c r="KW19" s="8">
        <v>0.0</v>
      </c>
      <c r="KX19" s="8">
        <v>0.0</v>
      </c>
      <c r="KY19" s="8">
        <v>0.0</v>
      </c>
      <c r="KZ19" s="8">
        <v>1.0</v>
      </c>
      <c r="LA19" s="9" t="s">
        <v>945</v>
      </c>
      <c r="LB19" s="9" t="s">
        <v>945</v>
      </c>
      <c r="LC19" s="8">
        <v>5.0</v>
      </c>
      <c r="LD19" s="8">
        <v>3.0</v>
      </c>
      <c r="LE19" s="8">
        <v>0.0</v>
      </c>
      <c r="LF19" s="8">
        <v>0.0</v>
      </c>
      <c r="LG19" s="9" t="s">
        <v>857</v>
      </c>
      <c r="LH19" s="8">
        <v>100000.0</v>
      </c>
      <c r="LI19" s="9"/>
      <c r="LJ19" s="9" t="s">
        <v>887</v>
      </c>
      <c r="LK19" s="8">
        <v>0.0</v>
      </c>
      <c r="LL19" s="8">
        <v>0.0</v>
      </c>
      <c r="LM19" s="8">
        <v>0.0</v>
      </c>
      <c r="LN19" s="8">
        <v>0.0</v>
      </c>
      <c r="LO19" s="8">
        <v>1.0</v>
      </c>
      <c r="LP19" s="8">
        <v>0.0</v>
      </c>
      <c r="LQ19" s="8">
        <v>0.0</v>
      </c>
      <c r="LR19" s="11"/>
      <c r="LS19" s="8">
        <v>10.0</v>
      </c>
      <c r="LT19" s="8">
        <v>0.0</v>
      </c>
      <c r="LU19" s="8">
        <v>0.0</v>
      </c>
      <c r="LV19" s="8">
        <v>15.0</v>
      </c>
      <c r="LW19" s="8">
        <v>0.0</v>
      </c>
      <c r="LX19" s="8">
        <v>0.0</v>
      </c>
      <c r="LY19" s="8">
        <v>10.0</v>
      </c>
      <c r="LZ19" s="8">
        <v>0.0</v>
      </c>
      <c r="MA19" s="8">
        <v>0.0</v>
      </c>
      <c r="MB19" s="9" t="s">
        <v>857</v>
      </c>
      <c r="MC19" s="8">
        <v>0.0</v>
      </c>
      <c r="MD19" s="8">
        <v>0.0</v>
      </c>
      <c r="ME19" s="8">
        <v>0.0</v>
      </c>
      <c r="MF19" s="8">
        <v>0.0</v>
      </c>
      <c r="MG19" s="8">
        <v>0.0</v>
      </c>
      <c r="MH19" s="8">
        <v>0.0</v>
      </c>
      <c r="MI19" s="9" t="s">
        <v>946</v>
      </c>
      <c r="MJ19" s="8">
        <v>0.0</v>
      </c>
      <c r="MK19" s="8">
        <v>0.0</v>
      </c>
      <c r="ML19" s="8">
        <v>1.0</v>
      </c>
      <c r="MM19" s="8">
        <v>0.0</v>
      </c>
      <c r="MN19" s="8">
        <v>0.0</v>
      </c>
      <c r="MO19" s="8">
        <v>0.0</v>
      </c>
      <c r="MP19" s="9"/>
      <c r="MQ19" s="9"/>
      <c r="MR19" s="36" t="s">
        <v>2120</v>
      </c>
      <c r="MS19" s="9"/>
      <c r="MT19" s="9" t="s">
        <v>2120</v>
      </c>
      <c r="MU19" s="9" t="s">
        <v>1030</v>
      </c>
      <c r="MV19" s="9" t="s">
        <v>1031</v>
      </c>
      <c r="MW19" s="8">
        <v>0.0</v>
      </c>
      <c r="MX19" s="8">
        <v>1.0</v>
      </c>
      <c r="MY19" s="8">
        <v>0.0</v>
      </c>
      <c r="MZ19" s="8">
        <v>0.0</v>
      </c>
      <c r="NA19" s="9"/>
      <c r="NB19" s="9"/>
      <c r="NC19" s="9"/>
      <c r="ND19" s="9"/>
      <c r="NE19" s="9"/>
      <c r="NF19" s="9"/>
      <c r="NG19" s="9"/>
      <c r="NH19" s="9"/>
      <c r="NI19" s="9"/>
      <c r="NJ19" s="9"/>
      <c r="NK19" s="9"/>
      <c r="NL19" s="9" t="s">
        <v>857</v>
      </c>
      <c r="NM19" s="9" t="s">
        <v>1386</v>
      </c>
      <c r="NN19" s="17" t="s">
        <v>1975</v>
      </c>
      <c r="NO19" s="17" t="s">
        <v>895</v>
      </c>
      <c r="NP19" s="9"/>
      <c r="NQ19" s="9"/>
      <c r="NR19" s="9"/>
      <c r="NS19" s="9"/>
      <c r="NT19" s="9"/>
      <c r="NU19" s="9"/>
      <c r="NV19" s="9"/>
      <c r="NW19" s="9"/>
      <c r="NX19" s="9" t="s">
        <v>897</v>
      </c>
      <c r="NY19" s="8">
        <v>120.0</v>
      </c>
      <c r="NZ19" s="8">
        <v>0.0</v>
      </c>
      <c r="OA19" s="8">
        <v>0.0</v>
      </c>
      <c r="OB19" s="8">
        <v>0.0</v>
      </c>
      <c r="OC19" s="8">
        <v>5.0</v>
      </c>
      <c r="OD19" s="8">
        <v>0.0</v>
      </c>
      <c r="OE19" s="9" t="s">
        <v>898</v>
      </c>
      <c r="OF19" s="9" t="s">
        <v>1184</v>
      </c>
      <c r="OG19" s="9" t="s">
        <v>857</v>
      </c>
      <c r="OH19" s="8">
        <v>2.0</v>
      </c>
      <c r="OI19" s="8">
        <v>0.0</v>
      </c>
      <c r="OJ19" s="8">
        <v>0.0</v>
      </c>
      <c r="OK19" s="8">
        <v>0.0</v>
      </c>
      <c r="OL19" s="8">
        <v>0.0</v>
      </c>
      <c r="OM19" s="8">
        <v>0.0</v>
      </c>
      <c r="ON19" s="8">
        <v>0.0</v>
      </c>
      <c r="OO19" s="8">
        <v>0.0</v>
      </c>
      <c r="OP19" s="9" t="str">
        <f>VLOOKUP(AG19,'BUS 2'!$G$1:$CU$424,2,0)</f>
        <v>Sapi pedaging</v>
      </c>
      <c r="OQ19" s="8">
        <f>VLOOKUP(AG19,'BUS 2'!$G$1:$CU$424,3,0)</f>
        <v>1</v>
      </c>
      <c r="OR19" s="8">
        <f>VLOOKUP(AG19,'BUS 2'!$G$1:$CU$424,4,0)</f>
        <v>0</v>
      </c>
      <c r="OS19" s="8">
        <f>VLOOKUP(AG19,'BUS 2'!$G$1:$CU$424,5,0)</f>
        <v>0</v>
      </c>
      <c r="OT19" s="8">
        <f>VLOOKUP(AG19,'BUS 2'!$G$1:$CU$424,6,0)</f>
        <v>0</v>
      </c>
      <c r="OU19" s="8">
        <f>VLOOKUP(AG19,'BUS 2'!$G$1:$CU$424,7,0)</f>
        <v>0</v>
      </c>
      <c r="OV19" s="8">
        <f>VLOOKUP(AG19,'BUS 2'!$G$1:$CU$424,8,0)</f>
        <v>0</v>
      </c>
      <c r="OW19" s="8">
        <f>VLOOKUP(AG19,'BUS 2'!$G$1:$CU$424,9,0)</f>
        <v>0</v>
      </c>
      <c r="OX19" s="8">
        <f>VLOOKUP(AG19,'BUS 2'!$G$1:$CU$424,10,0)</f>
        <v>0</v>
      </c>
      <c r="OY19" s="8">
        <f>VLOOKUP(AG19,'BUS 2'!$G$1:$CU$424,11,0)</f>
        <v>0</v>
      </c>
      <c r="OZ19" s="8" t="str">
        <f>VLOOKUP(AG19,'BUS 2'!$G$1:$CU$424,12,0)</f>
        <v>Sapi pedaging</v>
      </c>
      <c r="PA19" s="8">
        <f>VLOOKUP(AG19,'BUS 2'!$G$1:$CU$424,13,0)</f>
        <v>1</v>
      </c>
      <c r="PB19" s="8">
        <f>VLOOKUP(AG19,'BUS 2'!$G$1:$CU$424,14,0)</f>
        <v>0</v>
      </c>
      <c r="PC19" s="8">
        <f>VLOOKUP(AG19,'BUS 2'!$G$1:$CU$424,15,0)</f>
        <v>0</v>
      </c>
      <c r="PD19" s="8">
        <f>VLOOKUP(AG19,'BUS 2'!$G$1:$CU$424,16,0)</f>
        <v>0</v>
      </c>
      <c r="PE19" s="8">
        <f>VLOOKUP(AG19,'BUS 2'!$G$1:$CU$424,17,0)</f>
        <v>0</v>
      </c>
      <c r="PF19" s="8">
        <f>VLOOKUP(AG19,'BUS 2'!$G$1:$CU$424,18,0)</f>
        <v>0</v>
      </c>
      <c r="PG19" s="8">
        <f>VLOOKUP(AG19,'BUS 2'!$G$1:$CU$424,19,0)</f>
        <v>0</v>
      </c>
      <c r="PH19" s="8">
        <f>VLOOKUP(AG19,'BUS 2'!$G$1:$CU$424,20,0)</f>
        <v>0</v>
      </c>
      <c r="PI19" s="8">
        <f>VLOOKUP(AG19,'BUS 2'!$G$1:$CU$424,21,0)</f>
        <v>0</v>
      </c>
      <c r="PJ19" s="8" t="str">
        <f>VLOOKUP(AG19,'BUS 2'!$G$1:$CU$424,22,0)</f>
        <v>Sapi pedaging</v>
      </c>
      <c r="PK19" s="8">
        <f>VLOOKUP(AG19,'BUS 2'!$G$1:$CU$424,23,0)</f>
        <v>1</v>
      </c>
      <c r="PL19" s="8">
        <f>VLOOKUP(AG19,'BUS 2'!$G$1:$CU$424,24,0)</f>
        <v>0</v>
      </c>
      <c r="PM19" s="8">
        <f>VLOOKUP(AG19,'BUS 2'!$G$1:$CU$424,25,0)</f>
        <v>0</v>
      </c>
      <c r="PN19" s="8">
        <f>VLOOKUP(AG19,'BUS 2'!$G$1:$CU$424,26,0)</f>
        <v>0</v>
      </c>
      <c r="PO19" s="8">
        <f>VLOOKUP(AG19,'BUS 2'!$G$1:$CU$424,27,0)</f>
        <v>0</v>
      </c>
      <c r="PP19" s="8">
        <f>VLOOKUP(AG19,'BUS 2'!$G$1:$CU$424,28,0)</f>
        <v>0</v>
      </c>
      <c r="PQ19" s="8">
        <f>VLOOKUP(AG19,'BUS 2'!$G$1:$CU$424,29,0)</f>
        <v>0</v>
      </c>
      <c r="PR19" s="8">
        <f>VLOOKUP(AG19,'BUS 2'!$G$1:$CU$424,30,0)</f>
        <v>0</v>
      </c>
      <c r="PS19" s="8">
        <f>VLOOKUP(AG19,'BUS 2'!$G$1:$CU$424,31,0)</f>
        <v>0</v>
      </c>
      <c r="PT19" s="9" t="s">
        <v>900</v>
      </c>
      <c r="PU19" s="8">
        <v>0.0</v>
      </c>
      <c r="PV19" s="8">
        <v>0.0</v>
      </c>
      <c r="PW19" s="8">
        <v>0.0</v>
      </c>
      <c r="PX19" s="8">
        <v>0.0</v>
      </c>
      <c r="PY19" s="8">
        <v>0.0</v>
      </c>
      <c r="PZ19" s="8">
        <v>1.0</v>
      </c>
      <c r="QA19" s="8">
        <v>0.0</v>
      </c>
      <c r="QB19" s="8">
        <v>0.0</v>
      </c>
      <c r="QC19" s="8">
        <v>0.0</v>
      </c>
      <c r="QD19" s="9"/>
      <c r="QE19" s="32"/>
      <c r="QF19" s="31"/>
      <c r="QG19" s="31"/>
      <c r="QH19" s="31"/>
      <c r="QI19" s="31"/>
      <c r="QJ19" s="31"/>
      <c r="QK19" s="32"/>
      <c r="QL19" s="32"/>
      <c r="QM19" s="32"/>
      <c r="QN19" s="32"/>
      <c r="QO19" s="32"/>
      <c r="QP19" s="32"/>
      <c r="QQ19" s="32"/>
      <c r="QR19" s="32"/>
      <c r="QS19" s="32"/>
      <c r="QT19" s="32"/>
      <c r="QU19" s="32"/>
      <c r="QV19" s="32"/>
      <c r="QW19" s="31"/>
      <c r="QX19" s="31"/>
      <c r="QY19" s="31"/>
      <c r="QZ19" s="31"/>
      <c r="RA19" s="31"/>
      <c r="RB19" s="32"/>
      <c r="RC19" s="32"/>
      <c r="RD19" s="32"/>
      <c r="RE19" s="32"/>
      <c r="RF19" s="32"/>
      <c r="RG19" s="9"/>
      <c r="RH19" s="31"/>
      <c r="RI19" s="31"/>
      <c r="RJ19" s="31"/>
      <c r="RK19" s="31"/>
      <c r="RL19" s="31"/>
      <c r="RM19" s="9"/>
      <c r="RN19" s="9"/>
      <c r="RO19" s="9"/>
      <c r="RP19" s="9"/>
      <c r="RQ19" s="9"/>
      <c r="RR19" s="9"/>
      <c r="RS19" s="31"/>
      <c r="RT19" s="31"/>
      <c r="RU19" s="31"/>
      <c r="RV19" s="31"/>
      <c r="RW19" s="31"/>
      <c r="RX19" s="9"/>
      <c r="RY19" s="9"/>
      <c r="RZ19" s="9"/>
      <c r="SA19" s="9"/>
      <c r="SB19" s="9"/>
      <c r="SC19" s="9"/>
      <c r="SD19" s="31"/>
      <c r="SE19" s="31"/>
      <c r="SF19" s="31"/>
      <c r="SG19" s="31"/>
      <c r="SH19" s="31"/>
      <c r="SI19" s="9"/>
      <c r="SJ19" s="9"/>
      <c r="SK19" s="9"/>
      <c r="SL19" s="9"/>
      <c r="SM19" s="9"/>
      <c r="SN19" s="9"/>
      <c r="SO19" s="31"/>
      <c r="SP19" s="31"/>
      <c r="SQ19" s="31"/>
      <c r="SR19" s="31"/>
      <c r="SS19" s="31"/>
      <c r="ST19" s="9"/>
      <c r="SU19" s="9"/>
      <c r="SV19" s="9"/>
      <c r="SW19" s="9"/>
      <c r="SX19" s="9"/>
      <c r="SY19" s="8">
        <f>VLOOKUP(AG19,'BUS 2'!$G$1:$CU$424,33,0)</f>
        <v>2</v>
      </c>
      <c r="SZ19" s="9" t="str">
        <f>VLOOKUP(AG19,'BUS 2'!$G$1:$CU$424,34,0)</f>
        <v/>
      </c>
      <c r="TA19" s="9" t="str">
        <f>VLOOKUP(AG19,'BUS 2'!$G$1:$CU$424,35,0)</f>
        <v/>
      </c>
      <c r="TB19" s="9" t="str">
        <f>VLOOKUP(AG19,'BUS 2'!$G$1:$CU$424,36,0)</f>
        <v/>
      </c>
      <c r="TC19" s="9" t="str">
        <f>VLOOKUP(AG19,'BUS 2'!$G$1:$CU$424,37,0)</f>
        <v/>
      </c>
      <c r="TD19" s="9" t="str">
        <f>VLOOKUP(AG19,'BUS 2'!$G$1:$CU$424,38,0)</f>
        <v/>
      </c>
      <c r="TE19" s="9" t="str">
        <f>VLOOKUP(AG19,'BUS 2'!$G$1:$CU$424,39,0)</f>
        <v/>
      </c>
      <c r="TF19" s="9" t="str">
        <f>VLOOKUP(AG19,'BUS 2'!$G$1:$CU$424,40,0)</f>
        <v/>
      </c>
      <c r="TG19" s="8">
        <f>VLOOKUP(AG19,'BUS 2'!$G$1:$CU$424,42,0)</f>
        <v>1</v>
      </c>
      <c r="TH19" s="8" t="str">
        <f>VLOOKUP(AG19,'BUS 2'!$G$1:$CU$424,43,0)</f>
        <v/>
      </c>
      <c r="TI19" s="8" t="str">
        <f>VLOOKUP(AG19,'BUS 2'!$G$1:$CU$424,44,0)</f>
        <v/>
      </c>
      <c r="TJ19" s="8" t="str">
        <f>VLOOKUP(AG19,'BUS 2'!$G$1:$CU$424,45,0)</f>
        <v/>
      </c>
      <c r="TK19" s="8" t="str">
        <f>VLOOKUP(AG19,'BUS 2'!$G$1:$CU$424,46,0)</f>
        <v/>
      </c>
      <c r="TL19" s="8" t="str">
        <f>VLOOKUP(AG19,'BUS 2'!$G$1:$CU$424,47,0)</f>
        <v/>
      </c>
      <c r="TM19" s="8" t="str">
        <f>VLOOKUP(AG19,'BUS 2'!$G$1:$CU$424,48,0)</f>
        <v/>
      </c>
      <c r="TN19" s="8" t="str">
        <f>VLOOKUP(AG19,'BUS 2'!$G$1:$CU$424,49,0)</f>
        <v/>
      </c>
      <c r="TO19" s="8">
        <f>VLOOKUP(AG19,'BUS 2'!$G$1:$CU$424,50,0)</f>
        <v>1</v>
      </c>
      <c r="TP19" s="8">
        <f>VLOOKUP(AG19,'BUS 2'!$G$1:$CU$424,51,0)</f>
        <v>0</v>
      </c>
      <c r="TQ19" s="8">
        <f>VLOOKUP(AG19,'BUS 2'!$G$1:$CU$424,52,0)</f>
        <v>0</v>
      </c>
      <c r="TR19" s="8">
        <f>VLOOKUP(AG19,'BUS 2'!$G$1:$CU$424,53,0)</f>
        <v>0</v>
      </c>
      <c r="TS19" s="9" t="str">
        <f>VLOOKUP(AG19,'BUS 2'!$G$1:$CU$424,54,0)</f>
        <v/>
      </c>
      <c r="TT19" s="9" t="str">
        <f>VLOOKUP(AG19,'BUS 2'!$G$1:$CU$424,55,0)</f>
        <v/>
      </c>
      <c r="TU19" s="9" t="str">
        <f>VLOOKUP(AG19,'BUS 2'!$G$1:$CU$424,56,0)</f>
        <v/>
      </c>
      <c r="TV19" s="9" t="str">
        <f>VLOOKUP(AG19,'BUS 2'!$G$1:$CU$424,57,0)</f>
        <v/>
      </c>
      <c r="TW19" s="9" t="str">
        <f>VLOOKUP(AG19,'BUS 2'!$G$1:$CU$424,58,0)</f>
        <v/>
      </c>
      <c r="TX19" s="9" t="str">
        <f>VLOOKUP(AG19,'BUS 2'!$G$1:$CU$424,59,0)</f>
        <v/>
      </c>
      <c r="TY19" s="9" t="str">
        <f>VLOOKUP(AG19,'BUS 2'!$G$1:$CU$424,60,0)</f>
        <v/>
      </c>
      <c r="TZ19" s="9" t="str">
        <f>VLOOKUP(AG19,'BUS 2'!$G$1:$CU$424,61,0)</f>
        <v/>
      </c>
      <c r="UA19" s="9" t="str">
        <f>VLOOKUP(AG19,'BUS 2'!$G$1:$CU$424,62,0)</f>
        <v/>
      </c>
      <c r="UB19" s="9" t="str">
        <f>VLOOKUP(AG19,'BUS 2'!$G$1:$CU$424,63,0)</f>
        <v/>
      </c>
      <c r="UC19" s="9" t="str">
        <f>VLOOKUP(AG19,'BUS 2'!$G$1:$CU$424,64,0)</f>
        <v/>
      </c>
      <c r="UD19" s="9" t="str">
        <f>VLOOKUP(AG19,'BUS 2'!$G$1:$CU$424,65,0)</f>
        <v/>
      </c>
      <c r="UE19" s="9" t="str">
        <f>VLOOKUP(AG19,'BUS 2'!$G$1:$CU$424,66,0)</f>
        <v/>
      </c>
      <c r="UF19" s="9" t="str">
        <f>VLOOKUP(AG19,'BUS 2'!$G$1:$CU$424,67,0)</f>
        <v/>
      </c>
      <c r="UG19" s="9" t="str">
        <f>VLOOKUP(AG19,'BUS 2'!$G$1:$CU$424,68,0)</f>
        <v/>
      </c>
      <c r="UH19" s="9" t="str">
        <f>VLOOKUP(AG19,'BUS 2'!$G$1:$CU$424,69,0)</f>
        <v/>
      </c>
      <c r="UI19" s="9" t="str">
        <f>VLOOKUP(AG19,'BUS 2'!$G$1:$CU$424,70,0)</f>
        <v/>
      </c>
      <c r="UJ19" s="9" t="str">
        <f>VLOOKUP(AG19,'BUS 2'!$G$1:$CU$424,71,0)</f>
        <v/>
      </c>
      <c r="UK19" s="9" t="str">
        <f>VLOOKUP(AG19,'BUS 2'!$G$1:$CU$424,72,0)</f>
        <v/>
      </c>
      <c r="UL19" s="9" t="str">
        <f>VLOOKUP(AG19,'BUS 2'!$G$1:$CU$424,73,0)</f>
        <v/>
      </c>
      <c r="UM19" s="9" t="str">
        <f>VLOOKUP(AG19,'BUS 2'!$G$1:$CU$424,74,0)</f>
        <v/>
      </c>
      <c r="UN19" s="9" t="str">
        <f>VLOOKUP(AG19,'BUS 2'!$G$1:$CU$424,75,0)</f>
        <v/>
      </c>
      <c r="UO19" s="9" t="str">
        <f>VLOOKUP(AG19,'BUS 2'!$G$1:$CU$424,76,0)</f>
        <v/>
      </c>
      <c r="UP19" s="9" t="str">
        <f>VLOOKUP(AG19,'BUS 2'!$G$1:$CU$424,77,0)</f>
        <v/>
      </c>
      <c r="UQ19" s="9" t="str">
        <f>VLOOKUP(AG19,'BUS 2'!$G$1:$CU$424,78,0)</f>
        <v/>
      </c>
      <c r="UR19" s="9" t="str">
        <f>VLOOKUP(AG19,'BUS 2'!$G$1:$CU$424,79,0)</f>
        <v/>
      </c>
      <c r="US19" s="9" t="str">
        <f>VLOOKUP(AG19,'BUS 2'!$G$1:$CU$424,80,0)</f>
        <v/>
      </c>
      <c r="UT19" s="9" t="str">
        <f>VLOOKUP(AG19,'BUS 2'!$G$1:$CU$424,81,0)</f>
        <v/>
      </c>
      <c r="UU19" s="9" t="s">
        <v>901</v>
      </c>
      <c r="UV19" s="9"/>
      <c r="UW19" s="9"/>
      <c r="UX19" s="9"/>
      <c r="UY19" s="9"/>
      <c r="UZ19" s="9"/>
      <c r="VA19" s="9"/>
      <c r="VB19" s="9"/>
      <c r="VC19" s="9" t="s">
        <v>1938</v>
      </c>
      <c r="VD19" s="9"/>
      <c r="VE19" s="9"/>
      <c r="VF19" s="9"/>
      <c r="VG19" s="9"/>
      <c r="VH19" s="9"/>
      <c r="VI19" s="9"/>
      <c r="VJ19" s="9"/>
      <c r="VK19" s="9" t="s">
        <v>1939</v>
      </c>
      <c r="VL19" s="9"/>
      <c r="VM19" s="9"/>
      <c r="VN19" s="9"/>
      <c r="VO19" s="9"/>
      <c r="VP19" s="9"/>
      <c r="VQ19" s="9"/>
      <c r="VR19" s="9"/>
      <c r="VS19" s="9" t="s">
        <v>1940</v>
      </c>
      <c r="VT19" s="8">
        <v>0.0</v>
      </c>
      <c r="VU19" s="8">
        <v>0.0</v>
      </c>
      <c r="VV19" s="8">
        <v>0.0</v>
      </c>
      <c r="VW19" s="8">
        <v>0.0</v>
      </c>
      <c r="VX19" s="8">
        <v>0.0</v>
      </c>
      <c r="VY19" s="8">
        <v>1.0</v>
      </c>
      <c r="VZ19" s="8">
        <v>0.0</v>
      </c>
      <c r="WA19" s="8">
        <v>0.0</v>
      </c>
      <c r="WB19" s="8">
        <v>0.0</v>
      </c>
      <c r="WC19" s="8">
        <v>0.0</v>
      </c>
      <c r="WD19" s="8">
        <v>0.0</v>
      </c>
      <c r="WE19" s="8">
        <v>0.0</v>
      </c>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8">
        <v>2.0</v>
      </c>
      <c r="ZW19" s="9"/>
      <c r="ZX19" s="9"/>
      <c r="ZY19" s="9"/>
      <c r="ZZ19" s="9"/>
      <c r="AAA19" s="9"/>
      <c r="AAB19" s="9"/>
      <c r="AAC19" s="9"/>
      <c r="AAD19" s="9" t="s">
        <v>1186</v>
      </c>
      <c r="AAE19" s="9"/>
      <c r="AAF19" s="9"/>
      <c r="AAG19" s="9"/>
      <c r="AAH19" s="9"/>
      <c r="AAI19" s="9"/>
      <c r="AAJ19" s="9"/>
      <c r="AAK19" s="9"/>
      <c r="AAL19" s="9" t="s">
        <v>881</v>
      </c>
      <c r="AAM19" s="9"/>
      <c r="AAN19" s="9"/>
      <c r="AAO19" s="9"/>
      <c r="AAP19" s="9"/>
      <c r="AAQ19" s="9"/>
      <c r="AAR19" s="9" t="s">
        <v>881</v>
      </c>
      <c r="AAS19" s="9" t="s">
        <v>1389</v>
      </c>
      <c r="AAT19" s="9" t="s">
        <v>2101</v>
      </c>
      <c r="AAU19" s="8">
        <v>0.0</v>
      </c>
      <c r="AAV19" s="8">
        <v>0.0</v>
      </c>
      <c r="AAW19" s="8">
        <v>0.0</v>
      </c>
      <c r="AAX19" s="8">
        <v>1.0</v>
      </c>
      <c r="AAY19" s="8">
        <v>0.0</v>
      </c>
      <c r="AAZ19" s="8">
        <v>0.0</v>
      </c>
      <c r="ABA19" s="8">
        <v>0.0</v>
      </c>
      <c r="ABB19" s="9"/>
      <c r="ABC19" s="9"/>
      <c r="ABD19" s="9"/>
      <c r="ABE19" s="9"/>
      <c r="ABF19" s="9"/>
      <c r="ABG19" s="9"/>
      <c r="ABH19" s="9"/>
      <c r="ABI19" s="9"/>
      <c r="ABJ19" s="9"/>
      <c r="ABK19" s="9"/>
      <c r="ABL19" s="9"/>
      <c r="ABM19" s="9"/>
      <c r="ABN19" s="9"/>
      <c r="ABO19" s="9"/>
      <c r="ABP19" s="9"/>
      <c r="ABQ19" s="9" t="s">
        <v>2344</v>
      </c>
      <c r="ABR19" s="9" t="s">
        <v>909</v>
      </c>
      <c r="ABS19" s="9"/>
      <c r="ABT19" s="8">
        <v>200.0</v>
      </c>
      <c r="ABU19" s="9"/>
      <c r="ABV19" s="9"/>
      <c r="ABW19" s="9"/>
      <c r="ABX19" s="9"/>
      <c r="ABY19" s="9"/>
      <c r="ABZ19" s="9"/>
      <c r="ACA19" s="9"/>
      <c r="ACB19" s="9"/>
      <c r="ACC19" s="9"/>
      <c r="ACD19" s="9"/>
      <c r="ACE19" s="9"/>
      <c r="ACF19" s="9"/>
      <c r="ACG19" s="9"/>
      <c r="ACH19" s="9"/>
      <c r="ACI19" s="9"/>
      <c r="ACJ19" s="9"/>
      <c r="ACK19" s="9" t="s">
        <v>2345</v>
      </c>
      <c r="ACL19" s="8">
        <v>0.0</v>
      </c>
      <c r="ACM19" s="8">
        <v>0.0</v>
      </c>
      <c r="ACN19" s="8">
        <v>0.0</v>
      </c>
      <c r="ACO19" s="8">
        <v>1.0</v>
      </c>
      <c r="ACP19" s="8">
        <v>1.0</v>
      </c>
      <c r="ACQ19" s="8">
        <v>0.0</v>
      </c>
      <c r="ACR19" s="8">
        <v>0.0</v>
      </c>
      <c r="ACS19" s="9"/>
      <c r="ACT19" s="9" t="s">
        <v>999</v>
      </c>
      <c r="ACU19" s="9" t="s">
        <v>913</v>
      </c>
      <c r="ACV19" s="9" t="s">
        <v>914</v>
      </c>
      <c r="ACW19" s="9" t="s">
        <v>915</v>
      </c>
      <c r="ACX19" s="9" t="s">
        <v>916</v>
      </c>
      <c r="ACY19" s="9" t="s">
        <v>1035</v>
      </c>
      <c r="ACZ19" s="8">
        <v>1.0</v>
      </c>
      <c r="ADA19" s="8">
        <v>1.0</v>
      </c>
      <c r="ADB19" s="8">
        <v>0.0</v>
      </c>
      <c r="ADC19" s="8">
        <v>0.0</v>
      </c>
      <c r="ADD19" s="9" t="s">
        <v>917</v>
      </c>
      <c r="ADE19" s="9" t="s">
        <v>917</v>
      </c>
      <c r="ADF19" s="9" t="s">
        <v>917</v>
      </c>
      <c r="ADG19" s="9" t="s">
        <v>917</v>
      </c>
      <c r="ADH19" s="9" t="s">
        <v>881</v>
      </c>
      <c r="ADI19" s="9"/>
      <c r="ADJ19" s="9" t="s">
        <v>917</v>
      </c>
      <c r="ADK19" s="9"/>
      <c r="ADL19" s="9"/>
      <c r="ADM19" s="9"/>
      <c r="ADN19" s="9"/>
      <c r="ADO19" s="9"/>
      <c r="ADP19" s="9"/>
      <c r="ADQ19" s="9"/>
      <c r="ADR19" s="9"/>
      <c r="ADS19" s="9"/>
      <c r="ADT19" s="9"/>
      <c r="ADU19" s="9" t="s">
        <v>2235</v>
      </c>
      <c r="ADV19" s="8">
        <v>0.0</v>
      </c>
      <c r="ADW19" s="8">
        <v>0.0</v>
      </c>
      <c r="ADX19" s="8">
        <v>0.0</v>
      </c>
      <c r="ADY19" s="8">
        <v>0.0</v>
      </c>
      <c r="ADZ19" s="8">
        <v>0.0</v>
      </c>
      <c r="AEA19" s="8">
        <v>0.0</v>
      </c>
      <c r="AEB19" s="8">
        <v>1.0</v>
      </c>
      <c r="AEC19" s="8">
        <v>0.0</v>
      </c>
      <c r="AED19" s="9" t="s">
        <v>1945</v>
      </c>
      <c r="AEE19" s="9" t="s">
        <v>872</v>
      </c>
      <c r="AEF19" s="9"/>
      <c r="AEG19" s="9" t="s">
        <v>1367</v>
      </c>
      <c r="AEH19" s="9"/>
      <c r="AEI19" s="9" t="s">
        <v>2346</v>
      </c>
      <c r="AEJ19" s="9" t="s">
        <v>871</v>
      </c>
      <c r="AEK19" s="9" t="s">
        <v>2217</v>
      </c>
      <c r="AEL19" s="8">
        <v>0.0</v>
      </c>
      <c r="AEM19" s="8">
        <v>0.0</v>
      </c>
      <c r="AEN19" s="8">
        <v>0.0</v>
      </c>
      <c r="AEO19" s="8">
        <v>0.0</v>
      </c>
      <c r="AEP19" s="8">
        <v>1.0</v>
      </c>
      <c r="AEQ19" s="8">
        <v>0.0</v>
      </c>
      <c r="AER19" s="8">
        <v>1.0</v>
      </c>
      <c r="AES19" s="8">
        <v>0.0</v>
      </c>
      <c r="AET19" s="8">
        <v>0.0</v>
      </c>
      <c r="AEU19" s="8">
        <v>0.0</v>
      </c>
      <c r="AEV19" s="8">
        <v>0.0</v>
      </c>
      <c r="AEW19" s="8">
        <v>0.0</v>
      </c>
      <c r="AEX19" s="9"/>
      <c r="AEY19" s="9" t="s">
        <v>1305</v>
      </c>
      <c r="AEZ19" s="9"/>
      <c r="AFA19" s="9" t="s">
        <v>2077</v>
      </c>
      <c r="AFB19" s="9"/>
      <c r="AFC19" s="9" t="s">
        <v>2347</v>
      </c>
      <c r="AFD19" s="16" t="s">
        <v>2348</v>
      </c>
      <c r="AFE19" s="9" t="s">
        <v>2349</v>
      </c>
      <c r="AFF19" s="16" t="s">
        <v>2350</v>
      </c>
      <c r="AFG19" s="9" t="s">
        <v>1919</v>
      </c>
      <c r="AFH19" s="9"/>
      <c r="AFI19" s="21" t="s">
        <v>1945</v>
      </c>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8">
        <v>6.71794487E8</v>
      </c>
      <c r="AWB19" s="9" t="s">
        <v>2351</v>
      </c>
      <c r="AWC19" s="6">
        <v>46067.0</v>
      </c>
      <c r="AWD19" s="9"/>
      <c r="AWE19" s="9"/>
      <c r="AWF19" s="9" t="s">
        <v>1954</v>
      </c>
      <c r="AWG19" s="9"/>
      <c r="AWH19" s="9" t="s">
        <v>1989</v>
      </c>
      <c r="AWI19" s="9"/>
      <c r="AWJ19" s="9" t="s">
        <v>2352</v>
      </c>
      <c r="AWK19" s="8">
        <v>231.0</v>
      </c>
      <c r="AWL19" s="9" t="s">
        <v>2342</v>
      </c>
      <c r="AWM19" s="8">
        <v>0.0</v>
      </c>
      <c r="AWN19" s="9" t="s">
        <v>1957</v>
      </c>
      <c r="AWO19" s="33" t="b">
        <v>1</v>
      </c>
      <c r="AWP19" s="33" t="b">
        <v>1</v>
      </c>
      <c r="AWQ19" s="33" t="b">
        <v>1</v>
      </c>
      <c r="AWR19" s="33" t="b">
        <v>1</v>
      </c>
      <c r="AWS19" s="33" t="b">
        <v>1</v>
      </c>
      <c r="AWT19" s="33" t="b">
        <v>1</v>
      </c>
      <c r="AWU19" s="9"/>
      <c r="AWV19" s="8">
        <v>8.0</v>
      </c>
      <c r="AWW19" s="9"/>
      <c r="AWX19" s="9"/>
      <c r="AWY19" s="9"/>
      <c r="AWZ19" s="9"/>
    </row>
    <row r="20">
      <c r="A20" s="6">
        <v>46056.0</v>
      </c>
      <c r="B20" s="6">
        <v>46067.0</v>
      </c>
      <c r="C20" s="30" t="s">
        <v>1919</v>
      </c>
      <c r="D20" s="30" t="s">
        <v>2353</v>
      </c>
      <c r="E20" s="8">
        <f t="shared" si="1"/>
        <v>620</v>
      </c>
      <c r="F20" s="9" t="s">
        <v>2339</v>
      </c>
      <c r="G20" s="8">
        <v>-4.987236</v>
      </c>
      <c r="H20" s="8">
        <v>119.629725</v>
      </c>
      <c r="I20" s="8">
        <v>13.58210754</v>
      </c>
      <c r="J20" s="8">
        <v>3.253193404</v>
      </c>
      <c r="K20" s="8">
        <v>0.0</v>
      </c>
      <c r="L20" s="9" t="s">
        <v>2354</v>
      </c>
      <c r="M20" s="8">
        <v>-4.987376</v>
      </c>
      <c r="N20" s="8">
        <v>119.630111</v>
      </c>
      <c r="O20" s="8">
        <v>26.14039612</v>
      </c>
      <c r="P20" s="8">
        <v>4.991185421</v>
      </c>
      <c r="Q20" s="8">
        <v>0.0</v>
      </c>
      <c r="R20" s="9" t="s">
        <v>1923</v>
      </c>
      <c r="S20" s="8">
        <v>0.0</v>
      </c>
      <c r="T20" s="8">
        <v>0.0</v>
      </c>
      <c r="U20" s="8">
        <v>0.0</v>
      </c>
      <c r="V20" s="8">
        <v>0.0</v>
      </c>
      <c r="W20" s="8">
        <v>0.0</v>
      </c>
      <c r="X20" s="8">
        <v>0.0</v>
      </c>
      <c r="Y20" s="8">
        <v>0.0</v>
      </c>
      <c r="Z20" s="8">
        <v>0.0</v>
      </c>
      <c r="AA20" s="8">
        <v>0.0</v>
      </c>
      <c r="AB20" s="8">
        <v>1.0</v>
      </c>
      <c r="AC20" s="7" t="s">
        <v>1924</v>
      </c>
      <c r="AD20" s="7" t="s">
        <v>2209</v>
      </c>
      <c r="AE20" s="7" t="s">
        <v>2341</v>
      </c>
      <c r="AF20" s="9" t="s">
        <v>2090</v>
      </c>
      <c r="AG20" s="7" t="s">
        <v>2355</v>
      </c>
      <c r="AH20" s="8">
        <v>10.0</v>
      </c>
      <c r="AI20" s="9" t="s">
        <v>933</v>
      </c>
      <c r="AJ20" s="9" t="s">
        <v>934</v>
      </c>
      <c r="AK20" s="8">
        <v>58.0</v>
      </c>
      <c r="AL20" s="9" t="s">
        <v>847</v>
      </c>
      <c r="AM20" s="9" t="s">
        <v>848</v>
      </c>
      <c r="AN20" s="9" t="s">
        <v>986</v>
      </c>
      <c r="AO20" s="9" t="s">
        <v>850</v>
      </c>
      <c r="AP20" s="8">
        <v>1.0</v>
      </c>
      <c r="AQ20" s="8">
        <v>0.0</v>
      </c>
      <c r="AR20" s="8">
        <v>0.0</v>
      </c>
      <c r="AS20" s="8">
        <v>0.0</v>
      </c>
      <c r="AT20" s="8">
        <v>0.0</v>
      </c>
      <c r="AU20" s="8">
        <v>0.0</v>
      </c>
      <c r="AV20" s="8">
        <v>0.0</v>
      </c>
      <c r="AW20" s="8">
        <v>0.0</v>
      </c>
      <c r="AX20" s="9"/>
      <c r="AY20" s="9" t="s">
        <v>935</v>
      </c>
      <c r="AZ20" s="8">
        <v>0.0</v>
      </c>
      <c r="BA20" s="8">
        <v>1.0</v>
      </c>
      <c r="BB20" s="8">
        <v>0.0</v>
      </c>
      <c r="BC20" s="8">
        <v>0.0</v>
      </c>
      <c r="BD20" s="8">
        <v>0.0</v>
      </c>
      <c r="BE20" s="8">
        <v>0.0</v>
      </c>
      <c r="BF20" s="8">
        <v>0.0</v>
      </c>
      <c r="BG20" s="8">
        <v>0.0</v>
      </c>
      <c r="BH20" s="11"/>
      <c r="BI20" s="9" t="s">
        <v>936</v>
      </c>
      <c r="BJ20" s="8">
        <v>1.0</v>
      </c>
      <c r="BK20" s="8">
        <v>2.0</v>
      </c>
      <c r="BL20" s="8">
        <v>0.0</v>
      </c>
      <c r="BM20" s="8">
        <v>0.0</v>
      </c>
      <c r="BN20" s="9" t="s">
        <v>853</v>
      </c>
      <c r="BO20" s="9" t="s">
        <v>2000</v>
      </c>
      <c r="BP20" s="8">
        <v>0.0</v>
      </c>
      <c r="BQ20" s="8">
        <v>1.0</v>
      </c>
      <c r="BR20" s="8">
        <v>0.0</v>
      </c>
      <c r="BS20" s="8">
        <v>0.0</v>
      </c>
      <c r="BT20" s="8">
        <v>0.0</v>
      </c>
      <c r="BU20" s="9"/>
      <c r="BV20" s="9" t="s">
        <v>2065</v>
      </c>
      <c r="BW20" s="8">
        <v>1.0</v>
      </c>
      <c r="BX20" s="8">
        <v>0.0</v>
      </c>
      <c r="BY20" s="8">
        <v>0.0</v>
      </c>
      <c r="BZ20" s="8">
        <v>0.0</v>
      </c>
      <c r="CA20" s="8">
        <v>0.0</v>
      </c>
      <c r="CB20" s="9"/>
      <c r="CC20" s="9" t="s">
        <v>1929</v>
      </c>
      <c r="CD20" s="8">
        <v>0.0</v>
      </c>
      <c r="CE20" s="8">
        <v>0.0</v>
      </c>
      <c r="CF20" s="8">
        <v>0.0</v>
      </c>
      <c r="CG20" s="8">
        <v>0.0</v>
      </c>
      <c r="CH20" s="8">
        <v>1.0</v>
      </c>
      <c r="CI20" s="8">
        <v>0.0</v>
      </c>
      <c r="CJ20" s="8">
        <v>0.0</v>
      </c>
      <c r="CK20" s="9"/>
      <c r="CL20" s="9" t="s">
        <v>857</v>
      </c>
      <c r="CM20" s="8">
        <v>2016.0</v>
      </c>
      <c r="CN20" s="9" t="s">
        <v>858</v>
      </c>
      <c r="CO20" s="9" t="s">
        <v>2356</v>
      </c>
      <c r="CP20" s="9" t="s">
        <v>860</v>
      </c>
      <c r="CQ20" s="8">
        <v>0.0</v>
      </c>
      <c r="CR20" s="8">
        <v>0.0</v>
      </c>
      <c r="CS20" s="8">
        <v>0.0</v>
      </c>
      <c r="CT20" s="8">
        <v>0.0</v>
      </c>
      <c r="CU20" s="8">
        <v>1.0</v>
      </c>
      <c r="CV20" s="8">
        <v>0.0</v>
      </c>
      <c r="CW20" s="8">
        <v>0.0</v>
      </c>
      <c r="CX20" s="8">
        <v>0.0</v>
      </c>
      <c r="CY20" s="9" t="s">
        <v>860</v>
      </c>
      <c r="CZ20" s="8">
        <v>1.0</v>
      </c>
      <c r="DA20" s="8">
        <v>0.0</v>
      </c>
      <c r="DB20" s="8">
        <v>0.0</v>
      </c>
      <c r="DC20" s="9"/>
      <c r="DD20" s="9" t="s">
        <v>860</v>
      </c>
      <c r="DE20" s="8">
        <v>1.0</v>
      </c>
      <c r="DF20" s="8">
        <v>0.0</v>
      </c>
      <c r="DG20" s="8">
        <v>0.0</v>
      </c>
      <c r="DH20" s="8">
        <v>0.0</v>
      </c>
      <c r="DI20" s="9"/>
      <c r="DJ20" s="9" t="s">
        <v>861</v>
      </c>
      <c r="DK20" s="8">
        <v>0.0</v>
      </c>
      <c r="DL20" s="8">
        <v>0.0</v>
      </c>
      <c r="DM20" s="8">
        <v>1.0</v>
      </c>
      <c r="DN20" s="8">
        <v>0.0</v>
      </c>
      <c r="DO20" s="9"/>
      <c r="DP20" s="9" t="s">
        <v>938</v>
      </c>
      <c r="DQ20" s="9" t="s">
        <v>939</v>
      </c>
      <c r="DR20" s="17" t="s">
        <v>940</v>
      </c>
      <c r="DS20" s="9"/>
      <c r="DT20" s="9"/>
      <c r="DU20" s="9"/>
      <c r="DV20" s="9"/>
      <c r="DW20" s="9"/>
      <c r="DX20" s="9"/>
      <c r="DY20" s="9"/>
      <c r="DZ20" s="9"/>
      <c r="EA20" s="9"/>
      <c r="EB20" s="9"/>
      <c r="EC20" s="9"/>
      <c r="ED20" s="9"/>
      <c r="EE20" s="9"/>
      <c r="EF20" s="9"/>
      <c r="EG20" s="9"/>
      <c r="EH20" s="9"/>
      <c r="EI20" s="31" t="s">
        <v>862</v>
      </c>
      <c r="EJ20" s="8">
        <v>0.0</v>
      </c>
      <c r="EK20" s="8">
        <v>0.0</v>
      </c>
      <c r="EL20" s="8">
        <v>0.0</v>
      </c>
      <c r="EM20" s="8">
        <v>1.0</v>
      </c>
      <c r="EN20" s="8">
        <v>0.0</v>
      </c>
      <c r="EO20" s="9"/>
      <c r="EP20" s="9" t="s">
        <v>863</v>
      </c>
      <c r="EQ20" s="9" t="s">
        <v>864</v>
      </c>
      <c r="ER20" s="9" t="s">
        <v>861</v>
      </c>
      <c r="ES20" s="8">
        <v>1.0</v>
      </c>
      <c r="ET20" s="8">
        <v>0.0</v>
      </c>
      <c r="EU20" s="8">
        <v>0.0</v>
      </c>
      <c r="EV20" s="8">
        <v>0.0</v>
      </c>
      <c r="EW20" s="9"/>
      <c r="EX20" s="9" t="s">
        <v>865</v>
      </c>
      <c r="EY20" s="8">
        <v>1.0</v>
      </c>
      <c r="EZ20" s="8">
        <v>0.0</v>
      </c>
      <c r="FA20" s="8">
        <v>0.0</v>
      </c>
      <c r="FB20" s="9"/>
      <c r="FC20" s="9" t="s">
        <v>866</v>
      </c>
      <c r="FD20" s="9"/>
      <c r="FE20" s="9" t="s">
        <v>867</v>
      </c>
      <c r="FF20" s="9" t="s">
        <v>868</v>
      </c>
      <c r="FG20" s="9" t="s">
        <v>867</v>
      </c>
      <c r="FH20" s="9" t="s">
        <v>868</v>
      </c>
      <c r="FI20" s="9" t="s">
        <v>867</v>
      </c>
      <c r="FJ20" s="9" t="s">
        <v>868</v>
      </c>
      <c r="FK20" s="9" t="s">
        <v>867</v>
      </c>
      <c r="FL20" s="9" t="s">
        <v>869</v>
      </c>
      <c r="FM20" s="9" t="s">
        <v>867</v>
      </c>
      <c r="FN20" s="9" t="s">
        <v>869</v>
      </c>
      <c r="FO20" s="9" t="s">
        <v>867</v>
      </c>
      <c r="FP20" s="9" t="s">
        <v>943</v>
      </c>
      <c r="FQ20" s="9" t="s">
        <v>867</v>
      </c>
      <c r="FR20" s="9" t="s">
        <v>857</v>
      </c>
      <c r="FS20" s="9" t="s">
        <v>867</v>
      </c>
      <c r="FT20" s="9" t="s">
        <v>871</v>
      </c>
      <c r="FU20" s="9" t="s">
        <v>872</v>
      </c>
      <c r="FV20" s="8">
        <v>1.0</v>
      </c>
      <c r="FW20" s="8">
        <v>0.0</v>
      </c>
      <c r="FX20" s="8">
        <v>0.0</v>
      </c>
      <c r="FY20" s="8">
        <v>0.0</v>
      </c>
      <c r="FZ20" s="9" t="s">
        <v>873</v>
      </c>
      <c r="GA20" s="9" t="s">
        <v>2357</v>
      </c>
      <c r="GB20" s="8">
        <v>0.0</v>
      </c>
      <c r="GC20" s="8">
        <v>1.0</v>
      </c>
      <c r="GD20" s="8">
        <v>1.0</v>
      </c>
      <c r="GE20" s="8">
        <v>0.0</v>
      </c>
      <c r="GF20" s="9"/>
      <c r="GG20" s="9" t="s">
        <v>875</v>
      </c>
      <c r="GH20" s="9" t="s">
        <v>857</v>
      </c>
      <c r="GI20" s="9" t="s">
        <v>2358</v>
      </c>
      <c r="GJ20" s="8">
        <v>0.0</v>
      </c>
      <c r="GK20" s="8">
        <v>1.0</v>
      </c>
      <c r="GL20" s="8">
        <v>1.0</v>
      </c>
      <c r="GM20" s="8">
        <v>0.0</v>
      </c>
      <c r="GN20" s="9"/>
      <c r="GO20" s="8">
        <v>9.0</v>
      </c>
      <c r="GP20" s="34" t="s">
        <v>1931</v>
      </c>
      <c r="GQ20" s="9" t="s">
        <v>1102</v>
      </c>
      <c r="GR20" s="8">
        <v>1.0</v>
      </c>
      <c r="GS20" s="8">
        <v>0.0</v>
      </c>
      <c r="GT20" s="8">
        <v>0.0</v>
      </c>
      <c r="GU20" s="8">
        <v>0.0</v>
      </c>
      <c r="GV20" s="8">
        <v>0.0</v>
      </c>
      <c r="GW20" s="8">
        <v>0.0</v>
      </c>
      <c r="GX20" s="8">
        <v>0.0</v>
      </c>
      <c r="GY20" s="9"/>
      <c r="GZ20" s="9" t="s">
        <v>857</v>
      </c>
      <c r="HA20" s="9"/>
      <c r="HB20" s="9"/>
      <c r="HC20" s="9"/>
      <c r="HD20" s="9"/>
      <c r="HE20" s="8">
        <v>9.0</v>
      </c>
      <c r="HF20" s="39">
        <v>48000.0</v>
      </c>
      <c r="HG20" s="8">
        <v>3.0</v>
      </c>
      <c r="HH20" s="8">
        <v>20000.0</v>
      </c>
      <c r="HI20" s="9"/>
      <c r="HJ20" s="9"/>
      <c r="HK20" s="9"/>
      <c r="HL20" s="9"/>
      <c r="HM20" s="9"/>
      <c r="HN20" s="9"/>
      <c r="HO20" s="9"/>
      <c r="HP20" s="9"/>
      <c r="HQ20" s="9"/>
      <c r="HR20" s="9"/>
      <c r="HS20" s="9"/>
      <c r="HT20" s="9"/>
      <c r="HU20" s="9"/>
      <c r="HV20" s="9"/>
      <c r="HW20" s="9"/>
      <c r="HX20" s="9"/>
      <c r="HY20" s="9"/>
      <c r="HZ20" s="9"/>
      <c r="IA20" s="8">
        <v>6.0</v>
      </c>
      <c r="IB20" s="8">
        <v>28000.0</v>
      </c>
      <c r="IC20" s="9"/>
      <c r="ID20" s="9"/>
      <c r="IE20" s="9"/>
      <c r="IF20" s="9"/>
      <c r="IG20" s="9"/>
      <c r="IH20" s="9"/>
      <c r="II20" s="9"/>
      <c r="IJ20" s="9"/>
      <c r="IK20" s="9" t="s">
        <v>2359</v>
      </c>
      <c r="IL20" s="9" t="s">
        <v>1366</v>
      </c>
      <c r="IM20" s="9" t="s">
        <v>857</v>
      </c>
      <c r="IN20" s="9" t="s">
        <v>881</v>
      </c>
      <c r="IO20" s="9" t="s">
        <v>882</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1180</v>
      </c>
      <c r="KT20" s="9" t="s">
        <v>886</v>
      </c>
      <c r="KU20" s="9" t="s">
        <v>886</v>
      </c>
      <c r="KV20" s="9" t="s">
        <v>999</v>
      </c>
      <c r="KW20" s="8">
        <v>0.0</v>
      </c>
      <c r="KX20" s="8">
        <v>0.0</v>
      </c>
      <c r="KY20" s="8">
        <v>0.0</v>
      </c>
      <c r="KZ20" s="8">
        <v>1.0</v>
      </c>
      <c r="LA20" s="9" t="s">
        <v>884</v>
      </c>
      <c r="LB20" s="9" t="s">
        <v>884</v>
      </c>
      <c r="LC20" s="8">
        <v>4.0</v>
      </c>
      <c r="LD20" s="8">
        <v>4.0</v>
      </c>
      <c r="LE20" s="8">
        <v>0.0</v>
      </c>
      <c r="LF20" s="8">
        <v>0.0</v>
      </c>
      <c r="LG20" s="9" t="s">
        <v>857</v>
      </c>
      <c r="LH20" s="8">
        <v>250.0</v>
      </c>
      <c r="LI20" s="9"/>
      <c r="LJ20" s="9" t="s">
        <v>2360</v>
      </c>
      <c r="LK20" s="8">
        <v>0.0</v>
      </c>
      <c r="LL20" s="8">
        <v>0.0</v>
      </c>
      <c r="LM20" s="8">
        <v>0.0</v>
      </c>
      <c r="LN20" s="8">
        <v>1.0</v>
      </c>
      <c r="LO20" s="8">
        <v>1.0</v>
      </c>
      <c r="LP20" s="8">
        <v>0.0</v>
      </c>
      <c r="LQ20" s="8">
        <v>0.0</v>
      </c>
      <c r="LR20" s="11"/>
      <c r="LS20" s="8">
        <v>10.0</v>
      </c>
      <c r="LT20" s="8">
        <v>0.0</v>
      </c>
      <c r="LU20" s="8">
        <v>0.0</v>
      </c>
      <c r="LV20" s="8">
        <v>10.0</v>
      </c>
      <c r="LW20" s="8">
        <v>0.0</v>
      </c>
      <c r="LX20" s="8">
        <v>0.0</v>
      </c>
      <c r="LY20" s="8">
        <v>15.0</v>
      </c>
      <c r="LZ20" s="8">
        <v>0.0</v>
      </c>
      <c r="MA20" s="8">
        <v>0.0</v>
      </c>
      <c r="MB20" s="9" t="s">
        <v>881</v>
      </c>
      <c r="MC20" s="8">
        <v>0.0</v>
      </c>
      <c r="MD20" s="8">
        <v>0.0</v>
      </c>
      <c r="ME20" s="8">
        <v>0.0</v>
      </c>
      <c r="MF20" s="8">
        <v>0.0</v>
      </c>
      <c r="MG20" s="8">
        <v>0.0</v>
      </c>
      <c r="MH20" s="8">
        <v>0.0</v>
      </c>
      <c r="MI20" s="9"/>
      <c r="MJ20" s="9"/>
      <c r="MK20" s="9"/>
      <c r="ML20" s="9"/>
      <c r="MM20" s="9"/>
      <c r="MN20" s="9"/>
      <c r="MO20" s="9"/>
      <c r="MP20" s="9"/>
      <c r="MQ20" s="9"/>
      <c r="MR20" s="17" t="s">
        <v>2035</v>
      </c>
      <c r="MS20" s="9"/>
      <c r="MT20" s="9" t="s">
        <v>2035</v>
      </c>
      <c r="MU20" s="9" t="s">
        <v>1030</v>
      </c>
      <c r="MV20" s="9" t="s">
        <v>949</v>
      </c>
      <c r="MW20" s="8">
        <v>1.0</v>
      </c>
      <c r="MX20" s="8">
        <v>0.0</v>
      </c>
      <c r="MY20" s="8">
        <v>0.0</v>
      </c>
      <c r="MZ20" s="8">
        <v>0.0</v>
      </c>
      <c r="NA20" s="9"/>
      <c r="NB20" s="9"/>
      <c r="NC20" s="9"/>
      <c r="ND20" s="9"/>
      <c r="NE20" s="9"/>
      <c r="NF20" s="9"/>
      <c r="NG20" s="9"/>
      <c r="NH20" s="9"/>
      <c r="NI20" s="9"/>
      <c r="NJ20" s="9"/>
      <c r="NK20" s="9"/>
      <c r="NL20" s="9" t="s">
        <v>857</v>
      </c>
      <c r="NM20" s="9" t="s">
        <v>1386</v>
      </c>
      <c r="NN20" s="17" t="s">
        <v>1975</v>
      </c>
      <c r="NO20" s="17" t="s">
        <v>895</v>
      </c>
      <c r="NP20" s="9"/>
      <c r="NQ20" s="9"/>
      <c r="NR20" s="9"/>
      <c r="NS20" s="9"/>
      <c r="NT20" s="9"/>
      <c r="NU20" s="9"/>
      <c r="NV20" s="9"/>
      <c r="NW20" s="9"/>
      <c r="NX20" s="9" t="s">
        <v>897</v>
      </c>
      <c r="NY20" s="8">
        <v>180.0</v>
      </c>
      <c r="NZ20" s="8">
        <v>0.0</v>
      </c>
      <c r="OA20" s="8">
        <v>0.0</v>
      </c>
      <c r="OB20" s="8">
        <v>0.0</v>
      </c>
      <c r="OC20" s="8">
        <v>0.0</v>
      </c>
      <c r="OD20" s="8">
        <v>0.0</v>
      </c>
      <c r="OE20" s="9" t="s">
        <v>898</v>
      </c>
      <c r="OF20" s="9" t="s">
        <v>1184</v>
      </c>
      <c r="OG20" s="9" t="s">
        <v>857</v>
      </c>
      <c r="OH20" s="8">
        <v>7.0</v>
      </c>
      <c r="OI20" s="8">
        <v>0.0</v>
      </c>
      <c r="OJ20" s="8">
        <v>0.0</v>
      </c>
      <c r="OK20" s="8">
        <v>0.0</v>
      </c>
      <c r="OL20" s="8">
        <v>0.0</v>
      </c>
      <c r="OM20" s="8">
        <v>0.0</v>
      </c>
      <c r="ON20" s="8">
        <v>10.0</v>
      </c>
      <c r="OO20" s="8">
        <v>0.0</v>
      </c>
      <c r="OP20" s="9" t="str">
        <f>VLOOKUP(AG20,'BUS 2'!$G$1:$CU$424,2,0)</f>
        <v>Sapi pedaging Ayam</v>
      </c>
      <c r="OQ20" s="8">
        <f>VLOOKUP(AG20,'BUS 2'!$G$1:$CU$424,3,0)</f>
        <v>1</v>
      </c>
      <c r="OR20" s="8">
        <f>VLOOKUP(AG20,'BUS 2'!$G$1:$CU$424,4,0)</f>
        <v>0</v>
      </c>
      <c r="OS20" s="8">
        <f>VLOOKUP(AG20,'BUS 2'!$G$1:$CU$424,5,0)</f>
        <v>0</v>
      </c>
      <c r="OT20" s="8">
        <f>VLOOKUP(AG20,'BUS 2'!$G$1:$CU$424,6,0)</f>
        <v>0</v>
      </c>
      <c r="OU20" s="8">
        <f>VLOOKUP(AG20,'BUS 2'!$G$1:$CU$424,7,0)</f>
        <v>0</v>
      </c>
      <c r="OV20" s="8">
        <f>VLOOKUP(AG20,'BUS 2'!$G$1:$CU$424,8,0)</f>
        <v>0</v>
      </c>
      <c r="OW20" s="8">
        <f>VLOOKUP(AG20,'BUS 2'!$G$1:$CU$424,9,0)</f>
        <v>1</v>
      </c>
      <c r="OX20" s="8">
        <f>VLOOKUP(AG20,'BUS 2'!$G$1:$CU$424,10,0)</f>
        <v>0</v>
      </c>
      <c r="OY20" s="8">
        <f>VLOOKUP(AG20,'BUS 2'!$G$1:$CU$424,11,0)</f>
        <v>0</v>
      </c>
      <c r="OZ20" s="8" t="str">
        <f>VLOOKUP(AG20,'BUS 2'!$G$1:$CU$424,12,0)</f>
        <v>Tidak ada</v>
      </c>
      <c r="PA20" s="8">
        <f>VLOOKUP(AG20,'BUS 2'!$G$1:$CU$424,13,0)</f>
        <v>0</v>
      </c>
      <c r="PB20" s="8">
        <f>VLOOKUP(AG20,'BUS 2'!$G$1:$CU$424,14,0)</f>
        <v>0</v>
      </c>
      <c r="PC20" s="8">
        <f>VLOOKUP(AG20,'BUS 2'!$G$1:$CU$424,15,0)</f>
        <v>0</v>
      </c>
      <c r="PD20" s="8">
        <f>VLOOKUP(AG20,'BUS 2'!$G$1:$CU$424,16,0)</f>
        <v>0</v>
      </c>
      <c r="PE20" s="8">
        <f>VLOOKUP(AG20,'BUS 2'!$G$1:$CU$424,17,0)</f>
        <v>0</v>
      </c>
      <c r="PF20" s="8">
        <f>VLOOKUP(AG20,'BUS 2'!$G$1:$CU$424,18,0)</f>
        <v>0</v>
      </c>
      <c r="PG20" s="8">
        <f>VLOOKUP(AG20,'BUS 2'!$G$1:$CU$424,19,0)</f>
        <v>0</v>
      </c>
      <c r="PH20" s="8">
        <f>VLOOKUP(AG20,'BUS 2'!$G$1:$CU$424,20,0)</f>
        <v>0</v>
      </c>
      <c r="PI20" s="8">
        <f>VLOOKUP(AG20,'BUS 2'!$G$1:$CU$424,21,0)</f>
        <v>1</v>
      </c>
      <c r="PJ20" s="8" t="str">
        <f>VLOOKUP(AG20,'BUS 2'!$G$1:$CU$424,22,0)</f>
        <v>Sapi pedaging Ayam</v>
      </c>
      <c r="PK20" s="8">
        <f>VLOOKUP(AG20,'BUS 2'!$G$1:$CU$424,23,0)</f>
        <v>1</v>
      </c>
      <c r="PL20" s="8">
        <f>VLOOKUP(AG20,'BUS 2'!$G$1:$CU$424,24,0)</f>
        <v>0</v>
      </c>
      <c r="PM20" s="8">
        <f>VLOOKUP(AG20,'BUS 2'!$G$1:$CU$424,25,0)</f>
        <v>0</v>
      </c>
      <c r="PN20" s="8">
        <f>VLOOKUP(AG20,'BUS 2'!$G$1:$CU$424,26,0)</f>
        <v>0</v>
      </c>
      <c r="PO20" s="8">
        <f>VLOOKUP(AG20,'BUS 2'!$G$1:$CU$424,27,0)</f>
        <v>0</v>
      </c>
      <c r="PP20" s="8">
        <f>VLOOKUP(AG20,'BUS 2'!$G$1:$CU$424,28,0)</f>
        <v>0</v>
      </c>
      <c r="PQ20" s="8">
        <f>VLOOKUP(AG20,'BUS 2'!$G$1:$CU$424,29,0)</f>
        <v>1</v>
      </c>
      <c r="PR20" s="8">
        <f>VLOOKUP(AG20,'BUS 2'!$G$1:$CU$424,30,0)</f>
        <v>0</v>
      </c>
      <c r="PS20" s="8">
        <f>VLOOKUP(AG20,'BUS 2'!$G$1:$CU$424,31,0)</f>
        <v>0</v>
      </c>
      <c r="PT20" s="9" t="s">
        <v>900</v>
      </c>
      <c r="PU20" s="8">
        <v>0.0</v>
      </c>
      <c r="PV20" s="8">
        <v>0.0</v>
      </c>
      <c r="PW20" s="8">
        <v>0.0</v>
      </c>
      <c r="PX20" s="8">
        <v>0.0</v>
      </c>
      <c r="PY20" s="8">
        <v>0.0</v>
      </c>
      <c r="PZ20" s="8">
        <v>1.0</v>
      </c>
      <c r="QA20" s="8">
        <v>0.0</v>
      </c>
      <c r="QB20" s="8">
        <v>0.0</v>
      </c>
      <c r="QC20" s="8">
        <v>0.0</v>
      </c>
      <c r="QD20" s="9"/>
      <c r="QE20" s="32"/>
      <c r="QF20" s="31"/>
      <c r="QG20" s="31"/>
      <c r="QH20" s="31"/>
      <c r="QI20" s="31"/>
      <c r="QJ20" s="31"/>
      <c r="QK20" s="32"/>
      <c r="QL20" s="32"/>
      <c r="QM20" s="32"/>
      <c r="QN20" s="32"/>
      <c r="QO20" s="32"/>
      <c r="QP20" s="32"/>
      <c r="QQ20" s="32"/>
      <c r="QR20" s="32"/>
      <c r="QS20" s="32"/>
      <c r="QT20" s="32"/>
      <c r="QU20" s="32"/>
      <c r="QV20" s="32"/>
      <c r="QW20" s="31"/>
      <c r="QX20" s="31"/>
      <c r="QY20" s="31"/>
      <c r="QZ20" s="31"/>
      <c r="RA20" s="31"/>
      <c r="RB20" s="32"/>
      <c r="RC20" s="32"/>
      <c r="RD20" s="32"/>
      <c r="RE20" s="32"/>
      <c r="RF20" s="32"/>
      <c r="RG20" s="9"/>
      <c r="RH20" s="31"/>
      <c r="RI20" s="31"/>
      <c r="RJ20" s="31"/>
      <c r="RK20" s="31"/>
      <c r="RL20" s="31"/>
      <c r="RM20" s="9"/>
      <c r="RN20" s="9"/>
      <c r="RO20" s="9"/>
      <c r="RP20" s="9"/>
      <c r="RQ20" s="9"/>
      <c r="RR20" s="9"/>
      <c r="RS20" s="31"/>
      <c r="RT20" s="31"/>
      <c r="RU20" s="31"/>
      <c r="RV20" s="31"/>
      <c r="RW20" s="31"/>
      <c r="RX20" s="9"/>
      <c r="RY20" s="9"/>
      <c r="RZ20" s="9"/>
      <c r="SA20" s="9"/>
      <c r="SB20" s="9"/>
      <c r="SC20" s="9"/>
      <c r="SD20" s="31"/>
      <c r="SE20" s="31"/>
      <c r="SF20" s="31"/>
      <c r="SG20" s="31"/>
      <c r="SH20" s="31"/>
      <c r="SI20" s="9"/>
      <c r="SJ20" s="9"/>
      <c r="SK20" s="9"/>
      <c r="SL20" s="9"/>
      <c r="SM20" s="9"/>
      <c r="SN20" s="9"/>
      <c r="SO20" s="31"/>
      <c r="SP20" s="31"/>
      <c r="SQ20" s="31"/>
      <c r="SR20" s="31"/>
      <c r="SS20" s="31"/>
      <c r="ST20" s="9"/>
      <c r="SU20" s="9"/>
      <c r="SV20" s="9"/>
      <c r="SW20" s="9"/>
      <c r="SX20" s="9"/>
      <c r="SY20" s="8">
        <f>VLOOKUP(AG20,'BUS 2'!$G$1:$CU$424,33,0)</f>
        <v>7</v>
      </c>
      <c r="SZ20" s="9" t="str">
        <f>VLOOKUP(AG20,'BUS 2'!$G$1:$CU$424,34,0)</f>
        <v/>
      </c>
      <c r="TA20" s="9" t="str">
        <f>VLOOKUP(AG20,'BUS 2'!$G$1:$CU$424,35,0)</f>
        <v/>
      </c>
      <c r="TB20" s="9" t="str">
        <f>VLOOKUP(AG20,'BUS 2'!$G$1:$CU$424,36,0)</f>
        <v/>
      </c>
      <c r="TC20" s="9" t="str">
        <f>VLOOKUP(AG20,'BUS 2'!$G$1:$CU$424,37,0)</f>
        <v/>
      </c>
      <c r="TD20" s="9" t="str">
        <f>VLOOKUP(AG20,'BUS 2'!$G$1:$CU$424,38,0)</f>
        <v/>
      </c>
      <c r="TE20" s="9">
        <f>VLOOKUP(AG20,'BUS 2'!$G$1:$CU$424,39,0)</f>
        <v>10</v>
      </c>
      <c r="TF20" s="9" t="str">
        <f>VLOOKUP(AG20,'BUS 2'!$G$1:$CU$424,40,0)</f>
        <v/>
      </c>
      <c r="TG20" s="8" t="str">
        <f>VLOOKUP(AG20,'BUS 2'!$G$1:$CU$424,42,0)</f>
        <v/>
      </c>
      <c r="TH20" s="8" t="str">
        <f>VLOOKUP(AG20,'BUS 2'!$G$1:$CU$424,43,0)</f>
        <v/>
      </c>
      <c r="TI20" s="8" t="str">
        <f>VLOOKUP(AG20,'BUS 2'!$G$1:$CU$424,44,0)</f>
        <v/>
      </c>
      <c r="TJ20" s="8" t="str">
        <f>VLOOKUP(AG20,'BUS 2'!$G$1:$CU$424,45,0)</f>
        <v/>
      </c>
      <c r="TK20" s="8" t="str">
        <f>VLOOKUP(AG20,'BUS 2'!$G$1:$CU$424,46,0)</f>
        <v/>
      </c>
      <c r="TL20" s="8" t="str">
        <f>VLOOKUP(AG20,'BUS 2'!$G$1:$CU$424,47,0)</f>
        <v/>
      </c>
      <c r="TM20" s="8" t="str">
        <f>VLOOKUP(AG20,'BUS 2'!$G$1:$CU$424,48,0)</f>
        <v/>
      </c>
      <c r="TN20" s="8" t="str">
        <f>VLOOKUP(AG20,'BUS 2'!$G$1:$CU$424,49,0)</f>
        <v/>
      </c>
      <c r="TO20" s="8">
        <f>VLOOKUP(AG20,'BUS 2'!$G$1:$CU$424,50,0)</f>
        <v>5</v>
      </c>
      <c r="TP20" s="8">
        <f>VLOOKUP(AG20,'BUS 2'!$G$1:$CU$424,51,0)</f>
        <v>0</v>
      </c>
      <c r="TQ20" s="8">
        <f>VLOOKUP(AG20,'BUS 2'!$G$1:$CU$424,52,0)</f>
        <v>0</v>
      </c>
      <c r="TR20" s="8">
        <f>VLOOKUP(AG20,'BUS 2'!$G$1:$CU$424,53,0)</f>
        <v>0</v>
      </c>
      <c r="TS20" s="9" t="str">
        <f>VLOOKUP(AG20,'BUS 2'!$G$1:$CU$424,54,0)</f>
        <v/>
      </c>
      <c r="TT20" s="9" t="str">
        <f>VLOOKUP(AG20,'BUS 2'!$G$1:$CU$424,55,0)</f>
        <v/>
      </c>
      <c r="TU20" s="9" t="str">
        <f>VLOOKUP(AG20,'BUS 2'!$G$1:$CU$424,56,0)</f>
        <v/>
      </c>
      <c r="TV20" s="9" t="str">
        <f>VLOOKUP(AG20,'BUS 2'!$G$1:$CU$424,57,0)</f>
        <v/>
      </c>
      <c r="TW20" s="9" t="str">
        <f>VLOOKUP(AG20,'BUS 2'!$G$1:$CU$424,58,0)</f>
        <v/>
      </c>
      <c r="TX20" s="9" t="str">
        <f>VLOOKUP(AG20,'BUS 2'!$G$1:$CU$424,59,0)</f>
        <v/>
      </c>
      <c r="TY20" s="9" t="str">
        <f>VLOOKUP(AG20,'BUS 2'!$G$1:$CU$424,60,0)</f>
        <v/>
      </c>
      <c r="TZ20" s="9" t="str">
        <f>VLOOKUP(AG20,'BUS 2'!$G$1:$CU$424,61,0)</f>
        <v/>
      </c>
      <c r="UA20" s="9" t="str">
        <f>VLOOKUP(AG20,'BUS 2'!$G$1:$CU$424,62,0)</f>
        <v/>
      </c>
      <c r="UB20" s="9" t="str">
        <f>VLOOKUP(AG20,'BUS 2'!$G$1:$CU$424,63,0)</f>
        <v/>
      </c>
      <c r="UC20" s="9" t="str">
        <f>VLOOKUP(AG20,'BUS 2'!$G$1:$CU$424,64,0)</f>
        <v/>
      </c>
      <c r="UD20" s="9" t="str">
        <f>VLOOKUP(AG20,'BUS 2'!$G$1:$CU$424,65,0)</f>
        <v/>
      </c>
      <c r="UE20" s="9" t="str">
        <f>VLOOKUP(AG20,'BUS 2'!$G$1:$CU$424,66,0)</f>
        <v/>
      </c>
      <c r="UF20" s="9" t="str">
        <f>VLOOKUP(AG20,'BUS 2'!$G$1:$CU$424,67,0)</f>
        <v/>
      </c>
      <c r="UG20" s="9" t="str">
        <f>VLOOKUP(AG20,'BUS 2'!$G$1:$CU$424,68,0)</f>
        <v/>
      </c>
      <c r="UH20" s="9" t="str">
        <f>VLOOKUP(AG20,'BUS 2'!$G$1:$CU$424,69,0)</f>
        <v/>
      </c>
      <c r="UI20" s="9" t="str">
        <f>VLOOKUP(AG20,'BUS 2'!$G$1:$CU$424,70,0)</f>
        <v/>
      </c>
      <c r="UJ20" s="9" t="str">
        <f>VLOOKUP(AG20,'BUS 2'!$G$1:$CU$424,71,0)</f>
        <v/>
      </c>
      <c r="UK20" s="9" t="str">
        <f>VLOOKUP(AG20,'BUS 2'!$G$1:$CU$424,72,0)</f>
        <v/>
      </c>
      <c r="UL20" s="9" t="str">
        <f>VLOOKUP(AG20,'BUS 2'!$G$1:$CU$424,73,0)</f>
        <v/>
      </c>
      <c r="UM20" s="9">
        <f>VLOOKUP(AG20,'BUS 2'!$G$1:$CU$424,74,0)</f>
        <v>0</v>
      </c>
      <c r="UN20" s="9">
        <f>VLOOKUP(AG20,'BUS 2'!$G$1:$CU$424,75,0)</f>
        <v>0</v>
      </c>
      <c r="UO20" s="9">
        <f>VLOOKUP(AG20,'BUS 2'!$G$1:$CU$424,76,0)</f>
        <v>0</v>
      </c>
      <c r="UP20" s="9">
        <f>VLOOKUP(AG20,'BUS 2'!$G$1:$CU$424,77,0)</f>
        <v>0</v>
      </c>
      <c r="UQ20" s="9" t="str">
        <f>VLOOKUP(AG20,'BUS 2'!$G$1:$CU$424,78,0)</f>
        <v/>
      </c>
      <c r="UR20" s="9" t="str">
        <f>VLOOKUP(AG20,'BUS 2'!$G$1:$CU$424,79,0)</f>
        <v/>
      </c>
      <c r="US20" s="9" t="str">
        <f>VLOOKUP(AG20,'BUS 2'!$G$1:$CU$424,80,0)</f>
        <v/>
      </c>
      <c r="UT20" s="9" t="str">
        <f>VLOOKUP(AG20,'BUS 2'!$G$1:$CU$424,81,0)</f>
        <v/>
      </c>
      <c r="UU20" s="9" t="s">
        <v>901</v>
      </c>
      <c r="UV20" s="9"/>
      <c r="UW20" s="9"/>
      <c r="UX20" s="9"/>
      <c r="UY20" s="9"/>
      <c r="UZ20" s="9"/>
      <c r="VA20" s="9" t="s">
        <v>1937</v>
      </c>
      <c r="VB20" s="9"/>
      <c r="VC20" s="9" t="s">
        <v>1938</v>
      </c>
      <c r="VD20" s="9"/>
      <c r="VE20" s="9"/>
      <c r="VF20" s="9"/>
      <c r="VG20" s="9"/>
      <c r="VH20" s="9"/>
      <c r="VI20" s="9" t="s">
        <v>1938</v>
      </c>
      <c r="VJ20" s="9"/>
      <c r="VK20" s="9" t="s">
        <v>1939</v>
      </c>
      <c r="VL20" s="9"/>
      <c r="VM20" s="9"/>
      <c r="VN20" s="9"/>
      <c r="VO20" s="9"/>
      <c r="VP20" s="9"/>
      <c r="VQ20" s="9" t="s">
        <v>1939</v>
      </c>
      <c r="VR20" s="9"/>
      <c r="VS20" s="9" t="s">
        <v>1940</v>
      </c>
      <c r="VT20" s="8">
        <v>0.0</v>
      </c>
      <c r="VU20" s="8">
        <v>0.0</v>
      </c>
      <c r="VV20" s="8">
        <v>0.0</v>
      </c>
      <c r="VW20" s="8">
        <v>0.0</v>
      </c>
      <c r="VX20" s="8">
        <v>0.0</v>
      </c>
      <c r="VY20" s="8">
        <v>1.0</v>
      </c>
      <c r="VZ20" s="8">
        <v>0.0</v>
      </c>
      <c r="WA20" s="8">
        <v>0.0</v>
      </c>
      <c r="WB20" s="8">
        <v>0.0</v>
      </c>
      <c r="WC20" s="8">
        <v>0.0</v>
      </c>
      <c r="WD20" s="8">
        <v>0.0</v>
      </c>
      <c r="WE20" s="8">
        <v>0.0</v>
      </c>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t="s">
        <v>2361</v>
      </c>
      <c r="YO20" s="8">
        <v>0.0</v>
      </c>
      <c r="YP20" s="8">
        <v>0.0</v>
      </c>
      <c r="YQ20" s="8">
        <v>0.0</v>
      </c>
      <c r="YR20" s="8">
        <v>0.0</v>
      </c>
      <c r="YS20" s="8">
        <v>0.0</v>
      </c>
      <c r="YT20" s="8">
        <v>0.0</v>
      </c>
      <c r="YU20" s="8">
        <v>0.0</v>
      </c>
      <c r="YV20" s="8">
        <v>0.0</v>
      </c>
      <c r="YW20" s="8">
        <v>1.0</v>
      </c>
      <c r="YX20" s="8">
        <v>0.0</v>
      </c>
      <c r="YY20" s="8">
        <v>0.0</v>
      </c>
      <c r="YZ20" s="8">
        <v>0.0</v>
      </c>
      <c r="ZA20" s="9"/>
      <c r="ZB20" s="9"/>
      <c r="ZC20" s="9"/>
      <c r="ZD20" s="9"/>
      <c r="ZE20" s="9"/>
      <c r="ZF20" s="9"/>
      <c r="ZG20" s="9"/>
      <c r="ZH20" s="9"/>
      <c r="ZI20" s="9"/>
      <c r="ZJ20" s="9"/>
      <c r="ZK20" s="9"/>
      <c r="ZL20" s="9"/>
      <c r="ZM20" s="9"/>
      <c r="ZN20" s="9"/>
      <c r="ZO20" s="9"/>
      <c r="ZP20" s="9"/>
      <c r="ZQ20" s="9"/>
      <c r="ZR20" s="9"/>
      <c r="ZS20" s="9"/>
      <c r="ZT20" s="9"/>
      <c r="ZU20" s="9"/>
      <c r="ZV20" s="8">
        <v>2.0</v>
      </c>
      <c r="ZW20" s="9"/>
      <c r="ZX20" s="9"/>
      <c r="ZY20" s="9"/>
      <c r="ZZ20" s="9"/>
      <c r="AAA20" s="9"/>
      <c r="AAB20" s="8">
        <v>2.0</v>
      </c>
      <c r="AAC20" s="9"/>
      <c r="AAD20" s="9" t="s">
        <v>1186</v>
      </c>
      <c r="AAE20" s="9"/>
      <c r="AAF20" s="9"/>
      <c r="AAG20" s="9"/>
      <c r="AAH20" s="9"/>
      <c r="AAI20" s="9"/>
      <c r="AAJ20" s="9" t="s">
        <v>905</v>
      </c>
      <c r="AAK20" s="9"/>
      <c r="AAL20" s="9" t="s">
        <v>857</v>
      </c>
      <c r="AAM20" s="9" t="s">
        <v>1942</v>
      </c>
      <c r="AAN20" s="8">
        <v>0.0</v>
      </c>
      <c r="AAO20" s="8">
        <v>1.0</v>
      </c>
      <c r="AAP20" s="8">
        <v>10.0</v>
      </c>
      <c r="AAQ20" s="9"/>
      <c r="AAR20" s="9" t="s">
        <v>857</v>
      </c>
      <c r="AAS20" s="9" t="s">
        <v>867</v>
      </c>
      <c r="AAT20" s="9" t="s">
        <v>906</v>
      </c>
      <c r="AAU20" s="8">
        <v>1.0</v>
      </c>
      <c r="AAV20" s="8">
        <v>0.0</v>
      </c>
      <c r="AAW20" s="8">
        <v>0.0</v>
      </c>
      <c r="AAX20" s="8">
        <v>0.0</v>
      </c>
      <c r="AAY20" s="8">
        <v>0.0</v>
      </c>
      <c r="AAZ20" s="8">
        <v>0.0</v>
      </c>
      <c r="ABA20" s="8">
        <v>0.0</v>
      </c>
      <c r="ABB20" s="9" t="s">
        <v>907</v>
      </c>
      <c r="ABC20" s="8">
        <v>1.0</v>
      </c>
      <c r="ABD20" s="8">
        <v>0.0</v>
      </c>
      <c r="ABE20" s="8">
        <v>0.0</v>
      </c>
      <c r="ABF20" s="8">
        <v>0.0</v>
      </c>
      <c r="ABG20" s="8">
        <v>0.0</v>
      </c>
      <c r="ABH20" s="9"/>
      <c r="ABI20" s="9"/>
      <c r="ABJ20" s="9"/>
      <c r="ABK20" s="9"/>
      <c r="ABL20" s="9"/>
      <c r="ABM20" s="9"/>
      <c r="ABN20" s="9"/>
      <c r="ABO20" s="9"/>
      <c r="ABP20" s="9"/>
      <c r="ABQ20" s="9" t="s">
        <v>2042</v>
      </c>
      <c r="ABR20" s="9" t="s">
        <v>2289</v>
      </c>
      <c r="ABS20" s="8">
        <v>10.0</v>
      </c>
      <c r="ABT20" s="9"/>
      <c r="ABU20" s="8">
        <v>50.0</v>
      </c>
      <c r="ABV20" s="8">
        <v>50.0</v>
      </c>
      <c r="ABW20" s="9" t="s">
        <v>910</v>
      </c>
      <c r="ABX20" s="9"/>
      <c r="ABY20" s="8">
        <v>250.0</v>
      </c>
      <c r="ABZ20" s="8">
        <v>1800.0</v>
      </c>
      <c r="ACA20" s="8">
        <v>200.0</v>
      </c>
      <c r="ACB20" s="8">
        <v>2800.0</v>
      </c>
      <c r="ACC20" s="8">
        <v>7250.0</v>
      </c>
      <c r="ACD20" s="8">
        <v>7257.0</v>
      </c>
      <c r="ACE20" s="9" t="s">
        <v>881</v>
      </c>
      <c r="ACF20" s="9" t="s">
        <v>911</v>
      </c>
      <c r="ACG20" s="9" t="s">
        <v>911</v>
      </c>
      <c r="ACH20" s="9" t="s">
        <v>911</v>
      </c>
      <c r="ACI20" s="9"/>
      <c r="ACJ20" s="9"/>
      <c r="ACK20" s="9"/>
      <c r="ACL20" s="9"/>
      <c r="ACM20" s="9"/>
      <c r="ACN20" s="9"/>
      <c r="ACO20" s="9"/>
      <c r="ACP20" s="9"/>
      <c r="ACQ20" s="9"/>
      <c r="ACR20" s="9"/>
      <c r="ACS20" s="9"/>
      <c r="ACT20" s="9" t="s">
        <v>999</v>
      </c>
      <c r="ACU20" s="9" t="s">
        <v>1050</v>
      </c>
      <c r="ACV20" s="9" t="s">
        <v>914</v>
      </c>
      <c r="ACW20" s="9" t="s">
        <v>915</v>
      </c>
      <c r="ACX20" s="9" t="s">
        <v>916</v>
      </c>
      <c r="ACY20" s="9" t="s">
        <v>1035</v>
      </c>
      <c r="ACZ20" s="8">
        <v>1.0</v>
      </c>
      <c r="ADA20" s="8">
        <v>1.0</v>
      </c>
      <c r="ADB20" s="8">
        <v>0.0</v>
      </c>
      <c r="ADC20" s="8">
        <v>0.0</v>
      </c>
      <c r="ADD20" s="9" t="s">
        <v>917</v>
      </c>
      <c r="ADE20" s="9" t="s">
        <v>917</v>
      </c>
      <c r="ADF20" s="9" t="s">
        <v>917</v>
      </c>
      <c r="ADG20" s="9" t="s">
        <v>917</v>
      </c>
      <c r="ADH20" s="9" t="s">
        <v>881</v>
      </c>
      <c r="ADI20" s="9"/>
      <c r="ADJ20" s="9" t="s">
        <v>918</v>
      </c>
      <c r="ADK20" s="9"/>
      <c r="ADL20" s="9"/>
      <c r="ADM20" s="9"/>
      <c r="ADN20" s="9"/>
      <c r="ADO20" s="9"/>
      <c r="ADP20" s="9"/>
      <c r="ADQ20" s="9"/>
      <c r="ADR20" s="9"/>
      <c r="ADS20" s="9"/>
      <c r="ADT20" s="9"/>
      <c r="ADU20" s="9" t="s">
        <v>2362</v>
      </c>
      <c r="ADV20" s="8">
        <v>0.0</v>
      </c>
      <c r="ADW20" s="8">
        <v>0.0</v>
      </c>
      <c r="ADX20" s="8">
        <v>0.0</v>
      </c>
      <c r="ADY20" s="8">
        <v>0.0</v>
      </c>
      <c r="ADZ20" s="8">
        <v>0.0</v>
      </c>
      <c r="AEA20" s="8">
        <v>1.0</v>
      </c>
      <c r="AEB20" s="8">
        <v>1.0</v>
      </c>
      <c r="AEC20" s="8">
        <v>0.0</v>
      </c>
      <c r="AED20" s="9" t="s">
        <v>1945</v>
      </c>
      <c r="AEE20" s="9" t="s">
        <v>872</v>
      </c>
      <c r="AEF20" s="9"/>
      <c r="AEG20" s="9" t="s">
        <v>2363</v>
      </c>
      <c r="AEH20" s="9"/>
      <c r="AEI20" s="9" t="s">
        <v>1945</v>
      </c>
      <c r="AEJ20" s="9" t="s">
        <v>871</v>
      </c>
      <c r="AEK20" s="9" t="s">
        <v>2364</v>
      </c>
      <c r="AEL20" s="8">
        <v>0.0</v>
      </c>
      <c r="AEM20" s="8">
        <v>0.0</v>
      </c>
      <c r="AEN20" s="8">
        <v>0.0</v>
      </c>
      <c r="AEO20" s="8">
        <v>0.0</v>
      </c>
      <c r="AEP20" s="8">
        <v>0.0</v>
      </c>
      <c r="AEQ20" s="8">
        <v>0.0</v>
      </c>
      <c r="AER20" s="8">
        <v>1.0</v>
      </c>
      <c r="AES20" s="8">
        <v>0.0</v>
      </c>
      <c r="AET20" s="8">
        <v>1.0</v>
      </c>
      <c r="AEU20" s="8">
        <v>0.0</v>
      </c>
      <c r="AEV20" s="8">
        <v>0.0</v>
      </c>
      <c r="AEW20" s="8">
        <v>0.0</v>
      </c>
      <c r="AEX20" s="9"/>
      <c r="AEY20" s="9" t="s">
        <v>1305</v>
      </c>
      <c r="AEZ20" s="9"/>
      <c r="AFA20" s="9" t="s">
        <v>2077</v>
      </c>
      <c r="AFB20" s="9"/>
      <c r="AFC20" s="9" t="s">
        <v>2365</v>
      </c>
      <c r="AFD20" s="16" t="s">
        <v>2366</v>
      </c>
      <c r="AFE20" s="9" t="s">
        <v>2367</v>
      </c>
      <c r="AFF20" s="16" t="s">
        <v>2368</v>
      </c>
      <c r="AFG20" s="9" t="s">
        <v>1919</v>
      </c>
      <c r="AFH20" s="9"/>
      <c r="AFI20" s="21" t="s">
        <v>2369</v>
      </c>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8">
        <v>6.71796147E8</v>
      </c>
      <c r="AWB20" s="9" t="s">
        <v>2370</v>
      </c>
      <c r="AWC20" s="6">
        <v>46067.0</v>
      </c>
      <c r="AWD20" s="9"/>
      <c r="AWE20" s="9"/>
      <c r="AWF20" s="9" t="s">
        <v>1954</v>
      </c>
      <c r="AWG20" s="9"/>
      <c r="AWH20" s="9" t="s">
        <v>1989</v>
      </c>
      <c r="AWI20" s="9"/>
      <c r="AWJ20" s="9" t="s">
        <v>2371</v>
      </c>
      <c r="AWK20" s="8">
        <v>232.0</v>
      </c>
      <c r="AWL20" s="9" t="s">
        <v>2372</v>
      </c>
      <c r="AWM20" s="8">
        <v>0.0</v>
      </c>
      <c r="AWN20" s="9" t="s">
        <v>1957</v>
      </c>
      <c r="AWO20" s="33" t="b">
        <v>1</v>
      </c>
      <c r="AWP20" s="33" t="b">
        <v>1</v>
      </c>
      <c r="AWQ20" s="33" t="b">
        <v>1</v>
      </c>
      <c r="AWR20" s="33" t="b">
        <v>1</v>
      </c>
      <c r="AWS20" s="33" t="b">
        <v>1</v>
      </c>
      <c r="AWT20" s="33" t="b">
        <v>1</v>
      </c>
      <c r="AWU20" s="9"/>
      <c r="AWV20" s="8">
        <v>6.0</v>
      </c>
      <c r="AWW20" s="9"/>
      <c r="AWX20" s="9"/>
      <c r="AWY20" s="9"/>
      <c r="AWZ20" s="9"/>
    </row>
    <row r="21">
      <c r="A21" s="6">
        <v>46056.0</v>
      </c>
      <c r="B21" s="6">
        <v>46067.0</v>
      </c>
      <c r="C21" s="30" t="s">
        <v>1919</v>
      </c>
      <c r="D21" s="30" t="s">
        <v>2373</v>
      </c>
      <c r="E21" s="8">
        <f t="shared" si="1"/>
        <v>620</v>
      </c>
      <c r="F21" s="9" t="s">
        <v>2374</v>
      </c>
      <c r="G21" s="8">
        <v>-4.987326</v>
      </c>
      <c r="H21" s="8">
        <v>119.629364</v>
      </c>
      <c r="I21" s="8">
        <v>12.22792053</v>
      </c>
      <c r="J21" s="8">
        <v>4.733743451</v>
      </c>
      <c r="K21" s="8">
        <v>0.0</v>
      </c>
      <c r="L21" s="9" t="s">
        <v>2375</v>
      </c>
      <c r="M21" s="8">
        <v>-4.987397</v>
      </c>
      <c r="N21" s="8">
        <v>119.629496</v>
      </c>
      <c r="O21" s="8">
        <v>11.71034988</v>
      </c>
      <c r="P21" s="8">
        <v>4.936264914</v>
      </c>
      <c r="Q21" s="8">
        <v>0.0</v>
      </c>
      <c r="R21" s="9" t="s">
        <v>1923</v>
      </c>
      <c r="S21" s="8">
        <v>0.0</v>
      </c>
      <c r="T21" s="8">
        <v>0.0</v>
      </c>
      <c r="U21" s="8">
        <v>0.0</v>
      </c>
      <c r="V21" s="8">
        <v>0.0</v>
      </c>
      <c r="W21" s="8">
        <v>0.0</v>
      </c>
      <c r="X21" s="8">
        <v>0.0</v>
      </c>
      <c r="Y21" s="8">
        <v>0.0</v>
      </c>
      <c r="Z21" s="8">
        <v>0.0</v>
      </c>
      <c r="AA21" s="8">
        <v>0.0</v>
      </c>
      <c r="AB21" s="8">
        <v>1.0</v>
      </c>
      <c r="AC21" s="7" t="s">
        <v>1924</v>
      </c>
      <c r="AD21" s="7" t="s">
        <v>2209</v>
      </c>
      <c r="AE21" s="7" t="s">
        <v>2341</v>
      </c>
      <c r="AF21" s="9" t="s">
        <v>2090</v>
      </c>
      <c r="AG21" s="9" t="s">
        <v>2376</v>
      </c>
      <c r="AH21" s="8">
        <v>10.0</v>
      </c>
      <c r="AI21" s="9" t="s">
        <v>933</v>
      </c>
      <c r="AJ21" s="9" t="s">
        <v>934</v>
      </c>
      <c r="AK21" s="8">
        <v>56.0</v>
      </c>
      <c r="AL21" s="9" t="s">
        <v>1444</v>
      </c>
      <c r="AM21" s="9" t="s">
        <v>848</v>
      </c>
      <c r="AN21" s="9" t="s">
        <v>1009</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11"/>
      <c r="BI21" s="9" t="s">
        <v>936</v>
      </c>
      <c r="BJ21" s="8">
        <v>2.0</v>
      </c>
      <c r="BK21" s="8">
        <v>2.0</v>
      </c>
      <c r="BL21" s="8">
        <v>0.0</v>
      </c>
      <c r="BM21" s="8">
        <v>0.0</v>
      </c>
      <c r="BN21" s="9" t="s">
        <v>853</v>
      </c>
      <c r="BO21" s="9" t="s">
        <v>854</v>
      </c>
      <c r="BP21" s="8">
        <v>1.0</v>
      </c>
      <c r="BQ21" s="8">
        <v>0.0</v>
      </c>
      <c r="BR21" s="8">
        <v>0.0</v>
      </c>
      <c r="BS21" s="8">
        <v>0.0</v>
      </c>
      <c r="BT21" s="8">
        <v>0.0</v>
      </c>
      <c r="BU21" s="9"/>
      <c r="BV21" s="9" t="s">
        <v>1254</v>
      </c>
      <c r="BW21" s="8">
        <v>0.0</v>
      </c>
      <c r="BX21" s="8">
        <v>1.0</v>
      </c>
      <c r="BY21" s="8">
        <v>0.0</v>
      </c>
      <c r="BZ21" s="8">
        <v>0.0</v>
      </c>
      <c r="CA21" s="8">
        <v>0.0</v>
      </c>
      <c r="CB21" s="9"/>
      <c r="CC21" s="9" t="s">
        <v>1929</v>
      </c>
      <c r="CD21" s="8">
        <v>0.0</v>
      </c>
      <c r="CE21" s="8">
        <v>0.0</v>
      </c>
      <c r="CF21" s="8">
        <v>0.0</v>
      </c>
      <c r="CG21" s="8">
        <v>0.0</v>
      </c>
      <c r="CH21" s="8">
        <v>1.0</v>
      </c>
      <c r="CI21" s="8">
        <v>0.0</v>
      </c>
      <c r="CJ21" s="8">
        <v>0.0</v>
      </c>
      <c r="CK21" s="9"/>
      <c r="CL21" s="9" t="s">
        <v>857</v>
      </c>
      <c r="CM21" s="8">
        <v>2016.0</v>
      </c>
      <c r="CN21" s="9" t="s">
        <v>858</v>
      </c>
      <c r="CO21" s="9" t="s">
        <v>859</v>
      </c>
      <c r="CP21" s="9" t="s">
        <v>860</v>
      </c>
      <c r="CQ21" s="8">
        <v>0.0</v>
      </c>
      <c r="CR21" s="8">
        <v>0.0</v>
      </c>
      <c r="CS21" s="8">
        <v>0.0</v>
      </c>
      <c r="CT21" s="8">
        <v>0.0</v>
      </c>
      <c r="CU21" s="8">
        <v>1.0</v>
      </c>
      <c r="CV21" s="8">
        <v>0.0</v>
      </c>
      <c r="CW21" s="8">
        <v>0.0</v>
      </c>
      <c r="CX21" s="8">
        <v>0.0</v>
      </c>
      <c r="CY21" s="9" t="s">
        <v>860</v>
      </c>
      <c r="CZ21" s="8">
        <v>1.0</v>
      </c>
      <c r="DA21" s="8">
        <v>0.0</v>
      </c>
      <c r="DB21" s="8">
        <v>0.0</v>
      </c>
      <c r="DC21" s="9"/>
      <c r="DD21" s="9" t="s">
        <v>860</v>
      </c>
      <c r="DE21" s="8">
        <v>1.0</v>
      </c>
      <c r="DF21" s="8">
        <v>0.0</v>
      </c>
      <c r="DG21" s="8">
        <v>0.0</v>
      </c>
      <c r="DH21" s="8">
        <v>0.0</v>
      </c>
      <c r="DI21" s="9"/>
      <c r="DJ21" s="9" t="s">
        <v>860</v>
      </c>
      <c r="DK21" s="8">
        <v>1.0</v>
      </c>
      <c r="DL21" s="8">
        <v>0.0</v>
      </c>
      <c r="DM21" s="8">
        <v>0.0</v>
      </c>
      <c r="DN21" s="8">
        <v>0.0</v>
      </c>
      <c r="DO21" s="9"/>
      <c r="DP21" s="9" t="s">
        <v>938</v>
      </c>
      <c r="DQ21" s="9" t="s">
        <v>939</v>
      </c>
      <c r="DR21" s="17" t="s">
        <v>2030</v>
      </c>
      <c r="DS21" s="9"/>
      <c r="DT21" s="9" t="s">
        <v>2031</v>
      </c>
      <c r="DU21" s="8">
        <v>1.0</v>
      </c>
      <c r="DV21" s="8">
        <v>0.0</v>
      </c>
      <c r="DW21" s="8">
        <v>0.0</v>
      </c>
      <c r="DX21" s="8">
        <v>0.0</v>
      </c>
      <c r="DY21" s="8">
        <v>0.0</v>
      </c>
      <c r="DZ21" s="8">
        <v>0.0</v>
      </c>
      <c r="EA21" s="8">
        <v>0.0</v>
      </c>
      <c r="EB21" s="8">
        <v>0.0</v>
      </c>
      <c r="EC21" s="8">
        <v>0.0</v>
      </c>
      <c r="ED21" s="8">
        <v>0.0</v>
      </c>
      <c r="EE21" s="8">
        <v>0.0</v>
      </c>
      <c r="EF21" s="8">
        <v>0.0</v>
      </c>
      <c r="EG21" s="8">
        <v>0.0</v>
      </c>
      <c r="EH21" s="8">
        <v>0.0</v>
      </c>
      <c r="EI21" s="9" t="s">
        <v>862</v>
      </c>
      <c r="EJ21" s="8">
        <v>0.0</v>
      </c>
      <c r="EK21" s="8">
        <v>0.0</v>
      </c>
      <c r="EL21" s="8">
        <v>0.0</v>
      </c>
      <c r="EM21" s="8">
        <v>1.0</v>
      </c>
      <c r="EN21" s="8">
        <v>0.0</v>
      </c>
      <c r="EO21" s="9"/>
      <c r="EP21" s="9" t="s">
        <v>863</v>
      </c>
      <c r="EQ21" s="9" t="s">
        <v>1380</v>
      </c>
      <c r="ER21" s="9" t="s">
        <v>969</v>
      </c>
      <c r="ES21" s="8">
        <v>0.0</v>
      </c>
      <c r="ET21" s="8">
        <v>0.0</v>
      </c>
      <c r="EU21" s="8">
        <v>0.0</v>
      </c>
      <c r="EV21" s="8">
        <v>1.0</v>
      </c>
      <c r="EW21" s="9" t="s">
        <v>2343</v>
      </c>
      <c r="EX21" s="9" t="s">
        <v>1013</v>
      </c>
      <c r="EY21" s="8">
        <v>1.0</v>
      </c>
      <c r="EZ21" s="8">
        <v>1.0</v>
      </c>
      <c r="FA21" s="8">
        <v>0.0</v>
      </c>
      <c r="FB21" s="9"/>
      <c r="FC21" s="9" t="s">
        <v>866</v>
      </c>
      <c r="FD21" s="9" t="s">
        <v>2032</v>
      </c>
      <c r="FE21" s="9" t="s">
        <v>867</v>
      </c>
      <c r="FF21" s="9" t="s">
        <v>868</v>
      </c>
      <c r="FG21" s="9" t="s">
        <v>867</v>
      </c>
      <c r="FH21" s="9" t="s">
        <v>943</v>
      </c>
      <c r="FI21" s="9" t="s">
        <v>867</v>
      </c>
      <c r="FJ21" s="9" t="s">
        <v>868</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1264</v>
      </c>
      <c r="GB21" s="8">
        <v>0.0</v>
      </c>
      <c r="GC21" s="8">
        <v>0.0</v>
      </c>
      <c r="GD21" s="8">
        <v>1.0</v>
      </c>
      <c r="GE21" s="8">
        <v>0.0</v>
      </c>
      <c r="GF21" s="9"/>
      <c r="GG21" s="9" t="s">
        <v>875</v>
      </c>
      <c r="GH21" s="9" t="s">
        <v>857</v>
      </c>
      <c r="GI21" s="9" t="s">
        <v>876</v>
      </c>
      <c r="GJ21" s="8">
        <v>1.0</v>
      </c>
      <c r="GK21" s="8">
        <v>0.0</v>
      </c>
      <c r="GL21" s="8">
        <v>0.0</v>
      </c>
      <c r="GM21" s="8">
        <v>0.0</v>
      </c>
      <c r="GN21" s="9"/>
      <c r="GO21" s="8">
        <v>9.0</v>
      </c>
      <c r="GP21" s="9" t="s">
        <v>1931</v>
      </c>
      <c r="GQ21" s="9" t="s">
        <v>1102</v>
      </c>
      <c r="GR21" s="8">
        <v>1.0</v>
      </c>
      <c r="GS21" s="8">
        <v>0.0</v>
      </c>
      <c r="GT21" s="8">
        <v>0.0</v>
      </c>
      <c r="GU21" s="8">
        <v>0.0</v>
      </c>
      <c r="GV21" s="8">
        <v>0.0</v>
      </c>
      <c r="GW21" s="8">
        <v>0.0</v>
      </c>
      <c r="GX21" s="8">
        <v>0.0</v>
      </c>
      <c r="GY21" s="9"/>
      <c r="GZ21" s="9" t="s">
        <v>857</v>
      </c>
      <c r="HA21" s="9"/>
      <c r="HB21" s="9"/>
      <c r="HC21" s="9"/>
      <c r="HD21" s="9"/>
      <c r="HE21" s="8">
        <v>12.0</v>
      </c>
      <c r="HF21" s="8">
        <v>64000.0</v>
      </c>
      <c r="HG21" s="8">
        <v>6.0</v>
      </c>
      <c r="HH21" s="8">
        <v>40000.0</v>
      </c>
      <c r="HI21" s="9"/>
      <c r="HJ21" s="9"/>
      <c r="HK21" s="9"/>
      <c r="HL21" s="9"/>
      <c r="HM21" s="9"/>
      <c r="HN21" s="9"/>
      <c r="HO21" s="9"/>
      <c r="HP21" s="9"/>
      <c r="HQ21" s="9"/>
      <c r="HR21" s="9"/>
      <c r="HS21" s="9"/>
      <c r="HT21" s="9"/>
      <c r="HU21" s="9"/>
      <c r="HV21" s="9"/>
      <c r="HW21" s="9"/>
      <c r="HX21" s="9"/>
      <c r="HY21" s="9"/>
      <c r="HZ21" s="9"/>
      <c r="IA21" s="8">
        <v>6.0</v>
      </c>
      <c r="IB21" s="8">
        <v>24000.0</v>
      </c>
      <c r="IC21" s="9"/>
      <c r="ID21" s="9"/>
      <c r="IE21" s="9"/>
      <c r="IF21" s="9"/>
      <c r="IG21" s="9"/>
      <c r="IH21" s="9"/>
      <c r="II21" s="9"/>
      <c r="IJ21" s="9"/>
      <c r="IK21" s="9" t="s">
        <v>971</v>
      </c>
      <c r="IL21" s="9" t="s">
        <v>1366</v>
      </c>
      <c r="IM21" s="9" t="s">
        <v>857</v>
      </c>
      <c r="IN21" s="9" t="s">
        <v>881</v>
      </c>
      <c r="IO21" s="9" t="s">
        <v>882</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945</v>
      </c>
      <c r="KT21" s="9" t="s">
        <v>886</v>
      </c>
      <c r="KU21" s="9" t="s">
        <v>886</v>
      </c>
      <c r="KV21" s="9" t="s">
        <v>999</v>
      </c>
      <c r="KW21" s="8">
        <v>0.0</v>
      </c>
      <c r="KX21" s="8">
        <v>0.0</v>
      </c>
      <c r="KY21" s="8">
        <v>0.0</v>
      </c>
      <c r="KZ21" s="8">
        <v>1.0</v>
      </c>
      <c r="LA21" s="9" t="s">
        <v>884</v>
      </c>
      <c r="LB21" s="9" t="s">
        <v>884</v>
      </c>
      <c r="LC21" s="8">
        <v>6.0</v>
      </c>
      <c r="LD21" s="8">
        <v>2.0</v>
      </c>
      <c r="LE21" s="8">
        <v>0.0</v>
      </c>
      <c r="LF21" s="8">
        <v>0.0</v>
      </c>
      <c r="LG21" s="9" t="s">
        <v>857</v>
      </c>
      <c r="LH21" s="8">
        <v>150000.0</v>
      </c>
      <c r="LI21" s="9"/>
      <c r="LJ21" s="9" t="s">
        <v>1933</v>
      </c>
      <c r="LK21" s="8">
        <v>0.0</v>
      </c>
      <c r="LL21" s="8">
        <v>0.0</v>
      </c>
      <c r="LM21" s="8">
        <v>0.0</v>
      </c>
      <c r="LN21" s="8">
        <v>0.0</v>
      </c>
      <c r="LO21" s="8">
        <v>1.0</v>
      </c>
      <c r="LP21" s="8">
        <v>1.0</v>
      </c>
      <c r="LQ21" s="8">
        <v>0.0</v>
      </c>
      <c r="LR21" s="11"/>
      <c r="LS21" s="8">
        <v>15.0</v>
      </c>
      <c r="LT21" s="8">
        <v>10.0</v>
      </c>
      <c r="LU21" s="8">
        <v>0.0</v>
      </c>
      <c r="LV21" s="8">
        <v>10.0</v>
      </c>
      <c r="LW21" s="8">
        <v>10.0</v>
      </c>
      <c r="LX21" s="8">
        <v>0.0</v>
      </c>
      <c r="LY21" s="8">
        <v>10.0</v>
      </c>
      <c r="LZ21" s="8">
        <v>10.0</v>
      </c>
      <c r="MA21" s="8">
        <v>0.0</v>
      </c>
      <c r="MB21" s="9" t="s">
        <v>881</v>
      </c>
      <c r="MC21" s="8">
        <v>0.0</v>
      </c>
      <c r="MD21" s="8">
        <v>0.0</v>
      </c>
      <c r="ME21" s="8">
        <v>0.0</v>
      </c>
      <c r="MF21" s="8">
        <v>0.0</v>
      </c>
      <c r="MG21" s="8">
        <v>0.0</v>
      </c>
      <c r="MH21" s="8">
        <v>0.0</v>
      </c>
      <c r="MI21" s="9"/>
      <c r="MJ21" s="9"/>
      <c r="MK21" s="9"/>
      <c r="ML21" s="9"/>
      <c r="MM21" s="9"/>
      <c r="MN21" s="9"/>
      <c r="MO21" s="9"/>
      <c r="MP21" s="9"/>
      <c r="MQ21" s="9"/>
      <c r="MR21" s="17" t="s">
        <v>2035</v>
      </c>
      <c r="MS21" s="9"/>
      <c r="MT21" s="9" t="s">
        <v>2035</v>
      </c>
      <c r="MU21" s="9" t="s">
        <v>1030</v>
      </c>
      <c r="MV21" s="9" t="s">
        <v>1031</v>
      </c>
      <c r="MW21" s="8">
        <v>0.0</v>
      </c>
      <c r="MX21" s="8">
        <v>1.0</v>
      </c>
      <c r="MY21" s="8">
        <v>0.0</v>
      </c>
      <c r="MZ21" s="8">
        <v>0.0</v>
      </c>
      <c r="NA21" s="9"/>
      <c r="NB21" s="9"/>
      <c r="NC21" s="9"/>
      <c r="ND21" s="9"/>
      <c r="NE21" s="9"/>
      <c r="NF21" s="9"/>
      <c r="NG21" s="9"/>
      <c r="NH21" s="9"/>
      <c r="NI21" s="9"/>
      <c r="NJ21" s="9"/>
      <c r="NK21" s="9"/>
      <c r="NL21" s="9" t="s">
        <v>857</v>
      </c>
      <c r="NM21" s="9" t="s">
        <v>1386</v>
      </c>
      <c r="NN21" s="17" t="s">
        <v>1975</v>
      </c>
      <c r="NO21" s="17" t="s">
        <v>895</v>
      </c>
      <c r="NP21" s="9"/>
      <c r="NQ21" s="9"/>
      <c r="NR21" s="9"/>
      <c r="NS21" s="9"/>
      <c r="NT21" s="9"/>
      <c r="NU21" s="9"/>
      <c r="NV21" s="9"/>
      <c r="NW21" s="9"/>
      <c r="NX21" s="9" t="s">
        <v>914</v>
      </c>
      <c r="NY21" s="8">
        <v>90.0</v>
      </c>
      <c r="NZ21" s="8">
        <v>0.0</v>
      </c>
      <c r="OA21" s="8">
        <v>0.0</v>
      </c>
      <c r="OB21" s="8">
        <v>10.0</v>
      </c>
      <c r="OC21" s="8">
        <v>10.0</v>
      </c>
      <c r="OD21" s="8">
        <v>0.0</v>
      </c>
      <c r="OE21" s="9" t="s">
        <v>898</v>
      </c>
      <c r="OF21" s="9" t="s">
        <v>899</v>
      </c>
      <c r="OG21" s="9" t="s">
        <v>857</v>
      </c>
      <c r="OH21" s="8">
        <v>4.0</v>
      </c>
      <c r="OI21" s="8">
        <v>0.0</v>
      </c>
      <c r="OJ21" s="8">
        <v>0.0</v>
      </c>
      <c r="OK21" s="8">
        <v>0.0</v>
      </c>
      <c r="OL21" s="8">
        <v>0.0</v>
      </c>
      <c r="OM21" s="8">
        <v>0.0</v>
      </c>
      <c r="ON21" s="8">
        <v>7.0</v>
      </c>
      <c r="OO21" s="8">
        <v>0.0</v>
      </c>
      <c r="OP21" s="9" t="str">
        <f>VLOOKUP(AG21,'BUS 2'!$G$1:$CU$424,2,0)</f>
        <v>Sapi pedaging</v>
      </c>
      <c r="OQ21" s="8">
        <f>VLOOKUP(AG21,'BUS 2'!$G$1:$CU$424,3,0)</f>
        <v>1</v>
      </c>
      <c r="OR21" s="8">
        <f>VLOOKUP(AG21,'BUS 2'!$G$1:$CU$424,4,0)</f>
        <v>0</v>
      </c>
      <c r="OS21" s="8">
        <f>VLOOKUP(AG21,'BUS 2'!$G$1:$CU$424,5,0)</f>
        <v>0</v>
      </c>
      <c r="OT21" s="8">
        <f>VLOOKUP(AG21,'BUS 2'!$G$1:$CU$424,6,0)</f>
        <v>0</v>
      </c>
      <c r="OU21" s="8">
        <f>VLOOKUP(AG21,'BUS 2'!$G$1:$CU$424,7,0)</f>
        <v>0</v>
      </c>
      <c r="OV21" s="8">
        <f>VLOOKUP(AG21,'BUS 2'!$G$1:$CU$424,8,0)</f>
        <v>0</v>
      </c>
      <c r="OW21" s="8">
        <f>VLOOKUP(AG21,'BUS 2'!$G$1:$CU$424,9,0)</f>
        <v>0</v>
      </c>
      <c r="OX21" s="8">
        <f>VLOOKUP(AG21,'BUS 2'!$G$1:$CU$424,10,0)</f>
        <v>0</v>
      </c>
      <c r="OY21" s="8">
        <f>VLOOKUP(AG21,'BUS 2'!$G$1:$CU$424,11,0)</f>
        <v>0</v>
      </c>
      <c r="OZ21" s="8" t="str">
        <f>VLOOKUP(AG21,'BUS 2'!$G$1:$CU$424,12,0)</f>
        <v>Sapi pedaging</v>
      </c>
      <c r="PA21" s="8">
        <f>VLOOKUP(AG21,'BUS 2'!$G$1:$CU$424,13,0)</f>
        <v>1</v>
      </c>
      <c r="PB21" s="8">
        <f>VLOOKUP(AG21,'BUS 2'!$G$1:$CU$424,14,0)</f>
        <v>0</v>
      </c>
      <c r="PC21" s="8">
        <f>VLOOKUP(AG21,'BUS 2'!$G$1:$CU$424,15,0)</f>
        <v>0</v>
      </c>
      <c r="PD21" s="8">
        <f>VLOOKUP(AG21,'BUS 2'!$G$1:$CU$424,16,0)</f>
        <v>0</v>
      </c>
      <c r="PE21" s="8">
        <f>VLOOKUP(AG21,'BUS 2'!$G$1:$CU$424,17,0)</f>
        <v>0</v>
      </c>
      <c r="PF21" s="8">
        <f>VLOOKUP(AG21,'BUS 2'!$G$1:$CU$424,18,0)</f>
        <v>0</v>
      </c>
      <c r="PG21" s="8">
        <f>VLOOKUP(AG21,'BUS 2'!$G$1:$CU$424,19,0)</f>
        <v>0</v>
      </c>
      <c r="PH21" s="8">
        <f>VLOOKUP(AG21,'BUS 2'!$G$1:$CU$424,20,0)</f>
        <v>0</v>
      </c>
      <c r="PI21" s="8">
        <f>VLOOKUP(AG21,'BUS 2'!$G$1:$CU$424,21,0)</f>
        <v>0</v>
      </c>
      <c r="PJ21" s="8" t="str">
        <f>VLOOKUP(AG21,'BUS 2'!$G$1:$CU$424,22,0)</f>
        <v>Sapi pedaging</v>
      </c>
      <c r="PK21" s="8">
        <f>VLOOKUP(AG21,'BUS 2'!$G$1:$CU$424,23,0)</f>
        <v>1</v>
      </c>
      <c r="PL21" s="8">
        <f>VLOOKUP(AG21,'BUS 2'!$G$1:$CU$424,24,0)</f>
        <v>0</v>
      </c>
      <c r="PM21" s="8">
        <f>VLOOKUP(AG21,'BUS 2'!$G$1:$CU$424,25,0)</f>
        <v>0</v>
      </c>
      <c r="PN21" s="8">
        <f>VLOOKUP(AG21,'BUS 2'!$G$1:$CU$424,26,0)</f>
        <v>0</v>
      </c>
      <c r="PO21" s="8">
        <f>VLOOKUP(AG21,'BUS 2'!$G$1:$CU$424,27,0)</f>
        <v>0</v>
      </c>
      <c r="PP21" s="8">
        <f>VLOOKUP(AG21,'BUS 2'!$G$1:$CU$424,28,0)</f>
        <v>0</v>
      </c>
      <c r="PQ21" s="8">
        <f>VLOOKUP(AG21,'BUS 2'!$G$1:$CU$424,29,0)</f>
        <v>0</v>
      </c>
      <c r="PR21" s="8">
        <f>VLOOKUP(AG21,'BUS 2'!$G$1:$CU$424,30,0)</f>
        <v>0</v>
      </c>
      <c r="PS21" s="8">
        <f>VLOOKUP(AG21,'BUS 2'!$G$1:$CU$424,31,0)</f>
        <v>0</v>
      </c>
      <c r="PT21" s="9" t="s">
        <v>900</v>
      </c>
      <c r="PU21" s="8">
        <v>0.0</v>
      </c>
      <c r="PV21" s="8">
        <v>0.0</v>
      </c>
      <c r="PW21" s="8">
        <v>0.0</v>
      </c>
      <c r="PX21" s="8">
        <v>0.0</v>
      </c>
      <c r="PY21" s="8">
        <v>0.0</v>
      </c>
      <c r="PZ21" s="8">
        <v>1.0</v>
      </c>
      <c r="QA21" s="8">
        <v>0.0</v>
      </c>
      <c r="QB21" s="8">
        <v>0.0</v>
      </c>
      <c r="QC21" s="8">
        <v>0.0</v>
      </c>
      <c r="QD21" s="9"/>
      <c r="QE21" s="32"/>
      <c r="QF21" s="31"/>
      <c r="QG21" s="31"/>
      <c r="QH21" s="31"/>
      <c r="QI21" s="31"/>
      <c r="QJ21" s="31"/>
      <c r="QK21" s="32"/>
      <c r="QL21" s="32"/>
      <c r="QM21" s="32"/>
      <c r="QN21" s="32"/>
      <c r="QO21" s="32"/>
      <c r="QP21" s="32"/>
      <c r="QQ21" s="32"/>
      <c r="QR21" s="32"/>
      <c r="QS21" s="32"/>
      <c r="QT21" s="32"/>
      <c r="QU21" s="32"/>
      <c r="QV21" s="32"/>
      <c r="QW21" s="31"/>
      <c r="QX21" s="31"/>
      <c r="QY21" s="31"/>
      <c r="QZ21" s="31"/>
      <c r="RA21" s="31"/>
      <c r="RB21" s="32"/>
      <c r="RC21" s="32"/>
      <c r="RD21" s="32"/>
      <c r="RE21" s="32"/>
      <c r="RF21" s="32"/>
      <c r="RG21" s="9"/>
      <c r="RH21" s="31"/>
      <c r="RI21" s="31"/>
      <c r="RJ21" s="31"/>
      <c r="RK21" s="31"/>
      <c r="RL21" s="31"/>
      <c r="RM21" s="9"/>
      <c r="RN21" s="9"/>
      <c r="RO21" s="9"/>
      <c r="RP21" s="9"/>
      <c r="RQ21" s="9"/>
      <c r="RR21" s="9"/>
      <c r="RS21" s="31"/>
      <c r="RT21" s="31"/>
      <c r="RU21" s="31"/>
      <c r="RV21" s="31"/>
      <c r="RW21" s="31"/>
      <c r="RX21" s="9"/>
      <c r="RY21" s="9"/>
      <c r="RZ21" s="9"/>
      <c r="SA21" s="9"/>
      <c r="SB21" s="9"/>
      <c r="SC21" s="9"/>
      <c r="SD21" s="31"/>
      <c r="SE21" s="31"/>
      <c r="SF21" s="31"/>
      <c r="SG21" s="31"/>
      <c r="SH21" s="31"/>
      <c r="SI21" s="9"/>
      <c r="SJ21" s="9"/>
      <c r="SK21" s="9"/>
      <c r="SL21" s="9"/>
      <c r="SM21" s="9"/>
      <c r="SN21" s="9"/>
      <c r="SO21" s="31"/>
      <c r="SP21" s="31"/>
      <c r="SQ21" s="31"/>
      <c r="SR21" s="31"/>
      <c r="SS21" s="31"/>
      <c r="ST21" s="9"/>
      <c r="SU21" s="9"/>
      <c r="SV21" s="9"/>
      <c r="SW21" s="9"/>
      <c r="SX21" s="9"/>
      <c r="SY21" s="8">
        <f>VLOOKUP(AG21,'BUS 2'!$G$1:$CU$424,33,0)</f>
        <v>7</v>
      </c>
      <c r="SZ21" s="9" t="str">
        <f>VLOOKUP(AG21,'BUS 2'!$G$1:$CU$424,34,0)</f>
        <v/>
      </c>
      <c r="TA21" s="9" t="str">
        <f>VLOOKUP(AG21,'BUS 2'!$G$1:$CU$424,35,0)</f>
        <v/>
      </c>
      <c r="TB21" s="9" t="str">
        <f>VLOOKUP(AG21,'BUS 2'!$G$1:$CU$424,36,0)</f>
        <v/>
      </c>
      <c r="TC21" s="9" t="str">
        <f>VLOOKUP(AG21,'BUS 2'!$G$1:$CU$424,37,0)</f>
        <v/>
      </c>
      <c r="TD21" s="9" t="str">
        <f>VLOOKUP(AG21,'BUS 2'!$G$1:$CU$424,38,0)</f>
        <v/>
      </c>
      <c r="TE21" s="9" t="str">
        <f>VLOOKUP(AG21,'BUS 2'!$G$1:$CU$424,39,0)</f>
        <v/>
      </c>
      <c r="TF21" s="9" t="str">
        <f>VLOOKUP(AG21,'BUS 2'!$G$1:$CU$424,40,0)</f>
        <v/>
      </c>
      <c r="TG21" s="8">
        <f>VLOOKUP(AG21,'BUS 2'!$G$1:$CU$424,42,0)</f>
        <v>3</v>
      </c>
      <c r="TH21" s="8" t="str">
        <f>VLOOKUP(AG21,'BUS 2'!$G$1:$CU$424,43,0)</f>
        <v/>
      </c>
      <c r="TI21" s="8" t="str">
        <f>VLOOKUP(AG21,'BUS 2'!$G$1:$CU$424,44,0)</f>
        <v/>
      </c>
      <c r="TJ21" s="8" t="str">
        <f>VLOOKUP(AG21,'BUS 2'!$G$1:$CU$424,45,0)</f>
        <v/>
      </c>
      <c r="TK21" s="8" t="str">
        <f>VLOOKUP(AG21,'BUS 2'!$G$1:$CU$424,46,0)</f>
        <v/>
      </c>
      <c r="TL21" s="8" t="str">
        <f>VLOOKUP(AG21,'BUS 2'!$G$1:$CU$424,47,0)</f>
        <v/>
      </c>
      <c r="TM21" s="8" t="str">
        <f>VLOOKUP(AG21,'BUS 2'!$G$1:$CU$424,48,0)</f>
        <v/>
      </c>
      <c r="TN21" s="8" t="str">
        <f>VLOOKUP(AG21,'BUS 2'!$G$1:$CU$424,49,0)</f>
        <v/>
      </c>
      <c r="TO21" s="8">
        <f>VLOOKUP(AG21,'BUS 2'!$G$1:$CU$424,50,0)</f>
        <v>4</v>
      </c>
      <c r="TP21" s="8">
        <f>VLOOKUP(AG21,'BUS 2'!$G$1:$CU$424,51,0)</f>
        <v>0</v>
      </c>
      <c r="TQ21" s="8">
        <f>VLOOKUP(AG21,'BUS 2'!$G$1:$CU$424,52,0)</f>
        <v>0</v>
      </c>
      <c r="TR21" s="8">
        <f>VLOOKUP(AG21,'BUS 2'!$G$1:$CU$424,53,0)</f>
        <v>0</v>
      </c>
      <c r="TS21" s="9" t="str">
        <f>VLOOKUP(AG21,'BUS 2'!$G$1:$CU$424,54,0)</f>
        <v/>
      </c>
      <c r="TT21" s="9" t="str">
        <f>VLOOKUP(AG21,'BUS 2'!$G$1:$CU$424,55,0)</f>
        <v/>
      </c>
      <c r="TU21" s="9" t="str">
        <f>VLOOKUP(AG21,'BUS 2'!$G$1:$CU$424,56,0)</f>
        <v/>
      </c>
      <c r="TV21" s="9" t="str">
        <f>VLOOKUP(AG21,'BUS 2'!$G$1:$CU$424,57,0)</f>
        <v/>
      </c>
      <c r="TW21" s="9" t="str">
        <f>VLOOKUP(AG21,'BUS 2'!$G$1:$CU$424,58,0)</f>
        <v/>
      </c>
      <c r="TX21" s="9" t="str">
        <f>VLOOKUP(AG21,'BUS 2'!$G$1:$CU$424,59,0)</f>
        <v/>
      </c>
      <c r="TY21" s="9" t="str">
        <f>VLOOKUP(AG21,'BUS 2'!$G$1:$CU$424,60,0)</f>
        <v/>
      </c>
      <c r="TZ21" s="9" t="str">
        <f>VLOOKUP(AG21,'BUS 2'!$G$1:$CU$424,61,0)</f>
        <v/>
      </c>
      <c r="UA21" s="9" t="str">
        <f>VLOOKUP(AG21,'BUS 2'!$G$1:$CU$424,62,0)</f>
        <v/>
      </c>
      <c r="UB21" s="9" t="str">
        <f>VLOOKUP(AG21,'BUS 2'!$G$1:$CU$424,63,0)</f>
        <v/>
      </c>
      <c r="UC21" s="9" t="str">
        <f>VLOOKUP(AG21,'BUS 2'!$G$1:$CU$424,64,0)</f>
        <v/>
      </c>
      <c r="UD21" s="9" t="str">
        <f>VLOOKUP(AG21,'BUS 2'!$G$1:$CU$424,65,0)</f>
        <v/>
      </c>
      <c r="UE21" s="9" t="str">
        <f>VLOOKUP(AG21,'BUS 2'!$G$1:$CU$424,66,0)</f>
        <v/>
      </c>
      <c r="UF21" s="9" t="str">
        <f>VLOOKUP(AG21,'BUS 2'!$G$1:$CU$424,67,0)</f>
        <v/>
      </c>
      <c r="UG21" s="9" t="str">
        <f>VLOOKUP(AG21,'BUS 2'!$G$1:$CU$424,68,0)</f>
        <v/>
      </c>
      <c r="UH21" s="9" t="str">
        <f>VLOOKUP(AG21,'BUS 2'!$G$1:$CU$424,69,0)</f>
        <v/>
      </c>
      <c r="UI21" s="9" t="str">
        <f>VLOOKUP(AG21,'BUS 2'!$G$1:$CU$424,70,0)</f>
        <v/>
      </c>
      <c r="UJ21" s="9" t="str">
        <f>VLOOKUP(AG21,'BUS 2'!$G$1:$CU$424,71,0)</f>
        <v/>
      </c>
      <c r="UK21" s="9" t="str">
        <f>VLOOKUP(AG21,'BUS 2'!$G$1:$CU$424,72,0)</f>
        <v/>
      </c>
      <c r="UL21" s="9" t="str">
        <f>VLOOKUP(AG21,'BUS 2'!$G$1:$CU$424,73,0)</f>
        <v/>
      </c>
      <c r="UM21" s="9" t="str">
        <f>VLOOKUP(AG21,'BUS 2'!$G$1:$CU$424,74,0)</f>
        <v/>
      </c>
      <c r="UN21" s="9" t="str">
        <f>VLOOKUP(AG21,'BUS 2'!$G$1:$CU$424,75,0)</f>
        <v/>
      </c>
      <c r="UO21" s="9" t="str">
        <f>VLOOKUP(AG21,'BUS 2'!$G$1:$CU$424,76,0)</f>
        <v/>
      </c>
      <c r="UP21" s="9" t="str">
        <f>VLOOKUP(AG21,'BUS 2'!$G$1:$CU$424,77,0)</f>
        <v/>
      </c>
      <c r="UQ21" s="9" t="str">
        <f>VLOOKUP(AG21,'BUS 2'!$G$1:$CU$424,78,0)</f>
        <v/>
      </c>
      <c r="UR21" s="9" t="str">
        <f>VLOOKUP(AG21,'BUS 2'!$G$1:$CU$424,79,0)</f>
        <v/>
      </c>
      <c r="US21" s="9" t="str">
        <f>VLOOKUP(AG21,'BUS 2'!$G$1:$CU$424,80,0)</f>
        <v/>
      </c>
      <c r="UT21" s="9" t="str">
        <f>VLOOKUP(AG21,'BUS 2'!$G$1:$CU$424,81,0)</f>
        <v/>
      </c>
      <c r="UU21" s="9" t="s">
        <v>901</v>
      </c>
      <c r="UV21" s="9"/>
      <c r="UW21" s="9"/>
      <c r="UX21" s="9"/>
      <c r="UY21" s="9"/>
      <c r="UZ21" s="9"/>
      <c r="VA21" s="9" t="s">
        <v>1937</v>
      </c>
      <c r="VB21" s="9"/>
      <c r="VC21" s="9" t="s">
        <v>1938</v>
      </c>
      <c r="VD21" s="9"/>
      <c r="VE21" s="9"/>
      <c r="VF21" s="9"/>
      <c r="VG21" s="9"/>
      <c r="VH21" s="9"/>
      <c r="VI21" s="9" t="s">
        <v>1938</v>
      </c>
      <c r="VJ21" s="9"/>
      <c r="VK21" s="9" t="s">
        <v>1939</v>
      </c>
      <c r="VL21" s="9"/>
      <c r="VM21" s="9"/>
      <c r="VN21" s="9"/>
      <c r="VO21" s="9"/>
      <c r="VP21" s="9"/>
      <c r="VQ21" s="9" t="s">
        <v>1939</v>
      </c>
      <c r="VR21" s="9"/>
      <c r="VS21" s="9" t="s">
        <v>2361</v>
      </c>
      <c r="VT21" s="8">
        <v>0.0</v>
      </c>
      <c r="VU21" s="8">
        <v>0.0</v>
      </c>
      <c r="VV21" s="8">
        <v>0.0</v>
      </c>
      <c r="VW21" s="8">
        <v>0.0</v>
      </c>
      <c r="VX21" s="8">
        <v>0.0</v>
      </c>
      <c r="VY21" s="8">
        <v>0.0</v>
      </c>
      <c r="VZ21" s="8">
        <v>0.0</v>
      </c>
      <c r="WA21" s="8">
        <v>0.0</v>
      </c>
      <c r="WB21" s="8">
        <v>1.0</v>
      </c>
      <c r="WC21" s="8">
        <v>0.0</v>
      </c>
      <c r="WD21" s="8">
        <v>0.0</v>
      </c>
      <c r="WE21" s="8">
        <v>0.0</v>
      </c>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t="s">
        <v>2361</v>
      </c>
      <c r="YO21" s="8">
        <v>0.0</v>
      </c>
      <c r="YP21" s="8">
        <v>0.0</v>
      </c>
      <c r="YQ21" s="8">
        <v>0.0</v>
      </c>
      <c r="YR21" s="8">
        <v>0.0</v>
      </c>
      <c r="YS21" s="8">
        <v>0.0</v>
      </c>
      <c r="YT21" s="8">
        <v>0.0</v>
      </c>
      <c r="YU21" s="8">
        <v>0.0</v>
      </c>
      <c r="YV21" s="8">
        <v>0.0</v>
      </c>
      <c r="YW21" s="8">
        <v>1.0</v>
      </c>
      <c r="YX21" s="8">
        <v>0.0</v>
      </c>
      <c r="YY21" s="8">
        <v>0.0</v>
      </c>
      <c r="YZ21" s="8">
        <v>0.0</v>
      </c>
      <c r="ZA21" s="9"/>
      <c r="ZB21" s="9"/>
      <c r="ZC21" s="9"/>
      <c r="ZD21" s="9"/>
      <c r="ZE21" s="9"/>
      <c r="ZF21" s="9"/>
      <c r="ZG21" s="9"/>
      <c r="ZH21" s="9"/>
      <c r="ZI21" s="9"/>
      <c r="ZJ21" s="9"/>
      <c r="ZK21" s="9"/>
      <c r="ZL21" s="9"/>
      <c r="ZM21" s="9"/>
      <c r="ZN21" s="9"/>
      <c r="ZO21" s="9"/>
      <c r="ZP21" s="9"/>
      <c r="ZQ21" s="9"/>
      <c r="ZR21" s="9"/>
      <c r="ZS21" s="9"/>
      <c r="ZT21" s="9"/>
      <c r="ZU21" s="9"/>
      <c r="ZV21" s="8">
        <v>2.0</v>
      </c>
      <c r="ZW21" s="9"/>
      <c r="ZX21" s="9"/>
      <c r="ZY21" s="9"/>
      <c r="ZZ21" s="9"/>
      <c r="AAA21" s="9"/>
      <c r="AAB21" s="8">
        <v>2.0</v>
      </c>
      <c r="AAC21" s="9"/>
      <c r="AAD21" s="9" t="s">
        <v>1186</v>
      </c>
      <c r="AAE21" s="9"/>
      <c r="AAF21" s="9"/>
      <c r="AAG21" s="9"/>
      <c r="AAH21" s="9"/>
      <c r="AAI21" s="9"/>
      <c r="AAJ21" s="9" t="s">
        <v>905</v>
      </c>
      <c r="AAK21" s="9"/>
      <c r="AAL21" s="9" t="s">
        <v>881</v>
      </c>
      <c r="AAM21" s="9"/>
      <c r="AAN21" s="9"/>
      <c r="AAO21" s="9"/>
      <c r="AAP21" s="9"/>
      <c r="AAQ21" s="9"/>
      <c r="AAR21" s="9" t="s">
        <v>881</v>
      </c>
      <c r="AAS21" s="9" t="s">
        <v>1389</v>
      </c>
      <c r="AAT21" s="9" t="s">
        <v>2377</v>
      </c>
      <c r="AAU21" s="8">
        <v>0.0</v>
      </c>
      <c r="AAV21" s="8">
        <v>0.0</v>
      </c>
      <c r="AAW21" s="8">
        <v>0.0</v>
      </c>
      <c r="AAX21" s="8">
        <v>1.0</v>
      </c>
      <c r="AAY21" s="8">
        <v>0.0</v>
      </c>
      <c r="AAZ21" s="8">
        <v>1.0</v>
      </c>
      <c r="ABA21" s="8">
        <v>0.0</v>
      </c>
      <c r="ABB21" s="9"/>
      <c r="ABC21" s="9"/>
      <c r="ABD21" s="9"/>
      <c r="ABE21" s="9"/>
      <c r="ABF21" s="9"/>
      <c r="ABG21" s="9"/>
      <c r="ABH21" s="9"/>
      <c r="ABI21" s="9"/>
      <c r="ABJ21" s="9"/>
      <c r="ABK21" s="9"/>
      <c r="ABL21" s="9"/>
      <c r="ABM21" s="9"/>
      <c r="ABN21" s="9"/>
      <c r="ABO21" s="9"/>
      <c r="ABP21" s="9"/>
      <c r="ABQ21" s="9" t="s">
        <v>2378</v>
      </c>
      <c r="ABR21" s="9" t="s">
        <v>954</v>
      </c>
      <c r="ABS21" s="9"/>
      <c r="ABT21" s="8">
        <v>50.0</v>
      </c>
      <c r="ABU21" s="9"/>
      <c r="ABV21" s="9"/>
      <c r="ABW21" s="9"/>
      <c r="ABX21" s="9"/>
      <c r="ABY21" s="9"/>
      <c r="ABZ21" s="9"/>
      <c r="ACA21" s="9"/>
      <c r="ACB21" s="9"/>
      <c r="ACC21" s="9"/>
      <c r="ACD21" s="9"/>
      <c r="ACE21" s="9"/>
      <c r="ACF21" s="9"/>
      <c r="ACG21" s="9"/>
      <c r="ACH21" s="9"/>
      <c r="ACI21" s="9"/>
      <c r="ACJ21" s="9"/>
      <c r="ACK21" s="9" t="s">
        <v>2156</v>
      </c>
      <c r="ACL21" s="8">
        <v>0.0</v>
      </c>
      <c r="ACM21" s="8">
        <v>0.0</v>
      </c>
      <c r="ACN21" s="8">
        <v>1.0</v>
      </c>
      <c r="ACO21" s="8">
        <v>0.0</v>
      </c>
      <c r="ACP21" s="8">
        <v>0.0</v>
      </c>
      <c r="ACQ21" s="8">
        <v>0.0</v>
      </c>
      <c r="ACR21" s="8">
        <v>0.0</v>
      </c>
      <c r="ACS21" s="9"/>
      <c r="ACT21" s="9" t="s">
        <v>1945</v>
      </c>
      <c r="ACU21" s="9" t="s">
        <v>913</v>
      </c>
      <c r="ACV21" s="9" t="s">
        <v>914</v>
      </c>
      <c r="ACW21" s="9" t="s">
        <v>915</v>
      </c>
      <c r="ACX21" s="9" t="s">
        <v>916</v>
      </c>
      <c r="ACY21" s="9" t="s">
        <v>1017</v>
      </c>
      <c r="ACZ21" s="8">
        <v>1.0</v>
      </c>
      <c r="ADA21" s="8">
        <v>1.0</v>
      </c>
      <c r="ADB21" s="8">
        <v>1.0</v>
      </c>
      <c r="ADC21" s="8">
        <v>0.0</v>
      </c>
      <c r="ADD21" s="9" t="s">
        <v>917</v>
      </c>
      <c r="ADE21" s="9" t="s">
        <v>917</v>
      </c>
      <c r="ADF21" s="9" t="s">
        <v>917</v>
      </c>
      <c r="ADG21" s="9" t="s">
        <v>917</v>
      </c>
      <c r="ADH21" s="9" t="s">
        <v>881</v>
      </c>
      <c r="ADI21" s="9"/>
      <c r="ADJ21" s="9" t="s">
        <v>917</v>
      </c>
      <c r="ADK21" s="9"/>
      <c r="ADL21" s="9"/>
      <c r="ADM21" s="9"/>
      <c r="ADN21" s="9"/>
      <c r="ADO21" s="9"/>
      <c r="ADP21" s="9"/>
      <c r="ADQ21" s="9"/>
      <c r="ADR21" s="9"/>
      <c r="ADS21" s="9"/>
      <c r="ADT21" s="9"/>
      <c r="ADU21" s="9" t="s">
        <v>2235</v>
      </c>
      <c r="ADV21" s="8">
        <v>0.0</v>
      </c>
      <c r="ADW21" s="8">
        <v>0.0</v>
      </c>
      <c r="ADX21" s="8">
        <v>0.0</v>
      </c>
      <c r="ADY21" s="8">
        <v>0.0</v>
      </c>
      <c r="ADZ21" s="8">
        <v>0.0</v>
      </c>
      <c r="AEA21" s="8">
        <v>0.0</v>
      </c>
      <c r="AEB21" s="8">
        <v>1.0</v>
      </c>
      <c r="AEC21" s="8">
        <v>0.0</v>
      </c>
      <c r="AED21" s="9" t="s">
        <v>1945</v>
      </c>
      <c r="AEE21" s="9" t="s">
        <v>872</v>
      </c>
      <c r="AEF21" s="9"/>
      <c r="AEG21" s="9" t="s">
        <v>920</v>
      </c>
      <c r="AEH21" s="9"/>
      <c r="AEI21" s="9" t="s">
        <v>2379</v>
      </c>
      <c r="AEJ21" s="9" t="s">
        <v>871</v>
      </c>
      <c r="AEK21" s="9" t="s">
        <v>2380</v>
      </c>
      <c r="AEL21" s="8">
        <v>0.0</v>
      </c>
      <c r="AEM21" s="8">
        <v>0.0</v>
      </c>
      <c r="AEN21" s="8">
        <v>0.0</v>
      </c>
      <c r="AEO21" s="8">
        <v>0.0</v>
      </c>
      <c r="AEP21" s="8">
        <v>1.0</v>
      </c>
      <c r="AEQ21" s="8">
        <v>0.0</v>
      </c>
      <c r="AER21" s="8">
        <v>0.0</v>
      </c>
      <c r="AES21" s="8">
        <v>0.0</v>
      </c>
      <c r="AET21" s="8">
        <v>0.0</v>
      </c>
      <c r="AEU21" s="8">
        <v>0.0</v>
      </c>
      <c r="AEV21" s="8">
        <v>1.0</v>
      </c>
      <c r="AEW21" s="8">
        <v>0.0</v>
      </c>
      <c r="AEX21" s="9"/>
      <c r="AEY21" s="9" t="s">
        <v>1305</v>
      </c>
      <c r="AEZ21" s="9"/>
      <c r="AFA21" s="9" t="s">
        <v>924</v>
      </c>
      <c r="AFB21" s="9"/>
      <c r="AFC21" s="9" t="s">
        <v>2381</v>
      </c>
      <c r="AFD21" s="16" t="s">
        <v>2382</v>
      </c>
      <c r="AFE21" s="9" t="s">
        <v>2383</v>
      </c>
      <c r="AFF21" s="16" t="s">
        <v>2384</v>
      </c>
      <c r="AFG21" s="9" t="s">
        <v>1919</v>
      </c>
      <c r="AFH21" s="9"/>
      <c r="AFI21" s="21" t="s">
        <v>2385</v>
      </c>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8">
        <v>6.71807446E8</v>
      </c>
      <c r="AWB21" s="9" t="s">
        <v>2386</v>
      </c>
      <c r="AWC21" s="6">
        <v>46067.0</v>
      </c>
      <c r="AWD21" s="9"/>
      <c r="AWE21" s="9"/>
      <c r="AWF21" s="9" t="s">
        <v>1954</v>
      </c>
      <c r="AWG21" s="9"/>
      <c r="AWH21" s="9" t="s">
        <v>1989</v>
      </c>
      <c r="AWI21" s="9"/>
      <c r="AWJ21" s="9" t="s">
        <v>2387</v>
      </c>
      <c r="AWK21" s="8">
        <v>233.0</v>
      </c>
      <c r="AWL21" s="9" t="s">
        <v>2376</v>
      </c>
      <c r="AWM21" s="8">
        <v>0.0</v>
      </c>
      <c r="AWN21" s="9" t="s">
        <v>1957</v>
      </c>
      <c r="AWO21" s="33" t="b">
        <v>1</v>
      </c>
      <c r="AWP21" s="33" t="b">
        <v>1</v>
      </c>
      <c r="AWQ21" s="33" t="b">
        <v>1</v>
      </c>
      <c r="AWR21" s="33" t="b">
        <v>1</v>
      </c>
      <c r="AWS21" s="33" t="b">
        <v>1</v>
      </c>
      <c r="AWT21" s="33" t="b">
        <v>1</v>
      </c>
      <c r="AWU21" s="9"/>
      <c r="AWV21" s="8">
        <v>6.0</v>
      </c>
      <c r="AWW21" s="9"/>
      <c r="AWX21" s="9"/>
      <c r="AWY21" s="9"/>
      <c r="AWZ21" s="9"/>
    </row>
    <row r="22">
      <c r="A22" s="6">
        <v>46065.0</v>
      </c>
      <c r="B22" s="6">
        <v>46068.0</v>
      </c>
      <c r="C22" s="30" t="s">
        <v>1919</v>
      </c>
      <c r="D22" s="30" t="s">
        <v>2388</v>
      </c>
      <c r="E22" s="8">
        <f t="shared" si="1"/>
        <v>620</v>
      </c>
      <c r="F22" s="9" t="s">
        <v>2389</v>
      </c>
      <c r="G22" s="8">
        <v>-5.16629</v>
      </c>
      <c r="H22" s="8">
        <v>119.647083</v>
      </c>
      <c r="I22" s="8">
        <v>178.89</v>
      </c>
      <c r="J22" s="8">
        <v>2.799999952</v>
      </c>
      <c r="K22" s="8">
        <v>0.0</v>
      </c>
      <c r="L22" s="9" t="s">
        <v>2389</v>
      </c>
      <c r="M22" s="8">
        <v>-5.16629</v>
      </c>
      <c r="N22" s="8">
        <v>119.647083</v>
      </c>
      <c r="O22" s="8">
        <v>178.89</v>
      </c>
      <c r="P22" s="8">
        <v>2.799999952</v>
      </c>
      <c r="Q22" s="8">
        <v>0.0</v>
      </c>
      <c r="R22" s="9" t="s">
        <v>1923</v>
      </c>
      <c r="S22" s="8">
        <v>0.0</v>
      </c>
      <c r="T22" s="8">
        <v>0.0</v>
      </c>
      <c r="U22" s="8">
        <v>0.0</v>
      </c>
      <c r="V22" s="8">
        <v>0.0</v>
      </c>
      <c r="W22" s="8">
        <v>0.0</v>
      </c>
      <c r="X22" s="8">
        <v>0.0</v>
      </c>
      <c r="Y22" s="8">
        <v>0.0</v>
      </c>
      <c r="Z22" s="8">
        <v>0.0</v>
      </c>
      <c r="AA22" s="8">
        <v>0.0</v>
      </c>
      <c r="AB22" s="8">
        <v>1.0</v>
      </c>
      <c r="AC22" s="7" t="s">
        <v>1924</v>
      </c>
      <c r="AD22" s="7" t="s">
        <v>2088</v>
      </c>
      <c r="AE22" s="7" t="s">
        <v>2089</v>
      </c>
      <c r="AF22" s="9" t="s">
        <v>2090</v>
      </c>
      <c r="AG22" s="9" t="s">
        <v>2390</v>
      </c>
      <c r="AH22" s="8">
        <v>11.0</v>
      </c>
      <c r="AI22" s="9" t="s">
        <v>933</v>
      </c>
      <c r="AJ22" s="9" t="s">
        <v>934</v>
      </c>
      <c r="AK22" s="35">
        <v>76.0</v>
      </c>
      <c r="AL22" s="9" t="s">
        <v>1444</v>
      </c>
      <c r="AM22" s="9" t="s">
        <v>848</v>
      </c>
      <c r="AN22" s="9" t="s">
        <v>1967</v>
      </c>
      <c r="AO22" s="9" t="s">
        <v>850</v>
      </c>
      <c r="AP22" s="8">
        <v>1.0</v>
      </c>
      <c r="AQ22" s="8">
        <v>0.0</v>
      </c>
      <c r="AR22" s="8">
        <v>0.0</v>
      </c>
      <c r="AS22" s="8">
        <v>0.0</v>
      </c>
      <c r="AT22" s="8">
        <v>0.0</v>
      </c>
      <c r="AU22" s="8">
        <v>0.0</v>
      </c>
      <c r="AV22" s="8">
        <v>0.0</v>
      </c>
      <c r="AW22" s="8">
        <v>0.0</v>
      </c>
      <c r="AX22" s="9"/>
      <c r="AY22" s="9" t="s">
        <v>850</v>
      </c>
      <c r="AZ22" s="8">
        <v>1.0</v>
      </c>
      <c r="BA22" s="8">
        <v>0.0</v>
      </c>
      <c r="BB22" s="8">
        <v>0.0</v>
      </c>
      <c r="BC22" s="8">
        <v>0.0</v>
      </c>
      <c r="BD22" s="8">
        <v>0.0</v>
      </c>
      <c r="BE22" s="8">
        <v>0.0</v>
      </c>
      <c r="BF22" s="8">
        <v>0.0</v>
      </c>
      <c r="BG22" s="8">
        <v>0.0</v>
      </c>
      <c r="BH22" s="11"/>
      <c r="BI22" s="9" t="s">
        <v>2118</v>
      </c>
      <c r="BJ22" s="8">
        <v>0.0</v>
      </c>
      <c r="BK22" s="8">
        <v>1.0</v>
      </c>
      <c r="BL22" s="8">
        <v>0.0</v>
      </c>
      <c r="BM22" s="8">
        <v>0.0</v>
      </c>
      <c r="BN22" s="9" t="s">
        <v>853</v>
      </c>
      <c r="BO22" s="9" t="s">
        <v>2064</v>
      </c>
      <c r="BP22" s="8">
        <v>0.0</v>
      </c>
      <c r="BQ22" s="8">
        <v>0.0</v>
      </c>
      <c r="BR22" s="8">
        <v>1.0</v>
      </c>
      <c r="BS22" s="8">
        <v>0.0</v>
      </c>
      <c r="BT22" s="8">
        <v>0.0</v>
      </c>
      <c r="BU22" s="9"/>
      <c r="BV22" s="9" t="s">
        <v>2065</v>
      </c>
      <c r="BW22" s="8">
        <v>1.0</v>
      </c>
      <c r="BX22" s="8">
        <v>0.0</v>
      </c>
      <c r="BY22" s="8">
        <v>0.0</v>
      </c>
      <c r="BZ22" s="8">
        <v>0.0</v>
      </c>
      <c r="CA22" s="8">
        <v>0.0</v>
      </c>
      <c r="CB22" s="9"/>
      <c r="CC22" s="9" t="s">
        <v>1929</v>
      </c>
      <c r="CD22" s="8">
        <v>0.0</v>
      </c>
      <c r="CE22" s="8">
        <v>0.0</v>
      </c>
      <c r="CF22" s="8">
        <v>0.0</v>
      </c>
      <c r="CG22" s="8">
        <v>0.0</v>
      </c>
      <c r="CH22" s="8">
        <v>1.0</v>
      </c>
      <c r="CI22" s="8">
        <v>0.0</v>
      </c>
      <c r="CJ22" s="8">
        <v>0.0</v>
      </c>
      <c r="CK22" s="9"/>
      <c r="CL22" s="9" t="s">
        <v>857</v>
      </c>
      <c r="CM22" s="8">
        <v>2015.0</v>
      </c>
      <c r="CN22" s="9" t="s">
        <v>858</v>
      </c>
      <c r="CO22" s="9" t="s">
        <v>859</v>
      </c>
      <c r="CP22" s="9" t="s">
        <v>2094</v>
      </c>
      <c r="CQ22" s="8">
        <v>0.0</v>
      </c>
      <c r="CR22" s="8">
        <v>0.0</v>
      </c>
      <c r="CS22" s="8">
        <v>0.0</v>
      </c>
      <c r="CT22" s="8">
        <v>0.0</v>
      </c>
      <c r="CU22" s="8">
        <v>0.0</v>
      </c>
      <c r="CV22" s="8">
        <v>1.0</v>
      </c>
      <c r="CW22" s="8">
        <v>0.0</v>
      </c>
      <c r="CX22" s="8">
        <v>0.0</v>
      </c>
      <c r="CY22" s="9" t="s">
        <v>2094</v>
      </c>
      <c r="CZ22" s="8">
        <v>0.0</v>
      </c>
      <c r="DA22" s="8">
        <v>1.0</v>
      </c>
      <c r="DB22" s="8">
        <v>0.0</v>
      </c>
      <c r="DC22" s="9"/>
      <c r="DD22" s="9" t="s">
        <v>2094</v>
      </c>
      <c r="DE22" s="8">
        <v>0.0</v>
      </c>
      <c r="DF22" s="8">
        <v>1.0</v>
      </c>
      <c r="DG22" s="8">
        <v>0.0</v>
      </c>
      <c r="DH22" s="8">
        <v>0.0</v>
      </c>
      <c r="DI22" s="9"/>
      <c r="DJ22" s="9" t="s">
        <v>861</v>
      </c>
      <c r="DK22" s="8">
        <v>0.0</v>
      </c>
      <c r="DL22" s="8">
        <v>0.0</v>
      </c>
      <c r="DM22" s="8">
        <v>1.0</v>
      </c>
      <c r="DN22" s="8">
        <v>0.0</v>
      </c>
      <c r="DO22" s="9"/>
      <c r="DP22" s="9" t="s">
        <v>938</v>
      </c>
      <c r="DQ22" s="9" t="s">
        <v>939</v>
      </c>
      <c r="DR22" s="17" t="s">
        <v>987</v>
      </c>
      <c r="DS22" s="9"/>
      <c r="DT22" s="9"/>
      <c r="DU22" s="9"/>
      <c r="DV22" s="9"/>
      <c r="DW22" s="9"/>
      <c r="DX22" s="9"/>
      <c r="DY22" s="9"/>
      <c r="DZ22" s="9"/>
      <c r="EA22" s="9"/>
      <c r="EB22" s="9"/>
      <c r="EC22" s="9"/>
      <c r="ED22" s="9"/>
      <c r="EE22" s="9"/>
      <c r="EF22" s="9"/>
      <c r="EG22" s="9"/>
      <c r="EH22" s="9"/>
      <c r="EI22" s="31" t="s">
        <v>862</v>
      </c>
      <c r="EJ22" s="8">
        <v>0.0</v>
      </c>
      <c r="EK22" s="8">
        <v>0.0</v>
      </c>
      <c r="EL22" s="8">
        <v>0.0</v>
      </c>
      <c r="EM22" s="8">
        <v>1.0</v>
      </c>
      <c r="EN22" s="8">
        <v>0.0</v>
      </c>
      <c r="EO22" s="9"/>
      <c r="EP22" s="9" t="s">
        <v>863</v>
      </c>
      <c r="EQ22" s="9" t="s">
        <v>1380</v>
      </c>
      <c r="ER22" s="9" t="s">
        <v>861</v>
      </c>
      <c r="ES22" s="8">
        <v>1.0</v>
      </c>
      <c r="ET22" s="8">
        <v>0.0</v>
      </c>
      <c r="EU22" s="8">
        <v>0.0</v>
      </c>
      <c r="EV22" s="8">
        <v>0.0</v>
      </c>
      <c r="EW22" s="9"/>
      <c r="EX22" s="9" t="s">
        <v>915</v>
      </c>
      <c r="EY22" s="8">
        <v>0.0</v>
      </c>
      <c r="EZ22" s="8">
        <v>1.0</v>
      </c>
      <c r="FA22" s="8">
        <v>0.0</v>
      </c>
      <c r="FB22" s="9"/>
      <c r="FC22" s="9" t="s">
        <v>1028</v>
      </c>
      <c r="FD22" s="9"/>
      <c r="FE22" s="9" t="s">
        <v>867</v>
      </c>
      <c r="FF22" s="9" t="s">
        <v>868</v>
      </c>
      <c r="FG22" s="9" t="s">
        <v>867</v>
      </c>
      <c r="FH22" s="9" t="s">
        <v>943</v>
      </c>
      <c r="FI22" s="9" t="s">
        <v>867</v>
      </c>
      <c r="FJ22" s="9" t="s">
        <v>943</v>
      </c>
      <c r="FK22" s="9" t="s">
        <v>867</v>
      </c>
      <c r="FL22" s="9" t="s">
        <v>883</v>
      </c>
      <c r="FM22" s="9" t="s">
        <v>867</v>
      </c>
      <c r="FN22" s="9" t="s">
        <v>870</v>
      </c>
      <c r="FO22" s="9" t="s">
        <v>867</v>
      </c>
      <c r="FP22" s="9" t="s">
        <v>870</v>
      </c>
      <c r="FQ22" s="9" t="s">
        <v>867</v>
      </c>
      <c r="FR22" s="9" t="s">
        <v>857</v>
      </c>
      <c r="FS22" s="9" t="s">
        <v>867</v>
      </c>
      <c r="FT22" s="9" t="s">
        <v>871</v>
      </c>
      <c r="FU22" s="9" t="s">
        <v>1014</v>
      </c>
      <c r="FV22" s="8">
        <v>0.0</v>
      </c>
      <c r="FW22" s="8">
        <v>1.0</v>
      </c>
      <c r="FX22" s="8">
        <v>0.0</v>
      </c>
      <c r="FY22" s="8">
        <v>0.0</v>
      </c>
      <c r="FZ22" s="9" t="s">
        <v>1197</v>
      </c>
      <c r="GA22" s="9" t="s">
        <v>1264</v>
      </c>
      <c r="GB22" s="8">
        <v>0.0</v>
      </c>
      <c r="GC22" s="8">
        <v>0.0</v>
      </c>
      <c r="GD22" s="8">
        <v>1.0</v>
      </c>
      <c r="GE22" s="8">
        <v>0.0</v>
      </c>
      <c r="GF22" s="9"/>
      <c r="GG22" s="9" t="s">
        <v>875</v>
      </c>
      <c r="GH22" s="9" t="s">
        <v>857</v>
      </c>
      <c r="GI22" s="9" t="s">
        <v>876</v>
      </c>
      <c r="GJ22" s="8">
        <v>1.0</v>
      </c>
      <c r="GK22" s="8">
        <v>0.0</v>
      </c>
      <c r="GL22" s="8">
        <v>0.0</v>
      </c>
      <c r="GM22" s="8">
        <v>0.0</v>
      </c>
      <c r="GN22" s="9"/>
      <c r="GO22" s="8">
        <v>8.0</v>
      </c>
      <c r="GP22" s="34" t="s">
        <v>1931</v>
      </c>
      <c r="GQ22" s="9" t="s">
        <v>1102</v>
      </c>
      <c r="GR22" s="8">
        <v>1.0</v>
      </c>
      <c r="GS22" s="8">
        <v>0.0</v>
      </c>
      <c r="GT22" s="8">
        <v>0.0</v>
      </c>
      <c r="GU22" s="8">
        <v>0.0</v>
      </c>
      <c r="GV22" s="8">
        <v>0.0</v>
      </c>
      <c r="GW22" s="8">
        <v>0.0</v>
      </c>
      <c r="GX22" s="8">
        <v>0.0</v>
      </c>
      <c r="GY22" s="9"/>
      <c r="GZ22" s="9" t="s">
        <v>857</v>
      </c>
      <c r="HA22" s="9"/>
      <c r="HB22" s="9"/>
      <c r="HC22" s="9"/>
      <c r="HD22" s="9"/>
      <c r="HE22" s="8">
        <v>9.0</v>
      </c>
      <c r="HF22" s="8">
        <v>45000.0</v>
      </c>
      <c r="HG22" s="8">
        <v>3.0</v>
      </c>
      <c r="HH22" s="8">
        <v>22000.0</v>
      </c>
      <c r="HI22" s="9"/>
      <c r="HJ22" s="9"/>
      <c r="HK22" s="9"/>
      <c r="HL22" s="9"/>
      <c r="HM22" s="9"/>
      <c r="HN22" s="9"/>
      <c r="HO22" s="9"/>
      <c r="HP22" s="9"/>
      <c r="HQ22" s="9"/>
      <c r="HR22" s="9"/>
      <c r="HS22" s="9"/>
      <c r="HT22" s="9"/>
      <c r="HU22" s="9"/>
      <c r="HV22" s="9"/>
      <c r="HW22" s="9"/>
      <c r="HX22" s="9"/>
      <c r="HY22" s="9"/>
      <c r="HZ22" s="9"/>
      <c r="IA22" s="8">
        <v>6.0</v>
      </c>
      <c r="IB22" s="8">
        <v>23000.0</v>
      </c>
      <c r="IC22" s="9"/>
      <c r="ID22" s="9"/>
      <c r="IE22" s="9"/>
      <c r="IF22" s="9"/>
      <c r="IG22" s="9"/>
      <c r="IH22" s="9"/>
      <c r="II22" s="9"/>
      <c r="IJ22" s="9"/>
      <c r="IK22" s="9" t="s">
        <v>1932</v>
      </c>
      <c r="IL22" s="9" t="s">
        <v>1366</v>
      </c>
      <c r="IM22" s="9" t="s">
        <v>857</v>
      </c>
      <c r="IN22" s="9" t="s">
        <v>881</v>
      </c>
      <c r="IO22" s="9" t="s">
        <v>945</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884</v>
      </c>
      <c r="KT22" s="9" t="s">
        <v>886</v>
      </c>
      <c r="KU22" s="9" t="s">
        <v>886</v>
      </c>
      <c r="KV22" s="9" t="s">
        <v>1014</v>
      </c>
      <c r="KW22" s="8">
        <v>0.0</v>
      </c>
      <c r="KX22" s="8">
        <v>1.0</v>
      </c>
      <c r="KY22" s="8">
        <v>0.0</v>
      </c>
      <c r="KZ22" s="8">
        <v>0.0</v>
      </c>
      <c r="LA22" s="9" t="s">
        <v>945</v>
      </c>
      <c r="LB22" s="9" t="s">
        <v>945</v>
      </c>
      <c r="LC22" s="8">
        <v>4.0</v>
      </c>
      <c r="LD22" s="8">
        <v>0.0</v>
      </c>
      <c r="LE22" s="8">
        <v>0.0</v>
      </c>
      <c r="LF22" s="8">
        <v>0.0</v>
      </c>
      <c r="LG22" s="9" t="s">
        <v>857</v>
      </c>
      <c r="LH22" s="8">
        <v>50000.0</v>
      </c>
      <c r="LI22" s="9"/>
      <c r="LJ22" s="9" t="s">
        <v>2391</v>
      </c>
      <c r="LK22" s="8">
        <v>0.0</v>
      </c>
      <c r="LL22" s="8">
        <v>1.0</v>
      </c>
      <c r="LM22" s="8">
        <v>0.0</v>
      </c>
      <c r="LN22" s="8">
        <v>0.0</v>
      </c>
      <c r="LO22" s="8">
        <v>0.0</v>
      </c>
      <c r="LP22" s="8">
        <v>0.0</v>
      </c>
      <c r="LQ22" s="8">
        <v>0.0</v>
      </c>
      <c r="LR22" s="11"/>
      <c r="LS22" s="8">
        <v>0.0</v>
      </c>
      <c r="LT22" s="8">
        <v>10.0</v>
      </c>
      <c r="LU22" s="8">
        <v>0.0</v>
      </c>
      <c r="LV22" s="8">
        <v>0.0</v>
      </c>
      <c r="LW22" s="8">
        <v>10.0</v>
      </c>
      <c r="LX22" s="8">
        <v>0.0</v>
      </c>
      <c r="LY22" s="8">
        <v>0.0</v>
      </c>
      <c r="LZ22" s="8">
        <v>10.0</v>
      </c>
      <c r="MA22" s="8">
        <v>0.0</v>
      </c>
      <c r="MB22" s="9" t="s">
        <v>881</v>
      </c>
      <c r="MC22" s="8">
        <v>0.0</v>
      </c>
      <c r="MD22" s="8">
        <v>0.0</v>
      </c>
      <c r="ME22" s="8">
        <v>0.0</v>
      </c>
      <c r="MF22" s="8">
        <v>0.0</v>
      </c>
      <c r="MG22" s="8">
        <v>0.0</v>
      </c>
      <c r="MH22" s="8">
        <v>0.0</v>
      </c>
      <c r="MI22" s="9"/>
      <c r="MJ22" s="9"/>
      <c r="MK22" s="9"/>
      <c r="ML22" s="9"/>
      <c r="MM22" s="9"/>
      <c r="MN22" s="9"/>
      <c r="MO22" s="9"/>
      <c r="MP22" s="9"/>
      <c r="MQ22" s="9"/>
      <c r="MR22" s="17" t="s">
        <v>2035</v>
      </c>
      <c r="MS22" s="9"/>
      <c r="MT22" s="9" t="s">
        <v>2035</v>
      </c>
      <c r="MU22" s="9" t="s">
        <v>881</v>
      </c>
      <c r="MV22" s="9"/>
      <c r="MW22" s="9"/>
      <c r="MX22" s="9"/>
      <c r="MY22" s="9"/>
      <c r="MZ22" s="9"/>
      <c r="NA22" s="9"/>
      <c r="NB22" s="9"/>
      <c r="NC22" s="9"/>
      <c r="ND22" s="9"/>
      <c r="NE22" s="9"/>
      <c r="NF22" s="9"/>
      <c r="NG22" s="9"/>
      <c r="NH22" s="9"/>
      <c r="NI22" s="9"/>
      <c r="NJ22" s="9"/>
      <c r="NK22" s="9"/>
      <c r="NL22" s="9" t="s">
        <v>857</v>
      </c>
      <c r="NM22" s="9" t="s">
        <v>1386</v>
      </c>
      <c r="NN22" s="17" t="s">
        <v>1975</v>
      </c>
      <c r="NO22" s="17" t="s">
        <v>895</v>
      </c>
      <c r="NP22" s="9"/>
      <c r="NQ22" s="9"/>
      <c r="NR22" s="9"/>
      <c r="NS22" s="9"/>
      <c r="NT22" s="9"/>
      <c r="NU22" s="9"/>
      <c r="NV22" s="9"/>
      <c r="NW22" s="9"/>
      <c r="NX22" s="9" t="s">
        <v>914</v>
      </c>
      <c r="NY22" s="8">
        <v>60.0</v>
      </c>
      <c r="NZ22" s="8">
        <v>0.0</v>
      </c>
      <c r="OA22" s="8">
        <v>0.0</v>
      </c>
      <c r="OB22" s="8">
        <v>10.0</v>
      </c>
      <c r="OC22" s="8">
        <v>0.0</v>
      </c>
      <c r="OD22" s="8">
        <v>0.0</v>
      </c>
      <c r="OE22" s="9" t="s">
        <v>945</v>
      </c>
      <c r="OF22" s="9" t="s">
        <v>1184</v>
      </c>
      <c r="OG22" s="9" t="s">
        <v>857</v>
      </c>
      <c r="OH22" s="39">
        <v>0.0</v>
      </c>
      <c r="OI22" s="39">
        <v>0.0</v>
      </c>
      <c r="OJ22" s="39">
        <v>0.0</v>
      </c>
      <c r="OK22" s="39">
        <v>0.0</v>
      </c>
      <c r="OL22" s="39">
        <v>0.0</v>
      </c>
      <c r="OM22" s="39">
        <v>0.0</v>
      </c>
      <c r="ON22" s="39">
        <v>0.0</v>
      </c>
      <c r="OO22" s="39">
        <v>0.0</v>
      </c>
      <c r="OP22" s="9" t="str">
        <f>VLOOKUP(AG22,'BUS 2'!$G$1:$CU$424,2,0)</f>
        <v>Sapi pedaging Ayam</v>
      </c>
      <c r="OQ22" s="8">
        <f>VLOOKUP(AG22,'BUS 2'!$G$1:$CU$424,3,0)</f>
        <v>1</v>
      </c>
      <c r="OR22" s="8">
        <f>VLOOKUP(AG22,'BUS 2'!$G$1:$CU$424,4,0)</f>
        <v>0</v>
      </c>
      <c r="OS22" s="8">
        <f>VLOOKUP(AG22,'BUS 2'!$G$1:$CU$424,5,0)</f>
        <v>0</v>
      </c>
      <c r="OT22" s="8">
        <f>VLOOKUP(AG22,'BUS 2'!$G$1:$CU$424,6,0)</f>
        <v>0</v>
      </c>
      <c r="OU22" s="8">
        <f>VLOOKUP(AG22,'BUS 2'!$G$1:$CU$424,7,0)</f>
        <v>0</v>
      </c>
      <c r="OV22" s="8">
        <f>VLOOKUP(AG22,'BUS 2'!$G$1:$CU$424,8,0)</f>
        <v>0</v>
      </c>
      <c r="OW22" s="8">
        <f>VLOOKUP(AG22,'BUS 2'!$G$1:$CU$424,9,0)</f>
        <v>1</v>
      </c>
      <c r="OX22" s="8">
        <f>VLOOKUP(AG22,'BUS 2'!$G$1:$CU$424,10,0)</f>
        <v>0</v>
      </c>
      <c r="OY22" s="8">
        <f>VLOOKUP(AG22,'BUS 2'!$G$1:$CU$424,11,0)</f>
        <v>0</v>
      </c>
      <c r="OZ22" s="8" t="str">
        <f>VLOOKUP(AG22,'BUS 2'!$G$1:$CU$424,12,0)</f>
        <v>Sapi pedaging Ayam</v>
      </c>
      <c r="PA22" s="8">
        <f>VLOOKUP(AG22,'BUS 2'!$G$1:$CU$424,13,0)</f>
        <v>1</v>
      </c>
      <c r="PB22" s="8">
        <f>VLOOKUP(AG22,'BUS 2'!$G$1:$CU$424,14,0)</f>
        <v>0</v>
      </c>
      <c r="PC22" s="8">
        <f>VLOOKUP(AG22,'BUS 2'!$G$1:$CU$424,15,0)</f>
        <v>0</v>
      </c>
      <c r="PD22" s="8">
        <f>VLOOKUP(AG22,'BUS 2'!$G$1:$CU$424,16,0)</f>
        <v>0</v>
      </c>
      <c r="PE22" s="8">
        <f>VLOOKUP(AG22,'BUS 2'!$G$1:$CU$424,17,0)</f>
        <v>0</v>
      </c>
      <c r="PF22" s="8">
        <f>VLOOKUP(AG22,'BUS 2'!$G$1:$CU$424,18,0)</f>
        <v>0</v>
      </c>
      <c r="PG22" s="8">
        <f>VLOOKUP(AG22,'BUS 2'!$G$1:$CU$424,19,0)</f>
        <v>1</v>
      </c>
      <c r="PH22" s="8">
        <f>VLOOKUP(AG22,'BUS 2'!$G$1:$CU$424,20,0)</f>
        <v>0</v>
      </c>
      <c r="PI22" s="8">
        <f>VLOOKUP(AG22,'BUS 2'!$G$1:$CU$424,21,0)</f>
        <v>0</v>
      </c>
      <c r="PJ22" s="8" t="str">
        <f>VLOOKUP(AG22,'BUS 2'!$G$1:$CU$424,22,0)</f>
        <v>Sapi pedaging Ayam</v>
      </c>
      <c r="PK22" s="8">
        <f>VLOOKUP(AG22,'BUS 2'!$G$1:$CU$424,23,0)</f>
        <v>1</v>
      </c>
      <c r="PL22" s="8">
        <f>VLOOKUP(AG22,'BUS 2'!$G$1:$CU$424,24,0)</f>
        <v>0</v>
      </c>
      <c r="PM22" s="8">
        <f>VLOOKUP(AG22,'BUS 2'!$G$1:$CU$424,25,0)</f>
        <v>0</v>
      </c>
      <c r="PN22" s="8">
        <f>VLOOKUP(AG22,'BUS 2'!$G$1:$CU$424,26,0)</f>
        <v>0</v>
      </c>
      <c r="PO22" s="8">
        <f>VLOOKUP(AG22,'BUS 2'!$G$1:$CU$424,27,0)</f>
        <v>0</v>
      </c>
      <c r="PP22" s="8">
        <f>VLOOKUP(AG22,'BUS 2'!$G$1:$CU$424,28,0)</f>
        <v>0</v>
      </c>
      <c r="PQ22" s="8">
        <f>VLOOKUP(AG22,'BUS 2'!$G$1:$CU$424,29,0)</f>
        <v>1</v>
      </c>
      <c r="PR22" s="8">
        <f>VLOOKUP(AG22,'BUS 2'!$G$1:$CU$424,30,0)</f>
        <v>0</v>
      </c>
      <c r="PS22" s="8">
        <f>VLOOKUP(AG22,'BUS 2'!$G$1:$CU$424,31,0)</f>
        <v>0</v>
      </c>
      <c r="PT22" s="9" t="s">
        <v>900</v>
      </c>
      <c r="PU22" s="8">
        <v>0.0</v>
      </c>
      <c r="PV22" s="8">
        <v>0.0</v>
      </c>
      <c r="PW22" s="8">
        <v>0.0</v>
      </c>
      <c r="PX22" s="8">
        <v>0.0</v>
      </c>
      <c r="PY22" s="8">
        <v>0.0</v>
      </c>
      <c r="PZ22" s="8">
        <v>1.0</v>
      </c>
      <c r="QA22" s="8">
        <v>0.0</v>
      </c>
      <c r="QB22" s="8">
        <v>0.0</v>
      </c>
      <c r="QC22" s="8">
        <v>0.0</v>
      </c>
      <c r="QD22" s="9"/>
      <c r="QE22" s="32"/>
      <c r="QF22" s="31"/>
      <c r="QG22" s="31"/>
      <c r="QH22" s="31"/>
      <c r="QI22" s="31"/>
      <c r="QJ22" s="31"/>
      <c r="QK22" s="32"/>
      <c r="QL22" s="32"/>
      <c r="QM22" s="32"/>
      <c r="QN22" s="32"/>
      <c r="QO22" s="32"/>
      <c r="QP22" s="32"/>
      <c r="QQ22" s="32"/>
      <c r="QR22" s="32"/>
      <c r="QS22" s="32"/>
      <c r="QT22" s="32"/>
      <c r="QU22" s="32"/>
      <c r="QV22" s="32"/>
      <c r="QW22" s="31"/>
      <c r="QX22" s="31"/>
      <c r="QY22" s="31"/>
      <c r="QZ22" s="31"/>
      <c r="RA22" s="31"/>
      <c r="RB22" s="32"/>
      <c r="RC22" s="32"/>
      <c r="RD22" s="32"/>
      <c r="RE22" s="32"/>
      <c r="RF22" s="32"/>
      <c r="RG22" s="9"/>
      <c r="RH22" s="31"/>
      <c r="RI22" s="31"/>
      <c r="RJ22" s="31"/>
      <c r="RK22" s="31"/>
      <c r="RL22" s="31"/>
      <c r="RM22" s="9"/>
      <c r="RN22" s="9"/>
      <c r="RO22" s="9"/>
      <c r="RP22" s="9"/>
      <c r="RQ22" s="9"/>
      <c r="RR22" s="9"/>
      <c r="RS22" s="31"/>
      <c r="RT22" s="31"/>
      <c r="RU22" s="31"/>
      <c r="RV22" s="31"/>
      <c r="RW22" s="31"/>
      <c r="RX22" s="9"/>
      <c r="RY22" s="9"/>
      <c r="RZ22" s="9"/>
      <c r="SA22" s="9"/>
      <c r="SB22" s="9"/>
      <c r="SC22" s="9"/>
      <c r="SD22" s="31"/>
      <c r="SE22" s="31"/>
      <c r="SF22" s="31"/>
      <c r="SG22" s="31"/>
      <c r="SH22" s="31"/>
      <c r="SI22" s="9"/>
      <c r="SJ22" s="9"/>
      <c r="SK22" s="9"/>
      <c r="SL22" s="9"/>
      <c r="SM22" s="9"/>
      <c r="SN22" s="9"/>
      <c r="SO22" s="31"/>
      <c r="SP22" s="31"/>
      <c r="SQ22" s="31"/>
      <c r="SR22" s="31"/>
      <c r="SS22" s="31"/>
      <c r="ST22" s="9"/>
      <c r="SU22" s="9"/>
      <c r="SV22" s="9"/>
      <c r="SW22" s="9"/>
      <c r="SX22" s="9"/>
      <c r="SY22" s="8">
        <f>VLOOKUP(AG22,'BUS 2'!$G$1:$CU$424,33,0)</f>
        <v>2</v>
      </c>
      <c r="SZ22" s="9" t="str">
        <f>VLOOKUP(AG22,'BUS 2'!$G$1:$CU$424,34,0)</f>
        <v/>
      </c>
      <c r="TA22" s="9" t="str">
        <f>VLOOKUP(AG22,'BUS 2'!$G$1:$CU$424,35,0)</f>
        <v/>
      </c>
      <c r="TB22" s="9" t="str">
        <f>VLOOKUP(AG22,'BUS 2'!$G$1:$CU$424,36,0)</f>
        <v/>
      </c>
      <c r="TC22" s="9" t="str">
        <f>VLOOKUP(AG22,'BUS 2'!$G$1:$CU$424,37,0)</f>
        <v/>
      </c>
      <c r="TD22" s="9" t="str">
        <f>VLOOKUP(AG22,'BUS 2'!$G$1:$CU$424,38,0)</f>
        <v/>
      </c>
      <c r="TE22" s="9">
        <f>VLOOKUP(AG22,'BUS 2'!$G$1:$CU$424,39,0)</f>
        <v>5</v>
      </c>
      <c r="TF22" s="9" t="str">
        <f>VLOOKUP(AG22,'BUS 2'!$G$1:$CU$424,40,0)</f>
        <v/>
      </c>
      <c r="TG22" s="8">
        <f>VLOOKUP(AG22,'BUS 2'!$G$1:$CU$424,42,0)</f>
        <v>0</v>
      </c>
      <c r="TH22" s="8" t="str">
        <f>VLOOKUP(AG22,'BUS 2'!$G$1:$CU$424,43,0)</f>
        <v/>
      </c>
      <c r="TI22" s="8" t="str">
        <f>VLOOKUP(AG22,'BUS 2'!$G$1:$CU$424,44,0)</f>
        <v/>
      </c>
      <c r="TJ22" s="8" t="str">
        <f>VLOOKUP(AG22,'BUS 2'!$G$1:$CU$424,45,0)</f>
        <v/>
      </c>
      <c r="TK22" s="8" t="str">
        <f>VLOOKUP(AG22,'BUS 2'!$G$1:$CU$424,46,0)</f>
        <v/>
      </c>
      <c r="TL22" s="8" t="str">
        <f>VLOOKUP(AG22,'BUS 2'!$G$1:$CU$424,47,0)</f>
        <v/>
      </c>
      <c r="TM22" s="8">
        <f>VLOOKUP(AG22,'BUS 2'!$G$1:$CU$424,48,0)</f>
        <v>5</v>
      </c>
      <c r="TN22" s="8" t="str">
        <f>VLOOKUP(AG22,'BUS 2'!$G$1:$CU$424,49,0)</f>
        <v/>
      </c>
      <c r="TO22" s="8">
        <f>VLOOKUP(AG22,'BUS 2'!$G$1:$CU$424,50,0)</f>
        <v>2</v>
      </c>
      <c r="TP22" s="8">
        <f>VLOOKUP(AG22,'BUS 2'!$G$1:$CU$424,51,0)</f>
        <v>0</v>
      </c>
      <c r="TQ22" s="8">
        <f>VLOOKUP(AG22,'BUS 2'!$G$1:$CU$424,52,0)</f>
        <v>0</v>
      </c>
      <c r="TR22" s="8">
        <f>VLOOKUP(AG22,'BUS 2'!$G$1:$CU$424,53,0)</f>
        <v>0</v>
      </c>
      <c r="TS22" s="9" t="str">
        <f>VLOOKUP(AG22,'BUS 2'!$G$1:$CU$424,54,0)</f>
        <v/>
      </c>
      <c r="TT22" s="9" t="str">
        <f>VLOOKUP(AG22,'BUS 2'!$G$1:$CU$424,55,0)</f>
        <v/>
      </c>
      <c r="TU22" s="9" t="str">
        <f>VLOOKUP(AG22,'BUS 2'!$G$1:$CU$424,56,0)</f>
        <v/>
      </c>
      <c r="TV22" s="9" t="str">
        <f>VLOOKUP(AG22,'BUS 2'!$G$1:$CU$424,57,0)</f>
        <v/>
      </c>
      <c r="TW22" s="9" t="str">
        <f>VLOOKUP(AG22,'BUS 2'!$G$1:$CU$424,58,0)</f>
        <v/>
      </c>
      <c r="TX22" s="9" t="str">
        <f>VLOOKUP(AG22,'BUS 2'!$G$1:$CU$424,59,0)</f>
        <v/>
      </c>
      <c r="TY22" s="9" t="str">
        <f>VLOOKUP(AG22,'BUS 2'!$G$1:$CU$424,60,0)</f>
        <v/>
      </c>
      <c r="TZ22" s="9" t="str">
        <f>VLOOKUP(AG22,'BUS 2'!$G$1:$CU$424,61,0)</f>
        <v/>
      </c>
      <c r="UA22" s="9" t="str">
        <f>VLOOKUP(AG22,'BUS 2'!$G$1:$CU$424,62,0)</f>
        <v/>
      </c>
      <c r="UB22" s="9" t="str">
        <f>VLOOKUP(AG22,'BUS 2'!$G$1:$CU$424,63,0)</f>
        <v/>
      </c>
      <c r="UC22" s="9" t="str">
        <f>VLOOKUP(AG22,'BUS 2'!$G$1:$CU$424,64,0)</f>
        <v/>
      </c>
      <c r="UD22" s="9" t="str">
        <f>VLOOKUP(AG22,'BUS 2'!$G$1:$CU$424,65,0)</f>
        <v/>
      </c>
      <c r="UE22" s="9" t="str">
        <f>VLOOKUP(AG22,'BUS 2'!$G$1:$CU$424,66,0)</f>
        <v/>
      </c>
      <c r="UF22" s="9" t="str">
        <f>VLOOKUP(AG22,'BUS 2'!$G$1:$CU$424,67,0)</f>
        <v/>
      </c>
      <c r="UG22" s="9" t="str">
        <f>VLOOKUP(AG22,'BUS 2'!$G$1:$CU$424,68,0)</f>
        <v/>
      </c>
      <c r="UH22" s="9" t="str">
        <f>VLOOKUP(AG22,'BUS 2'!$G$1:$CU$424,69,0)</f>
        <v/>
      </c>
      <c r="UI22" s="9" t="str">
        <f>VLOOKUP(AG22,'BUS 2'!$G$1:$CU$424,70,0)</f>
        <v/>
      </c>
      <c r="UJ22" s="9" t="str">
        <f>VLOOKUP(AG22,'BUS 2'!$G$1:$CU$424,71,0)</f>
        <v/>
      </c>
      <c r="UK22" s="9" t="str">
        <f>VLOOKUP(AG22,'BUS 2'!$G$1:$CU$424,72,0)</f>
        <v/>
      </c>
      <c r="UL22" s="9" t="str">
        <f>VLOOKUP(AG22,'BUS 2'!$G$1:$CU$424,73,0)</f>
        <v/>
      </c>
      <c r="UM22" s="9">
        <f>VLOOKUP(AG22,'BUS 2'!$G$1:$CU$424,74,0)</f>
        <v>0</v>
      </c>
      <c r="UN22" s="9">
        <f>VLOOKUP(AG22,'BUS 2'!$G$1:$CU$424,75,0)</f>
        <v>0</v>
      </c>
      <c r="UO22" s="9">
        <f>VLOOKUP(AG22,'BUS 2'!$G$1:$CU$424,76,0)</f>
        <v>0</v>
      </c>
      <c r="UP22" s="9">
        <f>VLOOKUP(AG22,'BUS 2'!$G$1:$CU$424,77,0)</f>
        <v>0</v>
      </c>
      <c r="UQ22" s="9" t="str">
        <f>VLOOKUP(AG22,'BUS 2'!$G$1:$CU$424,78,0)</f>
        <v/>
      </c>
      <c r="UR22" s="9" t="str">
        <f>VLOOKUP(AG22,'BUS 2'!$G$1:$CU$424,79,0)</f>
        <v/>
      </c>
      <c r="US22" s="9" t="str">
        <f>VLOOKUP(AG22,'BUS 2'!$G$1:$CU$424,80,0)</f>
        <v/>
      </c>
      <c r="UT22" s="9" t="str">
        <f>VLOOKUP(AG22,'BUS 2'!$G$1:$CU$424,81,0)</f>
        <v/>
      </c>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t="s">
        <v>857</v>
      </c>
      <c r="AAM22" s="9" t="s">
        <v>1942</v>
      </c>
      <c r="AAN22" s="8">
        <v>0.0</v>
      </c>
      <c r="AAO22" s="8">
        <v>1.0</v>
      </c>
      <c r="AAP22" s="8">
        <v>10.0</v>
      </c>
      <c r="AAQ22" s="9"/>
      <c r="AAR22" s="9" t="s">
        <v>881</v>
      </c>
      <c r="AAS22" s="9" t="s">
        <v>867</v>
      </c>
      <c r="AAT22" s="9" t="s">
        <v>2101</v>
      </c>
      <c r="AAU22" s="8">
        <v>0.0</v>
      </c>
      <c r="AAV22" s="8">
        <v>0.0</v>
      </c>
      <c r="AAW22" s="8">
        <v>0.0</v>
      </c>
      <c r="AAX22" s="8">
        <v>1.0</v>
      </c>
      <c r="AAY22" s="8">
        <v>0.0</v>
      </c>
      <c r="AAZ22" s="8">
        <v>0.0</v>
      </c>
      <c r="ABA22" s="8">
        <v>0.0</v>
      </c>
      <c r="ABB22" s="9"/>
      <c r="ABC22" s="9"/>
      <c r="ABD22" s="9"/>
      <c r="ABE22" s="9"/>
      <c r="ABF22" s="9"/>
      <c r="ABG22" s="9"/>
      <c r="ABH22" s="9"/>
      <c r="ABI22" s="9"/>
      <c r="ABJ22" s="9"/>
      <c r="ABK22" s="9"/>
      <c r="ABL22" s="9"/>
      <c r="ABM22" s="9"/>
      <c r="ABN22" s="9"/>
      <c r="ABO22" s="9"/>
      <c r="ABP22" s="9"/>
      <c r="ABQ22" s="9" t="s">
        <v>2042</v>
      </c>
      <c r="ABR22" s="9" t="s">
        <v>1075</v>
      </c>
      <c r="ABS22" s="9"/>
      <c r="ABT22" s="8">
        <v>20.0</v>
      </c>
      <c r="ABU22" s="9"/>
      <c r="ABV22" s="9"/>
      <c r="ABW22" s="9"/>
      <c r="ABX22" s="9"/>
      <c r="ABY22" s="9"/>
      <c r="ABZ22" s="9"/>
      <c r="ACA22" s="9"/>
      <c r="ACB22" s="9"/>
      <c r="ACC22" s="9"/>
      <c r="ACD22" s="9"/>
      <c r="ACE22" s="9"/>
      <c r="ACF22" s="9"/>
      <c r="ACG22" s="9"/>
      <c r="ACH22" s="9"/>
      <c r="ACI22" s="9"/>
      <c r="ACJ22" s="9"/>
      <c r="ACK22" s="9" t="s">
        <v>976</v>
      </c>
      <c r="ACL22" s="8">
        <v>0.0</v>
      </c>
      <c r="ACM22" s="8">
        <v>0.0</v>
      </c>
      <c r="ACN22" s="8">
        <v>1.0</v>
      </c>
      <c r="ACO22" s="8">
        <v>1.0</v>
      </c>
      <c r="ACP22" s="8">
        <v>0.0</v>
      </c>
      <c r="ACQ22" s="8">
        <v>0.0</v>
      </c>
      <c r="ACR22" s="8">
        <v>0.0</v>
      </c>
      <c r="ACS22" s="9"/>
      <c r="ACT22" s="9" t="s">
        <v>1945</v>
      </c>
      <c r="ACU22" s="9" t="s">
        <v>1050</v>
      </c>
      <c r="ACV22" s="9" t="s">
        <v>914</v>
      </c>
      <c r="ACW22" s="9" t="s">
        <v>915</v>
      </c>
      <c r="ACX22" s="9" t="s">
        <v>916</v>
      </c>
      <c r="ACY22" s="9" t="s">
        <v>2392</v>
      </c>
      <c r="ACZ22" s="8">
        <v>0.0</v>
      </c>
      <c r="ADA22" s="8">
        <v>1.0</v>
      </c>
      <c r="ADB22" s="8">
        <v>1.0</v>
      </c>
      <c r="ADC22" s="8">
        <v>0.0</v>
      </c>
      <c r="ADD22" s="9" t="s">
        <v>917</v>
      </c>
      <c r="ADE22" s="9" t="s">
        <v>917</v>
      </c>
      <c r="ADF22" s="9" t="s">
        <v>917</v>
      </c>
      <c r="ADG22" s="9" t="s">
        <v>1187</v>
      </c>
      <c r="ADH22" s="9" t="s">
        <v>881</v>
      </c>
      <c r="ADI22" s="9"/>
      <c r="ADJ22" s="9" t="s">
        <v>917</v>
      </c>
      <c r="ADK22" s="9"/>
      <c r="ADL22" s="9"/>
      <c r="ADM22" s="9"/>
      <c r="ADN22" s="9"/>
      <c r="ADO22" s="9"/>
      <c r="ADP22" s="9"/>
      <c r="ADQ22" s="9"/>
      <c r="ADR22" s="9"/>
      <c r="ADS22" s="9"/>
      <c r="ADT22" s="9"/>
      <c r="ADU22" s="9" t="s">
        <v>2235</v>
      </c>
      <c r="ADV22" s="8">
        <v>0.0</v>
      </c>
      <c r="ADW22" s="8">
        <v>0.0</v>
      </c>
      <c r="ADX22" s="8">
        <v>0.0</v>
      </c>
      <c r="ADY22" s="8">
        <v>0.0</v>
      </c>
      <c r="ADZ22" s="8">
        <v>0.0</v>
      </c>
      <c r="AEA22" s="8">
        <v>0.0</v>
      </c>
      <c r="AEB22" s="8">
        <v>1.0</v>
      </c>
      <c r="AEC22" s="8">
        <v>0.0</v>
      </c>
      <c r="AED22" s="9" t="s">
        <v>1945</v>
      </c>
      <c r="AEE22" s="9" t="s">
        <v>969</v>
      </c>
      <c r="AEF22" s="9" t="s">
        <v>2257</v>
      </c>
      <c r="AEG22" s="9" t="s">
        <v>1367</v>
      </c>
      <c r="AEH22" s="9"/>
      <c r="AEI22" s="9" t="s">
        <v>999</v>
      </c>
      <c r="AEJ22" s="9" t="s">
        <v>871</v>
      </c>
      <c r="AEK22" s="9" t="s">
        <v>2393</v>
      </c>
      <c r="AEL22" s="8">
        <v>0.0</v>
      </c>
      <c r="AEM22" s="8">
        <v>0.0</v>
      </c>
      <c r="AEN22" s="8">
        <v>0.0</v>
      </c>
      <c r="AEO22" s="8">
        <v>0.0</v>
      </c>
      <c r="AEP22" s="8">
        <v>1.0</v>
      </c>
      <c r="AEQ22" s="8">
        <v>0.0</v>
      </c>
      <c r="AER22" s="8">
        <v>0.0</v>
      </c>
      <c r="AES22" s="8">
        <v>0.0</v>
      </c>
      <c r="AET22" s="8">
        <v>0.0</v>
      </c>
      <c r="AEU22" s="8">
        <v>0.0</v>
      </c>
      <c r="AEV22" s="8">
        <v>0.0</v>
      </c>
      <c r="AEW22" s="8">
        <v>0.0</v>
      </c>
      <c r="AEX22" s="9"/>
      <c r="AEY22" s="9" t="s">
        <v>1305</v>
      </c>
      <c r="AEZ22" s="9"/>
      <c r="AFA22" s="9" t="s">
        <v>924</v>
      </c>
      <c r="AFB22" s="9"/>
      <c r="AFC22" s="9" t="s">
        <v>2394</v>
      </c>
      <c r="AFD22" s="16" t="s">
        <v>2395</v>
      </c>
      <c r="AFE22" s="9" t="s">
        <v>2396</v>
      </c>
      <c r="AFF22" s="16" t="s">
        <v>2397</v>
      </c>
      <c r="AFG22" s="9" t="s">
        <v>1919</v>
      </c>
      <c r="AFH22" s="9"/>
      <c r="AFI22" s="21" t="s">
        <v>2398</v>
      </c>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8">
        <v>6.72384776E8</v>
      </c>
      <c r="AWB22" s="9" t="s">
        <v>2399</v>
      </c>
      <c r="AWC22" s="6">
        <v>46068.0</v>
      </c>
      <c r="AWD22" s="9"/>
      <c r="AWE22" s="9"/>
      <c r="AWF22" s="9" t="s">
        <v>1954</v>
      </c>
      <c r="AWG22" s="9"/>
      <c r="AWH22" s="9" t="s">
        <v>1989</v>
      </c>
      <c r="AWI22" s="9"/>
      <c r="AWJ22" s="9" t="s">
        <v>2400</v>
      </c>
      <c r="AWK22" s="8">
        <v>241.0</v>
      </c>
      <c r="AWL22" s="9" t="s">
        <v>2390</v>
      </c>
      <c r="AWM22" s="8">
        <v>0.0</v>
      </c>
      <c r="AWN22" s="9" t="s">
        <v>1957</v>
      </c>
      <c r="AWO22" s="33" t="b">
        <v>1</v>
      </c>
      <c r="AWP22" s="33" t="b">
        <v>1</v>
      </c>
      <c r="AWQ22" s="33" t="b">
        <v>1</v>
      </c>
      <c r="AWR22" s="33" t="b">
        <v>1</v>
      </c>
      <c r="AWS22" s="33" t="b">
        <v>1</v>
      </c>
      <c r="AWT22" s="33" t="b">
        <v>1</v>
      </c>
      <c r="AWU22" s="9"/>
      <c r="AWV22" s="8">
        <v>6.0</v>
      </c>
      <c r="AWW22" s="9"/>
      <c r="AWX22" s="9"/>
      <c r="AWY22" s="9"/>
      <c r="AWZ22" s="9"/>
    </row>
    <row r="23">
      <c r="A23" s="6">
        <v>46067.0</v>
      </c>
      <c r="B23" s="6">
        <v>46068.0</v>
      </c>
      <c r="C23" s="30" t="s">
        <v>1919</v>
      </c>
      <c r="D23" s="30" t="s">
        <v>2401</v>
      </c>
      <c r="E23" s="8">
        <f>+6285145174715</f>
        <v>6285145174715</v>
      </c>
      <c r="F23" s="9" t="s">
        <v>2402</v>
      </c>
      <c r="G23" s="8">
        <v>-5.157637</v>
      </c>
      <c r="H23" s="8">
        <v>119.648437</v>
      </c>
      <c r="I23" s="8">
        <v>44.774</v>
      </c>
      <c r="J23" s="8">
        <v>1.029999971</v>
      </c>
      <c r="K23" s="8">
        <v>0.0</v>
      </c>
      <c r="L23" s="9" t="s">
        <v>2403</v>
      </c>
      <c r="M23" s="8">
        <v>-5.157606</v>
      </c>
      <c r="N23" s="8">
        <v>119.64845</v>
      </c>
      <c r="O23" s="8">
        <v>37.335</v>
      </c>
      <c r="P23" s="8">
        <v>1.460999966</v>
      </c>
      <c r="Q23" s="8">
        <v>0.0</v>
      </c>
      <c r="R23" s="9" t="s">
        <v>1923</v>
      </c>
      <c r="S23" s="8">
        <v>0.0</v>
      </c>
      <c r="T23" s="8">
        <v>0.0</v>
      </c>
      <c r="U23" s="8">
        <v>0.0</v>
      </c>
      <c r="V23" s="8">
        <v>0.0</v>
      </c>
      <c r="W23" s="8">
        <v>0.0</v>
      </c>
      <c r="X23" s="8">
        <v>0.0</v>
      </c>
      <c r="Y23" s="8">
        <v>0.0</v>
      </c>
      <c r="Z23" s="8">
        <v>0.0</v>
      </c>
      <c r="AA23" s="8">
        <v>0.0</v>
      </c>
      <c r="AB23" s="8">
        <v>1.0</v>
      </c>
      <c r="AC23" s="7" t="s">
        <v>1924</v>
      </c>
      <c r="AD23" s="7" t="s">
        <v>2088</v>
      </c>
      <c r="AE23" s="7" t="s">
        <v>2089</v>
      </c>
      <c r="AF23" s="9" t="s">
        <v>2090</v>
      </c>
      <c r="AG23" s="9" t="s">
        <v>2404</v>
      </c>
      <c r="AH23" s="8">
        <v>11.0</v>
      </c>
      <c r="AI23" s="9" t="s">
        <v>933</v>
      </c>
      <c r="AJ23" s="9" t="s">
        <v>934</v>
      </c>
      <c r="AK23" s="8">
        <v>60.0</v>
      </c>
      <c r="AL23" s="9" t="s">
        <v>847</v>
      </c>
      <c r="AM23" s="9" t="s">
        <v>848</v>
      </c>
      <c r="AN23" s="9" t="s">
        <v>1967</v>
      </c>
      <c r="AO23" s="9" t="s">
        <v>850</v>
      </c>
      <c r="AP23" s="8">
        <v>1.0</v>
      </c>
      <c r="AQ23" s="8">
        <v>0.0</v>
      </c>
      <c r="AR23" s="8">
        <v>0.0</v>
      </c>
      <c r="AS23" s="8">
        <v>0.0</v>
      </c>
      <c r="AT23" s="8">
        <v>0.0</v>
      </c>
      <c r="AU23" s="8">
        <v>0.0</v>
      </c>
      <c r="AV23" s="8">
        <v>0.0</v>
      </c>
      <c r="AW23" s="8">
        <v>0.0</v>
      </c>
      <c r="AX23" s="9"/>
      <c r="AY23" s="9" t="s">
        <v>969</v>
      </c>
      <c r="AZ23" s="8">
        <v>0.0</v>
      </c>
      <c r="BA23" s="8">
        <v>0.0</v>
      </c>
      <c r="BB23" s="8">
        <v>0.0</v>
      </c>
      <c r="BC23" s="8">
        <v>0.0</v>
      </c>
      <c r="BD23" s="8">
        <v>0.0</v>
      </c>
      <c r="BE23" s="8">
        <v>0.0</v>
      </c>
      <c r="BF23" s="8">
        <v>1.0</v>
      </c>
      <c r="BG23" s="8">
        <v>0.0</v>
      </c>
      <c r="BH23" s="31" t="s">
        <v>2092</v>
      </c>
      <c r="BI23" s="9" t="s">
        <v>936</v>
      </c>
      <c r="BJ23" s="8">
        <v>3.0</v>
      </c>
      <c r="BK23" s="8">
        <v>1.0</v>
      </c>
      <c r="BL23" s="8">
        <v>1.0</v>
      </c>
      <c r="BM23" s="8">
        <v>0.0</v>
      </c>
      <c r="BN23" s="9" t="s">
        <v>853</v>
      </c>
      <c r="BO23" s="9" t="s">
        <v>2000</v>
      </c>
      <c r="BP23" s="8">
        <v>0.0</v>
      </c>
      <c r="BQ23" s="8">
        <v>1.0</v>
      </c>
      <c r="BR23" s="8">
        <v>0.0</v>
      </c>
      <c r="BS23" s="8">
        <v>0.0</v>
      </c>
      <c r="BT23" s="8">
        <v>0.0</v>
      </c>
      <c r="BU23" s="9"/>
      <c r="BV23" s="9" t="s">
        <v>2065</v>
      </c>
      <c r="BW23" s="8">
        <v>1.0</v>
      </c>
      <c r="BX23" s="8">
        <v>0.0</v>
      </c>
      <c r="BY23" s="8">
        <v>0.0</v>
      </c>
      <c r="BZ23" s="8">
        <v>0.0</v>
      </c>
      <c r="CA23" s="8">
        <v>0.0</v>
      </c>
      <c r="CB23" s="9"/>
      <c r="CC23" s="9" t="s">
        <v>1929</v>
      </c>
      <c r="CD23" s="8">
        <v>0.0</v>
      </c>
      <c r="CE23" s="8">
        <v>0.0</v>
      </c>
      <c r="CF23" s="8">
        <v>0.0</v>
      </c>
      <c r="CG23" s="8">
        <v>0.0</v>
      </c>
      <c r="CH23" s="8">
        <v>1.0</v>
      </c>
      <c r="CI23" s="8">
        <v>0.0</v>
      </c>
      <c r="CJ23" s="8">
        <v>0.0</v>
      </c>
      <c r="CK23" s="9"/>
      <c r="CL23" s="9" t="s">
        <v>857</v>
      </c>
      <c r="CM23" s="8">
        <v>2015.0</v>
      </c>
      <c r="CN23" s="9" t="s">
        <v>858</v>
      </c>
      <c r="CO23" s="9" t="s">
        <v>2405</v>
      </c>
      <c r="CP23" s="9" t="s">
        <v>860</v>
      </c>
      <c r="CQ23" s="8">
        <v>0.0</v>
      </c>
      <c r="CR23" s="8">
        <v>0.0</v>
      </c>
      <c r="CS23" s="8">
        <v>0.0</v>
      </c>
      <c r="CT23" s="8">
        <v>0.0</v>
      </c>
      <c r="CU23" s="8">
        <v>1.0</v>
      </c>
      <c r="CV23" s="8">
        <v>0.0</v>
      </c>
      <c r="CW23" s="8">
        <v>0.0</v>
      </c>
      <c r="CX23" s="8">
        <v>0.0</v>
      </c>
      <c r="CY23" s="9" t="s">
        <v>860</v>
      </c>
      <c r="CZ23" s="8">
        <v>1.0</v>
      </c>
      <c r="DA23" s="8">
        <v>0.0</v>
      </c>
      <c r="DB23" s="8">
        <v>0.0</v>
      </c>
      <c r="DC23" s="9"/>
      <c r="DD23" s="9" t="s">
        <v>860</v>
      </c>
      <c r="DE23" s="8">
        <v>1.0</v>
      </c>
      <c r="DF23" s="8">
        <v>0.0</v>
      </c>
      <c r="DG23" s="8">
        <v>0.0</v>
      </c>
      <c r="DH23" s="8">
        <v>0.0</v>
      </c>
      <c r="DI23" s="9"/>
      <c r="DJ23" s="9" t="s">
        <v>937</v>
      </c>
      <c r="DK23" s="8">
        <v>1.0</v>
      </c>
      <c r="DL23" s="8">
        <v>0.0</v>
      </c>
      <c r="DM23" s="8">
        <v>1.0</v>
      </c>
      <c r="DN23" s="8">
        <v>0.0</v>
      </c>
      <c r="DO23" s="9"/>
      <c r="DP23" s="9" t="s">
        <v>938</v>
      </c>
      <c r="DQ23" s="9" t="s">
        <v>939</v>
      </c>
      <c r="DR23" s="17" t="s">
        <v>2030</v>
      </c>
      <c r="DS23" s="9"/>
      <c r="DT23" s="9" t="s">
        <v>2406</v>
      </c>
      <c r="DU23" s="8">
        <v>1.0</v>
      </c>
      <c r="DV23" s="8">
        <v>0.0</v>
      </c>
      <c r="DW23" s="8">
        <v>0.0</v>
      </c>
      <c r="DX23" s="8">
        <v>0.0</v>
      </c>
      <c r="DY23" s="8">
        <v>0.0</v>
      </c>
      <c r="DZ23" s="8">
        <v>1.0</v>
      </c>
      <c r="EA23" s="8">
        <v>0.0</v>
      </c>
      <c r="EB23" s="8">
        <v>0.0</v>
      </c>
      <c r="EC23" s="8">
        <v>0.0</v>
      </c>
      <c r="ED23" s="8">
        <v>0.0</v>
      </c>
      <c r="EE23" s="8">
        <v>0.0</v>
      </c>
      <c r="EF23" s="8">
        <v>0.0</v>
      </c>
      <c r="EG23" s="8">
        <v>0.0</v>
      </c>
      <c r="EH23" s="8">
        <v>0.0</v>
      </c>
      <c r="EI23" s="9" t="s">
        <v>862</v>
      </c>
      <c r="EJ23" s="8">
        <v>0.0</v>
      </c>
      <c r="EK23" s="8">
        <v>0.0</v>
      </c>
      <c r="EL23" s="8">
        <v>0.0</v>
      </c>
      <c r="EM23" s="8">
        <v>1.0</v>
      </c>
      <c r="EN23" s="8">
        <v>0.0</v>
      </c>
      <c r="EO23" s="9"/>
      <c r="EP23" s="9" t="s">
        <v>863</v>
      </c>
      <c r="EQ23" s="9" t="s">
        <v>864</v>
      </c>
      <c r="ER23" s="9" t="s">
        <v>1046</v>
      </c>
      <c r="ES23" s="8">
        <v>1.0</v>
      </c>
      <c r="ET23" s="8">
        <v>1.0</v>
      </c>
      <c r="EU23" s="8">
        <v>0.0</v>
      </c>
      <c r="EV23" s="8">
        <v>0.0</v>
      </c>
      <c r="EW23" s="9"/>
      <c r="EX23" s="9" t="s">
        <v>865</v>
      </c>
      <c r="EY23" s="8">
        <v>1.0</v>
      </c>
      <c r="EZ23" s="8">
        <v>0.0</v>
      </c>
      <c r="FA23" s="8">
        <v>0.0</v>
      </c>
      <c r="FB23" s="9"/>
      <c r="FC23" s="9" t="s">
        <v>866</v>
      </c>
      <c r="FD23" s="9" t="s">
        <v>2032</v>
      </c>
      <c r="FE23" s="9" t="s">
        <v>867</v>
      </c>
      <c r="FF23" s="9" t="s">
        <v>869</v>
      </c>
      <c r="FG23" s="9" t="s">
        <v>867</v>
      </c>
      <c r="FH23" s="9" t="s">
        <v>868</v>
      </c>
      <c r="FI23" s="9" t="s">
        <v>867</v>
      </c>
      <c r="FJ23" s="9" t="s">
        <v>868</v>
      </c>
      <c r="FK23" s="9" t="s">
        <v>867</v>
      </c>
      <c r="FL23" s="9" t="s">
        <v>869</v>
      </c>
      <c r="FM23" s="9" t="s">
        <v>867</v>
      </c>
      <c r="FN23" s="9" t="s">
        <v>870</v>
      </c>
      <c r="FO23" s="9" t="s">
        <v>867</v>
      </c>
      <c r="FP23" s="9" t="s">
        <v>943</v>
      </c>
      <c r="FQ23" s="9" t="s">
        <v>867</v>
      </c>
      <c r="FR23" s="9" t="s">
        <v>857</v>
      </c>
      <c r="FS23" s="9" t="s">
        <v>867</v>
      </c>
      <c r="FT23" s="9" t="s">
        <v>871</v>
      </c>
      <c r="FU23" s="9" t="s">
        <v>989</v>
      </c>
      <c r="FV23" s="8">
        <v>1.0</v>
      </c>
      <c r="FW23" s="8">
        <v>1.0</v>
      </c>
      <c r="FX23" s="8">
        <v>0.0</v>
      </c>
      <c r="FY23" s="8">
        <v>0.0</v>
      </c>
      <c r="FZ23" s="9" t="s">
        <v>1197</v>
      </c>
      <c r="GA23" s="9" t="s">
        <v>874</v>
      </c>
      <c r="GB23" s="8">
        <v>1.0</v>
      </c>
      <c r="GC23" s="8">
        <v>0.0</v>
      </c>
      <c r="GD23" s="8">
        <v>0.0</v>
      </c>
      <c r="GE23" s="8">
        <v>0.0</v>
      </c>
      <c r="GF23" s="9"/>
      <c r="GG23" s="9" t="s">
        <v>875</v>
      </c>
      <c r="GH23" s="9" t="s">
        <v>857</v>
      </c>
      <c r="GI23" s="9" t="s">
        <v>1086</v>
      </c>
      <c r="GJ23" s="8">
        <v>1.0</v>
      </c>
      <c r="GK23" s="8">
        <v>1.0</v>
      </c>
      <c r="GL23" s="8">
        <v>0.0</v>
      </c>
      <c r="GM23" s="8">
        <v>0.0</v>
      </c>
      <c r="GN23" s="9"/>
      <c r="GO23" s="8">
        <v>9.0</v>
      </c>
      <c r="GP23" s="9" t="s">
        <v>1931</v>
      </c>
      <c r="GQ23" s="9" t="s">
        <v>1102</v>
      </c>
      <c r="GR23" s="8">
        <v>1.0</v>
      </c>
      <c r="GS23" s="8">
        <v>0.0</v>
      </c>
      <c r="GT23" s="8">
        <v>0.0</v>
      </c>
      <c r="GU23" s="8">
        <v>0.0</v>
      </c>
      <c r="GV23" s="8">
        <v>0.0</v>
      </c>
      <c r="GW23" s="8">
        <v>0.0</v>
      </c>
      <c r="GX23" s="8">
        <v>0.0</v>
      </c>
      <c r="GY23" s="9"/>
      <c r="GZ23" s="9" t="s">
        <v>857</v>
      </c>
      <c r="HA23" s="9"/>
      <c r="HB23" s="9"/>
      <c r="HC23" s="9"/>
      <c r="HD23" s="9"/>
      <c r="HE23" s="8">
        <v>9.0</v>
      </c>
      <c r="HF23" s="8">
        <v>48000.0</v>
      </c>
      <c r="HG23" s="8">
        <v>3.0</v>
      </c>
      <c r="HH23" s="8">
        <v>22000.0</v>
      </c>
      <c r="HI23" s="9"/>
      <c r="HJ23" s="9"/>
      <c r="HK23" s="9"/>
      <c r="HL23" s="9"/>
      <c r="HM23" s="9"/>
      <c r="HN23" s="9"/>
      <c r="HO23" s="9"/>
      <c r="HP23" s="9"/>
      <c r="HQ23" s="9"/>
      <c r="HR23" s="9"/>
      <c r="HS23" s="9"/>
      <c r="HT23" s="9"/>
      <c r="HU23" s="9"/>
      <c r="HV23" s="9"/>
      <c r="HW23" s="9"/>
      <c r="HX23" s="9"/>
      <c r="HY23" s="9"/>
      <c r="HZ23" s="9"/>
      <c r="IA23" s="8">
        <v>6.0</v>
      </c>
      <c r="IB23" s="8">
        <v>26000.0</v>
      </c>
      <c r="IC23" s="9"/>
      <c r="ID23" s="9"/>
      <c r="IE23" s="9"/>
      <c r="IF23" s="9"/>
      <c r="IG23" s="9"/>
      <c r="IH23" s="9"/>
      <c r="II23" s="9"/>
      <c r="IJ23" s="9"/>
      <c r="IK23" s="9" t="s">
        <v>971</v>
      </c>
      <c r="IL23" s="9" t="s">
        <v>1366</v>
      </c>
      <c r="IM23" s="9" t="s">
        <v>857</v>
      </c>
      <c r="IN23" s="9" t="s">
        <v>881</v>
      </c>
      <c r="IO23" s="9" t="s">
        <v>945</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872</v>
      </c>
      <c r="KW23" s="8">
        <v>1.0</v>
      </c>
      <c r="KX23" s="8">
        <v>0.0</v>
      </c>
      <c r="KY23" s="8">
        <v>0.0</v>
      </c>
      <c r="KZ23" s="8">
        <v>0.0</v>
      </c>
      <c r="LA23" s="9" t="s">
        <v>1180</v>
      </c>
      <c r="LB23" s="9" t="s">
        <v>1180</v>
      </c>
      <c r="LC23" s="8">
        <v>6.0</v>
      </c>
      <c r="LD23" s="8">
        <v>3.0</v>
      </c>
      <c r="LE23" s="8">
        <v>0.0</v>
      </c>
      <c r="LF23" s="8">
        <v>0.0</v>
      </c>
      <c r="LG23" s="9" t="s">
        <v>857</v>
      </c>
      <c r="LH23" s="8">
        <v>150000.0</v>
      </c>
      <c r="LI23" s="9"/>
      <c r="LJ23" s="9" t="s">
        <v>1933</v>
      </c>
      <c r="LK23" s="8">
        <v>0.0</v>
      </c>
      <c r="LL23" s="8">
        <v>0.0</v>
      </c>
      <c r="LM23" s="8">
        <v>0.0</v>
      </c>
      <c r="LN23" s="8">
        <v>0.0</v>
      </c>
      <c r="LO23" s="8">
        <v>1.0</v>
      </c>
      <c r="LP23" s="8">
        <v>1.0</v>
      </c>
      <c r="LQ23" s="8">
        <v>0.0</v>
      </c>
      <c r="LR23" s="11"/>
      <c r="LS23" s="8">
        <v>10.0</v>
      </c>
      <c r="LT23" s="8">
        <v>10.0</v>
      </c>
      <c r="LU23" s="8">
        <v>0.0</v>
      </c>
      <c r="LV23" s="8">
        <v>10.0</v>
      </c>
      <c r="LW23" s="8">
        <v>5.0</v>
      </c>
      <c r="LX23" s="8">
        <v>0.0</v>
      </c>
      <c r="LY23" s="8">
        <v>10.0</v>
      </c>
      <c r="LZ23" s="8">
        <v>10.0</v>
      </c>
      <c r="MA23" s="8">
        <v>0.0</v>
      </c>
      <c r="MB23" s="9" t="s">
        <v>857</v>
      </c>
      <c r="MC23" s="8">
        <v>0.0</v>
      </c>
      <c r="MD23" s="8">
        <v>0.0</v>
      </c>
      <c r="ME23" s="8">
        <v>0.0</v>
      </c>
      <c r="MF23" s="8">
        <v>0.0</v>
      </c>
      <c r="MG23" s="8">
        <v>0.0</v>
      </c>
      <c r="MH23" s="8">
        <v>0.0</v>
      </c>
      <c r="MI23" s="9" t="s">
        <v>2097</v>
      </c>
      <c r="MJ23" s="8">
        <v>0.0</v>
      </c>
      <c r="MK23" s="8">
        <v>1.0</v>
      </c>
      <c r="ML23" s="8">
        <v>0.0</v>
      </c>
      <c r="MM23" s="8">
        <v>0.0</v>
      </c>
      <c r="MN23" s="8">
        <v>0.0</v>
      </c>
      <c r="MO23" s="8">
        <v>0.0</v>
      </c>
      <c r="MP23" s="9"/>
      <c r="MQ23" s="9"/>
      <c r="MR23" s="36" t="s">
        <v>2407</v>
      </c>
      <c r="MS23" s="17" t="s">
        <v>2407</v>
      </c>
      <c r="MT23" s="9"/>
      <c r="MU23" s="9" t="s">
        <v>881</v>
      </c>
      <c r="MV23" s="9"/>
      <c r="MW23" s="9"/>
      <c r="MX23" s="9"/>
      <c r="MY23" s="9"/>
      <c r="MZ23" s="9"/>
      <c r="NA23" s="9"/>
      <c r="NB23" s="9"/>
      <c r="NC23" s="9"/>
      <c r="ND23" s="9"/>
      <c r="NE23" s="9"/>
      <c r="NF23" s="9"/>
      <c r="NG23" s="9"/>
      <c r="NH23" s="9"/>
      <c r="NI23" s="9"/>
      <c r="NJ23" s="9"/>
      <c r="NK23" s="9"/>
      <c r="NL23" s="9" t="s">
        <v>857</v>
      </c>
      <c r="NM23" s="9" t="s">
        <v>1386</v>
      </c>
      <c r="NN23" s="17" t="s">
        <v>1975</v>
      </c>
      <c r="NO23" s="17" t="s">
        <v>895</v>
      </c>
      <c r="NP23" s="9"/>
      <c r="NQ23" s="9"/>
      <c r="NR23" s="9"/>
      <c r="NS23" s="9"/>
      <c r="NT23" s="9"/>
      <c r="NU23" s="9"/>
      <c r="NV23" s="9"/>
      <c r="NW23" s="9"/>
      <c r="NX23" s="9" t="s">
        <v>914</v>
      </c>
      <c r="NY23" s="8">
        <v>120.0</v>
      </c>
      <c r="NZ23" s="8">
        <v>0.0</v>
      </c>
      <c r="OA23" s="8">
        <v>0.0</v>
      </c>
      <c r="OB23" s="8">
        <v>15.0</v>
      </c>
      <c r="OC23" s="8">
        <v>10.0</v>
      </c>
      <c r="OD23" s="8">
        <v>0.0</v>
      </c>
      <c r="OE23" s="9" t="s">
        <v>945</v>
      </c>
      <c r="OF23" s="9" t="s">
        <v>1184</v>
      </c>
      <c r="OG23" s="9" t="s">
        <v>857</v>
      </c>
      <c r="OH23" s="8">
        <v>7.0</v>
      </c>
      <c r="OI23" s="8">
        <v>0.0</v>
      </c>
      <c r="OJ23" s="8">
        <v>0.0</v>
      </c>
      <c r="OK23" s="8">
        <v>0.0</v>
      </c>
      <c r="OL23" s="8">
        <v>0.0</v>
      </c>
      <c r="OM23" s="8">
        <v>0.0</v>
      </c>
      <c r="ON23" s="8">
        <v>10.0</v>
      </c>
      <c r="OO23" s="8">
        <v>0.0</v>
      </c>
      <c r="OP23" s="9" t="str">
        <f>VLOOKUP(AG23,'BUS 2'!$G$1:$CU$424,2,0)</f>
        <v>Sapi pedaging Ayam</v>
      </c>
      <c r="OQ23" s="8">
        <f>VLOOKUP(AG23,'BUS 2'!$G$1:$CU$424,3,0)</f>
        <v>1</v>
      </c>
      <c r="OR23" s="8">
        <f>VLOOKUP(AG23,'BUS 2'!$G$1:$CU$424,4,0)</f>
        <v>0</v>
      </c>
      <c r="OS23" s="8">
        <f>VLOOKUP(AG23,'BUS 2'!$G$1:$CU$424,5,0)</f>
        <v>0</v>
      </c>
      <c r="OT23" s="8">
        <f>VLOOKUP(AG23,'BUS 2'!$G$1:$CU$424,6,0)</f>
        <v>0</v>
      </c>
      <c r="OU23" s="8">
        <f>VLOOKUP(AG23,'BUS 2'!$G$1:$CU$424,7,0)</f>
        <v>0</v>
      </c>
      <c r="OV23" s="8">
        <f>VLOOKUP(AG23,'BUS 2'!$G$1:$CU$424,8,0)</f>
        <v>0</v>
      </c>
      <c r="OW23" s="8">
        <f>VLOOKUP(AG23,'BUS 2'!$G$1:$CU$424,9,0)</f>
        <v>1</v>
      </c>
      <c r="OX23" s="8">
        <f>VLOOKUP(AG23,'BUS 2'!$G$1:$CU$424,10,0)</f>
        <v>0</v>
      </c>
      <c r="OY23" s="8">
        <f>VLOOKUP(AG23,'BUS 2'!$G$1:$CU$424,11,0)</f>
        <v>0</v>
      </c>
      <c r="OZ23" s="8" t="str">
        <f>VLOOKUP(AG23,'BUS 2'!$G$1:$CU$424,12,0)</f>
        <v>Tidak ada</v>
      </c>
      <c r="PA23" s="8">
        <f>VLOOKUP(AG23,'BUS 2'!$G$1:$CU$424,13,0)</f>
        <v>0</v>
      </c>
      <c r="PB23" s="8">
        <f>VLOOKUP(AG23,'BUS 2'!$G$1:$CU$424,14,0)</f>
        <v>0</v>
      </c>
      <c r="PC23" s="8">
        <f>VLOOKUP(AG23,'BUS 2'!$G$1:$CU$424,15,0)</f>
        <v>0</v>
      </c>
      <c r="PD23" s="8">
        <f>VLOOKUP(AG23,'BUS 2'!$G$1:$CU$424,16,0)</f>
        <v>0</v>
      </c>
      <c r="PE23" s="8">
        <f>VLOOKUP(AG23,'BUS 2'!$G$1:$CU$424,17,0)</f>
        <v>0</v>
      </c>
      <c r="PF23" s="8">
        <f>VLOOKUP(AG23,'BUS 2'!$G$1:$CU$424,18,0)</f>
        <v>0</v>
      </c>
      <c r="PG23" s="8">
        <f>VLOOKUP(AG23,'BUS 2'!$G$1:$CU$424,19,0)</f>
        <v>0</v>
      </c>
      <c r="PH23" s="8">
        <f>VLOOKUP(AG23,'BUS 2'!$G$1:$CU$424,20,0)</f>
        <v>0</v>
      </c>
      <c r="PI23" s="8">
        <f>VLOOKUP(AG23,'BUS 2'!$G$1:$CU$424,21,0)</f>
        <v>1</v>
      </c>
      <c r="PJ23" s="8" t="str">
        <f>VLOOKUP(AG23,'BUS 2'!$G$1:$CU$424,22,0)</f>
        <v>Tidak ada</v>
      </c>
      <c r="PK23" s="8">
        <f>VLOOKUP(AG23,'BUS 2'!$G$1:$CU$424,23,0)</f>
        <v>0</v>
      </c>
      <c r="PL23" s="8">
        <f>VLOOKUP(AG23,'BUS 2'!$G$1:$CU$424,24,0)</f>
        <v>0</v>
      </c>
      <c r="PM23" s="8">
        <f>VLOOKUP(AG23,'BUS 2'!$G$1:$CU$424,25,0)</f>
        <v>0</v>
      </c>
      <c r="PN23" s="8">
        <f>VLOOKUP(AG23,'BUS 2'!$G$1:$CU$424,26,0)</f>
        <v>0</v>
      </c>
      <c r="PO23" s="8">
        <f>VLOOKUP(AG23,'BUS 2'!$G$1:$CU$424,27,0)</f>
        <v>0</v>
      </c>
      <c r="PP23" s="8">
        <f>VLOOKUP(AG23,'BUS 2'!$G$1:$CU$424,28,0)</f>
        <v>0</v>
      </c>
      <c r="PQ23" s="8">
        <f>VLOOKUP(AG23,'BUS 2'!$G$1:$CU$424,29,0)</f>
        <v>0</v>
      </c>
      <c r="PR23" s="8">
        <f>VLOOKUP(AG23,'BUS 2'!$G$1:$CU$424,30,0)</f>
        <v>0</v>
      </c>
      <c r="PS23" s="8">
        <f>VLOOKUP(AG23,'BUS 2'!$G$1:$CU$424,31,0)</f>
        <v>1</v>
      </c>
      <c r="PT23" s="9" t="s">
        <v>900</v>
      </c>
      <c r="PU23" s="8">
        <v>0.0</v>
      </c>
      <c r="PV23" s="8">
        <v>0.0</v>
      </c>
      <c r="PW23" s="8">
        <v>0.0</v>
      </c>
      <c r="PX23" s="8">
        <v>0.0</v>
      </c>
      <c r="PY23" s="8">
        <v>0.0</v>
      </c>
      <c r="PZ23" s="8">
        <v>1.0</v>
      </c>
      <c r="QA23" s="8">
        <v>0.0</v>
      </c>
      <c r="QB23" s="8">
        <v>0.0</v>
      </c>
      <c r="QC23" s="8">
        <v>0.0</v>
      </c>
      <c r="QD23" s="9"/>
      <c r="QE23" s="32"/>
      <c r="QF23" s="31"/>
      <c r="QG23" s="31"/>
      <c r="QH23" s="31"/>
      <c r="QI23" s="31"/>
      <c r="QJ23" s="31"/>
      <c r="QK23" s="32"/>
      <c r="QL23" s="32"/>
      <c r="QM23" s="32"/>
      <c r="QN23" s="32"/>
      <c r="QO23" s="32"/>
      <c r="QP23" s="32"/>
      <c r="QQ23" s="32"/>
      <c r="QR23" s="32"/>
      <c r="QS23" s="32"/>
      <c r="QT23" s="32"/>
      <c r="QU23" s="32"/>
      <c r="QV23" s="32"/>
      <c r="QW23" s="31"/>
      <c r="QX23" s="31"/>
      <c r="QY23" s="31"/>
      <c r="QZ23" s="31"/>
      <c r="RA23" s="31"/>
      <c r="RB23" s="32"/>
      <c r="RC23" s="32"/>
      <c r="RD23" s="32"/>
      <c r="RE23" s="32"/>
      <c r="RF23" s="32"/>
      <c r="RG23" s="9"/>
      <c r="RH23" s="31"/>
      <c r="RI23" s="31"/>
      <c r="RJ23" s="31"/>
      <c r="RK23" s="31"/>
      <c r="RL23" s="31"/>
      <c r="RM23" s="9"/>
      <c r="RN23" s="9"/>
      <c r="RO23" s="9"/>
      <c r="RP23" s="9"/>
      <c r="RQ23" s="9"/>
      <c r="RR23" s="9"/>
      <c r="RS23" s="31"/>
      <c r="RT23" s="31"/>
      <c r="RU23" s="31"/>
      <c r="RV23" s="31"/>
      <c r="RW23" s="31"/>
      <c r="RX23" s="9"/>
      <c r="RY23" s="9"/>
      <c r="RZ23" s="9"/>
      <c r="SA23" s="9"/>
      <c r="SB23" s="9"/>
      <c r="SC23" s="9" t="s">
        <v>900</v>
      </c>
      <c r="SD23" s="35">
        <v>0.0</v>
      </c>
      <c r="SE23" s="35">
        <v>0.0</v>
      </c>
      <c r="SF23" s="35">
        <v>0.0</v>
      </c>
      <c r="SG23" s="35">
        <v>0.0</v>
      </c>
      <c r="SH23" s="35">
        <v>0.0</v>
      </c>
      <c r="SI23" s="8">
        <v>1.0</v>
      </c>
      <c r="SJ23" s="8">
        <v>0.0</v>
      </c>
      <c r="SK23" s="8">
        <v>0.0</v>
      </c>
      <c r="SL23" s="8">
        <v>0.0</v>
      </c>
      <c r="SM23" s="9"/>
      <c r="SN23" s="9"/>
      <c r="SO23" s="31"/>
      <c r="SP23" s="31"/>
      <c r="SQ23" s="31"/>
      <c r="SR23" s="31"/>
      <c r="SS23" s="31"/>
      <c r="ST23" s="9"/>
      <c r="SU23" s="9"/>
      <c r="SV23" s="9"/>
      <c r="SW23" s="9"/>
      <c r="SX23" s="9"/>
      <c r="SY23" s="8">
        <f>VLOOKUP(AG23,'BUS 2'!$G$1:$CU$424,33,0)</f>
        <v>7</v>
      </c>
      <c r="SZ23" s="9" t="str">
        <f>VLOOKUP(AG23,'BUS 2'!$G$1:$CU$424,34,0)</f>
        <v/>
      </c>
      <c r="TA23" s="9" t="str">
        <f>VLOOKUP(AG23,'BUS 2'!$G$1:$CU$424,35,0)</f>
        <v/>
      </c>
      <c r="TB23" s="9" t="str">
        <f>VLOOKUP(AG23,'BUS 2'!$G$1:$CU$424,36,0)</f>
        <v/>
      </c>
      <c r="TC23" s="9" t="str">
        <f>VLOOKUP(AG23,'BUS 2'!$G$1:$CU$424,37,0)</f>
        <v/>
      </c>
      <c r="TD23" s="9" t="str">
        <f>VLOOKUP(AG23,'BUS 2'!$G$1:$CU$424,38,0)</f>
        <v/>
      </c>
      <c r="TE23" s="9">
        <f>VLOOKUP(AG23,'BUS 2'!$G$1:$CU$424,39,0)</f>
        <v>10</v>
      </c>
      <c r="TF23" s="9" t="str">
        <f>VLOOKUP(AG23,'BUS 2'!$G$1:$CU$424,40,0)</f>
        <v/>
      </c>
      <c r="TG23" s="8" t="str">
        <f>VLOOKUP(AG23,'BUS 2'!$G$1:$CU$424,42,0)</f>
        <v/>
      </c>
      <c r="TH23" s="8" t="str">
        <f>VLOOKUP(AG23,'BUS 2'!$G$1:$CU$424,43,0)</f>
        <v/>
      </c>
      <c r="TI23" s="8" t="str">
        <f>VLOOKUP(AG23,'BUS 2'!$G$1:$CU$424,44,0)</f>
        <v/>
      </c>
      <c r="TJ23" s="8" t="str">
        <f>VLOOKUP(AG23,'BUS 2'!$G$1:$CU$424,45,0)</f>
        <v/>
      </c>
      <c r="TK23" s="8" t="str">
        <f>VLOOKUP(AG23,'BUS 2'!$G$1:$CU$424,46,0)</f>
        <v/>
      </c>
      <c r="TL23" s="8" t="str">
        <f>VLOOKUP(AG23,'BUS 2'!$G$1:$CU$424,47,0)</f>
        <v/>
      </c>
      <c r="TM23" s="8" t="str">
        <f>VLOOKUP(AG23,'BUS 2'!$G$1:$CU$424,48,0)</f>
        <v/>
      </c>
      <c r="TN23" s="8" t="str">
        <f>VLOOKUP(AG23,'BUS 2'!$G$1:$CU$424,49,0)</f>
        <v/>
      </c>
      <c r="TO23" s="8" t="str">
        <f>VLOOKUP(AG23,'BUS 2'!$G$1:$CU$424,50,0)</f>
        <v/>
      </c>
      <c r="TP23" s="8" t="str">
        <f>VLOOKUP(AG23,'BUS 2'!$G$1:$CU$424,51,0)</f>
        <v/>
      </c>
      <c r="TQ23" s="8" t="str">
        <f>VLOOKUP(AG23,'BUS 2'!$G$1:$CU$424,52,0)</f>
        <v/>
      </c>
      <c r="TR23" s="8" t="str">
        <f>VLOOKUP(AG23,'BUS 2'!$G$1:$CU$424,53,0)</f>
        <v/>
      </c>
      <c r="TS23" s="9" t="str">
        <f>VLOOKUP(AG23,'BUS 2'!$G$1:$CU$424,54,0)</f>
        <v/>
      </c>
      <c r="TT23" s="9" t="str">
        <f>VLOOKUP(AG23,'BUS 2'!$G$1:$CU$424,55,0)</f>
        <v/>
      </c>
      <c r="TU23" s="9" t="str">
        <f>VLOOKUP(AG23,'BUS 2'!$G$1:$CU$424,56,0)</f>
        <v/>
      </c>
      <c r="TV23" s="9" t="str">
        <f>VLOOKUP(AG23,'BUS 2'!$G$1:$CU$424,57,0)</f>
        <v/>
      </c>
      <c r="TW23" s="9" t="str">
        <f>VLOOKUP(AG23,'BUS 2'!$G$1:$CU$424,58,0)</f>
        <v/>
      </c>
      <c r="TX23" s="9" t="str">
        <f>VLOOKUP(AG23,'BUS 2'!$G$1:$CU$424,59,0)</f>
        <v/>
      </c>
      <c r="TY23" s="9" t="str">
        <f>VLOOKUP(AG23,'BUS 2'!$G$1:$CU$424,60,0)</f>
        <v/>
      </c>
      <c r="TZ23" s="9" t="str">
        <f>VLOOKUP(AG23,'BUS 2'!$G$1:$CU$424,61,0)</f>
        <v/>
      </c>
      <c r="UA23" s="9" t="str">
        <f>VLOOKUP(AG23,'BUS 2'!$G$1:$CU$424,62,0)</f>
        <v/>
      </c>
      <c r="UB23" s="9" t="str">
        <f>VLOOKUP(AG23,'BUS 2'!$G$1:$CU$424,63,0)</f>
        <v/>
      </c>
      <c r="UC23" s="9" t="str">
        <f>VLOOKUP(AG23,'BUS 2'!$G$1:$CU$424,64,0)</f>
        <v/>
      </c>
      <c r="UD23" s="9" t="str">
        <f>VLOOKUP(AG23,'BUS 2'!$G$1:$CU$424,65,0)</f>
        <v/>
      </c>
      <c r="UE23" s="9" t="str">
        <f>VLOOKUP(AG23,'BUS 2'!$G$1:$CU$424,66,0)</f>
        <v/>
      </c>
      <c r="UF23" s="9" t="str">
        <f>VLOOKUP(AG23,'BUS 2'!$G$1:$CU$424,67,0)</f>
        <v/>
      </c>
      <c r="UG23" s="9" t="str">
        <f>VLOOKUP(AG23,'BUS 2'!$G$1:$CU$424,68,0)</f>
        <v/>
      </c>
      <c r="UH23" s="9" t="str">
        <f>VLOOKUP(AG23,'BUS 2'!$G$1:$CU$424,69,0)</f>
        <v/>
      </c>
      <c r="UI23" s="9" t="str">
        <f>VLOOKUP(AG23,'BUS 2'!$G$1:$CU$424,70,0)</f>
        <v/>
      </c>
      <c r="UJ23" s="9" t="str">
        <f>VLOOKUP(AG23,'BUS 2'!$G$1:$CU$424,71,0)</f>
        <v/>
      </c>
      <c r="UK23" s="9" t="str">
        <f>VLOOKUP(AG23,'BUS 2'!$G$1:$CU$424,72,0)</f>
        <v/>
      </c>
      <c r="UL23" s="9" t="str">
        <f>VLOOKUP(AG23,'BUS 2'!$G$1:$CU$424,73,0)</f>
        <v/>
      </c>
      <c r="UM23" s="9" t="str">
        <f>VLOOKUP(AG23,'BUS 2'!$G$1:$CU$424,74,0)</f>
        <v/>
      </c>
      <c r="UN23" s="9" t="str">
        <f>VLOOKUP(AG23,'BUS 2'!$G$1:$CU$424,75,0)</f>
        <v/>
      </c>
      <c r="UO23" s="9" t="str">
        <f>VLOOKUP(AG23,'BUS 2'!$G$1:$CU$424,76,0)</f>
        <v/>
      </c>
      <c r="UP23" s="9" t="str">
        <f>VLOOKUP(AG23,'BUS 2'!$G$1:$CU$424,77,0)</f>
        <v/>
      </c>
      <c r="UQ23" s="9" t="str">
        <f>VLOOKUP(AG23,'BUS 2'!$G$1:$CU$424,78,0)</f>
        <v/>
      </c>
      <c r="UR23" s="9" t="str">
        <f>VLOOKUP(AG23,'BUS 2'!$G$1:$CU$424,79,0)</f>
        <v/>
      </c>
      <c r="US23" s="9" t="str">
        <f>VLOOKUP(AG23,'BUS 2'!$G$1:$CU$424,80,0)</f>
        <v/>
      </c>
      <c r="UT23" s="9" t="str">
        <f>VLOOKUP(AG23,'BUS 2'!$G$1:$CU$424,81,0)</f>
        <v/>
      </c>
      <c r="UU23" s="9" t="s">
        <v>901</v>
      </c>
      <c r="UV23" s="9"/>
      <c r="UW23" s="9"/>
      <c r="UX23" s="9"/>
      <c r="UY23" s="9"/>
      <c r="UZ23" s="9"/>
      <c r="VA23" s="9" t="s">
        <v>1937</v>
      </c>
      <c r="VB23" s="9"/>
      <c r="VC23" s="9" t="s">
        <v>1938</v>
      </c>
      <c r="VD23" s="9"/>
      <c r="VE23" s="9"/>
      <c r="VF23" s="9"/>
      <c r="VG23" s="9"/>
      <c r="VH23" s="9"/>
      <c r="VI23" s="9" t="s">
        <v>1938</v>
      </c>
      <c r="VJ23" s="9"/>
      <c r="VK23" s="9" t="s">
        <v>1939</v>
      </c>
      <c r="VL23" s="9"/>
      <c r="VM23" s="9"/>
      <c r="VN23" s="9"/>
      <c r="VO23" s="9"/>
      <c r="VP23" s="9"/>
      <c r="VQ23" s="9" t="s">
        <v>1939</v>
      </c>
      <c r="VR23" s="9"/>
      <c r="VS23" s="9" t="s">
        <v>1940</v>
      </c>
      <c r="VT23" s="8">
        <v>0.0</v>
      </c>
      <c r="VU23" s="8">
        <v>0.0</v>
      </c>
      <c r="VV23" s="8">
        <v>0.0</v>
      </c>
      <c r="VW23" s="8">
        <v>0.0</v>
      </c>
      <c r="VX23" s="8">
        <v>0.0</v>
      </c>
      <c r="VY23" s="8">
        <v>1.0</v>
      </c>
      <c r="VZ23" s="8">
        <v>0.0</v>
      </c>
      <c r="WA23" s="8">
        <v>0.0</v>
      </c>
      <c r="WB23" s="8">
        <v>0.0</v>
      </c>
      <c r="WC23" s="8">
        <v>0.0</v>
      </c>
      <c r="WD23" s="8">
        <v>0.0</v>
      </c>
      <c r="WE23" s="8">
        <v>0.0</v>
      </c>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t="s">
        <v>2361</v>
      </c>
      <c r="YO23" s="8">
        <v>0.0</v>
      </c>
      <c r="YP23" s="8">
        <v>0.0</v>
      </c>
      <c r="YQ23" s="8">
        <v>0.0</v>
      </c>
      <c r="YR23" s="8">
        <v>0.0</v>
      </c>
      <c r="YS23" s="8">
        <v>0.0</v>
      </c>
      <c r="YT23" s="8">
        <v>0.0</v>
      </c>
      <c r="YU23" s="8">
        <v>0.0</v>
      </c>
      <c r="YV23" s="8">
        <v>0.0</v>
      </c>
      <c r="YW23" s="8">
        <v>1.0</v>
      </c>
      <c r="YX23" s="8">
        <v>0.0</v>
      </c>
      <c r="YY23" s="8">
        <v>0.0</v>
      </c>
      <c r="YZ23" s="8">
        <v>0.0</v>
      </c>
      <c r="ZA23" s="9"/>
      <c r="ZB23" s="9"/>
      <c r="ZC23" s="9"/>
      <c r="ZD23" s="9"/>
      <c r="ZE23" s="9"/>
      <c r="ZF23" s="9"/>
      <c r="ZG23" s="9"/>
      <c r="ZH23" s="9"/>
      <c r="ZI23" s="9"/>
      <c r="ZJ23" s="9"/>
      <c r="ZK23" s="9"/>
      <c r="ZL23" s="9"/>
      <c r="ZM23" s="9"/>
      <c r="ZN23" s="9"/>
      <c r="ZO23" s="9"/>
      <c r="ZP23" s="9"/>
      <c r="ZQ23" s="9"/>
      <c r="ZR23" s="9"/>
      <c r="ZS23" s="9"/>
      <c r="ZT23" s="9"/>
      <c r="ZU23" s="9"/>
      <c r="ZV23" s="8">
        <v>2.0</v>
      </c>
      <c r="ZW23" s="9"/>
      <c r="ZX23" s="9"/>
      <c r="ZY23" s="9"/>
      <c r="ZZ23" s="9"/>
      <c r="AAA23" s="9"/>
      <c r="AAB23" s="8">
        <v>2.0</v>
      </c>
      <c r="AAC23" s="9"/>
      <c r="AAD23" s="9" t="s">
        <v>1186</v>
      </c>
      <c r="AAE23" s="9"/>
      <c r="AAF23" s="9"/>
      <c r="AAG23" s="9"/>
      <c r="AAH23" s="9"/>
      <c r="AAI23" s="9"/>
      <c r="AAJ23" s="9" t="s">
        <v>905</v>
      </c>
      <c r="AAK23" s="9"/>
      <c r="AAL23" s="9" t="s">
        <v>857</v>
      </c>
      <c r="AAM23" s="9" t="s">
        <v>1033</v>
      </c>
      <c r="AAN23" s="8">
        <v>1.0</v>
      </c>
      <c r="AAO23" s="8">
        <v>1.0</v>
      </c>
      <c r="AAP23" s="8">
        <v>5.0</v>
      </c>
      <c r="AAQ23" s="8">
        <v>8.0</v>
      </c>
      <c r="AAR23" s="9" t="s">
        <v>857</v>
      </c>
      <c r="AAS23" s="9" t="s">
        <v>867</v>
      </c>
      <c r="AAT23" s="9" t="s">
        <v>906</v>
      </c>
      <c r="AAU23" s="8">
        <v>1.0</v>
      </c>
      <c r="AAV23" s="8">
        <v>0.0</v>
      </c>
      <c r="AAW23" s="8">
        <v>0.0</v>
      </c>
      <c r="AAX23" s="8">
        <v>0.0</v>
      </c>
      <c r="AAY23" s="8">
        <v>0.0</v>
      </c>
      <c r="AAZ23" s="8">
        <v>0.0</v>
      </c>
      <c r="ABA23" s="8">
        <v>0.0</v>
      </c>
      <c r="ABB23" s="9" t="s">
        <v>907</v>
      </c>
      <c r="ABC23" s="8">
        <v>1.0</v>
      </c>
      <c r="ABD23" s="8">
        <v>0.0</v>
      </c>
      <c r="ABE23" s="8">
        <v>0.0</v>
      </c>
      <c r="ABF23" s="8">
        <v>0.0</v>
      </c>
      <c r="ABG23" s="8">
        <v>0.0</v>
      </c>
      <c r="ABH23" s="9"/>
      <c r="ABI23" s="9"/>
      <c r="ABJ23" s="9"/>
      <c r="ABK23" s="9"/>
      <c r="ABL23" s="9"/>
      <c r="ABM23" s="9"/>
      <c r="ABN23" s="9"/>
      <c r="ABO23" s="9"/>
      <c r="ABP23" s="9"/>
      <c r="ABQ23" s="9" t="s">
        <v>2042</v>
      </c>
      <c r="ABR23" s="9" t="s">
        <v>909</v>
      </c>
      <c r="ABS23" s="8">
        <v>6000.0</v>
      </c>
      <c r="ABT23" s="9"/>
      <c r="ABU23" s="8">
        <v>15.0</v>
      </c>
      <c r="ABV23" s="8">
        <v>15.0</v>
      </c>
      <c r="ABW23" s="9" t="s">
        <v>1199</v>
      </c>
      <c r="ABX23" s="9"/>
      <c r="ABY23" s="8">
        <v>150.0</v>
      </c>
      <c r="ABZ23" s="8">
        <v>2200.0</v>
      </c>
      <c r="ACA23" s="8">
        <v>100.0</v>
      </c>
      <c r="ACB23" s="8">
        <v>2500.0</v>
      </c>
      <c r="ACC23" s="8">
        <v>3000.0</v>
      </c>
      <c r="ACD23" s="8">
        <v>3050.0</v>
      </c>
      <c r="ACE23" s="9" t="s">
        <v>857</v>
      </c>
      <c r="ACF23" s="9" t="s">
        <v>911</v>
      </c>
      <c r="ACG23" s="9" t="s">
        <v>911</v>
      </c>
      <c r="ACH23" s="9" t="s">
        <v>911</v>
      </c>
      <c r="ACI23" s="9"/>
      <c r="ACJ23" s="9"/>
      <c r="ACK23" s="9"/>
      <c r="ACL23" s="9"/>
      <c r="ACM23" s="9"/>
      <c r="ACN23" s="9"/>
      <c r="ACO23" s="9"/>
      <c r="ACP23" s="9"/>
      <c r="ACQ23" s="9"/>
      <c r="ACR23" s="9"/>
      <c r="ACS23" s="9"/>
      <c r="ACT23" s="9" t="s">
        <v>1945</v>
      </c>
      <c r="ACU23" s="9" t="s">
        <v>1050</v>
      </c>
      <c r="ACV23" s="9" t="s">
        <v>996</v>
      </c>
      <c r="ACW23" s="9" t="s">
        <v>915</v>
      </c>
      <c r="ACX23" s="9" t="s">
        <v>916</v>
      </c>
      <c r="ACY23" s="9" t="s">
        <v>1017</v>
      </c>
      <c r="ACZ23" s="8">
        <v>1.0</v>
      </c>
      <c r="ADA23" s="8">
        <v>1.0</v>
      </c>
      <c r="ADB23" s="8">
        <v>1.0</v>
      </c>
      <c r="ADC23" s="8">
        <v>0.0</v>
      </c>
      <c r="ADD23" s="9" t="s">
        <v>917</v>
      </c>
      <c r="ADE23" s="9" t="s">
        <v>917</v>
      </c>
      <c r="ADF23" s="9" t="s">
        <v>917</v>
      </c>
      <c r="ADG23" s="9" t="s">
        <v>917</v>
      </c>
      <c r="ADH23" s="9" t="s">
        <v>881</v>
      </c>
      <c r="ADI23" s="9"/>
      <c r="ADJ23" s="9" t="s">
        <v>917</v>
      </c>
      <c r="ADK23" s="9"/>
      <c r="ADL23" s="9"/>
      <c r="ADM23" s="9"/>
      <c r="ADN23" s="9"/>
      <c r="ADO23" s="9"/>
      <c r="ADP23" s="9"/>
      <c r="ADQ23" s="9"/>
      <c r="ADR23" s="9"/>
      <c r="ADS23" s="9"/>
      <c r="ADT23" s="9"/>
      <c r="ADU23" s="9" t="s">
        <v>2046</v>
      </c>
      <c r="ADV23" s="8">
        <v>0.0</v>
      </c>
      <c r="ADW23" s="8">
        <v>0.0</v>
      </c>
      <c r="ADX23" s="8">
        <v>0.0</v>
      </c>
      <c r="ADY23" s="8">
        <v>0.0</v>
      </c>
      <c r="ADZ23" s="8">
        <v>0.0</v>
      </c>
      <c r="AEA23" s="8">
        <v>1.0</v>
      </c>
      <c r="AEB23" s="8">
        <v>0.0</v>
      </c>
      <c r="AEC23" s="8">
        <v>0.0</v>
      </c>
      <c r="AED23" s="9" t="s">
        <v>1945</v>
      </c>
      <c r="AEE23" s="9" t="s">
        <v>872</v>
      </c>
      <c r="AEF23" s="9"/>
      <c r="AEG23" s="9" t="s">
        <v>920</v>
      </c>
      <c r="AEH23" s="9"/>
      <c r="AEI23" s="9" t="s">
        <v>2408</v>
      </c>
      <c r="AEJ23" s="9" t="s">
        <v>871</v>
      </c>
      <c r="AEK23" s="9" t="s">
        <v>2103</v>
      </c>
      <c r="AEL23" s="8">
        <v>0.0</v>
      </c>
      <c r="AEM23" s="8">
        <v>0.0</v>
      </c>
      <c r="AEN23" s="8">
        <v>0.0</v>
      </c>
      <c r="AEO23" s="8">
        <v>0.0</v>
      </c>
      <c r="AEP23" s="8">
        <v>1.0</v>
      </c>
      <c r="AEQ23" s="8">
        <v>0.0</v>
      </c>
      <c r="AER23" s="8">
        <v>1.0</v>
      </c>
      <c r="AES23" s="8">
        <v>1.0</v>
      </c>
      <c r="AET23" s="8">
        <v>0.0</v>
      </c>
      <c r="AEU23" s="8">
        <v>0.0</v>
      </c>
      <c r="AEV23" s="8">
        <v>0.0</v>
      </c>
      <c r="AEW23" s="8">
        <v>0.0</v>
      </c>
      <c r="AEX23" s="9"/>
      <c r="AEY23" s="9" t="s">
        <v>1981</v>
      </c>
      <c r="AEZ23" s="9"/>
      <c r="AFA23" s="9" t="s">
        <v>924</v>
      </c>
      <c r="AFB23" s="9"/>
      <c r="AFC23" s="9" t="s">
        <v>2409</v>
      </c>
      <c r="AFD23" s="16" t="s">
        <v>2410</v>
      </c>
      <c r="AFE23" s="9" t="s">
        <v>2411</v>
      </c>
      <c r="AFF23" s="16" t="s">
        <v>2412</v>
      </c>
      <c r="AFG23" s="9" t="s">
        <v>1919</v>
      </c>
      <c r="AFH23" s="9"/>
      <c r="AFI23" s="21"/>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8">
        <v>6.72399465E8</v>
      </c>
      <c r="AWB23" s="9" t="s">
        <v>2413</v>
      </c>
      <c r="AWC23" s="6">
        <v>46068.0</v>
      </c>
      <c r="AWD23" s="9"/>
      <c r="AWE23" s="9"/>
      <c r="AWF23" s="9" t="s">
        <v>1954</v>
      </c>
      <c r="AWG23" s="9"/>
      <c r="AWH23" s="9" t="s">
        <v>1989</v>
      </c>
      <c r="AWI23" s="9"/>
      <c r="AWJ23" s="9" t="s">
        <v>2414</v>
      </c>
      <c r="AWK23" s="8">
        <v>243.0</v>
      </c>
      <c r="AWL23" s="9" t="s">
        <v>2404</v>
      </c>
      <c r="AWM23" s="8">
        <v>0.0</v>
      </c>
      <c r="AWN23" s="9" t="s">
        <v>1957</v>
      </c>
      <c r="AWO23" s="33" t="b">
        <v>1</v>
      </c>
      <c r="AWP23" s="33" t="b">
        <v>1</v>
      </c>
      <c r="AWQ23" s="33" t="b">
        <v>1</v>
      </c>
      <c r="AWR23" s="33" t="b">
        <v>1</v>
      </c>
      <c r="AWS23" s="33" t="b">
        <v>1</v>
      </c>
      <c r="AWT23" s="33" t="b">
        <v>1</v>
      </c>
      <c r="AWU23" s="9"/>
      <c r="AWV23" s="8">
        <v>6.0</v>
      </c>
      <c r="AWW23" s="9"/>
      <c r="AWX23" s="9"/>
      <c r="AWY23" s="9"/>
      <c r="AWZ23" s="9"/>
    </row>
    <row r="24">
      <c r="A24" s="6">
        <v>46063.0</v>
      </c>
      <c r="B24" s="6">
        <v>46068.0</v>
      </c>
      <c r="C24" s="30" t="s">
        <v>1919</v>
      </c>
      <c r="D24" s="30" t="s">
        <v>2415</v>
      </c>
      <c r="E24" s="8">
        <f>+6283132187580</f>
        <v>6283132187580</v>
      </c>
      <c r="F24" s="9" t="s">
        <v>2416</v>
      </c>
      <c r="G24" s="8">
        <v>-5.006267</v>
      </c>
      <c r="H24" s="8">
        <v>119.653295</v>
      </c>
      <c r="I24" s="8">
        <v>77.991</v>
      </c>
      <c r="J24" s="8">
        <v>1.350000024</v>
      </c>
      <c r="K24" s="8">
        <v>0.0</v>
      </c>
      <c r="L24" s="9" t="s">
        <v>2417</v>
      </c>
      <c r="M24" s="8">
        <v>-5.00626</v>
      </c>
      <c r="N24" s="8">
        <v>119.653289</v>
      </c>
      <c r="O24" s="8">
        <v>78.816</v>
      </c>
      <c r="P24" s="8">
        <v>7.804999828</v>
      </c>
      <c r="Q24" s="8">
        <v>0.0</v>
      </c>
      <c r="R24" s="9" t="s">
        <v>1923</v>
      </c>
      <c r="S24" s="8">
        <v>0.0</v>
      </c>
      <c r="T24" s="8">
        <v>0.0</v>
      </c>
      <c r="U24" s="8">
        <v>0.0</v>
      </c>
      <c r="V24" s="8">
        <v>0.0</v>
      </c>
      <c r="W24" s="8">
        <v>0.0</v>
      </c>
      <c r="X24" s="8">
        <v>0.0</v>
      </c>
      <c r="Y24" s="8">
        <v>0.0</v>
      </c>
      <c r="Z24" s="8">
        <v>0.0</v>
      </c>
      <c r="AA24" s="8">
        <v>0.0</v>
      </c>
      <c r="AB24" s="8">
        <v>1.0</v>
      </c>
      <c r="AC24" s="7" t="s">
        <v>1924</v>
      </c>
      <c r="AD24" s="7" t="s">
        <v>2209</v>
      </c>
      <c r="AE24" s="7" t="s">
        <v>2210</v>
      </c>
      <c r="AF24" s="9" t="s">
        <v>2090</v>
      </c>
      <c r="AG24" s="9" t="s">
        <v>2418</v>
      </c>
      <c r="AH24" s="8">
        <v>10.0</v>
      </c>
      <c r="AI24" s="9" t="s">
        <v>933</v>
      </c>
      <c r="AJ24" s="9" t="s">
        <v>934</v>
      </c>
      <c r="AK24" s="8">
        <v>58.0</v>
      </c>
      <c r="AL24" s="9" t="s">
        <v>847</v>
      </c>
      <c r="AM24" s="9" t="s">
        <v>848</v>
      </c>
      <c r="AN24" s="9" t="s">
        <v>986</v>
      </c>
      <c r="AO24" s="9" t="s">
        <v>850</v>
      </c>
      <c r="AP24" s="8">
        <v>1.0</v>
      </c>
      <c r="AQ24" s="8">
        <v>0.0</v>
      </c>
      <c r="AR24" s="8">
        <v>0.0</v>
      </c>
      <c r="AS24" s="8">
        <v>0.0</v>
      </c>
      <c r="AT24" s="8">
        <v>0.0</v>
      </c>
      <c r="AU24" s="8">
        <v>0.0</v>
      </c>
      <c r="AV24" s="8">
        <v>0.0</v>
      </c>
      <c r="AW24" s="8">
        <v>0.0</v>
      </c>
      <c r="AX24" s="9"/>
      <c r="AY24" s="9" t="s">
        <v>935</v>
      </c>
      <c r="AZ24" s="8">
        <v>0.0</v>
      </c>
      <c r="BA24" s="8">
        <v>1.0</v>
      </c>
      <c r="BB24" s="8">
        <v>0.0</v>
      </c>
      <c r="BC24" s="8">
        <v>0.0</v>
      </c>
      <c r="BD24" s="8">
        <v>0.0</v>
      </c>
      <c r="BE24" s="8">
        <v>0.0</v>
      </c>
      <c r="BF24" s="8">
        <v>0.0</v>
      </c>
      <c r="BG24" s="8">
        <v>0.0</v>
      </c>
      <c r="BH24" s="11"/>
      <c r="BI24" s="9" t="s">
        <v>936</v>
      </c>
      <c r="BJ24" s="8">
        <v>2.0</v>
      </c>
      <c r="BK24" s="8">
        <v>1.0</v>
      </c>
      <c r="BL24" s="8">
        <v>1.0</v>
      </c>
      <c r="BM24" s="8">
        <v>0.0</v>
      </c>
      <c r="BN24" s="9" t="s">
        <v>853</v>
      </c>
      <c r="BO24" s="9" t="s">
        <v>2000</v>
      </c>
      <c r="BP24" s="8">
        <v>0.0</v>
      </c>
      <c r="BQ24" s="8">
        <v>1.0</v>
      </c>
      <c r="BR24" s="8">
        <v>0.0</v>
      </c>
      <c r="BS24" s="8">
        <v>0.0</v>
      </c>
      <c r="BT24" s="8">
        <v>0.0</v>
      </c>
      <c r="BU24" s="9"/>
      <c r="BV24" s="9" t="s">
        <v>2065</v>
      </c>
      <c r="BW24" s="8">
        <v>1.0</v>
      </c>
      <c r="BX24" s="8">
        <v>0.0</v>
      </c>
      <c r="BY24" s="8">
        <v>0.0</v>
      </c>
      <c r="BZ24" s="8">
        <v>0.0</v>
      </c>
      <c r="CA24" s="8">
        <v>0.0</v>
      </c>
      <c r="CB24" s="9"/>
      <c r="CC24" s="9" t="s">
        <v>1929</v>
      </c>
      <c r="CD24" s="8">
        <v>0.0</v>
      </c>
      <c r="CE24" s="8">
        <v>0.0</v>
      </c>
      <c r="CF24" s="8">
        <v>0.0</v>
      </c>
      <c r="CG24" s="8">
        <v>0.0</v>
      </c>
      <c r="CH24" s="8">
        <v>1.0</v>
      </c>
      <c r="CI24" s="8">
        <v>0.0</v>
      </c>
      <c r="CJ24" s="8">
        <v>0.0</v>
      </c>
      <c r="CK24" s="9"/>
      <c r="CL24" s="9" t="s">
        <v>857</v>
      </c>
      <c r="CM24" s="8">
        <v>2015.0</v>
      </c>
      <c r="CN24" s="9" t="s">
        <v>858</v>
      </c>
      <c r="CO24" s="9" t="s">
        <v>1968</v>
      </c>
      <c r="CP24" s="9" t="s">
        <v>860</v>
      </c>
      <c r="CQ24" s="8">
        <v>0.0</v>
      </c>
      <c r="CR24" s="8">
        <v>0.0</v>
      </c>
      <c r="CS24" s="8">
        <v>0.0</v>
      </c>
      <c r="CT24" s="8">
        <v>0.0</v>
      </c>
      <c r="CU24" s="8">
        <v>1.0</v>
      </c>
      <c r="CV24" s="8">
        <v>0.0</v>
      </c>
      <c r="CW24" s="8">
        <v>0.0</v>
      </c>
      <c r="CX24" s="8">
        <v>0.0</v>
      </c>
      <c r="CY24" s="9" t="s">
        <v>860</v>
      </c>
      <c r="CZ24" s="8">
        <v>1.0</v>
      </c>
      <c r="DA24" s="8">
        <v>0.0</v>
      </c>
      <c r="DB24" s="8">
        <v>0.0</v>
      </c>
      <c r="DC24" s="9"/>
      <c r="DD24" s="9" t="s">
        <v>860</v>
      </c>
      <c r="DE24" s="8">
        <v>1.0</v>
      </c>
      <c r="DF24" s="8">
        <v>0.0</v>
      </c>
      <c r="DG24" s="8">
        <v>0.0</v>
      </c>
      <c r="DH24" s="8">
        <v>0.0</v>
      </c>
      <c r="DI24" s="9"/>
      <c r="DJ24" s="9" t="s">
        <v>861</v>
      </c>
      <c r="DK24" s="8">
        <v>0.0</v>
      </c>
      <c r="DL24" s="8">
        <v>0.0</v>
      </c>
      <c r="DM24" s="8">
        <v>1.0</v>
      </c>
      <c r="DN24" s="8">
        <v>0.0</v>
      </c>
      <c r="DO24" s="9"/>
      <c r="DP24" s="9" t="s">
        <v>938</v>
      </c>
      <c r="DQ24" s="9" t="s">
        <v>939</v>
      </c>
      <c r="DR24" s="17" t="s">
        <v>2030</v>
      </c>
      <c r="DS24" s="9"/>
      <c r="DT24" s="9" t="s">
        <v>2031</v>
      </c>
      <c r="DU24" s="8">
        <v>1.0</v>
      </c>
      <c r="DV24" s="8">
        <v>0.0</v>
      </c>
      <c r="DW24" s="8">
        <v>0.0</v>
      </c>
      <c r="DX24" s="8">
        <v>0.0</v>
      </c>
      <c r="DY24" s="8">
        <v>0.0</v>
      </c>
      <c r="DZ24" s="8">
        <v>0.0</v>
      </c>
      <c r="EA24" s="8">
        <v>0.0</v>
      </c>
      <c r="EB24" s="8">
        <v>0.0</v>
      </c>
      <c r="EC24" s="8">
        <v>0.0</v>
      </c>
      <c r="ED24" s="8">
        <v>0.0</v>
      </c>
      <c r="EE24" s="8">
        <v>0.0</v>
      </c>
      <c r="EF24" s="8">
        <v>0.0</v>
      </c>
      <c r="EG24" s="8">
        <v>0.0</v>
      </c>
      <c r="EH24" s="8">
        <v>0.0</v>
      </c>
      <c r="EI24" s="9" t="s">
        <v>862</v>
      </c>
      <c r="EJ24" s="8">
        <v>0.0</v>
      </c>
      <c r="EK24" s="8">
        <v>0.0</v>
      </c>
      <c r="EL24" s="8">
        <v>0.0</v>
      </c>
      <c r="EM24" s="8">
        <v>1.0</v>
      </c>
      <c r="EN24" s="8">
        <v>0.0</v>
      </c>
      <c r="EO24" s="9"/>
      <c r="EP24" s="9" t="s">
        <v>863</v>
      </c>
      <c r="EQ24" s="9" t="s">
        <v>864</v>
      </c>
      <c r="ER24" s="9" t="s">
        <v>861</v>
      </c>
      <c r="ES24" s="8">
        <v>1.0</v>
      </c>
      <c r="ET24" s="8">
        <v>0.0</v>
      </c>
      <c r="EU24" s="8">
        <v>0.0</v>
      </c>
      <c r="EV24" s="8">
        <v>0.0</v>
      </c>
      <c r="EW24" s="9"/>
      <c r="EX24" s="9" t="s">
        <v>865</v>
      </c>
      <c r="EY24" s="8">
        <v>1.0</v>
      </c>
      <c r="EZ24" s="8">
        <v>0.0</v>
      </c>
      <c r="FA24" s="8">
        <v>0.0</v>
      </c>
      <c r="FB24" s="9"/>
      <c r="FC24" s="9" t="s">
        <v>866</v>
      </c>
      <c r="FD24" s="9" t="s">
        <v>2032</v>
      </c>
      <c r="FE24" s="9" t="s">
        <v>867</v>
      </c>
      <c r="FF24" s="9" t="s">
        <v>868</v>
      </c>
      <c r="FG24" s="9" t="s">
        <v>867</v>
      </c>
      <c r="FH24" s="9" t="s">
        <v>869</v>
      </c>
      <c r="FI24" s="9" t="s">
        <v>867</v>
      </c>
      <c r="FJ24" s="9" t="s">
        <v>868</v>
      </c>
      <c r="FK24" s="9" t="s">
        <v>867</v>
      </c>
      <c r="FL24" s="9" t="s">
        <v>869</v>
      </c>
      <c r="FM24" s="9" t="s">
        <v>867</v>
      </c>
      <c r="FN24" s="9" t="s">
        <v>869</v>
      </c>
      <c r="FO24" s="9" t="s">
        <v>867</v>
      </c>
      <c r="FP24" s="9" t="s">
        <v>943</v>
      </c>
      <c r="FQ24" s="9" t="s">
        <v>867</v>
      </c>
      <c r="FR24" s="9" t="s">
        <v>857</v>
      </c>
      <c r="FS24" s="9" t="s">
        <v>867</v>
      </c>
      <c r="FT24" s="9" t="s">
        <v>871</v>
      </c>
      <c r="FU24" s="9" t="s">
        <v>872</v>
      </c>
      <c r="FV24" s="8">
        <v>1.0</v>
      </c>
      <c r="FW24" s="8">
        <v>0.0</v>
      </c>
      <c r="FX24" s="8">
        <v>0.0</v>
      </c>
      <c r="FY24" s="8">
        <v>0.0</v>
      </c>
      <c r="FZ24" s="9" t="s">
        <v>1197</v>
      </c>
      <c r="GA24" s="9" t="s">
        <v>874</v>
      </c>
      <c r="GB24" s="8">
        <v>1.0</v>
      </c>
      <c r="GC24" s="8">
        <v>0.0</v>
      </c>
      <c r="GD24" s="8">
        <v>0.0</v>
      </c>
      <c r="GE24" s="8">
        <v>0.0</v>
      </c>
      <c r="GF24" s="9"/>
      <c r="GG24" s="9" t="s">
        <v>875</v>
      </c>
      <c r="GH24" s="9" t="s">
        <v>857</v>
      </c>
      <c r="GI24" s="9" t="s">
        <v>1264</v>
      </c>
      <c r="GJ24" s="8">
        <v>0.0</v>
      </c>
      <c r="GK24" s="8">
        <v>1.0</v>
      </c>
      <c r="GL24" s="8">
        <v>0.0</v>
      </c>
      <c r="GM24" s="8">
        <v>0.0</v>
      </c>
      <c r="GN24" s="9"/>
      <c r="GO24" s="8">
        <v>8.0</v>
      </c>
      <c r="GP24" s="9" t="s">
        <v>1931</v>
      </c>
      <c r="GQ24" s="9" t="s">
        <v>1102</v>
      </c>
      <c r="GR24" s="8">
        <v>1.0</v>
      </c>
      <c r="GS24" s="8">
        <v>0.0</v>
      </c>
      <c r="GT24" s="8">
        <v>0.0</v>
      </c>
      <c r="GU24" s="8">
        <v>0.0</v>
      </c>
      <c r="GV24" s="8">
        <v>0.0</v>
      </c>
      <c r="GW24" s="8">
        <v>0.0</v>
      </c>
      <c r="GX24" s="8">
        <v>0.0</v>
      </c>
      <c r="GY24" s="9"/>
      <c r="GZ24" s="9" t="s">
        <v>857</v>
      </c>
      <c r="HA24" s="9"/>
      <c r="HB24" s="9"/>
      <c r="HC24" s="9"/>
      <c r="HD24" s="9"/>
      <c r="HE24" s="8">
        <v>12.0</v>
      </c>
      <c r="HF24" s="8">
        <v>64000.0</v>
      </c>
      <c r="HG24" s="8">
        <v>6.0</v>
      </c>
      <c r="HH24" s="8">
        <v>40000.0</v>
      </c>
      <c r="HI24" s="9"/>
      <c r="HJ24" s="9"/>
      <c r="HK24" s="9"/>
      <c r="HL24" s="9"/>
      <c r="HM24" s="9"/>
      <c r="HN24" s="9"/>
      <c r="HO24" s="9"/>
      <c r="HP24" s="9"/>
      <c r="HQ24" s="9"/>
      <c r="HR24" s="9"/>
      <c r="HS24" s="9"/>
      <c r="HT24" s="9"/>
      <c r="HU24" s="9"/>
      <c r="HV24" s="9"/>
      <c r="HW24" s="9"/>
      <c r="HX24" s="9"/>
      <c r="HY24" s="9"/>
      <c r="HZ24" s="9"/>
      <c r="IA24" s="8">
        <v>6.0</v>
      </c>
      <c r="IB24" s="8">
        <v>24000.0</v>
      </c>
      <c r="IC24" s="9"/>
      <c r="ID24" s="9"/>
      <c r="IE24" s="9"/>
      <c r="IF24" s="9"/>
      <c r="IG24" s="9"/>
      <c r="IH24" s="9"/>
      <c r="II24" s="9"/>
      <c r="IJ24" s="9"/>
      <c r="IK24" s="9" t="s">
        <v>1932</v>
      </c>
      <c r="IL24" s="9" t="s">
        <v>1366</v>
      </c>
      <c r="IM24" s="9" t="s">
        <v>857</v>
      </c>
      <c r="IN24" s="9" t="s">
        <v>881</v>
      </c>
      <c r="IO24" s="9" t="s">
        <v>882</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884</v>
      </c>
      <c r="KT24" s="9" t="s">
        <v>886</v>
      </c>
      <c r="KU24" s="9" t="s">
        <v>886</v>
      </c>
      <c r="KV24" s="9" t="s">
        <v>999</v>
      </c>
      <c r="KW24" s="8">
        <v>0.0</v>
      </c>
      <c r="KX24" s="8">
        <v>0.0</v>
      </c>
      <c r="KY24" s="8">
        <v>0.0</v>
      </c>
      <c r="KZ24" s="8">
        <v>1.0</v>
      </c>
      <c r="LA24" s="9" t="s">
        <v>884</v>
      </c>
      <c r="LB24" s="9" t="s">
        <v>884</v>
      </c>
      <c r="LC24" s="8">
        <v>4.0</v>
      </c>
      <c r="LD24" s="8">
        <v>2.0</v>
      </c>
      <c r="LE24" s="8">
        <v>0.0</v>
      </c>
      <c r="LF24" s="8">
        <v>5.0</v>
      </c>
      <c r="LG24" s="9" t="s">
        <v>857</v>
      </c>
      <c r="LH24" s="8">
        <v>150000.0</v>
      </c>
      <c r="LI24" s="9"/>
      <c r="LJ24" s="9" t="s">
        <v>887</v>
      </c>
      <c r="LK24" s="8">
        <v>0.0</v>
      </c>
      <c r="LL24" s="8">
        <v>0.0</v>
      </c>
      <c r="LM24" s="8">
        <v>0.0</v>
      </c>
      <c r="LN24" s="8">
        <v>0.0</v>
      </c>
      <c r="LO24" s="8">
        <v>1.0</v>
      </c>
      <c r="LP24" s="8">
        <v>0.0</v>
      </c>
      <c r="LQ24" s="8">
        <v>0.0</v>
      </c>
      <c r="LR24" s="11"/>
      <c r="LS24" s="8">
        <v>10.0</v>
      </c>
      <c r="LT24" s="8">
        <v>0.0</v>
      </c>
      <c r="LU24" s="8">
        <v>0.0</v>
      </c>
      <c r="LV24" s="8">
        <v>10.0</v>
      </c>
      <c r="LW24" s="8">
        <v>0.0</v>
      </c>
      <c r="LX24" s="8">
        <v>0.0</v>
      </c>
      <c r="LY24" s="8">
        <v>10.0</v>
      </c>
      <c r="LZ24" s="8">
        <v>0.0</v>
      </c>
      <c r="MA24" s="8">
        <v>0.0</v>
      </c>
      <c r="MB24" s="9" t="s">
        <v>857</v>
      </c>
      <c r="MC24" s="8">
        <v>0.0</v>
      </c>
      <c r="MD24" s="8">
        <v>0.0</v>
      </c>
      <c r="ME24" s="8">
        <v>0.0</v>
      </c>
      <c r="MF24" s="8">
        <v>0.0</v>
      </c>
      <c r="MG24" s="8">
        <v>0.0</v>
      </c>
      <c r="MH24" s="8">
        <v>0.0</v>
      </c>
      <c r="MI24" s="9" t="s">
        <v>1934</v>
      </c>
      <c r="MJ24" s="8">
        <v>0.0</v>
      </c>
      <c r="MK24" s="8">
        <v>0.0</v>
      </c>
      <c r="ML24" s="8">
        <v>0.0</v>
      </c>
      <c r="MM24" s="8">
        <v>0.0</v>
      </c>
      <c r="MN24" s="8">
        <v>1.0</v>
      </c>
      <c r="MO24" s="8">
        <v>0.0</v>
      </c>
      <c r="MP24" s="9"/>
      <c r="MQ24" s="17" t="s">
        <v>2419</v>
      </c>
      <c r="MR24" s="31"/>
      <c r="MS24" s="9"/>
      <c r="MT24" s="9" t="s">
        <v>2420</v>
      </c>
      <c r="MU24" s="9" t="s">
        <v>1030</v>
      </c>
      <c r="MV24" s="9" t="s">
        <v>949</v>
      </c>
      <c r="MW24" s="8">
        <v>1.0</v>
      </c>
      <c r="MX24" s="8">
        <v>0.0</v>
      </c>
      <c r="MY24" s="8">
        <v>0.0</v>
      </c>
      <c r="MZ24" s="8">
        <v>0.0</v>
      </c>
      <c r="NA24" s="9"/>
      <c r="NB24" s="9"/>
      <c r="NC24" s="9"/>
      <c r="ND24" s="9"/>
      <c r="NE24" s="9"/>
      <c r="NF24" s="9"/>
      <c r="NG24" s="9"/>
      <c r="NH24" s="9"/>
      <c r="NI24" s="9"/>
      <c r="NJ24" s="9"/>
      <c r="NK24" s="9"/>
      <c r="NL24" s="9" t="s">
        <v>857</v>
      </c>
      <c r="NM24" s="9" t="s">
        <v>1386</v>
      </c>
      <c r="NN24" s="17" t="s">
        <v>1975</v>
      </c>
      <c r="NO24" s="17" t="s">
        <v>994</v>
      </c>
      <c r="NP24" s="9"/>
      <c r="NQ24" s="9"/>
      <c r="NR24" s="9"/>
      <c r="NS24" s="9"/>
      <c r="NT24" s="9"/>
      <c r="NU24" s="9"/>
      <c r="NV24" s="9"/>
      <c r="NW24" s="9"/>
      <c r="NX24" s="9" t="s">
        <v>914</v>
      </c>
      <c r="NY24" s="8">
        <v>180.0</v>
      </c>
      <c r="NZ24" s="8">
        <v>0.0</v>
      </c>
      <c r="OA24" s="8">
        <v>0.0</v>
      </c>
      <c r="OB24" s="8">
        <v>10.0</v>
      </c>
      <c r="OC24" s="8">
        <v>15.0</v>
      </c>
      <c r="OD24" s="8">
        <v>0.0</v>
      </c>
      <c r="OE24" s="9" t="s">
        <v>898</v>
      </c>
      <c r="OF24" s="9" t="s">
        <v>899</v>
      </c>
      <c r="OG24" s="9" t="s">
        <v>857</v>
      </c>
      <c r="OH24" s="8">
        <v>0.0</v>
      </c>
      <c r="OI24" s="8">
        <v>0.0</v>
      </c>
      <c r="OJ24" s="8">
        <v>0.0</v>
      </c>
      <c r="OK24" s="8">
        <v>0.0</v>
      </c>
      <c r="OL24" s="8">
        <v>0.0</v>
      </c>
      <c r="OM24" s="8">
        <v>0.0</v>
      </c>
      <c r="ON24" s="8">
        <v>0.0</v>
      </c>
      <c r="OO24" s="8">
        <v>0.0</v>
      </c>
      <c r="OP24" s="9" t="str">
        <f>VLOOKUP(AG24,'BUS 2'!$G$1:$CU$424,2,0)</f>
        <v>Sapi pedaging</v>
      </c>
      <c r="OQ24" s="8">
        <f>VLOOKUP(AG24,'BUS 2'!$G$1:$CU$424,3,0)</f>
        <v>1</v>
      </c>
      <c r="OR24" s="8">
        <f>VLOOKUP(AG24,'BUS 2'!$G$1:$CU$424,4,0)</f>
        <v>0</v>
      </c>
      <c r="OS24" s="8">
        <f>VLOOKUP(AG24,'BUS 2'!$G$1:$CU$424,5,0)</f>
        <v>0</v>
      </c>
      <c r="OT24" s="8">
        <f>VLOOKUP(AG24,'BUS 2'!$G$1:$CU$424,6,0)</f>
        <v>0</v>
      </c>
      <c r="OU24" s="8">
        <f>VLOOKUP(AG24,'BUS 2'!$G$1:$CU$424,7,0)</f>
        <v>0</v>
      </c>
      <c r="OV24" s="8">
        <f>VLOOKUP(AG24,'BUS 2'!$G$1:$CU$424,8,0)</f>
        <v>0</v>
      </c>
      <c r="OW24" s="8">
        <f>VLOOKUP(AG24,'BUS 2'!$G$1:$CU$424,9,0)</f>
        <v>0</v>
      </c>
      <c r="OX24" s="8">
        <f>VLOOKUP(AG24,'BUS 2'!$G$1:$CU$424,10,0)</f>
        <v>0</v>
      </c>
      <c r="OY24" s="8">
        <f>VLOOKUP(AG24,'BUS 2'!$G$1:$CU$424,11,0)</f>
        <v>0</v>
      </c>
      <c r="OZ24" s="8" t="str">
        <f>VLOOKUP(AG24,'BUS 2'!$G$1:$CU$424,12,0)</f>
        <v>Sapi pedaging</v>
      </c>
      <c r="PA24" s="8">
        <f>VLOOKUP(AG24,'BUS 2'!$G$1:$CU$424,13,0)</f>
        <v>1</v>
      </c>
      <c r="PB24" s="8">
        <f>VLOOKUP(AG24,'BUS 2'!$G$1:$CU$424,14,0)</f>
        <v>0</v>
      </c>
      <c r="PC24" s="8">
        <f>VLOOKUP(AG24,'BUS 2'!$G$1:$CU$424,15,0)</f>
        <v>0</v>
      </c>
      <c r="PD24" s="8">
        <f>VLOOKUP(AG24,'BUS 2'!$G$1:$CU$424,16,0)</f>
        <v>0</v>
      </c>
      <c r="PE24" s="8">
        <f>VLOOKUP(AG24,'BUS 2'!$G$1:$CU$424,17,0)</f>
        <v>0</v>
      </c>
      <c r="PF24" s="8">
        <f>VLOOKUP(AG24,'BUS 2'!$G$1:$CU$424,18,0)</f>
        <v>0</v>
      </c>
      <c r="PG24" s="8">
        <f>VLOOKUP(AG24,'BUS 2'!$G$1:$CU$424,19,0)</f>
        <v>0</v>
      </c>
      <c r="PH24" s="8">
        <f>VLOOKUP(AG24,'BUS 2'!$G$1:$CU$424,20,0)</f>
        <v>0</v>
      </c>
      <c r="PI24" s="8">
        <f>VLOOKUP(AG24,'BUS 2'!$G$1:$CU$424,21,0)</f>
        <v>0</v>
      </c>
      <c r="PJ24" s="8" t="str">
        <f>VLOOKUP(AG24,'BUS 2'!$G$1:$CU$424,22,0)</f>
        <v>Sapi pedaging</v>
      </c>
      <c r="PK24" s="8">
        <f>VLOOKUP(AG24,'BUS 2'!$G$1:$CU$424,23,0)</f>
        <v>1</v>
      </c>
      <c r="PL24" s="8">
        <f>VLOOKUP(AG24,'BUS 2'!$G$1:$CU$424,24,0)</f>
        <v>0</v>
      </c>
      <c r="PM24" s="8">
        <f>VLOOKUP(AG24,'BUS 2'!$G$1:$CU$424,25,0)</f>
        <v>0</v>
      </c>
      <c r="PN24" s="8">
        <f>VLOOKUP(AG24,'BUS 2'!$G$1:$CU$424,26,0)</f>
        <v>0</v>
      </c>
      <c r="PO24" s="8">
        <f>VLOOKUP(AG24,'BUS 2'!$G$1:$CU$424,27,0)</f>
        <v>0</v>
      </c>
      <c r="PP24" s="8">
        <f>VLOOKUP(AG24,'BUS 2'!$G$1:$CU$424,28,0)</f>
        <v>0</v>
      </c>
      <c r="PQ24" s="8">
        <f>VLOOKUP(AG24,'BUS 2'!$G$1:$CU$424,29,0)</f>
        <v>0</v>
      </c>
      <c r="PR24" s="8">
        <f>VLOOKUP(AG24,'BUS 2'!$G$1:$CU$424,30,0)</f>
        <v>0</v>
      </c>
      <c r="PS24" s="8">
        <f>VLOOKUP(AG24,'BUS 2'!$G$1:$CU$424,31,0)</f>
        <v>0</v>
      </c>
      <c r="PT24" s="9" t="s">
        <v>900</v>
      </c>
      <c r="PU24" s="8">
        <v>0.0</v>
      </c>
      <c r="PV24" s="8">
        <v>0.0</v>
      </c>
      <c r="PW24" s="8">
        <v>0.0</v>
      </c>
      <c r="PX24" s="8">
        <v>0.0</v>
      </c>
      <c r="PY24" s="8">
        <v>0.0</v>
      </c>
      <c r="PZ24" s="8">
        <v>1.0</v>
      </c>
      <c r="QA24" s="8">
        <v>0.0</v>
      </c>
      <c r="QB24" s="8">
        <v>0.0</v>
      </c>
      <c r="QC24" s="8">
        <v>0.0</v>
      </c>
      <c r="QD24" s="9"/>
      <c r="QE24" s="32"/>
      <c r="QF24" s="31"/>
      <c r="QG24" s="31"/>
      <c r="QH24" s="31"/>
      <c r="QI24" s="31"/>
      <c r="QJ24" s="31"/>
      <c r="QK24" s="32"/>
      <c r="QL24" s="32"/>
      <c r="QM24" s="32"/>
      <c r="QN24" s="32"/>
      <c r="QO24" s="32"/>
      <c r="QP24" s="32"/>
      <c r="QQ24" s="32"/>
      <c r="QR24" s="32"/>
      <c r="QS24" s="32"/>
      <c r="QT24" s="32"/>
      <c r="QU24" s="32"/>
      <c r="QV24" s="32"/>
      <c r="QW24" s="31"/>
      <c r="QX24" s="31"/>
      <c r="QY24" s="31"/>
      <c r="QZ24" s="31"/>
      <c r="RA24" s="31"/>
      <c r="RB24" s="32"/>
      <c r="RC24" s="32"/>
      <c r="RD24" s="32"/>
      <c r="RE24" s="32"/>
      <c r="RF24" s="32"/>
      <c r="RG24" s="9"/>
      <c r="RH24" s="31"/>
      <c r="RI24" s="31"/>
      <c r="RJ24" s="31"/>
      <c r="RK24" s="31"/>
      <c r="RL24" s="31"/>
      <c r="RM24" s="9"/>
      <c r="RN24" s="9"/>
      <c r="RO24" s="9"/>
      <c r="RP24" s="9"/>
      <c r="RQ24" s="9"/>
      <c r="RR24" s="9"/>
      <c r="RS24" s="31"/>
      <c r="RT24" s="31"/>
      <c r="RU24" s="31"/>
      <c r="RV24" s="31"/>
      <c r="RW24" s="31"/>
      <c r="RX24" s="9"/>
      <c r="RY24" s="9"/>
      <c r="RZ24" s="9"/>
      <c r="SA24" s="9"/>
      <c r="SB24" s="9"/>
      <c r="SC24" s="9"/>
      <c r="SD24" s="31"/>
      <c r="SE24" s="31"/>
      <c r="SF24" s="31"/>
      <c r="SG24" s="31"/>
      <c r="SH24" s="31"/>
      <c r="SI24" s="9"/>
      <c r="SJ24" s="9"/>
      <c r="SK24" s="9"/>
      <c r="SL24" s="9"/>
      <c r="SM24" s="9"/>
      <c r="SN24" s="9"/>
      <c r="SO24" s="31"/>
      <c r="SP24" s="31"/>
      <c r="SQ24" s="31"/>
      <c r="SR24" s="31"/>
      <c r="SS24" s="31"/>
      <c r="ST24" s="9"/>
      <c r="SU24" s="9"/>
      <c r="SV24" s="9"/>
      <c r="SW24" s="9"/>
      <c r="SX24" s="9"/>
      <c r="SY24" s="8">
        <f>VLOOKUP(AG24,'BUS 2'!$G$1:$CU$424,33,0)</f>
        <v>4</v>
      </c>
      <c r="SZ24" s="9" t="str">
        <f>VLOOKUP(AG24,'BUS 2'!$G$1:$CU$424,34,0)</f>
        <v/>
      </c>
      <c r="TA24" s="9" t="str">
        <f>VLOOKUP(AG24,'BUS 2'!$G$1:$CU$424,35,0)</f>
        <v/>
      </c>
      <c r="TB24" s="9" t="str">
        <f>VLOOKUP(AG24,'BUS 2'!$G$1:$CU$424,36,0)</f>
        <v/>
      </c>
      <c r="TC24" s="9" t="str">
        <f>VLOOKUP(AG24,'BUS 2'!$G$1:$CU$424,37,0)</f>
        <v/>
      </c>
      <c r="TD24" s="9" t="str">
        <f>VLOOKUP(AG24,'BUS 2'!$G$1:$CU$424,38,0)</f>
        <v/>
      </c>
      <c r="TE24" s="9" t="str">
        <f>VLOOKUP(AG24,'BUS 2'!$G$1:$CU$424,39,0)</f>
        <v/>
      </c>
      <c r="TF24" s="9" t="str">
        <f>VLOOKUP(AG24,'BUS 2'!$G$1:$CU$424,40,0)</f>
        <v/>
      </c>
      <c r="TG24" s="8">
        <f>VLOOKUP(AG24,'BUS 2'!$G$1:$CU$424,42,0)</f>
        <v>0</v>
      </c>
      <c r="TH24" s="8" t="str">
        <f>VLOOKUP(AG24,'BUS 2'!$G$1:$CU$424,43,0)</f>
        <v/>
      </c>
      <c r="TI24" s="8" t="str">
        <f>VLOOKUP(AG24,'BUS 2'!$G$1:$CU$424,44,0)</f>
        <v/>
      </c>
      <c r="TJ24" s="8" t="str">
        <f>VLOOKUP(AG24,'BUS 2'!$G$1:$CU$424,45,0)</f>
        <v/>
      </c>
      <c r="TK24" s="8" t="str">
        <f>VLOOKUP(AG24,'BUS 2'!$G$1:$CU$424,46,0)</f>
        <v/>
      </c>
      <c r="TL24" s="8" t="str">
        <f>VLOOKUP(AG24,'BUS 2'!$G$1:$CU$424,47,0)</f>
        <v/>
      </c>
      <c r="TM24" s="8" t="str">
        <f>VLOOKUP(AG24,'BUS 2'!$G$1:$CU$424,48,0)</f>
        <v/>
      </c>
      <c r="TN24" s="8" t="str">
        <f>VLOOKUP(AG24,'BUS 2'!$G$1:$CU$424,49,0)</f>
        <v/>
      </c>
      <c r="TO24" s="8">
        <f>VLOOKUP(AG24,'BUS 2'!$G$1:$CU$424,50,0)</f>
        <v>3</v>
      </c>
      <c r="TP24" s="8">
        <f>VLOOKUP(AG24,'BUS 2'!$G$1:$CU$424,51,0)</f>
        <v>0</v>
      </c>
      <c r="TQ24" s="8">
        <f>VLOOKUP(AG24,'BUS 2'!$G$1:$CU$424,52,0)</f>
        <v>0</v>
      </c>
      <c r="TR24" s="8">
        <f>VLOOKUP(AG24,'BUS 2'!$G$1:$CU$424,53,0)</f>
        <v>1</v>
      </c>
      <c r="TS24" s="9" t="str">
        <f>VLOOKUP(AG24,'BUS 2'!$G$1:$CU$424,54,0)</f>
        <v/>
      </c>
      <c r="TT24" s="9" t="str">
        <f>VLOOKUP(AG24,'BUS 2'!$G$1:$CU$424,55,0)</f>
        <v/>
      </c>
      <c r="TU24" s="9" t="str">
        <f>VLOOKUP(AG24,'BUS 2'!$G$1:$CU$424,56,0)</f>
        <v/>
      </c>
      <c r="TV24" s="9" t="str">
        <f>VLOOKUP(AG24,'BUS 2'!$G$1:$CU$424,57,0)</f>
        <v/>
      </c>
      <c r="TW24" s="9" t="str">
        <f>VLOOKUP(AG24,'BUS 2'!$G$1:$CU$424,58,0)</f>
        <v/>
      </c>
      <c r="TX24" s="9" t="str">
        <f>VLOOKUP(AG24,'BUS 2'!$G$1:$CU$424,59,0)</f>
        <v/>
      </c>
      <c r="TY24" s="9" t="str">
        <f>VLOOKUP(AG24,'BUS 2'!$G$1:$CU$424,60,0)</f>
        <v/>
      </c>
      <c r="TZ24" s="9" t="str">
        <f>VLOOKUP(AG24,'BUS 2'!$G$1:$CU$424,61,0)</f>
        <v/>
      </c>
      <c r="UA24" s="9" t="str">
        <f>VLOOKUP(AG24,'BUS 2'!$G$1:$CU$424,62,0)</f>
        <v/>
      </c>
      <c r="UB24" s="9" t="str">
        <f>VLOOKUP(AG24,'BUS 2'!$G$1:$CU$424,63,0)</f>
        <v/>
      </c>
      <c r="UC24" s="9" t="str">
        <f>VLOOKUP(AG24,'BUS 2'!$G$1:$CU$424,64,0)</f>
        <v/>
      </c>
      <c r="UD24" s="9" t="str">
        <f>VLOOKUP(AG24,'BUS 2'!$G$1:$CU$424,65,0)</f>
        <v/>
      </c>
      <c r="UE24" s="9" t="str">
        <f>VLOOKUP(AG24,'BUS 2'!$G$1:$CU$424,66,0)</f>
        <v/>
      </c>
      <c r="UF24" s="9" t="str">
        <f>VLOOKUP(AG24,'BUS 2'!$G$1:$CU$424,67,0)</f>
        <v/>
      </c>
      <c r="UG24" s="9" t="str">
        <f>VLOOKUP(AG24,'BUS 2'!$G$1:$CU$424,68,0)</f>
        <v/>
      </c>
      <c r="UH24" s="9" t="str">
        <f>VLOOKUP(AG24,'BUS 2'!$G$1:$CU$424,69,0)</f>
        <v/>
      </c>
      <c r="UI24" s="9" t="str">
        <f>VLOOKUP(AG24,'BUS 2'!$G$1:$CU$424,70,0)</f>
        <v/>
      </c>
      <c r="UJ24" s="9" t="str">
        <f>VLOOKUP(AG24,'BUS 2'!$G$1:$CU$424,71,0)</f>
        <v/>
      </c>
      <c r="UK24" s="9" t="str">
        <f>VLOOKUP(AG24,'BUS 2'!$G$1:$CU$424,72,0)</f>
        <v/>
      </c>
      <c r="UL24" s="9" t="str">
        <f>VLOOKUP(AG24,'BUS 2'!$G$1:$CU$424,73,0)</f>
        <v/>
      </c>
      <c r="UM24" s="9" t="str">
        <f>VLOOKUP(AG24,'BUS 2'!$G$1:$CU$424,74,0)</f>
        <v/>
      </c>
      <c r="UN24" s="9" t="str">
        <f>VLOOKUP(AG24,'BUS 2'!$G$1:$CU$424,75,0)</f>
        <v/>
      </c>
      <c r="UO24" s="9" t="str">
        <f>VLOOKUP(AG24,'BUS 2'!$G$1:$CU$424,76,0)</f>
        <v/>
      </c>
      <c r="UP24" s="9" t="str">
        <f>VLOOKUP(AG24,'BUS 2'!$G$1:$CU$424,77,0)</f>
        <v/>
      </c>
      <c r="UQ24" s="9" t="str">
        <f>VLOOKUP(AG24,'BUS 2'!$G$1:$CU$424,78,0)</f>
        <v/>
      </c>
      <c r="UR24" s="9" t="str">
        <f>VLOOKUP(AG24,'BUS 2'!$G$1:$CU$424,79,0)</f>
        <v/>
      </c>
      <c r="US24" s="9" t="str">
        <f>VLOOKUP(AG24,'BUS 2'!$G$1:$CU$424,80,0)</f>
        <v/>
      </c>
      <c r="UT24" s="9" t="str">
        <f>VLOOKUP(AG24,'BUS 2'!$G$1:$CU$424,81,0)</f>
        <v/>
      </c>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t="s">
        <v>857</v>
      </c>
      <c r="AAM24" s="9" t="s">
        <v>1942</v>
      </c>
      <c r="AAN24" s="8">
        <v>0.0</v>
      </c>
      <c r="AAO24" s="8">
        <v>1.0</v>
      </c>
      <c r="AAP24" s="8">
        <v>5.0</v>
      </c>
      <c r="AAQ24" s="9"/>
      <c r="AAR24" s="9" t="s">
        <v>857</v>
      </c>
      <c r="AAS24" s="9" t="s">
        <v>867</v>
      </c>
      <c r="AAT24" s="9" t="s">
        <v>2101</v>
      </c>
      <c r="AAU24" s="8">
        <v>0.0</v>
      </c>
      <c r="AAV24" s="8">
        <v>0.0</v>
      </c>
      <c r="AAW24" s="8">
        <v>0.0</v>
      </c>
      <c r="AAX24" s="8">
        <v>1.0</v>
      </c>
      <c r="AAY24" s="8">
        <v>0.0</v>
      </c>
      <c r="AAZ24" s="8">
        <v>0.0</v>
      </c>
      <c r="ABA24" s="8">
        <v>0.0</v>
      </c>
      <c r="ABB24" s="9"/>
      <c r="ABC24" s="9"/>
      <c r="ABD24" s="9"/>
      <c r="ABE24" s="9"/>
      <c r="ABF24" s="9"/>
      <c r="ABG24" s="9"/>
      <c r="ABH24" s="9"/>
      <c r="ABI24" s="9"/>
      <c r="ABJ24" s="9"/>
      <c r="ABK24" s="9"/>
      <c r="ABL24" s="9"/>
      <c r="ABM24" s="9"/>
      <c r="ABN24" s="9"/>
      <c r="ABO24" s="9"/>
      <c r="ABP24" s="9"/>
      <c r="ABQ24" s="9" t="s">
        <v>2421</v>
      </c>
      <c r="ABR24" s="9" t="s">
        <v>954</v>
      </c>
      <c r="ABS24" s="9"/>
      <c r="ABT24" s="8">
        <v>50.0</v>
      </c>
      <c r="ABU24" s="9"/>
      <c r="ABV24" s="9"/>
      <c r="ABW24" s="9"/>
      <c r="ABX24" s="9"/>
      <c r="ABY24" s="9"/>
      <c r="ABZ24" s="9"/>
      <c r="ACA24" s="9"/>
      <c r="ACB24" s="9"/>
      <c r="ACC24" s="9"/>
      <c r="ACD24" s="9"/>
      <c r="ACE24" s="9"/>
      <c r="ACF24" s="9"/>
      <c r="ACG24" s="9"/>
      <c r="ACH24" s="9"/>
      <c r="ACI24" s="9"/>
      <c r="ACJ24" s="9"/>
      <c r="ACK24" s="9" t="s">
        <v>2156</v>
      </c>
      <c r="ACL24" s="8">
        <v>0.0</v>
      </c>
      <c r="ACM24" s="8">
        <v>0.0</v>
      </c>
      <c r="ACN24" s="8">
        <v>1.0</v>
      </c>
      <c r="ACO24" s="8">
        <v>0.0</v>
      </c>
      <c r="ACP24" s="8">
        <v>0.0</v>
      </c>
      <c r="ACQ24" s="8">
        <v>0.0</v>
      </c>
      <c r="ACR24" s="8">
        <v>0.0</v>
      </c>
      <c r="ACS24" s="9"/>
      <c r="ACT24" s="9" t="s">
        <v>1945</v>
      </c>
      <c r="ACU24" s="9" t="s">
        <v>1050</v>
      </c>
      <c r="ACV24" s="9" t="s">
        <v>914</v>
      </c>
      <c r="ACW24" s="9" t="s">
        <v>915</v>
      </c>
      <c r="ACX24" s="9" t="s">
        <v>916</v>
      </c>
      <c r="ACY24" s="9" t="s">
        <v>1017</v>
      </c>
      <c r="ACZ24" s="8">
        <v>1.0</v>
      </c>
      <c r="ADA24" s="8">
        <v>1.0</v>
      </c>
      <c r="ADB24" s="8">
        <v>1.0</v>
      </c>
      <c r="ADC24" s="8">
        <v>0.0</v>
      </c>
      <c r="ADD24" s="9" t="s">
        <v>917</v>
      </c>
      <c r="ADE24" s="9" t="s">
        <v>917</v>
      </c>
      <c r="ADF24" s="9" t="s">
        <v>917</v>
      </c>
      <c r="ADG24" s="9" t="s">
        <v>917</v>
      </c>
      <c r="ADH24" s="9" t="s">
        <v>881</v>
      </c>
      <c r="ADI24" s="9"/>
      <c r="ADJ24" s="9" t="s">
        <v>917</v>
      </c>
      <c r="ADK24" s="9"/>
      <c r="ADL24" s="9"/>
      <c r="ADM24" s="9"/>
      <c r="ADN24" s="9"/>
      <c r="ADO24" s="9"/>
      <c r="ADP24" s="9"/>
      <c r="ADQ24" s="9"/>
      <c r="ADR24" s="9"/>
      <c r="ADS24" s="9"/>
      <c r="ADT24" s="9"/>
      <c r="ADU24" s="9" t="s">
        <v>919</v>
      </c>
      <c r="ADV24" s="8">
        <v>0.0</v>
      </c>
      <c r="ADW24" s="8">
        <v>0.0</v>
      </c>
      <c r="ADX24" s="8">
        <v>0.0</v>
      </c>
      <c r="ADY24" s="8">
        <v>0.0</v>
      </c>
      <c r="ADZ24" s="8">
        <v>1.0</v>
      </c>
      <c r="AEA24" s="8">
        <v>0.0</v>
      </c>
      <c r="AEB24" s="8">
        <v>0.0</v>
      </c>
      <c r="AEC24" s="8">
        <v>0.0</v>
      </c>
      <c r="AED24" s="9" t="s">
        <v>1945</v>
      </c>
      <c r="AEE24" s="9" t="s">
        <v>872</v>
      </c>
      <c r="AEF24" s="9"/>
      <c r="AEG24" s="9" t="s">
        <v>920</v>
      </c>
      <c r="AEH24" s="9"/>
      <c r="AEI24" s="9" t="s">
        <v>2422</v>
      </c>
      <c r="AEJ24" s="9" t="s">
        <v>871</v>
      </c>
      <c r="AEK24" s="9" t="s">
        <v>2423</v>
      </c>
      <c r="AEL24" s="8">
        <v>0.0</v>
      </c>
      <c r="AEM24" s="8">
        <v>0.0</v>
      </c>
      <c r="AEN24" s="8">
        <v>0.0</v>
      </c>
      <c r="AEO24" s="8">
        <v>0.0</v>
      </c>
      <c r="AEP24" s="8">
        <v>1.0</v>
      </c>
      <c r="AEQ24" s="8">
        <v>0.0</v>
      </c>
      <c r="AER24" s="8">
        <v>1.0</v>
      </c>
      <c r="AES24" s="8">
        <v>0.0</v>
      </c>
      <c r="AET24" s="8">
        <v>0.0</v>
      </c>
      <c r="AEU24" s="8">
        <v>0.0</v>
      </c>
      <c r="AEV24" s="8">
        <v>1.0</v>
      </c>
      <c r="AEW24" s="8">
        <v>0.0</v>
      </c>
      <c r="AEX24" s="9"/>
      <c r="AEY24" s="9" t="s">
        <v>1305</v>
      </c>
      <c r="AEZ24" s="9"/>
      <c r="AFA24" s="9" t="s">
        <v>924</v>
      </c>
      <c r="AFB24" s="9"/>
      <c r="AFC24" s="9" t="s">
        <v>2424</v>
      </c>
      <c r="AFD24" s="16" t="s">
        <v>2425</v>
      </c>
      <c r="AFE24" s="9" t="s">
        <v>2426</v>
      </c>
      <c r="AFF24" s="16" t="s">
        <v>2427</v>
      </c>
      <c r="AFG24" s="9" t="s">
        <v>1919</v>
      </c>
      <c r="AFH24" s="9"/>
      <c r="AFI24" s="21" t="s">
        <v>2428</v>
      </c>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8">
        <v>6.72401891E8</v>
      </c>
      <c r="AWB24" s="9" t="s">
        <v>2429</v>
      </c>
      <c r="AWC24" s="6">
        <v>46068.0</v>
      </c>
      <c r="AWD24" s="9"/>
      <c r="AWE24" s="9"/>
      <c r="AWF24" s="9" t="s">
        <v>1954</v>
      </c>
      <c r="AWG24" s="9"/>
      <c r="AWH24" s="9" t="s">
        <v>1989</v>
      </c>
      <c r="AWI24" s="9"/>
      <c r="AWJ24" s="9" t="s">
        <v>2430</v>
      </c>
      <c r="AWK24" s="8">
        <v>244.0</v>
      </c>
      <c r="AWL24" s="9" t="s">
        <v>2418</v>
      </c>
      <c r="AWM24" s="8">
        <v>0.0</v>
      </c>
      <c r="AWN24" s="9" t="s">
        <v>1957</v>
      </c>
      <c r="AWO24" s="33" t="b">
        <v>1</v>
      </c>
      <c r="AWP24" s="33" t="b">
        <v>1</v>
      </c>
      <c r="AWQ24" s="33" t="b">
        <v>1</v>
      </c>
      <c r="AWR24" s="33" t="b">
        <v>1</v>
      </c>
      <c r="AWS24" s="33" t="b">
        <v>1</v>
      </c>
      <c r="AWT24" s="33" t="b">
        <v>1</v>
      </c>
      <c r="AWU24" s="9"/>
      <c r="AWV24" s="8">
        <v>6.0</v>
      </c>
      <c r="AWW24" s="9"/>
      <c r="AWX24" s="9"/>
      <c r="AWY24" s="9"/>
      <c r="AWZ24" s="9"/>
    </row>
    <row r="25">
      <c r="A25" s="6">
        <v>46067.0</v>
      </c>
      <c r="B25" s="6">
        <v>46068.0</v>
      </c>
      <c r="C25" s="30" t="s">
        <v>1919</v>
      </c>
      <c r="D25" s="30" t="s">
        <v>2431</v>
      </c>
      <c r="E25" s="8">
        <f>+620</f>
        <v>620</v>
      </c>
      <c r="F25" s="9" t="s">
        <v>2432</v>
      </c>
      <c r="G25" s="8">
        <v>-5.165686</v>
      </c>
      <c r="H25" s="8">
        <v>119.647024</v>
      </c>
      <c r="I25" s="8">
        <v>142.851</v>
      </c>
      <c r="J25" s="8">
        <v>2.48300004</v>
      </c>
      <c r="K25" s="8">
        <v>0.0</v>
      </c>
      <c r="L25" s="9" t="s">
        <v>2433</v>
      </c>
      <c r="M25" s="8">
        <v>-5.165489</v>
      </c>
      <c r="N25" s="8">
        <v>119.646582</v>
      </c>
      <c r="O25" s="8">
        <v>280.159</v>
      </c>
      <c r="P25" s="8">
        <v>3.049000025</v>
      </c>
      <c r="Q25" s="8">
        <v>0.0</v>
      </c>
      <c r="R25" s="9" t="s">
        <v>1923</v>
      </c>
      <c r="S25" s="8">
        <v>0.0</v>
      </c>
      <c r="T25" s="8">
        <v>0.0</v>
      </c>
      <c r="U25" s="8">
        <v>0.0</v>
      </c>
      <c r="V25" s="8">
        <v>0.0</v>
      </c>
      <c r="W25" s="8">
        <v>0.0</v>
      </c>
      <c r="X25" s="8">
        <v>0.0</v>
      </c>
      <c r="Y25" s="8">
        <v>0.0</v>
      </c>
      <c r="Z25" s="8">
        <v>0.0</v>
      </c>
      <c r="AA25" s="8">
        <v>0.0</v>
      </c>
      <c r="AB25" s="8">
        <v>1.0</v>
      </c>
      <c r="AC25" s="7" t="s">
        <v>1924</v>
      </c>
      <c r="AD25" s="7" t="s">
        <v>2088</v>
      </c>
      <c r="AE25" s="7" t="s">
        <v>2089</v>
      </c>
      <c r="AF25" s="9" t="s">
        <v>2090</v>
      </c>
      <c r="AG25" s="9" t="s">
        <v>2434</v>
      </c>
      <c r="AH25" s="8">
        <v>12.0</v>
      </c>
      <c r="AI25" s="9" t="s">
        <v>933</v>
      </c>
      <c r="AJ25" s="9" t="s">
        <v>934</v>
      </c>
      <c r="AK25" s="8">
        <v>58.0</v>
      </c>
      <c r="AL25" s="9" t="s">
        <v>847</v>
      </c>
      <c r="AM25" s="9" t="s">
        <v>848</v>
      </c>
      <c r="AN25" s="9" t="s">
        <v>1967</v>
      </c>
      <c r="AO25" s="9" t="s">
        <v>850</v>
      </c>
      <c r="AP25" s="8">
        <v>1.0</v>
      </c>
      <c r="AQ25" s="8">
        <v>0.0</v>
      </c>
      <c r="AR25" s="8">
        <v>0.0</v>
      </c>
      <c r="AS25" s="8">
        <v>0.0</v>
      </c>
      <c r="AT25" s="8">
        <v>0.0</v>
      </c>
      <c r="AU25" s="8">
        <v>0.0</v>
      </c>
      <c r="AV25" s="8">
        <v>0.0</v>
      </c>
      <c r="AW25" s="8">
        <v>0.0</v>
      </c>
      <c r="AX25" s="9"/>
      <c r="AY25" s="9" t="s">
        <v>935</v>
      </c>
      <c r="AZ25" s="8">
        <v>0.0</v>
      </c>
      <c r="BA25" s="8">
        <v>1.0</v>
      </c>
      <c r="BB25" s="8">
        <v>0.0</v>
      </c>
      <c r="BC25" s="8">
        <v>0.0</v>
      </c>
      <c r="BD25" s="8">
        <v>0.0</v>
      </c>
      <c r="BE25" s="8">
        <v>0.0</v>
      </c>
      <c r="BF25" s="8">
        <v>0.0</v>
      </c>
      <c r="BG25" s="8">
        <v>0.0</v>
      </c>
      <c r="BH25" s="11"/>
      <c r="BI25" s="9" t="s">
        <v>2118</v>
      </c>
      <c r="BJ25" s="8">
        <v>1.0</v>
      </c>
      <c r="BK25" s="8">
        <v>1.0</v>
      </c>
      <c r="BL25" s="8">
        <v>0.0</v>
      </c>
      <c r="BM25" s="8">
        <v>0.0</v>
      </c>
      <c r="BN25" s="9" t="s">
        <v>853</v>
      </c>
      <c r="BO25" s="9" t="s">
        <v>2000</v>
      </c>
      <c r="BP25" s="8">
        <v>0.0</v>
      </c>
      <c r="BQ25" s="8">
        <v>1.0</v>
      </c>
      <c r="BR25" s="8">
        <v>0.0</v>
      </c>
      <c r="BS25" s="8">
        <v>0.0</v>
      </c>
      <c r="BT25" s="8">
        <v>0.0</v>
      </c>
      <c r="BU25" s="9"/>
      <c r="BV25" s="9" t="s">
        <v>2065</v>
      </c>
      <c r="BW25" s="8">
        <v>1.0</v>
      </c>
      <c r="BX25" s="8">
        <v>0.0</v>
      </c>
      <c r="BY25" s="8">
        <v>0.0</v>
      </c>
      <c r="BZ25" s="8">
        <v>0.0</v>
      </c>
      <c r="CA25" s="8">
        <v>0.0</v>
      </c>
      <c r="CB25" s="9"/>
      <c r="CC25" s="9" t="s">
        <v>1929</v>
      </c>
      <c r="CD25" s="8">
        <v>0.0</v>
      </c>
      <c r="CE25" s="8">
        <v>0.0</v>
      </c>
      <c r="CF25" s="8">
        <v>0.0</v>
      </c>
      <c r="CG25" s="8">
        <v>0.0</v>
      </c>
      <c r="CH25" s="8">
        <v>1.0</v>
      </c>
      <c r="CI25" s="8">
        <v>0.0</v>
      </c>
      <c r="CJ25" s="8">
        <v>0.0</v>
      </c>
      <c r="CK25" s="9"/>
      <c r="CL25" s="9" t="s">
        <v>857</v>
      </c>
      <c r="CM25" s="8">
        <v>2013.0</v>
      </c>
      <c r="CN25" s="9" t="s">
        <v>858</v>
      </c>
      <c r="CO25" s="9" t="s">
        <v>2405</v>
      </c>
      <c r="CP25" s="9" t="s">
        <v>860</v>
      </c>
      <c r="CQ25" s="8">
        <v>0.0</v>
      </c>
      <c r="CR25" s="8">
        <v>0.0</v>
      </c>
      <c r="CS25" s="8">
        <v>0.0</v>
      </c>
      <c r="CT25" s="8">
        <v>0.0</v>
      </c>
      <c r="CU25" s="8">
        <v>1.0</v>
      </c>
      <c r="CV25" s="8">
        <v>0.0</v>
      </c>
      <c r="CW25" s="8">
        <v>0.0</v>
      </c>
      <c r="CX25" s="8">
        <v>0.0</v>
      </c>
      <c r="CY25" s="9" t="s">
        <v>860</v>
      </c>
      <c r="CZ25" s="8">
        <v>1.0</v>
      </c>
      <c r="DA25" s="8">
        <v>0.0</v>
      </c>
      <c r="DB25" s="8">
        <v>0.0</v>
      </c>
      <c r="DC25" s="9"/>
      <c r="DD25" s="9" t="s">
        <v>860</v>
      </c>
      <c r="DE25" s="8">
        <v>1.0</v>
      </c>
      <c r="DF25" s="8">
        <v>0.0</v>
      </c>
      <c r="DG25" s="8">
        <v>0.0</v>
      </c>
      <c r="DH25" s="8">
        <v>0.0</v>
      </c>
      <c r="DI25" s="9"/>
      <c r="DJ25" s="9" t="s">
        <v>860</v>
      </c>
      <c r="DK25" s="8">
        <v>1.0</v>
      </c>
      <c r="DL25" s="8">
        <v>0.0</v>
      </c>
      <c r="DM25" s="8">
        <v>0.0</v>
      </c>
      <c r="DN25" s="8">
        <v>0.0</v>
      </c>
      <c r="DO25" s="9"/>
      <c r="DP25" s="9" t="s">
        <v>857</v>
      </c>
      <c r="DQ25" s="9"/>
      <c r="DR25" s="9"/>
      <c r="DS25" s="9"/>
      <c r="DT25" s="9"/>
      <c r="DU25" s="9"/>
      <c r="DV25" s="9"/>
      <c r="DW25" s="9"/>
      <c r="DX25" s="9"/>
      <c r="DY25" s="9"/>
      <c r="DZ25" s="9"/>
      <c r="EA25" s="9"/>
      <c r="EB25" s="9"/>
      <c r="EC25" s="9"/>
      <c r="ED25" s="9"/>
      <c r="EE25" s="9"/>
      <c r="EF25" s="9"/>
      <c r="EG25" s="9"/>
      <c r="EH25" s="9"/>
      <c r="EI25" s="9" t="s">
        <v>862</v>
      </c>
      <c r="EJ25" s="8">
        <v>0.0</v>
      </c>
      <c r="EK25" s="8">
        <v>0.0</v>
      </c>
      <c r="EL25" s="8">
        <v>0.0</v>
      </c>
      <c r="EM25" s="8">
        <v>1.0</v>
      </c>
      <c r="EN25" s="8">
        <v>0.0</v>
      </c>
      <c r="EO25" s="9"/>
      <c r="EP25" s="9" t="s">
        <v>863</v>
      </c>
      <c r="EQ25" s="9" t="s">
        <v>1380</v>
      </c>
      <c r="ER25" s="9" t="s">
        <v>861</v>
      </c>
      <c r="ES25" s="8">
        <v>1.0</v>
      </c>
      <c r="ET25" s="8">
        <v>0.0</v>
      </c>
      <c r="EU25" s="8">
        <v>0.0</v>
      </c>
      <c r="EV25" s="8">
        <v>0.0</v>
      </c>
      <c r="EW25" s="9"/>
      <c r="EX25" s="9" t="s">
        <v>865</v>
      </c>
      <c r="EY25" s="8">
        <v>1.0</v>
      </c>
      <c r="EZ25" s="8">
        <v>0.0</v>
      </c>
      <c r="FA25" s="8">
        <v>0.0</v>
      </c>
      <c r="FB25" s="9"/>
      <c r="FC25" s="9" t="s">
        <v>1028</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872</v>
      </c>
      <c r="FV25" s="8">
        <v>1.0</v>
      </c>
      <c r="FW25" s="8">
        <v>0.0</v>
      </c>
      <c r="FX25" s="8">
        <v>0.0</v>
      </c>
      <c r="FY25" s="8">
        <v>0.0</v>
      </c>
      <c r="FZ25" s="9" t="s">
        <v>1197</v>
      </c>
      <c r="GA25" s="9" t="s">
        <v>1264</v>
      </c>
      <c r="GB25" s="8">
        <v>0.0</v>
      </c>
      <c r="GC25" s="8">
        <v>0.0</v>
      </c>
      <c r="GD25" s="8">
        <v>1.0</v>
      </c>
      <c r="GE25" s="8">
        <v>0.0</v>
      </c>
      <c r="GF25" s="9"/>
      <c r="GG25" s="9" t="s">
        <v>875</v>
      </c>
      <c r="GH25" s="9" t="s">
        <v>857</v>
      </c>
      <c r="GI25" s="9" t="s">
        <v>1264</v>
      </c>
      <c r="GJ25" s="8">
        <v>0.0</v>
      </c>
      <c r="GK25" s="8">
        <v>1.0</v>
      </c>
      <c r="GL25" s="8">
        <v>0.0</v>
      </c>
      <c r="GM25" s="8">
        <v>0.0</v>
      </c>
      <c r="GN25" s="9"/>
      <c r="GO25" s="8">
        <v>9.0</v>
      </c>
      <c r="GP25" s="9" t="s">
        <v>1931</v>
      </c>
      <c r="GQ25" s="9" t="s">
        <v>1102</v>
      </c>
      <c r="GR25" s="8">
        <v>1.0</v>
      </c>
      <c r="GS25" s="8">
        <v>0.0</v>
      </c>
      <c r="GT25" s="8">
        <v>0.0</v>
      </c>
      <c r="GU25" s="8">
        <v>0.0</v>
      </c>
      <c r="GV25" s="8">
        <v>0.0</v>
      </c>
      <c r="GW25" s="8">
        <v>0.0</v>
      </c>
      <c r="GX25" s="8">
        <v>0.0</v>
      </c>
      <c r="GY25" s="9"/>
      <c r="GZ25" s="9" t="s">
        <v>857</v>
      </c>
      <c r="HA25" s="9"/>
      <c r="HB25" s="9"/>
      <c r="HC25" s="9"/>
      <c r="HD25" s="9"/>
      <c r="HE25" s="8">
        <v>9.0</v>
      </c>
      <c r="HF25" s="8">
        <v>48000.0</v>
      </c>
      <c r="HG25" s="8">
        <v>3.0</v>
      </c>
      <c r="HH25" s="8">
        <v>22000.0</v>
      </c>
      <c r="HI25" s="9"/>
      <c r="HJ25" s="9"/>
      <c r="HK25" s="9"/>
      <c r="HL25" s="9"/>
      <c r="HM25" s="9"/>
      <c r="HN25" s="9"/>
      <c r="HO25" s="9"/>
      <c r="HP25" s="9"/>
      <c r="HQ25" s="9"/>
      <c r="HR25" s="9"/>
      <c r="HS25" s="9"/>
      <c r="HT25" s="9"/>
      <c r="HU25" s="9"/>
      <c r="HV25" s="9"/>
      <c r="HW25" s="9"/>
      <c r="HX25" s="9"/>
      <c r="HY25" s="9"/>
      <c r="HZ25" s="9"/>
      <c r="IA25" s="8">
        <v>6.0</v>
      </c>
      <c r="IB25" s="8">
        <v>26000.0</v>
      </c>
      <c r="IC25" s="9"/>
      <c r="ID25" s="9"/>
      <c r="IE25" s="9"/>
      <c r="IF25" s="9"/>
      <c r="IG25" s="9"/>
      <c r="IH25" s="9"/>
      <c r="II25" s="9"/>
      <c r="IJ25" s="9"/>
      <c r="IK25" s="9" t="s">
        <v>1932</v>
      </c>
      <c r="IL25" s="9" t="s">
        <v>1366</v>
      </c>
      <c r="IM25" s="9" t="s">
        <v>857</v>
      </c>
      <c r="IN25" s="9" t="s">
        <v>881</v>
      </c>
      <c r="IO25" s="9" t="s">
        <v>882</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884</v>
      </c>
      <c r="LB25" s="9" t="s">
        <v>884</v>
      </c>
      <c r="LC25" s="8">
        <v>5.0</v>
      </c>
      <c r="LD25" s="8">
        <v>3.0</v>
      </c>
      <c r="LE25" s="8">
        <v>0.0</v>
      </c>
      <c r="LF25" s="8">
        <v>0.0</v>
      </c>
      <c r="LG25" s="9" t="s">
        <v>857</v>
      </c>
      <c r="LH25" s="8">
        <v>150000.0</v>
      </c>
      <c r="LI25" s="9"/>
      <c r="LJ25" s="9" t="s">
        <v>887</v>
      </c>
      <c r="LK25" s="8">
        <v>0.0</v>
      </c>
      <c r="LL25" s="8">
        <v>0.0</v>
      </c>
      <c r="LM25" s="8">
        <v>0.0</v>
      </c>
      <c r="LN25" s="8">
        <v>0.0</v>
      </c>
      <c r="LO25" s="8">
        <v>1.0</v>
      </c>
      <c r="LP25" s="8">
        <v>0.0</v>
      </c>
      <c r="LQ25" s="8">
        <v>0.0</v>
      </c>
      <c r="LR25" s="11"/>
      <c r="LS25" s="8">
        <v>10.0</v>
      </c>
      <c r="LT25" s="8">
        <v>10.0</v>
      </c>
      <c r="LU25" s="8">
        <v>0.0</v>
      </c>
      <c r="LV25" s="8">
        <v>0.0</v>
      </c>
      <c r="LW25" s="8">
        <v>0.0</v>
      </c>
      <c r="LX25" s="8">
        <v>0.0</v>
      </c>
      <c r="LY25" s="8">
        <v>10.0</v>
      </c>
      <c r="LZ25" s="8">
        <v>0.0</v>
      </c>
      <c r="MA25" s="8">
        <v>0.0</v>
      </c>
      <c r="MB25" s="9" t="s">
        <v>881</v>
      </c>
      <c r="MC25" s="8">
        <v>0.0</v>
      </c>
      <c r="MD25" s="8">
        <v>0.0</v>
      </c>
      <c r="ME25" s="8">
        <v>0.0</v>
      </c>
      <c r="MF25" s="8">
        <v>0.0</v>
      </c>
      <c r="MG25" s="8">
        <v>0.0</v>
      </c>
      <c r="MH25" s="8">
        <v>0.0</v>
      </c>
      <c r="MI25" s="9"/>
      <c r="MJ25" s="9"/>
      <c r="MK25" s="9"/>
      <c r="ML25" s="9"/>
      <c r="MM25" s="9"/>
      <c r="MN25" s="9"/>
      <c r="MO25" s="9"/>
      <c r="MP25" s="9"/>
      <c r="MQ25" s="9"/>
      <c r="MR25" s="17" t="s">
        <v>2035</v>
      </c>
      <c r="MS25" s="9"/>
      <c r="MT25" s="9" t="s">
        <v>2035</v>
      </c>
      <c r="MU25" s="9" t="s">
        <v>1030</v>
      </c>
      <c r="MV25" s="9" t="s">
        <v>949</v>
      </c>
      <c r="MW25" s="8">
        <v>1.0</v>
      </c>
      <c r="MX25" s="8">
        <v>0.0</v>
      </c>
      <c r="MY25" s="8">
        <v>0.0</v>
      </c>
      <c r="MZ25" s="8">
        <v>0.0</v>
      </c>
      <c r="NA25" s="9"/>
      <c r="NB25" s="9"/>
      <c r="NC25" s="9"/>
      <c r="ND25" s="9"/>
      <c r="NE25" s="9"/>
      <c r="NF25" s="9"/>
      <c r="NG25" s="9"/>
      <c r="NH25" s="9"/>
      <c r="NI25" s="9"/>
      <c r="NJ25" s="9"/>
      <c r="NK25" s="9"/>
      <c r="NL25" s="9" t="s">
        <v>857</v>
      </c>
      <c r="NM25" s="9" t="s">
        <v>1386</v>
      </c>
      <c r="NN25" s="17" t="s">
        <v>1975</v>
      </c>
      <c r="NO25" s="17" t="s">
        <v>895</v>
      </c>
      <c r="NP25" s="9"/>
      <c r="NQ25" s="9"/>
      <c r="NR25" s="9"/>
      <c r="NS25" s="9"/>
      <c r="NT25" s="9"/>
      <c r="NU25" s="9"/>
      <c r="NV25" s="9"/>
      <c r="NW25" s="9"/>
      <c r="NX25" s="9" t="s">
        <v>914</v>
      </c>
      <c r="NY25" s="8">
        <v>180.0</v>
      </c>
      <c r="NZ25" s="8">
        <v>0.0</v>
      </c>
      <c r="OA25" s="8">
        <v>0.0</v>
      </c>
      <c r="OB25" s="8">
        <v>15.0</v>
      </c>
      <c r="OC25" s="8">
        <v>10.0</v>
      </c>
      <c r="OD25" s="8">
        <v>0.0</v>
      </c>
      <c r="OE25" s="9" t="s">
        <v>945</v>
      </c>
      <c r="OF25" s="9" t="s">
        <v>1184</v>
      </c>
      <c r="OG25" s="9" t="s">
        <v>857</v>
      </c>
      <c r="OH25" s="8">
        <v>6.0</v>
      </c>
      <c r="OI25" s="8">
        <v>0.0</v>
      </c>
      <c r="OJ25" s="8">
        <v>0.0</v>
      </c>
      <c r="OK25" s="8">
        <v>0.0</v>
      </c>
      <c r="OL25" s="8">
        <v>0.0</v>
      </c>
      <c r="OM25" s="8">
        <v>0.0</v>
      </c>
      <c r="ON25" s="8">
        <v>0.0</v>
      </c>
      <c r="OO25" s="8">
        <v>0.0</v>
      </c>
      <c r="OP25" s="9" t="str">
        <f>VLOOKUP(AG25,'BUS 2'!$G$1:$CU$424,2,0)</f>
        <v>Sapi pedaging</v>
      </c>
      <c r="OQ25" s="8">
        <f>VLOOKUP(AG25,'BUS 2'!$G$1:$CU$424,3,0)</f>
        <v>1</v>
      </c>
      <c r="OR25" s="8">
        <f>VLOOKUP(AG25,'BUS 2'!$G$1:$CU$424,4,0)</f>
        <v>0</v>
      </c>
      <c r="OS25" s="8">
        <f>VLOOKUP(AG25,'BUS 2'!$G$1:$CU$424,5,0)</f>
        <v>0</v>
      </c>
      <c r="OT25" s="8">
        <f>VLOOKUP(AG25,'BUS 2'!$G$1:$CU$424,6,0)</f>
        <v>0</v>
      </c>
      <c r="OU25" s="8">
        <f>VLOOKUP(AG25,'BUS 2'!$G$1:$CU$424,7,0)</f>
        <v>0</v>
      </c>
      <c r="OV25" s="8">
        <f>VLOOKUP(AG25,'BUS 2'!$G$1:$CU$424,8,0)</f>
        <v>0</v>
      </c>
      <c r="OW25" s="8">
        <f>VLOOKUP(AG25,'BUS 2'!$G$1:$CU$424,9,0)</f>
        <v>0</v>
      </c>
      <c r="OX25" s="8">
        <f>VLOOKUP(AG25,'BUS 2'!$G$1:$CU$424,10,0)</f>
        <v>0</v>
      </c>
      <c r="OY25" s="8">
        <f>VLOOKUP(AG25,'BUS 2'!$G$1:$CU$424,11,0)</f>
        <v>0</v>
      </c>
      <c r="OZ25" s="8" t="str">
        <f>VLOOKUP(AG25,'BUS 2'!$G$1:$CU$424,12,0)</f>
        <v>Sapi pedaging</v>
      </c>
      <c r="PA25" s="8">
        <f>VLOOKUP(AG25,'BUS 2'!$G$1:$CU$424,13,0)</f>
        <v>1</v>
      </c>
      <c r="PB25" s="8">
        <f>VLOOKUP(AG25,'BUS 2'!$G$1:$CU$424,14,0)</f>
        <v>0</v>
      </c>
      <c r="PC25" s="8">
        <f>VLOOKUP(AG25,'BUS 2'!$G$1:$CU$424,15,0)</f>
        <v>0</v>
      </c>
      <c r="PD25" s="8">
        <f>VLOOKUP(AG25,'BUS 2'!$G$1:$CU$424,16,0)</f>
        <v>0</v>
      </c>
      <c r="PE25" s="8">
        <f>VLOOKUP(AG25,'BUS 2'!$G$1:$CU$424,17,0)</f>
        <v>0</v>
      </c>
      <c r="PF25" s="8">
        <f>VLOOKUP(AG25,'BUS 2'!$G$1:$CU$424,18,0)</f>
        <v>0</v>
      </c>
      <c r="PG25" s="8">
        <f>VLOOKUP(AG25,'BUS 2'!$G$1:$CU$424,19,0)</f>
        <v>0</v>
      </c>
      <c r="PH25" s="8">
        <f>VLOOKUP(AG25,'BUS 2'!$G$1:$CU$424,20,0)</f>
        <v>0</v>
      </c>
      <c r="PI25" s="8">
        <f>VLOOKUP(AG25,'BUS 2'!$G$1:$CU$424,21,0)</f>
        <v>0</v>
      </c>
      <c r="PJ25" s="8" t="str">
        <f>VLOOKUP(AG25,'BUS 2'!$G$1:$CU$424,22,0)</f>
        <v>Sapi pedaging</v>
      </c>
      <c r="PK25" s="8">
        <f>VLOOKUP(AG25,'BUS 2'!$G$1:$CU$424,23,0)</f>
        <v>1</v>
      </c>
      <c r="PL25" s="8">
        <f>VLOOKUP(AG25,'BUS 2'!$G$1:$CU$424,24,0)</f>
        <v>0</v>
      </c>
      <c r="PM25" s="8">
        <f>VLOOKUP(AG25,'BUS 2'!$G$1:$CU$424,25,0)</f>
        <v>0</v>
      </c>
      <c r="PN25" s="8">
        <f>VLOOKUP(AG25,'BUS 2'!$G$1:$CU$424,26,0)</f>
        <v>0</v>
      </c>
      <c r="PO25" s="8">
        <f>VLOOKUP(AG25,'BUS 2'!$G$1:$CU$424,27,0)</f>
        <v>0</v>
      </c>
      <c r="PP25" s="8">
        <f>VLOOKUP(AG25,'BUS 2'!$G$1:$CU$424,28,0)</f>
        <v>0</v>
      </c>
      <c r="PQ25" s="8">
        <f>VLOOKUP(AG25,'BUS 2'!$G$1:$CU$424,29,0)</f>
        <v>0</v>
      </c>
      <c r="PR25" s="8">
        <f>VLOOKUP(AG25,'BUS 2'!$G$1:$CU$424,30,0)</f>
        <v>0</v>
      </c>
      <c r="PS25" s="8">
        <f>VLOOKUP(AG25,'BUS 2'!$G$1:$CU$424,31,0)</f>
        <v>0</v>
      </c>
      <c r="PT25" s="9" t="s">
        <v>900</v>
      </c>
      <c r="PU25" s="8">
        <v>0.0</v>
      </c>
      <c r="PV25" s="8">
        <v>0.0</v>
      </c>
      <c r="PW25" s="8">
        <v>0.0</v>
      </c>
      <c r="PX25" s="8">
        <v>0.0</v>
      </c>
      <c r="PY25" s="8">
        <v>0.0</v>
      </c>
      <c r="PZ25" s="8">
        <v>1.0</v>
      </c>
      <c r="QA25" s="8">
        <v>0.0</v>
      </c>
      <c r="QB25" s="8">
        <v>0.0</v>
      </c>
      <c r="QC25" s="8">
        <v>0.0</v>
      </c>
      <c r="QD25" s="9"/>
      <c r="QE25" s="32"/>
      <c r="QF25" s="31"/>
      <c r="QG25" s="31"/>
      <c r="QH25" s="31"/>
      <c r="QI25" s="31"/>
      <c r="QJ25" s="31"/>
      <c r="QK25" s="32"/>
      <c r="QL25" s="32"/>
      <c r="QM25" s="32"/>
      <c r="QN25" s="32"/>
      <c r="QO25" s="32"/>
      <c r="QP25" s="32"/>
      <c r="QQ25" s="32"/>
      <c r="QR25" s="32"/>
      <c r="QS25" s="32"/>
      <c r="QT25" s="32"/>
      <c r="QU25" s="32"/>
      <c r="QV25" s="32"/>
      <c r="QW25" s="31"/>
      <c r="QX25" s="31"/>
      <c r="QY25" s="31"/>
      <c r="QZ25" s="31"/>
      <c r="RA25" s="31"/>
      <c r="RB25" s="32"/>
      <c r="RC25" s="32"/>
      <c r="RD25" s="32"/>
      <c r="RE25" s="32"/>
      <c r="RF25" s="32"/>
      <c r="RG25" s="9"/>
      <c r="RH25" s="31"/>
      <c r="RI25" s="31"/>
      <c r="RJ25" s="31"/>
      <c r="RK25" s="31"/>
      <c r="RL25" s="31"/>
      <c r="RM25" s="9"/>
      <c r="RN25" s="9"/>
      <c r="RO25" s="9"/>
      <c r="RP25" s="9"/>
      <c r="RQ25" s="9"/>
      <c r="RR25" s="9"/>
      <c r="RS25" s="31"/>
      <c r="RT25" s="31"/>
      <c r="RU25" s="31"/>
      <c r="RV25" s="31"/>
      <c r="RW25" s="31"/>
      <c r="RX25" s="9"/>
      <c r="RY25" s="9"/>
      <c r="RZ25" s="9"/>
      <c r="SA25" s="9"/>
      <c r="SB25" s="9"/>
      <c r="SC25" s="9"/>
      <c r="SD25" s="31"/>
      <c r="SE25" s="31"/>
      <c r="SF25" s="31"/>
      <c r="SG25" s="31"/>
      <c r="SH25" s="31"/>
      <c r="SI25" s="9"/>
      <c r="SJ25" s="9"/>
      <c r="SK25" s="9"/>
      <c r="SL25" s="9"/>
      <c r="SM25" s="9"/>
      <c r="SN25" s="9"/>
      <c r="SO25" s="31"/>
      <c r="SP25" s="31"/>
      <c r="SQ25" s="31"/>
      <c r="SR25" s="31"/>
      <c r="SS25" s="31"/>
      <c r="ST25" s="9"/>
      <c r="SU25" s="9"/>
      <c r="SV25" s="9"/>
      <c r="SW25" s="9"/>
      <c r="SX25" s="9"/>
      <c r="SY25" s="8">
        <f>VLOOKUP(AG25,'BUS 2'!$G$1:$CU$424,33,0)</f>
        <v>10</v>
      </c>
      <c r="SZ25" s="9" t="str">
        <f>VLOOKUP(AG25,'BUS 2'!$G$1:$CU$424,34,0)</f>
        <v/>
      </c>
      <c r="TA25" s="9" t="str">
        <f>VLOOKUP(AG25,'BUS 2'!$G$1:$CU$424,35,0)</f>
        <v/>
      </c>
      <c r="TB25" s="9" t="str">
        <f>VLOOKUP(AG25,'BUS 2'!$G$1:$CU$424,36,0)</f>
        <v/>
      </c>
      <c r="TC25" s="9" t="str">
        <f>VLOOKUP(AG25,'BUS 2'!$G$1:$CU$424,37,0)</f>
        <v/>
      </c>
      <c r="TD25" s="9" t="str">
        <f>VLOOKUP(AG25,'BUS 2'!$G$1:$CU$424,38,0)</f>
        <v/>
      </c>
      <c r="TE25" s="9" t="str">
        <f>VLOOKUP(AG25,'BUS 2'!$G$1:$CU$424,39,0)</f>
        <v/>
      </c>
      <c r="TF25" s="9" t="str">
        <f>VLOOKUP(AG25,'BUS 2'!$G$1:$CU$424,40,0)</f>
        <v/>
      </c>
      <c r="TG25" s="8">
        <f>VLOOKUP(AG25,'BUS 2'!$G$1:$CU$424,42,0)</f>
        <v>6</v>
      </c>
      <c r="TH25" s="8" t="str">
        <f>VLOOKUP(AG25,'BUS 2'!$G$1:$CU$424,43,0)</f>
        <v/>
      </c>
      <c r="TI25" s="8" t="str">
        <f>VLOOKUP(AG25,'BUS 2'!$G$1:$CU$424,44,0)</f>
        <v/>
      </c>
      <c r="TJ25" s="8" t="str">
        <f>VLOOKUP(AG25,'BUS 2'!$G$1:$CU$424,45,0)</f>
        <v/>
      </c>
      <c r="TK25" s="8" t="str">
        <f>VLOOKUP(AG25,'BUS 2'!$G$1:$CU$424,46,0)</f>
        <v/>
      </c>
      <c r="TL25" s="8" t="str">
        <f>VLOOKUP(AG25,'BUS 2'!$G$1:$CU$424,47,0)</f>
        <v/>
      </c>
      <c r="TM25" s="8" t="str">
        <f>VLOOKUP(AG25,'BUS 2'!$G$1:$CU$424,48,0)</f>
        <v/>
      </c>
      <c r="TN25" s="8" t="str">
        <f>VLOOKUP(AG25,'BUS 2'!$G$1:$CU$424,49,0)</f>
        <v/>
      </c>
      <c r="TO25" s="8">
        <f>VLOOKUP(AG25,'BUS 2'!$G$1:$CU$424,50,0)</f>
        <v>4</v>
      </c>
      <c r="TP25" s="8">
        <f>VLOOKUP(AG25,'BUS 2'!$G$1:$CU$424,51,0)</f>
        <v>0</v>
      </c>
      <c r="TQ25" s="8">
        <f>VLOOKUP(AG25,'BUS 2'!$G$1:$CU$424,52,0)</f>
        <v>0</v>
      </c>
      <c r="TR25" s="8">
        <f>VLOOKUP(AG25,'BUS 2'!$G$1:$CU$424,53,0)</f>
        <v>0</v>
      </c>
      <c r="TS25" s="9" t="str">
        <f>VLOOKUP(AG25,'BUS 2'!$G$1:$CU$424,54,0)</f>
        <v/>
      </c>
      <c r="TT25" s="9" t="str">
        <f>VLOOKUP(AG25,'BUS 2'!$G$1:$CU$424,55,0)</f>
        <v/>
      </c>
      <c r="TU25" s="9" t="str">
        <f>VLOOKUP(AG25,'BUS 2'!$G$1:$CU$424,56,0)</f>
        <v/>
      </c>
      <c r="TV25" s="9" t="str">
        <f>VLOOKUP(AG25,'BUS 2'!$G$1:$CU$424,57,0)</f>
        <v/>
      </c>
      <c r="TW25" s="9" t="str">
        <f>VLOOKUP(AG25,'BUS 2'!$G$1:$CU$424,58,0)</f>
        <v/>
      </c>
      <c r="TX25" s="9" t="str">
        <f>VLOOKUP(AG25,'BUS 2'!$G$1:$CU$424,59,0)</f>
        <v/>
      </c>
      <c r="TY25" s="9" t="str">
        <f>VLOOKUP(AG25,'BUS 2'!$G$1:$CU$424,60,0)</f>
        <v/>
      </c>
      <c r="TZ25" s="9" t="str">
        <f>VLOOKUP(AG25,'BUS 2'!$G$1:$CU$424,61,0)</f>
        <v/>
      </c>
      <c r="UA25" s="9" t="str">
        <f>VLOOKUP(AG25,'BUS 2'!$G$1:$CU$424,62,0)</f>
        <v/>
      </c>
      <c r="UB25" s="9" t="str">
        <f>VLOOKUP(AG25,'BUS 2'!$G$1:$CU$424,63,0)</f>
        <v/>
      </c>
      <c r="UC25" s="9" t="str">
        <f>VLOOKUP(AG25,'BUS 2'!$G$1:$CU$424,64,0)</f>
        <v/>
      </c>
      <c r="UD25" s="9" t="str">
        <f>VLOOKUP(AG25,'BUS 2'!$G$1:$CU$424,65,0)</f>
        <v/>
      </c>
      <c r="UE25" s="9" t="str">
        <f>VLOOKUP(AG25,'BUS 2'!$G$1:$CU$424,66,0)</f>
        <v/>
      </c>
      <c r="UF25" s="9" t="str">
        <f>VLOOKUP(AG25,'BUS 2'!$G$1:$CU$424,67,0)</f>
        <v/>
      </c>
      <c r="UG25" s="9" t="str">
        <f>VLOOKUP(AG25,'BUS 2'!$G$1:$CU$424,68,0)</f>
        <v/>
      </c>
      <c r="UH25" s="9" t="str">
        <f>VLOOKUP(AG25,'BUS 2'!$G$1:$CU$424,69,0)</f>
        <v/>
      </c>
      <c r="UI25" s="9" t="str">
        <f>VLOOKUP(AG25,'BUS 2'!$G$1:$CU$424,70,0)</f>
        <v/>
      </c>
      <c r="UJ25" s="9" t="str">
        <f>VLOOKUP(AG25,'BUS 2'!$G$1:$CU$424,71,0)</f>
        <v/>
      </c>
      <c r="UK25" s="9" t="str">
        <f>VLOOKUP(AG25,'BUS 2'!$G$1:$CU$424,72,0)</f>
        <v/>
      </c>
      <c r="UL25" s="9" t="str">
        <f>VLOOKUP(AG25,'BUS 2'!$G$1:$CU$424,73,0)</f>
        <v/>
      </c>
      <c r="UM25" s="9" t="str">
        <f>VLOOKUP(AG25,'BUS 2'!$G$1:$CU$424,74,0)</f>
        <v/>
      </c>
      <c r="UN25" s="9" t="str">
        <f>VLOOKUP(AG25,'BUS 2'!$G$1:$CU$424,75,0)</f>
        <v/>
      </c>
      <c r="UO25" s="9" t="str">
        <f>VLOOKUP(AG25,'BUS 2'!$G$1:$CU$424,76,0)</f>
        <v/>
      </c>
      <c r="UP25" s="9" t="str">
        <f>VLOOKUP(AG25,'BUS 2'!$G$1:$CU$424,77,0)</f>
        <v/>
      </c>
      <c r="UQ25" s="9" t="str">
        <f>VLOOKUP(AG25,'BUS 2'!$G$1:$CU$424,78,0)</f>
        <v/>
      </c>
      <c r="UR25" s="9" t="str">
        <f>VLOOKUP(AG25,'BUS 2'!$G$1:$CU$424,79,0)</f>
        <v/>
      </c>
      <c r="US25" s="9" t="str">
        <f>VLOOKUP(AG25,'BUS 2'!$G$1:$CU$424,80,0)</f>
        <v/>
      </c>
      <c r="UT25" s="9" t="str">
        <f>VLOOKUP(AG25,'BUS 2'!$G$1:$CU$424,81,0)</f>
        <v/>
      </c>
      <c r="UU25" s="9" t="s">
        <v>1937</v>
      </c>
      <c r="UV25" s="9"/>
      <c r="UW25" s="9"/>
      <c r="UX25" s="9"/>
      <c r="UY25" s="9"/>
      <c r="UZ25" s="9"/>
      <c r="VA25" s="9"/>
      <c r="VB25" s="9"/>
      <c r="VC25" s="9" t="s">
        <v>1938</v>
      </c>
      <c r="VD25" s="9"/>
      <c r="VE25" s="9"/>
      <c r="VF25" s="9"/>
      <c r="VG25" s="9"/>
      <c r="VH25" s="9"/>
      <c r="VI25" s="9"/>
      <c r="VJ25" s="9"/>
      <c r="VK25" s="9" t="s">
        <v>903</v>
      </c>
      <c r="VL25" s="9"/>
      <c r="VM25" s="9"/>
      <c r="VN25" s="9"/>
      <c r="VO25" s="9"/>
      <c r="VP25" s="9"/>
      <c r="VQ25" s="9"/>
      <c r="VR25" s="9"/>
      <c r="VS25" s="9" t="s">
        <v>1940</v>
      </c>
      <c r="VT25" s="8">
        <v>0.0</v>
      </c>
      <c r="VU25" s="8">
        <v>0.0</v>
      </c>
      <c r="VV25" s="8">
        <v>0.0</v>
      </c>
      <c r="VW25" s="8">
        <v>0.0</v>
      </c>
      <c r="VX25" s="8">
        <v>0.0</v>
      </c>
      <c r="VY25" s="8">
        <v>1.0</v>
      </c>
      <c r="VZ25" s="8">
        <v>0.0</v>
      </c>
      <c r="WA25" s="8">
        <v>0.0</v>
      </c>
      <c r="WB25" s="8">
        <v>0.0</v>
      </c>
      <c r="WC25" s="8">
        <v>0.0</v>
      </c>
      <c r="WD25" s="8">
        <v>0.0</v>
      </c>
      <c r="WE25" s="8">
        <v>0.0</v>
      </c>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8">
        <v>2.0</v>
      </c>
      <c r="ZW25" s="9"/>
      <c r="ZX25" s="9"/>
      <c r="ZY25" s="9"/>
      <c r="ZZ25" s="9"/>
      <c r="AAA25" s="9"/>
      <c r="AAB25" s="9"/>
      <c r="AAC25" s="9"/>
      <c r="AAD25" s="9" t="s">
        <v>1186</v>
      </c>
      <c r="AAE25" s="9"/>
      <c r="AAF25" s="9"/>
      <c r="AAG25" s="9"/>
      <c r="AAH25" s="9"/>
      <c r="AAI25" s="9"/>
      <c r="AAJ25" s="9"/>
      <c r="AAK25" s="9"/>
      <c r="AAL25" s="9" t="s">
        <v>857</v>
      </c>
      <c r="AAM25" s="9" t="s">
        <v>1942</v>
      </c>
      <c r="AAN25" s="8">
        <v>0.0</v>
      </c>
      <c r="AAO25" s="8">
        <v>1.0</v>
      </c>
      <c r="AAP25" s="8">
        <v>5.0</v>
      </c>
      <c r="AAQ25" s="9"/>
      <c r="AAR25" s="9" t="s">
        <v>881</v>
      </c>
      <c r="AAS25" s="9" t="s">
        <v>867</v>
      </c>
      <c r="AAT25" s="9" t="s">
        <v>2101</v>
      </c>
      <c r="AAU25" s="8">
        <v>0.0</v>
      </c>
      <c r="AAV25" s="8">
        <v>0.0</v>
      </c>
      <c r="AAW25" s="8">
        <v>0.0</v>
      </c>
      <c r="AAX25" s="8">
        <v>1.0</v>
      </c>
      <c r="AAY25" s="8">
        <v>0.0</v>
      </c>
      <c r="AAZ25" s="8">
        <v>0.0</v>
      </c>
      <c r="ABA25" s="8">
        <v>0.0</v>
      </c>
      <c r="ABB25" s="9"/>
      <c r="ABC25" s="9"/>
      <c r="ABD25" s="9"/>
      <c r="ABE25" s="9"/>
      <c r="ABF25" s="9"/>
      <c r="ABG25" s="9"/>
      <c r="ABH25" s="9"/>
      <c r="ABI25" s="9"/>
      <c r="ABJ25" s="9"/>
      <c r="ABK25" s="9"/>
      <c r="ABL25" s="9"/>
      <c r="ABM25" s="9"/>
      <c r="ABN25" s="9"/>
      <c r="ABO25" s="9"/>
      <c r="ABP25" s="9"/>
      <c r="ABQ25" s="9" t="s">
        <v>2435</v>
      </c>
      <c r="ABR25" s="9" t="s">
        <v>2289</v>
      </c>
      <c r="ABS25" s="9"/>
      <c r="ABT25" s="8">
        <v>75.0</v>
      </c>
      <c r="ABU25" s="9"/>
      <c r="ABV25" s="9"/>
      <c r="ABW25" s="9"/>
      <c r="ABX25" s="9"/>
      <c r="ABY25" s="9"/>
      <c r="ABZ25" s="9"/>
      <c r="ACA25" s="9"/>
      <c r="ACB25" s="9"/>
      <c r="ACC25" s="9"/>
      <c r="ACD25" s="9"/>
      <c r="ACE25" s="9"/>
      <c r="ACF25" s="9"/>
      <c r="ACG25" s="9"/>
      <c r="ACH25" s="9"/>
      <c r="ACI25" s="9"/>
      <c r="ACJ25" s="9"/>
      <c r="ACK25" s="9" t="s">
        <v>955</v>
      </c>
      <c r="ACL25" s="8">
        <v>0.0</v>
      </c>
      <c r="ACM25" s="8">
        <v>0.0</v>
      </c>
      <c r="ACN25" s="8">
        <v>0.0</v>
      </c>
      <c r="ACO25" s="8">
        <v>1.0</v>
      </c>
      <c r="ACP25" s="8">
        <v>0.0</v>
      </c>
      <c r="ACQ25" s="8">
        <v>0.0</v>
      </c>
      <c r="ACR25" s="8">
        <v>0.0</v>
      </c>
      <c r="ACS25" s="9"/>
      <c r="ACT25" s="9" t="s">
        <v>1945</v>
      </c>
      <c r="ACU25" s="9" t="s">
        <v>913</v>
      </c>
      <c r="ACV25" s="9" t="s">
        <v>914</v>
      </c>
      <c r="ACW25" s="9" t="s">
        <v>915</v>
      </c>
      <c r="ACX25" s="9" t="s">
        <v>916</v>
      </c>
      <c r="ACY25" s="9" t="s">
        <v>1017</v>
      </c>
      <c r="ACZ25" s="8">
        <v>1.0</v>
      </c>
      <c r="ADA25" s="8">
        <v>1.0</v>
      </c>
      <c r="ADB25" s="8">
        <v>1.0</v>
      </c>
      <c r="ADC25" s="8">
        <v>0.0</v>
      </c>
      <c r="ADD25" s="9" t="s">
        <v>917</v>
      </c>
      <c r="ADE25" s="9" t="s">
        <v>917</v>
      </c>
      <c r="ADF25" s="9" t="s">
        <v>917</v>
      </c>
      <c r="ADG25" s="9" t="s">
        <v>917</v>
      </c>
      <c r="ADH25" s="9" t="s">
        <v>881</v>
      </c>
      <c r="ADI25" s="9"/>
      <c r="ADJ25" s="9" t="s">
        <v>918</v>
      </c>
      <c r="ADK25" s="9"/>
      <c r="ADL25" s="9"/>
      <c r="ADM25" s="9"/>
      <c r="ADN25" s="9"/>
      <c r="ADO25" s="9"/>
      <c r="ADP25" s="9"/>
      <c r="ADQ25" s="9"/>
      <c r="ADR25" s="9"/>
      <c r="ADS25" s="9"/>
      <c r="ADT25" s="9"/>
      <c r="ADU25" s="9" t="s">
        <v>2235</v>
      </c>
      <c r="ADV25" s="8">
        <v>0.0</v>
      </c>
      <c r="ADW25" s="8">
        <v>0.0</v>
      </c>
      <c r="ADX25" s="8">
        <v>0.0</v>
      </c>
      <c r="ADY25" s="8">
        <v>0.0</v>
      </c>
      <c r="ADZ25" s="8">
        <v>0.0</v>
      </c>
      <c r="AEA25" s="8">
        <v>0.0</v>
      </c>
      <c r="AEB25" s="8">
        <v>1.0</v>
      </c>
      <c r="AEC25" s="8">
        <v>0.0</v>
      </c>
      <c r="AED25" s="9" t="s">
        <v>1945</v>
      </c>
      <c r="AEE25" s="9" t="s">
        <v>872</v>
      </c>
      <c r="AEF25" s="9"/>
      <c r="AEG25" s="9" t="s">
        <v>1367</v>
      </c>
      <c r="AEH25" s="9"/>
      <c r="AEI25" s="9" t="s">
        <v>1945</v>
      </c>
      <c r="AEJ25" s="9" t="s">
        <v>961</v>
      </c>
      <c r="AEK25" s="9" t="s">
        <v>2436</v>
      </c>
      <c r="AEL25" s="8">
        <v>0.0</v>
      </c>
      <c r="AEM25" s="8">
        <v>0.0</v>
      </c>
      <c r="AEN25" s="8">
        <v>1.0</v>
      </c>
      <c r="AEO25" s="8">
        <v>1.0</v>
      </c>
      <c r="AEP25" s="8">
        <v>1.0</v>
      </c>
      <c r="AEQ25" s="8">
        <v>0.0</v>
      </c>
      <c r="AER25" s="8">
        <v>0.0</v>
      </c>
      <c r="AES25" s="8">
        <v>0.0</v>
      </c>
      <c r="AET25" s="8">
        <v>0.0</v>
      </c>
      <c r="AEU25" s="8">
        <v>0.0</v>
      </c>
      <c r="AEV25" s="8">
        <v>0.0</v>
      </c>
      <c r="AEW25" s="8">
        <v>0.0</v>
      </c>
      <c r="AEX25" s="9"/>
      <c r="AEY25" s="9" t="s">
        <v>1981</v>
      </c>
      <c r="AEZ25" s="9"/>
      <c r="AFA25" s="9" t="s">
        <v>924</v>
      </c>
      <c r="AFB25" s="9"/>
      <c r="AFC25" s="9" t="s">
        <v>2437</v>
      </c>
      <c r="AFD25" s="16" t="s">
        <v>2438</v>
      </c>
      <c r="AFE25" s="9" t="s">
        <v>2439</v>
      </c>
      <c r="AFF25" s="16" t="s">
        <v>2440</v>
      </c>
      <c r="AFG25" s="9" t="s">
        <v>1919</v>
      </c>
      <c r="AFH25" s="9"/>
      <c r="AFI25" s="21" t="s">
        <v>1945</v>
      </c>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8">
        <v>6.72418844E8</v>
      </c>
      <c r="AWB25" s="9" t="s">
        <v>2441</v>
      </c>
      <c r="AWC25" s="6">
        <v>46068.0</v>
      </c>
      <c r="AWD25" s="9"/>
      <c r="AWE25" s="9"/>
      <c r="AWF25" s="9" t="s">
        <v>1954</v>
      </c>
      <c r="AWG25" s="9"/>
      <c r="AWH25" s="9" t="s">
        <v>1989</v>
      </c>
      <c r="AWI25" s="9"/>
      <c r="AWJ25" s="9" t="s">
        <v>2442</v>
      </c>
      <c r="AWK25" s="8">
        <v>245.0</v>
      </c>
      <c r="AWL25" s="9" t="s">
        <v>2434</v>
      </c>
      <c r="AWM25" s="8">
        <v>0.0</v>
      </c>
      <c r="AWN25" s="9" t="s">
        <v>1957</v>
      </c>
      <c r="AWO25" s="33" t="b">
        <v>1</v>
      </c>
      <c r="AWP25" s="33" t="b">
        <v>1</v>
      </c>
      <c r="AWQ25" s="33" t="b">
        <v>1</v>
      </c>
      <c r="AWR25" s="33" t="b">
        <v>1</v>
      </c>
      <c r="AWS25" s="33" t="b">
        <v>1</v>
      </c>
      <c r="AWT25" s="33" t="b">
        <v>1</v>
      </c>
      <c r="AWU25" s="9"/>
      <c r="AWV25" s="8">
        <v>6.0</v>
      </c>
      <c r="AWW25" s="9"/>
      <c r="AWX25" s="9"/>
      <c r="AWY25" s="9"/>
      <c r="AWZ25" s="9"/>
    </row>
    <row r="26">
      <c r="A26" s="6">
        <v>46051.0</v>
      </c>
      <c r="B26" s="6">
        <v>46068.0</v>
      </c>
      <c r="C26" s="30" t="s">
        <v>2443</v>
      </c>
      <c r="D26" s="30" t="s">
        <v>2444</v>
      </c>
      <c r="E26" s="8">
        <f>+6285256736625</f>
        <v>6285256736625</v>
      </c>
      <c r="F26" s="9" t="s">
        <v>2445</v>
      </c>
      <c r="G26" s="8">
        <v>-5.138153</v>
      </c>
      <c r="H26" s="8">
        <v>119.620474</v>
      </c>
      <c r="I26" s="8">
        <v>87.705</v>
      </c>
      <c r="J26" s="8">
        <v>5.576000214</v>
      </c>
      <c r="K26" s="8">
        <v>0.0</v>
      </c>
      <c r="L26" s="9" t="s">
        <v>2446</v>
      </c>
      <c r="M26" s="8">
        <v>-5.138362</v>
      </c>
      <c r="N26" s="8">
        <v>119.619914</v>
      </c>
      <c r="O26" s="8">
        <v>84.69</v>
      </c>
      <c r="P26" s="8">
        <v>0.6859999895</v>
      </c>
      <c r="Q26" s="8">
        <v>0.0</v>
      </c>
      <c r="R26" s="9" t="s">
        <v>1923</v>
      </c>
      <c r="S26" s="8">
        <v>0.0</v>
      </c>
      <c r="T26" s="8">
        <v>0.0</v>
      </c>
      <c r="U26" s="8">
        <v>0.0</v>
      </c>
      <c r="V26" s="8">
        <v>0.0</v>
      </c>
      <c r="W26" s="8">
        <v>0.0</v>
      </c>
      <c r="X26" s="8">
        <v>0.0</v>
      </c>
      <c r="Y26" s="8">
        <v>0.0</v>
      </c>
      <c r="Z26" s="8">
        <v>0.0</v>
      </c>
      <c r="AA26" s="8">
        <v>0.0</v>
      </c>
      <c r="AB26" s="8">
        <v>1.0</v>
      </c>
      <c r="AC26" s="7" t="s">
        <v>1924</v>
      </c>
      <c r="AD26" s="7" t="s">
        <v>2447</v>
      </c>
      <c r="AE26" s="7" t="s">
        <v>2448</v>
      </c>
      <c r="AF26" s="9" t="s">
        <v>2090</v>
      </c>
      <c r="AG26" s="9" t="s">
        <v>2449</v>
      </c>
      <c r="AH26" s="8">
        <v>10.0</v>
      </c>
      <c r="AI26" s="9" t="s">
        <v>933</v>
      </c>
      <c r="AJ26" s="9" t="s">
        <v>934</v>
      </c>
      <c r="AK26" s="8">
        <v>53.0</v>
      </c>
      <c r="AL26" s="9" t="s">
        <v>847</v>
      </c>
      <c r="AM26" s="9" t="s">
        <v>848</v>
      </c>
      <c r="AN26" s="9" t="s">
        <v>1967</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11"/>
      <c r="BI26" s="9" t="s">
        <v>936</v>
      </c>
      <c r="BJ26" s="8">
        <v>1.0</v>
      </c>
      <c r="BK26" s="8">
        <v>1.0</v>
      </c>
      <c r="BL26" s="8">
        <v>0.0</v>
      </c>
      <c r="BM26" s="8">
        <v>0.0</v>
      </c>
      <c r="BN26" s="9" t="s">
        <v>853</v>
      </c>
      <c r="BO26" s="9" t="s">
        <v>2064</v>
      </c>
      <c r="BP26" s="8">
        <v>0.0</v>
      </c>
      <c r="BQ26" s="8">
        <v>0.0</v>
      </c>
      <c r="BR26" s="8">
        <v>1.0</v>
      </c>
      <c r="BS26" s="8">
        <v>0.0</v>
      </c>
      <c r="BT26" s="8">
        <v>0.0</v>
      </c>
      <c r="BU26" s="9"/>
      <c r="BV26" s="9" t="s">
        <v>2065</v>
      </c>
      <c r="BW26" s="8">
        <v>1.0</v>
      </c>
      <c r="BX26" s="8">
        <v>0.0</v>
      </c>
      <c r="BY26" s="8">
        <v>0.0</v>
      </c>
      <c r="BZ26" s="8">
        <v>0.0</v>
      </c>
      <c r="CA26" s="8">
        <v>0.0</v>
      </c>
      <c r="CB26" s="9"/>
      <c r="CC26" s="9" t="s">
        <v>1929</v>
      </c>
      <c r="CD26" s="8">
        <v>0.0</v>
      </c>
      <c r="CE26" s="8">
        <v>0.0</v>
      </c>
      <c r="CF26" s="8">
        <v>0.0</v>
      </c>
      <c r="CG26" s="8">
        <v>0.0</v>
      </c>
      <c r="CH26" s="8">
        <v>1.0</v>
      </c>
      <c r="CI26" s="8">
        <v>0.0</v>
      </c>
      <c r="CJ26" s="8">
        <v>0.0</v>
      </c>
      <c r="CK26" s="9"/>
      <c r="CL26" s="9" t="s">
        <v>857</v>
      </c>
      <c r="CM26" s="8">
        <v>2016.0</v>
      </c>
      <c r="CN26" s="9" t="s">
        <v>858</v>
      </c>
      <c r="CO26" s="9" t="s">
        <v>859</v>
      </c>
      <c r="CP26" s="9" t="s">
        <v>860</v>
      </c>
      <c r="CQ26" s="8">
        <v>0.0</v>
      </c>
      <c r="CR26" s="8">
        <v>0.0</v>
      </c>
      <c r="CS26" s="8">
        <v>0.0</v>
      </c>
      <c r="CT26" s="8">
        <v>0.0</v>
      </c>
      <c r="CU26" s="8">
        <v>1.0</v>
      </c>
      <c r="CV26" s="8">
        <v>0.0</v>
      </c>
      <c r="CW26" s="8">
        <v>0.0</v>
      </c>
      <c r="CX26" s="8">
        <v>0.0</v>
      </c>
      <c r="CY26" s="9" t="s">
        <v>860</v>
      </c>
      <c r="CZ26" s="8">
        <v>1.0</v>
      </c>
      <c r="DA26" s="8">
        <v>0.0</v>
      </c>
      <c r="DB26" s="8">
        <v>0.0</v>
      </c>
      <c r="DC26" s="9"/>
      <c r="DD26" s="9" t="s">
        <v>860</v>
      </c>
      <c r="DE26" s="8">
        <v>1.0</v>
      </c>
      <c r="DF26" s="8">
        <v>0.0</v>
      </c>
      <c r="DG26" s="8">
        <v>0.0</v>
      </c>
      <c r="DH26" s="8">
        <v>0.0</v>
      </c>
      <c r="DI26" s="9"/>
      <c r="DJ26" s="9" t="s">
        <v>861</v>
      </c>
      <c r="DK26" s="8">
        <v>0.0</v>
      </c>
      <c r="DL26" s="8">
        <v>0.0</v>
      </c>
      <c r="DM26" s="8">
        <v>1.0</v>
      </c>
      <c r="DN26" s="8">
        <v>0.0</v>
      </c>
      <c r="DO26" s="9"/>
      <c r="DP26" s="9" t="s">
        <v>938</v>
      </c>
      <c r="DQ26" s="9" t="s">
        <v>939</v>
      </c>
      <c r="DR26" s="17" t="s">
        <v>2030</v>
      </c>
      <c r="DS26" s="9"/>
      <c r="DT26" s="9" t="s">
        <v>2450</v>
      </c>
      <c r="DU26" s="8">
        <v>1.0</v>
      </c>
      <c r="DV26" s="8">
        <v>0.0</v>
      </c>
      <c r="DW26" s="8">
        <v>0.0</v>
      </c>
      <c r="DX26" s="8">
        <v>1.0</v>
      </c>
      <c r="DY26" s="8">
        <v>1.0</v>
      </c>
      <c r="DZ26" s="8">
        <v>1.0</v>
      </c>
      <c r="EA26" s="8">
        <v>0.0</v>
      </c>
      <c r="EB26" s="8">
        <v>0.0</v>
      </c>
      <c r="EC26" s="8">
        <v>0.0</v>
      </c>
      <c r="ED26" s="8">
        <v>1.0</v>
      </c>
      <c r="EE26" s="8">
        <v>1.0</v>
      </c>
      <c r="EF26" s="8">
        <v>0.0</v>
      </c>
      <c r="EG26" s="8">
        <v>1.0</v>
      </c>
      <c r="EH26" s="8">
        <v>0.0</v>
      </c>
      <c r="EI26" s="9" t="s">
        <v>862</v>
      </c>
      <c r="EJ26" s="8">
        <v>0.0</v>
      </c>
      <c r="EK26" s="8">
        <v>0.0</v>
      </c>
      <c r="EL26" s="8">
        <v>0.0</v>
      </c>
      <c r="EM26" s="8">
        <v>1.0</v>
      </c>
      <c r="EN26" s="8">
        <v>0.0</v>
      </c>
      <c r="EO26" s="9"/>
      <c r="EP26" s="9" t="s">
        <v>863</v>
      </c>
      <c r="EQ26" s="9" t="s">
        <v>1380</v>
      </c>
      <c r="ER26" s="9" t="s">
        <v>969</v>
      </c>
      <c r="ES26" s="8">
        <v>0.0</v>
      </c>
      <c r="ET26" s="8">
        <v>0.0</v>
      </c>
      <c r="EU26" s="8">
        <v>0.0</v>
      </c>
      <c r="EV26" s="8">
        <v>1.0</v>
      </c>
      <c r="EW26" s="9" t="s">
        <v>2343</v>
      </c>
      <c r="EX26" s="9" t="s">
        <v>865</v>
      </c>
      <c r="EY26" s="8">
        <v>1.0</v>
      </c>
      <c r="EZ26" s="8">
        <v>0.0</v>
      </c>
      <c r="FA26" s="8">
        <v>0.0</v>
      </c>
      <c r="FB26" s="9"/>
      <c r="FC26" s="9" t="s">
        <v>866</v>
      </c>
      <c r="FD26" s="9" t="s">
        <v>2032</v>
      </c>
      <c r="FE26" s="9" t="s">
        <v>867</v>
      </c>
      <c r="FF26" s="9" t="s">
        <v>869</v>
      </c>
      <c r="FG26" s="9" t="s">
        <v>867</v>
      </c>
      <c r="FH26" s="9" t="s">
        <v>869</v>
      </c>
      <c r="FI26" s="9" t="s">
        <v>867</v>
      </c>
      <c r="FJ26" s="9" t="s">
        <v>869</v>
      </c>
      <c r="FK26" s="9" t="s">
        <v>867</v>
      </c>
      <c r="FL26" s="9" t="s">
        <v>869</v>
      </c>
      <c r="FM26" s="9" t="s">
        <v>867</v>
      </c>
      <c r="FN26" s="9" t="s">
        <v>869</v>
      </c>
      <c r="FO26" s="9" t="s">
        <v>867</v>
      </c>
      <c r="FP26" s="9" t="s">
        <v>869</v>
      </c>
      <c r="FQ26" s="9" t="s">
        <v>867</v>
      </c>
      <c r="FR26" s="9" t="s">
        <v>857</v>
      </c>
      <c r="FS26" s="9" t="s">
        <v>867</v>
      </c>
      <c r="FT26" s="9" t="s">
        <v>871</v>
      </c>
      <c r="FU26" s="9" t="s">
        <v>872</v>
      </c>
      <c r="FV26" s="8">
        <v>1.0</v>
      </c>
      <c r="FW26" s="8">
        <v>0.0</v>
      </c>
      <c r="FX26" s="8">
        <v>0.0</v>
      </c>
      <c r="FY26" s="8">
        <v>0.0</v>
      </c>
      <c r="FZ26" s="9" t="s">
        <v>873</v>
      </c>
      <c r="GA26" s="9" t="s">
        <v>1264</v>
      </c>
      <c r="GB26" s="8">
        <v>0.0</v>
      </c>
      <c r="GC26" s="8">
        <v>0.0</v>
      </c>
      <c r="GD26" s="8">
        <v>1.0</v>
      </c>
      <c r="GE26" s="8">
        <v>0.0</v>
      </c>
      <c r="GF26" s="9"/>
      <c r="GG26" s="9" t="s">
        <v>961</v>
      </c>
      <c r="GH26" s="9" t="s">
        <v>881</v>
      </c>
      <c r="GI26" s="9"/>
      <c r="GJ26" s="9"/>
      <c r="GK26" s="9"/>
      <c r="GL26" s="9"/>
      <c r="GM26" s="9"/>
      <c r="GN26" s="9"/>
      <c r="GO26" s="9"/>
      <c r="GP26" s="9" t="s">
        <v>1931</v>
      </c>
      <c r="GQ26" s="9" t="s">
        <v>1102</v>
      </c>
      <c r="GR26" s="8">
        <v>1.0</v>
      </c>
      <c r="GS26" s="8">
        <v>0.0</v>
      </c>
      <c r="GT26" s="8">
        <v>0.0</v>
      </c>
      <c r="GU26" s="8">
        <v>0.0</v>
      </c>
      <c r="GV26" s="8">
        <v>0.0</v>
      </c>
      <c r="GW26" s="8">
        <v>0.0</v>
      </c>
      <c r="GX26" s="8">
        <v>0.0</v>
      </c>
      <c r="GY26" s="9"/>
      <c r="GZ26" s="9" t="s">
        <v>857</v>
      </c>
      <c r="HA26" s="9"/>
      <c r="HB26" s="9"/>
      <c r="HC26" s="9"/>
      <c r="HD26" s="9"/>
      <c r="HE26" s="8">
        <v>12.0</v>
      </c>
      <c r="HF26" s="39">
        <v>72000.0</v>
      </c>
      <c r="HG26" s="8">
        <v>9.0</v>
      </c>
      <c r="HH26" s="8">
        <v>54000.0</v>
      </c>
      <c r="HI26" s="9"/>
      <c r="HJ26" s="9"/>
      <c r="HK26" s="9"/>
      <c r="HL26" s="9"/>
      <c r="HM26" s="9"/>
      <c r="HN26" s="9"/>
      <c r="HO26" s="9"/>
      <c r="HP26" s="9"/>
      <c r="HQ26" s="9"/>
      <c r="HR26" s="9"/>
      <c r="HS26" s="9"/>
      <c r="HT26" s="9"/>
      <c r="HU26" s="9"/>
      <c r="HV26" s="9"/>
      <c r="HW26" s="9"/>
      <c r="HX26" s="9"/>
      <c r="HY26" s="9"/>
      <c r="HZ26" s="9"/>
      <c r="IA26" s="35">
        <v>3.0</v>
      </c>
      <c r="IB26" s="35">
        <v>18.0</v>
      </c>
      <c r="IC26" s="9"/>
      <c r="ID26" s="9"/>
      <c r="IE26" s="9"/>
      <c r="IF26" s="9"/>
      <c r="IG26" s="9"/>
      <c r="IH26" s="9"/>
      <c r="II26" s="9"/>
      <c r="IJ26" s="9"/>
      <c r="IK26" s="9" t="s">
        <v>971</v>
      </c>
      <c r="IL26" s="9" t="s">
        <v>1383</v>
      </c>
      <c r="IM26" s="9" t="s">
        <v>857</v>
      </c>
      <c r="IN26" s="9" t="s">
        <v>881</v>
      </c>
      <c r="IO26" s="9" t="s">
        <v>882</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884</v>
      </c>
      <c r="KT26" s="9" t="s">
        <v>886</v>
      </c>
      <c r="KU26" s="9" t="s">
        <v>886</v>
      </c>
      <c r="KV26" s="9" t="s">
        <v>999</v>
      </c>
      <c r="KW26" s="8">
        <v>0.0</v>
      </c>
      <c r="KX26" s="8">
        <v>0.0</v>
      </c>
      <c r="KY26" s="8">
        <v>0.0</v>
      </c>
      <c r="KZ26" s="8">
        <v>1.0</v>
      </c>
      <c r="LA26" s="9" t="s">
        <v>884</v>
      </c>
      <c r="LB26" s="9" t="s">
        <v>884</v>
      </c>
      <c r="LC26" s="8">
        <v>6.0</v>
      </c>
      <c r="LD26" s="8">
        <v>2.0</v>
      </c>
      <c r="LE26" s="8">
        <v>0.0</v>
      </c>
      <c r="LF26" s="8">
        <v>0.0</v>
      </c>
      <c r="LG26" s="9" t="s">
        <v>881</v>
      </c>
      <c r="LH26" s="9"/>
      <c r="LI26" s="8">
        <v>0.0</v>
      </c>
      <c r="LJ26" s="9" t="s">
        <v>969</v>
      </c>
      <c r="LK26" s="8">
        <v>0.0</v>
      </c>
      <c r="LL26" s="8">
        <v>0.0</v>
      </c>
      <c r="LM26" s="8">
        <v>0.0</v>
      </c>
      <c r="LN26" s="8">
        <v>0.0</v>
      </c>
      <c r="LO26" s="8">
        <v>0.0</v>
      </c>
      <c r="LP26" s="8">
        <v>0.0</v>
      </c>
      <c r="LQ26" s="8">
        <v>1.0</v>
      </c>
      <c r="LR26" s="11" t="s">
        <v>1973</v>
      </c>
      <c r="LS26" s="8">
        <v>60.0</v>
      </c>
      <c r="LT26" s="8">
        <v>0.0</v>
      </c>
      <c r="LU26" s="8">
        <v>0.0</v>
      </c>
      <c r="LV26" s="8">
        <v>10.0</v>
      </c>
      <c r="LW26" s="8">
        <v>0.0</v>
      </c>
      <c r="LX26" s="8">
        <v>0.0</v>
      </c>
      <c r="LY26" s="8">
        <v>15.0</v>
      </c>
      <c r="LZ26" s="8">
        <v>0.0</v>
      </c>
      <c r="MA26" s="8">
        <v>0.0</v>
      </c>
      <c r="MB26" s="9" t="s">
        <v>881</v>
      </c>
      <c r="MC26" s="8">
        <v>0.0</v>
      </c>
      <c r="MD26" s="8">
        <v>0.0</v>
      </c>
      <c r="ME26" s="8">
        <v>0.0</v>
      </c>
      <c r="MF26" s="8">
        <v>0.0</v>
      </c>
      <c r="MG26" s="8">
        <v>0.0</v>
      </c>
      <c r="MH26" s="8">
        <v>0.0</v>
      </c>
      <c r="MI26" s="9"/>
      <c r="MJ26" s="9"/>
      <c r="MK26" s="9"/>
      <c r="ML26" s="9"/>
      <c r="MM26" s="9"/>
      <c r="MN26" s="9"/>
      <c r="MO26" s="9"/>
      <c r="MP26" s="9"/>
      <c r="MQ26" s="9"/>
      <c r="MR26" s="17" t="s">
        <v>2035</v>
      </c>
      <c r="MS26" s="9"/>
      <c r="MT26" s="9" t="s">
        <v>2035</v>
      </c>
      <c r="MU26" s="9" t="s">
        <v>881</v>
      </c>
      <c r="MV26" s="9"/>
      <c r="MW26" s="9"/>
      <c r="MX26" s="9"/>
      <c r="MY26" s="9"/>
      <c r="MZ26" s="9"/>
      <c r="NA26" s="9"/>
      <c r="NB26" s="9"/>
      <c r="NC26" s="9"/>
      <c r="ND26" s="9"/>
      <c r="NE26" s="9"/>
      <c r="NF26" s="9"/>
      <c r="NG26" s="9"/>
      <c r="NH26" s="9"/>
      <c r="NI26" s="9"/>
      <c r="NJ26" s="9"/>
      <c r="NK26" s="9"/>
      <c r="NL26" s="9" t="s">
        <v>857</v>
      </c>
      <c r="NM26" s="9" t="s">
        <v>1386</v>
      </c>
      <c r="NN26" s="17" t="s">
        <v>1975</v>
      </c>
      <c r="NO26" s="17" t="s">
        <v>994</v>
      </c>
      <c r="NP26" s="9"/>
      <c r="NQ26" s="9"/>
      <c r="NR26" s="9"/>
      <c r="NS26" s="9"/>
      <c r="NT26" s="9"/>
      <c r="NU26" s="9"/>
      <c r="NV26" s="9"/>
      <c r="NW26" s="9"/>
      <c r="NX26" s="9" t="s">
        <v>914</v>
      </c>
      <c r="NY26" s="8">
        <v>120.0</v>
      </c>
      <c r="NZ26" s="8">
        <v>0.0</v>
      </c>
      <c r="OA26" s="8">
        <v>0.0</v>
      </c>
      <c r="OB26" s="8">
        <v>0.0</v>
      </c>
      <c r="OC26" s="8">
        <v>30.0</v>
      </c>
      <c r="OD26" s="8">
        <v>0.0</v>
      </c>
      <c r="OE26" s="9" t="s">
        <v>898</v>
      </c>
      <c r="OF26" s="9" t="s">
        <v>1184</v>
      </c>
      <c r="OG26" s="9" t="s">
        <v>857</v>
      </c>
      <c r="OH26" s="8">
        <v>2.0</v>
      </c>
      <c r="OI26" s="8">
        <v>0.0</v>
      </c>
      <c r="OJ26" s="8">
        <v>0.0</v>
      </c>
      <c r="OK26" s="8">
        <v>0.0</v>
      </c>
      <c r="OL26" s="8">
        <v>0.0</v>
      </c>
      <c r="OM26" s="8">
        <v>0.0</v>
      </c>
      <c r="ON26" s="8">
        <v>7.0</v>
      </c>
      <c r="OO26" s="8">
        <v>0.0</v>
      </c>
      <c r="OP26" s="9" t="str">
        <f>VLOOKUP(AG26,'BUS 2'!$G$1:$CU$424,2,0)</f>
        <v>Sapi pedaging Ayam</v>
      </c>
      <c r="OQ26" s="8">
        <f>VLOOKUP(AG26,'BUS 2'!$G$1:$CU$424,3,0)</f>
        <v>1</v>
      </c>
      <c r="OR26" s="8">
        <f>VLOOKUP(AG26,'BUS 2'!$G$1:$CU$424,4,0)</f>
        <v>0</v>
      </c>
      <c r="OS26" s="8">
        <f>VLOOKUP(AG26,'BUS 2'!$G$1:$CU$424,5,0)</f>
        <v>0</v>
      </c>
      <c r="OT26" s="8">
        <f>VLOOKUP(AG26,'BUS 2'!$G$1:$CU$424,6,0)</f>
        <v>0</v>
      </c>
      <c r="OU26" s="8">
        <f>VLOOKUP(AG26,'BUS 2'!$G$1:$CU$424,7,0)</f>
        <v>0</v>
      </c>
      <c r="OV26" s="8">
        <f>VLOOKUP(AG26,'BUS 2'!$G$1:$CU$424,8,0)</f>
        <v>0</v>
      </c>
      <c r="OW26" s="8">
        <f>VLOOKUP(AG26,'BUS 2'!$G$1:$CU$424,9,0)</f>
        <v>1</v>
      </c>
      <c r="OX26" s="8">
        <f>VLOOKUP(AG26,'BUS 2'!$G$1:$CU$424,10,0)</f>
        <v>0</v>
      </c>
      <c r="OY26" s="8">
        <f>VLOOKUP(AG26,'BUS 2'!$G$1:$CU$424,11,0)</f>
        <v>0</v>
      </c>
      <c r="OZ26" s="8" t="str">
        <f>VLOOKUP(AG26,'BUS 2'!$G$1:$CU$424,12,0)</f>
        <v>Sapi pedaging Ayam</v>
      </c>
      <c r="PA26" s="8">
        <f>VLOOKUP(AG26,'BUS 2'!$G$1:$CU$424,13,0)</f>
        <v>1</v>
      </c>
      <c r="PB26" s="8">
        <f>VLOOKUP(AG26,'BUS 2'!$G$1:$CU$424,14,0)</f>
        <v>0</v>
      </c>
      <c r="PC26" s="8">
        <f>VLOOKUP(AG26,'BUS 2'!$G$1:$CU$424,15,0)</f>
        <v>0</v>
      </c>
      <c r="PD26" s="8">
        <f>VLOOKUP(AG26,'BUS 2'!$G$1:$CU$424,16,0)</f>
        <v>0</v>
      </c>
      <c r="PE26" s="8">
        <f>VLOOKUP(AG26,'BUS 2'!$G$1:$CU$424,17,0)</f>
        <v>0</v>
      </c>
      <c r="PF26" s="8">
        <f>VLOOKUP(AG26,'BUS 2'!$G$1:$CU$424,18,0)</f>
        <v>0</v>
      </c>
      <c r="PG26" s="8">
        <f>VLOOKUP(AG26,'BUS 2'!$G$1:$CU$424,19,0)</f>
        <v>1</v>
      </c>
      <c r="PH26" s="8">
        <f>VLOOKUP(AG26,'BUS 2'!$G$1:$CU$424,20,0)</f>
        <v>0</v>
      </c>
      <c r="PI26" s="8">
        <f>VLOOKUP(AG26,'BUS 2'!$G$1:$CU$424,21,0)</f>
        <v>0</v>
      </c>
      <c r="PJ26" s="8" t="str">
        <f>VLOOKUP(AG26,'BUS 2'!$G$1:$CU$424,22,0)</f>
        <v>Sapi pedaging Ayam</v>
      </c>
      <c r="PK26" s="8">
        <f>VLOOKUP(AG26,'BUS 2'!$G$1:$CU$424,23,0)</f>
        <v>1</v>
      </c>
      <c r="PL26" s="8">
        <f>VLOOKUP(AG26,'BUS 2'!$G$1:$CU$424,24,0)</f>
        <v>0</v>
      </c>
      <c r="PM26" s="8">
        <f>VLOOKUP(AG26,'BUS 2'!$G$1:$CU$424,25,0)</f>
        <v>0</v>
      </c>
      <c r="PN26" s="8">
        <f>VLOOKUP(AG26,'BUS 2'!$G$1:$CU$424,26,0)</f>
        <v>0</v>
      </c>
      <c r="PO26" s="8">
        <f>VLOOKUP(AG26,'BUS 2'!$G$1:$CU$424,27,0)</f>
        <v>0</v>
      </c>
      <c r="PP26" s="8">
        <f>VLOOKUP(AG26,'BUS 2'!$G$1:$CU$424,28,0)</f>
        <v>0</v>
      </c>
      <c r="PQ26" s="8">
        <f>VLOOKUP(AG26,'BUS 2'!$G$1:$CU$424,29,0)</f>
        <v>1</v>
      </c>
      <c r="PR26" s="8">
        <f>VLOOKUP(AG26,'BUS 2'!$G$1:$CU$424,30,0)</f>
        <v>0</v>
      </c>
      <c r="PS26" s="8">
        <f>VLOOKUP(AG26,'BUS 2'!$G$1:$CU$424,31,0)</f>
        <v>0</v>
      </c>
      <c r="PT26" s="9" t="s">
        <v>900</v>
      </c>
      <c r="PU26" s="8">
        <v>0.0</v>
      </c>
      <c r="PV26" s="8">
        <v>0.0</v>
      </c>
      <c r="PW26" s="8">
        <v>0.0</v>
      </c>
      <c r="PX26" s="8">
        <v>0.0</v>
      </c>
      <c r="PY26" s="8">
        <v>0.0</v>
      </c>
      <c r="PZ26" s="8">
        <v>1.0</v>
      </c>
      <c r="QA26" s="8">
        <v>0.0</v>
      </c>
      <c r="QB26" s="8">
        <v>0.0</v>
      </c>
      <c r="QC26" s="8">
        <v>0.0</v>
      </c>
      <c r="QD26" s="9"/>
      <c r="QE26" s="32"/>
      <c r="QF26" s="31"/>
      <c r="QG26" s="31"/>
      <c r="QH26" s="31"/>
      <c r="QI26" s="31"/>
      <c r="QJ26" s="31"/>
      <c r="QK26" s="32"/>
      <c r="QL26" s="32"/>
      <c r="QM26" s="32"/>
      <c r="QN26" s="32"/>
      <c r="QO26" s="32"/>
      <c r="QP26" s="32"/>
      <c r="QQ26" s="32"/>
      <c r="QR26" s="32"/>
      <c r="QS26" s="32"/>
      <c r="QT26" s="32"/>
      <c r="QU26" s="32"/>
      <c r="QV26" s="32"/>
      <c r="QW26" s="31"/>
      <c r="QX26" s="31"/>
      <c r="QY26" s="31"/>
      <c r="QZ26" s="31"/>
      <c r="RA26" s="31"/>
      <c r="RB26" s="32"/>
      <c r="RC26" s="32"/>
      <c r="RD26" s="32"/>
      <c r="RE26" s="32"/>
      <c r="RF26" s="32"/>
      <c r="RG26" s="9"/>
      <c r="RH26" s="31"/>
      <c r="RI26" s="31"/>
      <c r="RJ26" s="31"/>
      <c r="RK26" s="31"/>
      <c r="RL26" s="31"/>
      <c r="RM26" s="9"/>
      <c r="RN26" s="9"/>
      <c r="RO26" s="9"/>
      <c r="RP26" s="9"/>
      <c r="RQ26" s="9"/>
      <c r="RR26" s="9"/>
      <c r="RS26" s="31"/>
      <c r="RT26" s="31"/>
      <c r="RU26" s="31"/>
      <c r="RV26" s="31"/>
      <c r="RW26" s="31"/>
      <c r="RX26" s="9"/>
      <c r="RY26" s="9"/>
      <c r="RZ26" s="9"/>
      <c r="SA26" s="9"/>
      <c r="SB26" s="9"/>
      <c r="SC26" s="9" t="s">
        <v>900</v>
      </c>
      <c r="SD26" s="35">
        <v>0.0</v>
      </c>
      <c r="SE26" s="35">
        <v>0.0</v>
      </c>
      <c r="SF26" s="35">
        <v>0.0</v>
      </c>
      <c r="SG26" s="35">
        <v>0.0</v>
      </c>
      <c r="SH26" s="35">
        <v>0.0</v>
      </c>
      <c r="SI26" s="8">
        <v>1.0</v>
      </c>
      <c r="SJ26" s="8">
        <v>0.0</v>
      </c>
      <c r="SK26" s="8">
        <v>0.0</v>
      </c>
      <c r="SL26" s="8">
        <v>0.0</v>
      </c>
      <c r="SM26" s="9"/>
      <c r="SN26" s="9"/>
      <c r="SO26" s="31"/>
      <c r="SP26" s="31"/>
      <c r="SQ26" s="31"/>
      <c r="SR26" s="31"/>
      <c r="SS26" s="31"/>
      <c r="ST26" s="9"/>
      <c r="SU26" s="9"/>
      <c r="SV26" s="9"/>
      <c r="SW26" s="9"/>
      <c r="SX26" s="9"/>
      <c r="SY26" s="8">
        <f>VLOOKUP(AG26,'BUS 2'!$G$1:$CU$424,33,0)</f>
        <v>5</v>
      </c>
      <c r="SZ26" s="9" t="str">
        <f>VLOOKUP(AG26,'BUS 2'!$G$1:$CU$424,34,0)</f>
        <v/>
      </c>
      <c r="TA26" s="9" t="str">
        <f>VLOOKUP(AG26,'BUS 2'!$G$1:$CU$424,35,0)</f>
        <v/>
      </c>
      <c r="TB26" s="9" t="str">
        <f>VLOOKUP(AG26,'BUS 2'!$G$1:$CU$424,36,0)</f>
        <v/>
      </c>
      <c r="TC26" s="9" t="str">
        <f>VLOOKUP(AG26,'BUS 2'!$G$1:$CU$424,37,0)</f>
        <v/>
      </c>
      <c r="TD26" s="9" t="str">
        <f>VLOOKUP(AG26,'BUS 2'!$G$1:$CU$424,38,0)</f>
        <v/>
      </c>
      <c r="TE26" s="9">
        <f>VLOOKUP(AG26,'BUS 2'!$G$1:$CU$424,39,0)</f>
        <v>12</v>
      </c>
      <c r="TF26" s="9" t="str">
        <f>VLOOKUP(AG26,'BUS 2'!$G$1:$CU$424,40,0)</f>
        <v/>
      </c>
      <c r="TG26" s="8">
        <f>VLOOKUP(AG26,'BUS 2'!$G$1:$CU$424,42,0)</f>
        <v>2</v>
      </c>
      <c r="TH26" s="8" t="str">
        <f>VLOOKUP(AG26,'BUS 2'!$G$1:$CU$424,43,0)</f>
        <v/>
      </c>
      <c r="TI26" s="8" t="str">
        <f>VLOOKUP(AG26,'BUS 2'!$G$1:$CU$424,44,0)</f>
        <v/>
      </c>
      <c r="TJ26" s="8" t="str">
        <f>VLOOKUP(AG26,'BUS 2'!$G$1:$CU$424,45,0)</f>
        <v/>
      </c>
      <c r="TK26" s="8" t="str">
        <f>VLOOKUP(AG26,'BUS 2'!$G$1:$CU$424,46,0)</f>
        <v/>
      </c>
      <c r="TL26" s="8" t="str">
        <f>VLOOKUP(AG26,'BUS 2'!$G$1:$CU$424,47,0)</f>
        <v/>
      </c>
      <c r="TM26" s="8">
        <f>VLOOKUP(AG26,'BUS 2'!$G$1:$CU$424,48,0)</f>
        <v>7</v>
      </c>
      <c r="TN26" s="8" t="str">
        <f>VLOOKUP(AG26,'BUS 2'!$G$1:$CU$424,49,0)</f>
        <v/>
      </c>
      <c r="TO26" s="8">
        <f>VLOOKUP(AG26,'BUS 2'!$G$1:$CU$424,50,0)</f>
        <v>2</v>
      </c>
      <c r="TP26" s="8">
        <f>VLOOKUP(AG26,'BUS 2'!$G$1:$CU$424,51,0)</f>
        <v>0</v>
      </c>
      <c r="TQ26" s="8">
        <f>VLOOKUP(AG26,'BUS 2'!$G$1:$CU$424,52,0)</f>
        <v>1</v>
      </c>
      <c r="TR26" s="8">
        <f>VLOOKUP(AG26,'BUS 2'!$G$1:$CU$424,53,0)</f>
        <v>2</v>
      </c>
      <c r="TS26" s="9" t="str">
        <f>VLOOKUP(AG26,'BUS 2'!$G$1:$CU$424,54,0)</f>
        <v/>
      </c>
      <c r="TT26" s="9" t="str">
        <f>VLOOKUP(AG26,'BUS 2'!$G$1:$CU$424,55,0)</f>
        <v/>
      </c>
      <c r="TU26" s="9" t="str">
        <f>VLOOKUP(AG26,'BUS 2'!$G$1:$CU$424,56,0)</f>
        <v/>
      </c>
      <c r="TV26" s="9" t="str">
        <f>VLOOKUP(AG26,'BUS 2'!$G$1:$CU$424,57,0)</f>
        <v/>
      </c>
      <c r="TW26" s="9" t="str">
        <f>VLOOKUP(AG26,'BUS 2'!$G$1:$CU$424,58,0)</f>
        <v/>
      </c>
      <c r="TX26" s="9" t="str">
        <f>VLOOKUP(AG26,'BUS 2'!$G$1:$CU$424,59,0)</f>
        <v/>
      </c>
      <c r="TY26" s="9" t="str">
        <f>VLOOKUP(AG26,'BUS 2'!$G$1:$CU$424,60,0)</f>
        <v/>
      </c>
      <c r="TZ26" s="9" t="str">
        <f>VLOOKUP(AG26,'BUS 2'!$G$1:$CU$424,61,0)</f>
        <v/>
      </c>
      <c r="UA26" s="9" t="str">
        <f>VLOOKUP(AG26,'BUS 2'!$G$1:$CU$424,62,0)</f>
        <v/>
      </c>
      <c r="UB26" s="9" t="str">
        <f>VLOOKUP(AG26,'BUS 2'!$G$1:$CU$424,63,0)</f>
        <v/>
      </c>
      <c r="UC26" s="9" t="str">
        <f>VLOOKUP(AG26,'BUS 2'!$G$1:$CU$424,64,0)</f>
        <v/>
      </c>
      <c r="UD26" s="9" t="str">
        <f>VLOOKUP(AG26,'BUS 2'!$G$1:$CU$424,65,0)</f>
        <v/>
      </c>
      <c r="UE26" s="9" t="str">
        <f>VLOOKUP(AG26,'BUS 2'!$G$1:$CU$424,66,0)</f>
        <v/>
      </c>
      <c r="UF26" s="9" t="str">
        <f>VLOOKUP(AG26,'BUS 2'!$G$1:$CU$424,67,0)</f>
        <v/>
      </c>
      <c r="UG26" s="9" t="str">
        <f>VLOOKUP(AG26,'BUS 2'!$G$1:$CU$424,68,0)</f>
        <v/>
      </c>
      <c r="UH26" s="9" t="str">
        <f>VLOOKUP(AG26,'BUS 2'!$G$1:$CU$424,69,0)</f>
        <v/>
      </c>
      <c r="UI26" s="9" t="str">
        <f>VLOOKUP(AG26,'BUS 2'!$G$1:$CU$424,70,0)</f>
        <v/>
      </c>
      <c r="UJ26" s="9" t="str">
        <f>VLOOKUP(AG26,'BUS 2'!$G$1:$CU$424,71,0)</f>
        <v/>
      </c>
      <c r="UK26" s="9" t="str">
        <f>VLOOKUP(AG26,'BUS 2'!$G$1:$CU$424,72,0)</f>
        <v/>
      </c>
      <c r="UL26" s="9" t="str">
        <f>VLOOKUP(AG26,'BUS 2'!$G$1:$CU$424,73,0)</f>
        <v/>
      </c>
      <c r="UM26" s="9">
        <f>VLOOKUP(AG26,'BUS 2'!$G$1:$CU$424,74,0)</f>
        <v>0</v>
      </c>
      <c r="UN26" s="9">
        <f>VLOOKUP(AG26,'BUS 2'!$G$1:$CU$424,75,0)</f>
        <v>0</v>
      </c>
      <c r="UO26" s="9">
        <f>VLOOKUP(AG26,'BUS 2'!$G$1:$CU$424,76,0)</f>
        <v>0</v>
      </c>
      <c r="UP26" s="9">
        <f>VLOOKUP(AG26,'BUS 2'!$G$1:$CU$424,77,0)</f>
        <v>2</v>
      </c>
      <c r="UQ26" s="9" t="str">
        <f>VLOOKUP(AG26,'BUS 2'!$G$1:$CU$424,78,0)</f>
        <v/>
      </c>
      <c r="UR26" s="9" t="str">
        <f>VLOOKUP(AG26,'BUS 2'!$G$1:$CU$424,79,0)</f>
        <v/>
      </c>
      <c r="US26" s="9" t="str">
        <f>VLOOKUP(AG26,'BUS 2'!$G$1:$CU$424,80,0)</f>
        <v/>
      </c>
      <c r="UT26" s="9" t="str">
        <f>VLOOKUP(AG26,'BUS 2'!$G$1:$CU$424,81,0)</f>
        <v/>
      </c>
      <c r="UU26" s="9" t="s">
        <v>1976</v>
      </c>
      <c r="UV26" s="9"/>
      <c r="UW26" s="9"/>
      <c r="UX26" s="9"/>
      <c r="UY26" s="9"/>
      <c r="UZ26" s="9"/>
      <c r="VA26" s="9" t="s">
        <v>1976</v>
      </c>
      <c r="VB26" s="9"/>
      <c r="VC26" s="9" t="s">
        <v>1938</v>
      </c>
      <c r="VD26" s="9"/>
      <c r="VE26" s="9"/>
      <c r="VF26" s="9"/>
      <c r="VG26" s="9"/>
      <c r="VH26" s="9"/>
      <c r="VI26" s="9" t="s">
        <v>1938</v>
      </c>
      <c r="VJ26" s="9"/>
      <c r="VK26" s="9"/>
      <c r="VL26" s="9"/>
      <c r="VM26" s="9"/>
      <c r="VN26" s="9"/>
      <c r="VO26" s="9"/>
      <c r="VP26" s="9"/>
      <c r="VQ26" s="9"/>
      <c r="VR26" s="9"/>
      <c r="VS26" s="9" t="s">
        <v>1940</v>
      </c>
      <c r="VT26" s="8">
        <v>0.0</v>
      </c>
      <c r="VU26" s="8">
        <v>0.0</v>
      </c>
      <c r="VV26" s="8">
        <v>0.0</v>
      </c>
      <c r="VW26" s="8">
        <v>0.0</v>
      </c>
      <c r="VX26" s="8">
        <v>0.0</v>
      </c>
      <c r="VY26" s="8">
        <v>1.0</v>
      </c>
      <c r="VZ26" s="8">
        <v>0.0</v>
      </c>
      <c r="WA26" s="8">
        <v>0.0</v>
      </c>
      <c r="WB26" s="8">
        <v>0.0</v>
      </c>
      <c r="WC26" s="8">
        <v>0.0</v>
      </c>
      <c r="WD26" s="8">
        <v>0.0</v>
      </c>
      <c r="WE26" s="8">
        <v>0.0</v>
      </c>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t="s">
        <v>1941</v>
      </c>
      <c r="YO26" s="8">
        <v>0.0</v>
      </c>
      <c r="YP26" s="8">
        <v>0.0</v>
      </c>
      <c r="YQ26" s="8">
        <v>0.0</v>
      </c>
      <c r="YR26" s="8">
        <v>0.0</v>
      </c>
      <c r="YS26" s="8">
        <v>0.0</v>
      </c>
      <c r="YT26" s="8">
        <v>0.0</v>
      </c>
      <c r="YU26" s="8">
        <v>0.0</v>
      </c>
      <c r="YV26" s="8">
        <v>0.0</v>
      </c>
      <c r="YW26" s="8">
        <v>0.0</v>
      </c>
      <c r="YX26" s="8">
        <v>0.0</v>
      </c>
      <c r="YY26" s="8">
        <v>0.0</v>
      </c>
      <c r="YZ26" s="8">
        <v>1.0</v>
      </c>
      <c r="ZA26" s="9"/>
      <c r="ZB26" s="9"/>
      <c r="ZC26" s="9"/>
      <c r="ZD26" s="9"/>
      <c r="ZE26" s="9"/>
      <c r="ZF26" s="9"/>
      <c r="ZG26" s="9"/>
      <c r="ZH26" s="9"/>
      <c r="ZI26" s="9"/>
      <c r="ZJ26" s="9"/>
      <c r="ZK26" s="9"/>
      <c r="ZL26" s="9"/>
      <c r="ZM26" s="9"/>
      <c r="ZN26" s="9"/>
      <c r="ZO26" s="9"/>
      <c r="ZP26" s="9"/>
      <c r="ZQ26" s="9"/>
      <c r="ZR26" s="9"/>
      <c r="ZS26" s="9"/>
      <c r="ZT26" s="9"/>
      <c r="ZU26" s="9"/>
      <c r="ZV26" s="8">
        <v>2.0</v>
      </c>
      <c r="ZW26" s="9"/>
      <c r="ZX26" s="9"/>
      <c r="ZY26" s="9"/>
      <c r="ZZ26" s="9"/>
      <c r="AAA26" s="9"/>
      <c r="AAB26" s="8">
        <v>2.0</v>
      </c>
      <c r="AAC26" s="9"/>
      <c r="AAD26" s="9" t="s">
        <v>1186</v>
      </c>
      <c r="AAE26" s="9"/>
      <c r="AAF26" s="9"/>
      <c r="AAG26" s="9"/>
      <c r="AAH26" s="9"/>
      <c r="AAI26" s="9"/>
      <c r="AAJ26" s="9" t="s">
        <v>905</v>
      </c>
      <c r="AAK26" s="9"/>
      <c r="AAL26" s="9" t="s">
        <v>857</v>
      </c>
      <c r="AAM26" s="9" t="s">
        <v>1942</v>
      </c>
      <c r="AAN26" s="8">
        <v>0.0</v>
      </c>
      <c r="AAO26" s="8">
        <v>1.0</v>
      </c>
      <c r="AAP26" s="8">
        <v>5.0</v>
      </c>
      <c r="AAQ26" s="9"/>
      <c r="AAR26" s="9" t="s">
        <v>881</v>
      </c>
      <c r="AAS26" s="9" t="s">
        <v>1389</v>
      </c>
      <c r="AAT26" s="9" t="s">
        <v>906</v>
      </c>
      <c r="AAU26" s="8">
        <v>1.0</v>
      </c>
      <c r="AAV26" s="8">
        <v>0.0</v>
      </c>
      <c r="AAW26" s="8">
        <v>0.0</v>
      </c>
      <c r="AAX26" s="8">
        <v>0.0</v>
      </c>
      <c r="AAY26" s="8">
        <v>0.0</v>
      </c>
      <c r="AAZ26" s="8">
        <v>0.0</v>
      </c>
      <c r="ABA26" s="8">
        <v>0.0</v>
      </c>
      <c r="ABB26" s="9" t="s">
        <v>907</v>
      </c>
      <c r="ABC26" s="8">
        <v>1.0</v>
      </c>
      <c r="ABD26" s="8">
        <v>0.0</v>
      </c>
      <c r="ABE26" s="8">
        <v>0.0</v>
      </c>
      <c r="ABF26" s="8">
        <v>0.0</v>
      </c>
      <c r="ABG26" s="8">
        <v>0.0</v>
      </c>
      <c r="ABH26" s="9"/>
      <c r="ABI26" s="9"/>
      <c r="ABJ26" s="9"/>
      <c r="ABK26" s="9"/>
      <c r="ABL26" s="9"/>
      <c r="ABM26" s="9"/>
      <c r="ABN26" s="9"/>
      <c r="ABO26" s="9"/>
      <c r="ABP26" s="9"/>
      <c r="ABQ26" s="9" t="s">
        <v>1943</v>
      </c>
      <c r="ABR26" s="9" t="s">
        <v>2289</v>
      </c>
      <c r="ABS26" s="8">
        <v>3000.0</v>
      </c>
      <c r="ABT26" s="9"/>
      <c r="ABU26" s="8">
        <v>5.0</v>
      </c>
      <c r="ABV26" s="8">
        <v>0.0</v>
      </c>
      <c r="ABW26" s="9" t="s">
        <v>1199</v>
      </c>
      <c r="ABX26" s="9"/>
      <c r="ABY26" s="8">
        <v>50.0</v>
      </c>
      <c r="ABZ26" s="8">
        <v>2600.0</v>
      </c>
      <c r="ACA26" s="8">
        <v>30.0</v>
      </c>
      <c r="ACB26" s="8">
        <v>5400.0</v>
      </c>
      <c r="ACC26" s="8">
        <v>600.0</v>
      </c>
      <c r="ACD26" s="8">
        <v>954.0</v>
      </c>
      <c r="ACE26" s="9" t="s">
        <v>881</v>
      </c>
      <c r="ACF26" s="9" t="s">
        <v>911</v>
      </c>
      <c r="ACG26" s="9" t="s">
        <v>911</v>
      </c>
      <c r="ACH26" s="9" t="s">
        <v>911</v>
      </c>
      <c r="ACI26" s="9"/>
      <c r="ACJ26" s="9"/>
      <c r="ACK26" s="9"/>
      <c r="ACL26" s="9"/>
      <c r="ACM26" s="9"/>
      <c r="ACN26" s="9"/>
      <c r="ACO26" s="9"/>
      <c r="ACP26" s="9"/>
      <c r="ACQ26" s="9"/>
      <c r="ACR26" s="9"/>
      <c r="ACS26" s="9"/>
      <c r="ACT26" s="9" t="s">
        <v>2451</v>
      </c>
      <c r="ACU26" s="9" t="s">
        <v>913</v>
      </c>
      <c r="ACV26" s="9" t="s">
        <v>914</v>
      </c>
      <c r="ACW26" s="9" t="s">
        <v>915</v>
      </c>
      <c r="ACX26" s="9" t="s">
        <v>958</v>
      </c>
      <c r="ACY26" s="9" t="s">
        <v>1017</v>
      </c>
      <c r="ACZ26" s="8">
        <v>1.0</v>
      </c>
      <c r="ADA26" s="8">
        <v>1.0</v>
      </c>
      <c r="ADB26" s="8">
        <v>1.0</v>
      </c>
      <c r="ADC26" s="8">
        <v>0.0</v>
      </c>
      <c r="ADD26" s="9" t="s">
        <v>918</v>
      </c>
      <c r="ADE26" s="9" t="s">
        <v>918</v>
      </c>
      <c r="ADF26" s="9" t="s">
        <v>918</v>
      </c>
      <c r="ADG26" s="9" t="s">
        <v>918</v>
      </c>
      <c r="ADH26" s="9" t="s">
        <v>881</v>
      </c>
      <c r="ADI26" s="9"/>
      <c r="ADJ26" s="9" t="s">
        <v>918</v>
      </c>
      <c r="ADK26" s="9"/>
      <c r="ADL26" s="9"/>
      <c r="ADM26" s="9"/>
      <c r="ADN26" s="9"/>
      <c r="ADO26" s="9"/>
      <c r="ADP26" s="9"/>
      <c r="ADQ26" s="9"/>
      <c r="ADR26" s="9"/>
      <c r="ADS26" s="9"/>
      <c r="ADT26" s="9"/>
      <c r="ADU26" s="9" t="s">
        <v>2046</v>
      </c>
      <c r="ADV26" s="8">
        <v>0.0</v>
      </c>
      <c r="ADW26" s="8">
        <v>0.0</v>
      </c>
      <c r="ADX26" s="8">
        <v>0.0</v>
      </c>
      <c r="ADY26" s="8">
        <v>0.0</v>
      </c>
      <c r="ADZ26" s="8">
        <v>0.0</v>
      </c>
      <c r="AEA26" s="8">
        <v>1.0</v>
      </c>
      <c r="AEB26" s="8">
        <v>0.0</v>
      </c>
      <c r="AEC26" s="8">
        <v>0.0</v>
      </c>
      <c r="AED26" s="9" t="s">
        <v>2451</v>
      </c>
      <c r="AEE26" s="9" t="s">
        <v>872</v>
      </c>
      <c r="AEF26" s="9"/>
      <c r="AEG26" s="9" t="s">
        <v>920</v>
      </c>
      <c r="AEH26" s="9"/>
      <c r="AEI26" s="9" t="s">
        <v>1945</v>
      </c>
      <c r="AEJ26" s="9" t="s">
        <v>961</v>
      </c>
      <c r="AEK26" s="9" t="s">
        <v>2452</v>
      </c>
      <c r="AEL26" s="8">
        <v>1.0</v>
      </c>
      <c r="AEM26" s="8">
        <v>0.0</v>
      </c>
      <c r="AEN26" s="8">
        <v>0.0</v>
      </c>
      <c r="AEO26" s="8">
        <v>0.0</v>
      </c>
      <c r="AEP26" s="8">
        <v>1.0</v>
      </c>
      <c r="AEQ26" s="8">
        <v>0.0</v>
      </c>
      <c r="AER26" s="8">
        <v>1.0</v>
      </c>
      <c r="AES26" s="8">
        <v>1.0</v>
      </c>
      <c r="AET26" s="8">
        <v>1.0</v>
      </c>
      <c r="AEU26" s="8">
        <v>0.0</v>
      </c>
      <c r="AEV26" s="8">
        <v>0.0</v>
      </c>
      <c r="AEW26" s="8">
        <v>0.0</v>
      </c>
      <c r="AEX26" s="9"/>
      <c r="AEY26" s="9" t="s">
        <v>1305</v>
      </c>
      <c r="AEZ26" s="9"/>
      <c r="AFA26" s="9" t="s">
        <v>2077</v>
      </c>
      <c r="AFB26" s="9"/>
      <c r="AFC26" s="9" t="s">
        <v>2453</v>
      </c>
      <c r="AFD26" s="16" t="s">
        <v>2454</v>
      </c>
      <c r="AFE26" s="9" t="s">
        <v>2455</v>
      </c>
      <c r="AFF26" s="16" t="s">
        <v>2456</v>
      </c>
      <c r="AFG26" s="9" t="s">
        <v>2443</v>
      </c>
      <c r="AFH26" s="9"/>
      <c r="AFI26" s="21" t="s">
        <v>2457</v>
      </c>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c r="ATZ26" s="9"/>
      <c r="AUA26" s="9"/>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c r="AVL26" s="9"/>
      <c r="AVM26" s="9"/>
      <c r="AVN26" s="9"/>
      <c r="AVO26" s="9"/>
      <c r="AVP26" s="9"/>
      <c r="AVQ26" s="9"/>
      <c r="AVR26" s="9"/>
      <c r="AVS26" s="9"/>
      <c r="AVT26" s="9"/>
      <c r="AVU26" s="9"/>
      <c r="AVV26" s="9"/>
      <c r="AVW26" s="9"/>
      <c r="AVX26" s="9"/>
      <c r="AVY26" s="9"/>
      <c r="AVZ26" s="9"/>
      <c r="AWA26" s="8">
        <v>6.72437881E8</v>
      </c>
      <c r="AWB26" s="9" t="s">
        <v>2458</v>
      </c>
      <c r="AWC26" s="6">
        <v>46068.0</v>
      </c>
      <c r="AWD26" s="9"/>
      <c r="AWE26" s="9"/>
      <c r="AWF26" s="9" t="s">
        <v>1954</v>
      </c>
      <c r="AWG26" s="9"/>
      <c r="AWH26" s="9" t="s">
        <v>1989</v>
      </c>
      <c r="AWI26" s="9"/>
      <c r="AWJ26" s="9" t="s">
        <v>2459</v>
      </c>
      <c r="AWK26" s="8">
        <v>247.0</v>
      </c>
      <c r="AWL26" s="9" t="s">
        <v>2449</v>
      </c>
      <c r="AWM26" s="8">
        <v>0.0</v>
      </c>
      <c r="AWN26" s="9" t="s">
        <v>1957</v>
      </c>
      <c r="AWO26" s="33" t="b">
        <v>1</v>
      </c>
      <c r="AWP26" s="33" t="b">
        <v>1</v>
      </c>
      <c r="AWQ26" s="33" t="b">
        <v>1</v>
      </c>
      <c r="AWR26" s="33" t="b">
        <v>1</v>
      </c>
      <c r="AWS26" s="33" t="b">
        <v>1</v>
      </c>
      <c r="AWT26" s="33" t="b">
        <v>1</v>
      </c>
      <c r="AWU26" s="9"/>
      <c r="AWV26" s="8">
        <v>3.0</v>
      </c>
      <c r="AWW26" s="9"/>
      <c r="AWX26" s="9"/>
      <c r="AWY26" s="9"/>
      <c r="AWZ26" s="9"/>
    </row>
    <row r="27">
      <c r="A27" s="6">
        <v>46068.0</v>
      </c>
      <c r="B27" s="6">
        <v>46068.0</v>
      </c>
      <c r="C27" s="30" t="s">
        <v>1919</v>
      </c>
      <c r="D27" s="30" t="s">
        <v>2460</v>
      </c>
      <c r="E27" s="8">
        <f>+6283834728621</f>
        <v>6283834728621</v>
      </c>
      <c r="F27" s="9" t="s">
        <v>2461</v>
      </c>
      <c r="G27" s="8">
        <v>-5.165626</v>
      </c>
      <c r="H27" s="8">
        <v>119.646462</v>
      </c>
      <c r="I27" s="8">
        <v>193.825</v>
      </c>
      <c r="J27" s="8">
        <v>2.880000114</v>
      </c>
      <c r="K27" s="8">
        <v>0.0</v>
      </c>
      <c r="L27" s="9" t="s">
        <v>2462</v>
      </c>
      <c r="M27" s="8">
        <v>-5.1658822</v>
      </c>
      <c r="N27" s="8">
        <v>119.646131</v>
      </c>
      <c r="O27" s="8">
        <v>0.0</v>
      </c>
      <c r="P27" s="8">
        <v>23.60000038</v>
      </c>
      <c r="Q27" s="8">
        <v>0.0</v>
      </c>
      <c r="R27" s="9" t="s">
        <v>1923</v>
      </c>
      <c r="S27" s="8">
        <v>0.0</v>
      </c>
      <c r="T27" s="8">
        <v>0.0</v>
      </c>
      <c r="U27" s="8">
        <v>0.0</v>
      </c>
      <c r="V27" s="8">
        <v>0.0</v>
      </c>
      <c r="W27" s="8">
        <v>0.0</v>
      </c>
      <c r="X27" s="8">
        <v>0.0</v>
      </c>
      <c r="Y27" s="8">
        <v>0.0</v>
      </c>
      <c r="Z27" s="8">
        <v>0.0</v>
      </c>
      <c r="AA27" s="8">
        <v>0.0</v>
      </c>
      <c r="AB27" s="8">
        <v>1.0</v>
      </c>
      <c r="AC27" s="7" t="s">
        <v>1924</v>
      </c>
      <c r="AD27" s="7" t="s">
        <v>2088</v>
      </c>
      <c r="AE27" s="7" t="s">
        <v>2089</v>
      </c>
      <c r="AF27" s="9" t="s">
        <v>2090</v>
      </c>
      <c r="AG27" s="9" t="s">
        <v>2463</v>
      </c>
      <c r="AH27" s="8">
        <v>12.0</v>
      </c>
      <c r="AI27" s="9" t="s">
        <v>933</v>
      </c>
      <c r="AJ27" s="9" t="s">
        <v>934</v>
      </c>
      <c r="AK27" s="8">
        <v>59.0</v>
      </c>
      <c r="AL27" s="9" t="s">
        <v>1444</v>
      </c>
      <c r="AM27" s="9" t="s">
        <v>848</v>
      </c>
      <c r="AN27" s="9" t="s">
        <v>1967</v>
      </c>
      <c r="AO27" s="9" t="s">
        <v>850</v>
      </c>
      <c r="AP27" s="8">
        <v>1.0</v>
      </c>
      <c r="AQ27" s="8">
        <v>0.0</v>
      </c>
      <c r="AR27" s="8">
        <v>0.0</v>
      </c>
      <c r="AS27" s="8">
        <v>0.0</v>
      </c>
      <c r="AT27" s="8">
        <v>0.0</v>
      </c>
      <c r="AU27" s="8">
        <v>0.0</v>
      </c>
      <c r="AV27" s="8">
        <v>0.0</v>
      </c>
      <c r="AW27" s="8">
        <v>0.0</v>
      </c>
      <c r="AX27" s="9"/>
      <c r="AY27" s="9" t="s">
        <v>999</v>
      </c>
      <c r="AZ27" s="8">
        <v>0.0</v>
      </c>
      <c r="BA27" s="8">
        <v>0.0</v>
      </c>
      <c r="BB27" s="8">
        <v>0.0</v>
      </c>
      <c r="BC27" s="8">
        <v>0.0</v>
      </c>
      <c r="BD27" s="8">
        <v>0.0</v>
      </c>
      <c r="BE27" s="8">
        <v>0.0</v>
      </c>
      <c r="BF27" s="8">
        <v>0.0</v>
      </c>
      <c r="BG27" s="8">
        <v>1.0</v>
      </c>
      <c r="BH27" s="11"/>
      <c r="BI27" s="9" t="s">
        <v>2118</v>
      </c>
      <c r="BJ27" s="8">
        <v>1.0</v>
      </c>
      <c r="BK27" s="8">
        <v>1.0</v>
      </c>
      <c r="BL27" s="8">
        <v>0.0</v>
      </c>
      <c r="BM27" s="8">
        <v>0.0</v>
      </c>
      <c r="BN27" s="9" t="s">
        <v>853</v>
      </c>
      <c r="BO27" s="9" t="s">
        <v>2064</v>
      </c>
      <c r="BP27" s="8">
        <v>0.0</v>
      </c>
      <c r="BQ27" s="8">
        <v>0.0</v>
      </c>
      <c r="BR27" s="8">
        <v>1.0</v>
      </c>
      <c r="BS27" s="8">
        <v>0.0</v>
      </c>
      <c r="BT27" s="8">
        <v>0.0</v>
      </c>
      <c r="BU27" s="9"/>
      <c r="BV27" s="9" t="s">
        <v>2065</v>
      </c>
      <c r="BW27" s="8">
        <v>1.0</v>
      </c>
      <c r="BX27" s="8">
        <v>0.0</v>
      </c>
      <c r="BY27" s="8">
        <v>0.0</v>
      </c>
      <c r="BZ27" s="8">
        <v>0.0</v>
      </c>
      <c r="CA27" s="8">
        <v>0.0</v>
      </c>
      <c r="CB27" s="9"/>
      <c r="CC27" s="9" t="s">
        <v>1929</v>
      </c>
      <c r="CD27" s="8">
        <v>0.0</v>
      </c>
      <c r="CE27" s="8">
        <v>0.0</v>
      </c>
      <c r="CF27" s="8">
        <v>0.0</v>
      </c>
      <c r="CG27" s="8">
        <v>0.0</v>
      </c>
      <c r="CH27" s="8">
        <v>1.0</v>
      </c>
      <c r="CI27" s="8">
        <v>0.0</v>
      </c>
      <c r="CJ27" s="8">
        <v>0.0</v>
      </c>
      <c r="CK27" s="9"/>
      <c r="CL27" s="9" t="s">
        <v>857</v>
      </c>
      <c r="CM27" s="8">
        <v>2013.0</v>
      </c>
      <c r="CN27" s="9" t="s">
        <v>858</v>
      </c>
      <c r="CO27" s="9" t="s">
        <v>859</v>
      </c>
      <c r="CP27" s="9" t="s">
        <v>860</v>
      </c>
      <c r="CQ27" s="8">
        <v>0.0</v>
      </c>
      <c r="CR27" s="8">
        <v>0.0</v>
      </c>
      <c r="CS27" s="8">
        <v>0.0</v>
      </c>
      <c r="CT27" s="8">
        <v>0.0</v>
      </c>
      <c r="CU27" s="8">
        <v>1.0</v>
      </c>
      <c r="CV27" s="8">
        <v>0.0</v>
      </c>
      <c r="CW27" s="8">
        <v>0.0</v>
      </c>
      <c r="CX27" s="8">
        <v>0.0</v>
      </c>
      <c r="CY27" s="9" t="s">
        <v>860</v>
      </c>
      <c r="CZ27" s="8">
        <v>1.0</v>
      </c>
      <c r="DA27" s="8">
        <v>0.0</v>
      </c>
      <c r="DB27" s="8">
        <v>0.0</v>
      </c>
      <c r="DC27" s="9"/>
      <c r="DD27" s="9" t="s">
        <v>860</v>
      </c>
      <c r="DE27" s="8">
        <v>1.0</v>
      </c>
      <c r="DF27" s="8">
        <v>0.0</v>
      </c>
      <c r="DG27" s="8">
        <v>0.0</v>
      </c>
      <c r="DH27" s="8">
        <v>0.0</v>
      </c>
      <c r="DI27" s="9"/>
      <c r="DJ27" s="9" t="s">
        <v>860</v>
      </c>
      <c r="DK27" s="8">
        <v>1.0</v>
      </c>
      <c r="DL27" s="8">
        <v>0.0</v>
      </c>
      <c r="DM27" s="8">
        <v>0.0</v>
      </c>
      <c r="DN27" s="8">
        <v>0.0</v>
      </c>
      <c r="DO27" s="9"/>
      <c r="DP27" s="9" t="s">
        <v>938</v>
      </c>
      <c r="DQ27" s="9" t="s">
        <v>939</v>
      </c>
      <c r="DR27" s="17" t="s">
        <v>2030</v>
      </c>
      <c r="DS27" s="9"/>
      <c r="DT27" s="9" t="s">
        <v>2464</v>
      </c>
      <c r="DU27" s="8">
        <v>1.0</v>
      </c>
      <c r="DV27" s="8">
        <v>0.0</v>
      </c>
      <c r="DW27" s="8">
        <v>0.0</v>
      </c>
      <c r="DX27" s="8">
        <v>0.0</v>
      </c>
      <c r="DY27" s="8">
        <v>0.0</v>
      </c>
      <c r="DZ27" s="8">
        <v>0.0</v>
      </c>
      <c r="EA27" s="8">
        <v>0.0</v>
      </c>
      <c r="EB27" s="8">
        <v>0.0</v>
      </c>
      <c r="EC27" s="8">
        <v>0.0</v>
      </c>
      <c r="ED27" s="8">
        <v>0.0</v>
      </c>
      <c r="EE27" s="8">
        <v>1.0</v>
      </c>
      <c r="EF27" s="8">
        <v>0.0</v>
      </c>
      <c r="EG27" s="8">
        <v>0.0</v>
      </c>
      <c r="EH27" s="8">
        <v>0.0</v>
      </c>
      <c r="EI27" s="9" t="s">
        <v>862</v>
      </c>
      <c r="EJ27" s="8">
        <v>0.0</v>
      </c>
      <c r="EK27" s="8">
        <v>0.0</v>
      </c>
      <c r="EL27" s="8">
        <v>0.0</v>
      </c>
      <c r="EM27" s="8">
        <v>1.0</v>
      </c>
      <c r="EN27" s="8">
        <v>0.0</v>
      </c>
      <c r="EO27" s="9"/>
      <c r="EP27" s="9" t="s">
        <v>1403</v>
      </c>
      <c r="EQ27" s="9" t="s">
        <v>1380</v>
      </c>
      <c r="ER27" s="9" t="s">
        <v>861</v>
      </c>
      <c r="ES27" s="8">
        <v>1.0</v>
      </c>
      <c r="ET27" s="8">
        <v>0.0</v>
      </c>
      <c r="EU27" s="8">
        <v>0.0</v>
      </c>
      <c r="EV27" s="8">
        <v>0.0</v>
      </c>
      <c r="EW27" s="9"/>
      <c r="EX27" s="9" t="s">
        <v>865</v>
      </c>
      <c r="EY27" s="8">
        <v>1.0</v>
      </c>
      <c r="EZ27" s="8">
        <v>0.0</v>
      </c>
      <c r="FA27" s="8">
        <v>0.0</v>
      </c>
      <c r="FB27" s="9"/>
      <c r="FC27" s="9" t="s">
        <v>1028</v>
      </c>
      <c r="FD27" s="9" t="s">
        <v>2032</v>
      </c>
      <c r="FE27" s="9" t="s">
        <v>867</v>
      </c>
      <c r="FF27" s="9" t="s">
        <v>868</v>
      </c>
      <c r="FG27" s="9" t="s">
        <v>867</v>
      </c>
      <c r="FH27" s="9" t="s">
        <v>868</v>
      </c>
      <c r="FI27" s="9" t="s">
        <v>867</v>
      </c>
      <c r="FJ27" s="9" t="s">
        <v>868</v>
      </c>
      <c r="FK27" s="9" t="s">
        <v>867</v>
      </c>
      <c r="FL27" s="9" t="s">
        <v>943</v>
      </c>
      <c r="FM27" s="9" t="s">
        <v>867</v>
      </c>
      <c r="FN27" s="9" t="s">
        <v>870</v>
      </c>
      <c r="FO27" s="9" t="s">
        <v>867</v>
      </c>
      <c r="FP27" s="9" t="s">
        <v>870</v>
      </c>
      <c r="FQ27" s="9" t="s">
        <v>867</v>
      </c>
      <c r="FR27" s="9" t="s">
        <v>857</v>
      </c>
      <c r="FS27" s="9" t="s">
        <v>867</v>
      </c>
      <c r="FT27" s="9" t="s">
        <v>871</v>
      </c>
      <c r="FU27" s="9" t="s">
        <v>872</v>
      </c>
      <c r="FV27" s="8">
        <v>1.0</v>
      </c>
      <c r="FW27" s="8">
        <v>0.0</v>
      </c>
      <c r="FX27" s="8">
        <v>0.0</v>
      </c>
      <c r="FY27" s="8">
        <v>0.0</v>
      </c>
      <c r="FZ27" s="9" t="s">
        <v>1197</v>
      </c>
      <c r="GA27" s="9" t="s">
        <v>1264</v>
      </c>
      <c r="GB27" s="8">
        <v>0.0</v>
      </c>
      <c r="GC27" s="8">
        <v>0.0</v>
      </c>
      <c r="GD27" s="8">
        <v>1.0</v>
      </c>
      <c r="GE27" s="8">
        <v>0.0</v>
      </c>
      <c r="GF27" s="9"/>
      <c r="GG27" s="9" t="s">
        <v>961</v>
      </c>
      <c r="GH27" s="9" t="s">
        <v>857</v>
      </c>
      <c r="GI27" s="9" t="s">
        <v>1264</v>
      </c>
      <c r="GJ27" s="8">
        <v>0.0</v>
      </c>
      <c r="GK27" s="8">
        <v>1.0</v>
      </c>
      <c r="GL27" s="8">
        <v>0.0</v>
      </c>
      <c r="GM27" s="8">
        <v>0.0</v>
      </c>
      <c r="GN27" s="9"/>
      <c r="GO27" s="8">
        <v>9.0</v>
      </c>
      <c r="GP27" s="9" t="s">
        <v>1931</v>
      </c>
      <c r="GQ27" s="9" t="s">
        <v>1102</v>
      </c>
      <c r="GR27" s="8">
        <v>1.0</v>
      </c>
      <c r="GS27" s="8">
        <v>0.0</v>
      </c>
      <c r="GT27" s="8">
        <v>0.0</v>
      </c>
      <c r="GU27" s="8">
        <v>0.0</v>
      </c>
      <c r="GV27" s="8">
        <v>0.0</v>
      </c>
      <c r="GW27" s="8">
        <v>0.0</v>
      </c>
      <c r="GX27" s="8">
        <v>0.0</v>
      </c>
      <c r="GY27" s="9"/>
      <c r="GZ27" s="9" t="s">
        <v>857</v>
      </c>
      <c r="HA27" s="9"/>
      <c r="HB27" s="9"/>
      <c r="HC27" s="9"/>
      <c r="HD27" s="9"/>
      <c r="HE27" s="8">
        <v>6.0</v>
      </c>
      <c r="HF27" s="8">
        <v>36000.0</v>
      </c>
      <c r="HG27" s="8">
        <v>3.0</v>
      </c>
      <c r="HH27" s="8">
        <v>22000.0</v>
      </c>
      <c r="HI27" s="9"/>
      <c r="HJ27" s="9"/>
      <c r="HK27" s="9"/>
      <c r="HL27" s="9"/>
      <c r="HM27" s="9"/>
      <c r="HN27" s="9"/>
      <c r="HO27" s="9"/>
      <c r="HP27" s="9"/>
      <c r="HQ27" s="9"/>
      <c r="HR27" s="9"/>
      <c r="HS27" s="9"/>
      <c r="HT27" s="9"/>
      <c r="HU27" s="9"/>
      <c r="HV27" s="9"/>
      <c r="HW27" s="9"/>
      <c r="HX27" s="9"/>
      <c r="HY27" s="9"/>
      <c r="HZ27" s="9"/>
      <c r="IA27" s="35">
        <v>3.0</v>
      </c>
      <c r="IB27" s="35">
        <v>14.0</v>
      </c>
      <c r="IC27" s="9"/>
      <c r="ID27" s="9"/>
      <c r="IE27" s="9"/>
      <c r="IF27" s="9"/>
      <c r="IG27" s="9"/>
      <c r="IH27" s="9"/>
      <c r="II27" s="9"/>
      <c r="IJ27" s="9"/>
      <c r="IK27" s="9" t="s">
        <v>1932</v>
      </c>
      <c r="IL27" s="9" t="s">
        <v>1366</v>
      </c>
      <c r="IM27" s="9" t="s">
        <v>857</v>
      </c>
      <c r="IN27" s="9" t="s">
        <v>881</v>
      </c>
      <c r="IO27" s="9" t="s">
        <v>882</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999</v>
      </c>
      <c r="KW27" s="8">
        <v>0.0</v>
      </c>
      <c r="KX27" s="8">
        <v>0.0</v>
      </c>
      <c r="KY27" s="8">
        <v>0.0</v>
      </c>
      <c r="KZ27" s="8">
        <v>1.0</v>
      </c>
      <c r="LA27" s="9" t="s">
        <v>884</v>
      </c>
      <c r="LB27" s="9" t="s">
        <v>884</v>
      </c>
      <c r="LC27" s="8">
        <v>5.0</v>
      </c>
      <c r="LD27" s="8">
        <v>0.0</v>
      </c>
      <c r="LE27" s="8">
        <v>0.0</v>
      </c>
      <c r="LF27" s="8">
        <v>0.0</v>
      </c>
      <c r="LG27" s="9" t="s">
        <v>881</v>
      </c>
      <c r="LH27" s="9"/>
      <c r="LI27" s="8">
        <v>0.0</v>
      </c>
      <c r="LJ27" s="9" t="s">
        <v>969</v>
      </c>
      <c r="LK27" s="8">
        <v>0.0</v>
      </c>
      <c r="LL27" s="8">
        <v>0.0</v>
      </c>
      <c r="LM27" s="8">
        <v>0.0</v>
      </c>
      <c r="LN27" s="8">
        <v>0.0</v>
      </c>
      <c r="LO27" s="8">
        <v>0.0</v>
      </c>
      <c r="LP27" s="8">
        <v>0.0</v>
      </c>
      <c r="LQ27" s="8">
        <v>1.0</v>
      </c>
      <c r="LR27" s="11" t="s">
        <v>1973</v>
      </c>
      <c r="LS27" s="8">
        <v>10.0</v>
      </c>
      <c r="LT27" s="8">
        <v>10.0</v>
      </c>
      <c r="LU27" s="8">
        <v>0.0</v>
      </c>
      <c r="LV27" s="8">
        <v>5.0</v>
      </c>
      <c r="LW27" s="8">
        <v>5.0</v>
      </c>
      <c r="LX27" s="8">
        <v>0.0</v>
      </c>
      <c r="LY27" s="8">
        <v>5.0</v>
      </c>
      <c r="LZ27" s="8">
        <v>5.0</v>
      </c>
      <c r="MA27" s="8">
        <v>0.0</v>
      </c>
      <c r="MB27" s="9" t="s">
        <v>857</v>
      </c>
      <c r="MC27" s="8">
        <v>0.0</v>
      </c>
      <c r="MD27" s="8">
        <v>0.0</v>
      </c>
      <c r="ME27" s="8">
        <v>0.0</v>
      </c>
      <c r="MF27" s="8">
        <v>0.0</v>
      </c>
      <c r="MG27" s="8">
        <v>0.0</v>
      </c>
      <c r="MH27" s="8">
        <v>0.0</v>
      </c>
      <c r="MI27" s="9" t="s">
        <v>1934</v>
      </c>
      <c r="MJ27" s="8">
        <v>0.0</v>
      </c>
      <c r="MK27" s="8">
        <v>0.0</v>
      </c>
      <c r="ML27" s="8">
        <v>0.0</v>
      </c>
      <c r="MM27" s="8">
        <v>0.0</v>
      </c>
      <c r="MN27" s="8">
        <v>1.0</v>
      </c>
      <c r="MO27" s="8">
        <v>0.0</v>
      </c>
      <c r="MP27" s="9"/>
      <c r="MQ27" s="17" t="s">
        <v>2119</v>
      </c>
      <c r="MR27" s="31"/>
      <c r="MS27" s="9"/>
      <c r="MT27" s="9" t="s">
        <v>2465</v>
      </c>
      <c r="MU27" s="9" t="s">
        <v>1030</v>
      </c>
      <c r="MV27" s="9" t="s">
        <v>949</v>
      </c>
      <c r="MW27" s="8">
        <v>1.0</v>
      </c>
      <c r="MX27" s="8">
        <v>0.0</v>
      </c>
      <c r="MY27" s="8">
        <v>0.0</v>
      </c>
      <c r="MZ27" s="8">
        <v>0.0</v>
      </c>
      <c r="NA27" s="9"/>
      <c r="NB27" s="9"/>
      <c r="NC27" s="9"/>
      <c r="ND27" s="9"/>
      <c r="NE27" s="9"/>
      <c r="NF27" s="9"/>
      <c r="NG27" s="9"/>
      <c r="NH27" s="9"/>
      <c r="NI27" s="9"/>
      <c r="NJ27" s="9"/>
      <c r="NK27" s="9"/>
      <c r="NL27" s="9" t="s">
        <v>857</v>
      </c>
      <c r="NM27" s="9" t="s">
        <v>1386</v>
      </c>
      <c r="NN27" s="17" t="s">
        <v>1975</v>
      </c>
      <c r="NO27" s="17" t="s">
        <v>895</v>
      </c>
      <c r="NP27" s="9"/>
      <c r="NQ27" s="9"/>
      <c r="NR27" s="9"/>
      <c r="NS27" s="9"/>
      <c r="NT27" s="9"/>
      <c r="NU27" s="9"/>
      <c r="NV27" s="9"/>
      <c r="NW27" s="9"/>
      <c r="NX27" s="9" t="s">
        <v>914</v>
      </c>
      <c r="NY27" s="8">
        <v>150.0</v>
      </c>
      <c r="NZ27" s="8">
        <v>0.0</v>
      </c>
      <c r="OA27" s="8">
        <v>0.0</v>
      </c>
      <c r="OB27" s="8">
        <v>5.0</v>
      </c>
      <c r="OC27" s="8">
        <v>5.0</v>
      </c>
      <c r="OD27" s="8">
        <v>0.0</v>
      </c>
      <c r="OE27" s="9" t="s">
        <v>898</v>
      </c>
      <c r="OF27" s="9" t="s">
        <v>1184</v>
      </c>
      <c r="OG27" s="9" t="s">
        <v>857</v>
      </c>
      <c r="OH27" s="8">
        <v>1.0</v>
      </c>
      <c r="OI27" s="8">
        <v>0.0</v>
      </c>
      <c r="OJ27" s="8">
        <v>0.0</v>
      </c>
      <c r="OK27" s="8">
        <v>0.0</v>
      </c>
      <c r="OL27" s="8">
        <v>0.0</v>
      </c>
      <c r="OM27" s="8">
        <v>0.0</v>
      </c>
      <c r="ON27" s="8">
        <v>15.0</v>
      </c>
      <c r="OO27" s="8">
        <v>0.0</v>
      </c>
      <c r="OP27" s="9" t="str">
        <f>VLOOKUP(AG27,'BUS 2'!$G$1:$CU$424,2,0)</f>
        <v>Sapi pedaging Ayam</v>
      </c>
      <c r="OQ27" s="8">
        <f>VLOOKUP(AG27,'BUS 2'!$G$1:$CU$424,3,0)</f>
        <v>1</v>
      </c>
      <c r="OR27" s="8">
        <f>VLOOKUP(AG27,'BUS 2'!$G$1:$CU$424,4,0)</f>
        <v>0</v>
      </c>
      <c r="OS27" s="8">
        <f>VLOOKUP(AG27,'BUS 2'!$G$1:$CU$424,5,0)</f>
        <v>0</v>
      </c>
      <c r="OT27" s="8">
        <f>VLOOKUP(AG27,'BUS 2'!$G$1:$CU$424,6,0)</f>
        <v>0</v>
      </c>
      <c r="OU27" s="8">
        <f>VLOOKUP(AG27,'BUS 2'!$G$1:$CU$424,7,0)</f>
        <v>0</v>
      </c>
      <c r="OV27" s="8">
        <f>VLOOKUP(AG27,'BUS 2'!$G$1:$CU$424,8,0)</f>
        <v>0</v>
      </c>
      <c r="OW27" s="8">
        <f>VLOOKUP(AG27,'BUS 2'!$G$1:$CU$424,9,0)</f>
        <v>1</v>
      </c>
      <c r="OX27" s="8">
        <f>VLOOKUP(AG27,'BUS 2'!$G$1:$CU$424,10,0)</f>
        <v>0</v>
      </c>
      <c r="OY27" s="8">
        <f>VLOOKUP(AG27,'BUS 2'!$G$1:$CU$424,11,0)</f>
        <v>0</v>
      </c>
      <c r="OZ27" s="8" t="str">
        <f>VLOOKUP(AG27,'BUS 2'!$G$1:$CU$424,12,0)</f>
        <v>Sapi pedaging Ayam</v>
      </c>
      <c r="PA27" s="8">
        <f>VLOOKUP(AG27,'BUS 2'!$G$1:$CU$424,13,0)</f>
        <v>1</v>
      </c>
      <c r="PB27" s="8">
        <f>VLOOKUP(AG27,'BUS 2'!$G$1:$CU$424,14,0)</f>
        <v>0</v>
      </c>
      <c r="PC27" s="8">
        <f>VLOOKUP(AG27,'BUS 2'!$G$1:$CU$424,15,0)</f>
        <v>0</v>
      </c>
      <c r="PD27" s="8">
        <f>VLOOKUP(AG27,'BUS 2'!$G$1:$CU$424,16,0)</f>
        <v>0</v>
      </c>
      <c r="PE27" s="8">
        <f>VLOOKUP(AG27,'BUS 2'!$G$1:$CU$424,17,0)</f>
        <v>0</v>
      </c>
      <c r="PF27" s="8">
        <f>VLOOKUP(AG27,'BUS 2'!$G$1:$CU$424,18,0)</f>
        <v>0</v>
      </c>
      <c r="PG27" s="8">
        <f>VLOOKUP(AG27,'BUS 2'!$G$1:$CU$424,19,0)</f>
        <v>1</v>
      </c>
      <c r="PH27" s="8">
        <f>VLOOKUP(AG27,'BUS 2'!$G$1:$CU$424,20,0)</f>
        <v>0</v>
      </c>
      <c r="PI27" s="8">
        <f>VLOOKUP(AG27,'BUS 2'!$G$1:$CU$424,21,0)</f>
        <v>0</v>
      </c>
      <c r="PJ27" s="8" t="str">
        <f>VLOOKUP(AG27,'BUS 2'!$G$1:$CU$424,22,0)</f>
        <v>Tidak ada</v>
      </c>
      <c r="PK27" s="8">
        <f>VLOOKUP(AG27,'BUS 2'!$G$1:$CU$424,23,0)</f>
        <v>0</v>
      </c>
      <c r="PL27" s="8">
        <f>VLOOKUP(AG27,'BUS 2'!$G$1:$CU$424,24,0)</f>
        <v>0</v>
      </c>
      <c r="PM27" s="8">
        <f>VLOOKUP(AG27,'BUS 2'!$G$1:$CU$424,25,0)</f>
        <v>0</v>
      </c>
      <c r="PN27" s="8">
        <f>VLOOKUP(AG27,'BUS 2'!$G$1:$CU$424,26,0)</f>
        <v>0</v>
      </c>
      <c r="PO27" s="8">
        <f>VLOOKUP(AG27,'BUS 2'!$G$1:$CU$424,27,0)</f>
        <v>0</v>
      </c>
      <c r="PP27" s="8">
        <f>VLOOKUP(AG27,'BUS 2'!$G$1:$CU$424,28,0)</f>
        <v>0</v>
      </c>
      <c r="PQ27" s="8">
        <f>VLOOKUP(AG27,'BUS 2'!$G$1:$CU$424,29,0)</f>
        <v>0</v>
      </c>
      <c r="PR27" s="8">
        <f>VLOOKUP(AG27,'BUS 2'!$G$1:$CU$424,30,0)</f>
        <v>0</v>
      </c>
      <c r="PS27" s="8">
        <f>VLOOKUP(AG27,'BUS 2'!$G$1:$CU$424,31,0)</f>
        <v>1</v>
      </c>
      <c r="PT27" s="9" t="s">
        <v>900</v>
      </c>
      <c r="PU27" s="8">
        <v>0.0</v>
      </c>
      <c r="PV27" s="8">
        <v>0.0</v>
      </c>
      <c r="PW27" s="8">
        <v>0.0</v>
      </c>
      <c r="PX27" s="8">
        <v>0.0</v>
      </c>
      <c r="PY27" s="8">
        <v>0.0</v>
      </c>
      <c r="PZ27" s="8">
        <v>1.0</v>
      </c>
      <c r="QA27" s="8">
        <v>0.0</v>
      </c>
      <c r="QB27" s="8">
        <v>0.0</v>
      </c>
      <c r="QC27" s="8">
        <v>0.0</v>
      </c>
      <c r="QD27" s="9"/>
      <c r="QE27" s="32"/>
      <c r="QF27" s="31"/>
      <c r="QG27" s="31"/>
      <c r="QH27" s="31"/>
      <c r="QI27" s="31"/>
      <c r="QJ27" s="31"/>
      <c r="QK27" s="32"/>
      <c r="QL27" s="32"/>
      <c r="QM27" s="32"/>
      <c r="QN27" s="32"/>
      <c r="QO27" s="32"/>
      <c r="QP27" s="32"/>
      <c r="QQ27" s="32"/>
      <c r="QR27" s="32"/>
      <c r="QS27" s="32"/>
      <c r="QT27" s="32"/>
      <c r="QU27" s="32"/>
      <c r="QV27" s="32"/>
      <c r="QW27" s="31"/>
      <c r="QX27" s="31"/>
      <c r="QY27" s="31"/>
      <c r="QZ27" s="31"/>
      <c r="RA27" s="31"/>
      <c r="RB27" s="32"/>
      <c r="RC27" s="32"/>
      <c r="RD27" s="32"/>
      <c r="RE27" s="32"/>
      <c r="RF27" s="32"/>
      <c r="RG27" s="9"/>
      <c r="RH27" s="31"/>
      <c r="RI27" s="31"/>
      <c r="RJ27" s="31"/>
      <c r="RK27" s="31"/>
      <c r="RL27" s="31"/>
      <c r="RM27" s="9"/>
      <c r="RN27" s="9"/>
      <c r="RO27" s="9"/>
      <c r="RP27" s="9"/>
      <c r="RQ27" s="9"/>
      <c r="RR27" s="9"/>
      <c r="RS27" s="31"/>
      <c r="RT27" s="31"/>
      <c r="RU27" s="31"/>
      <c r="RV27" s="31"/>
      <c r="RW27" s="31"/>
      <c r="RX27" s="9"/>
      <c r="RY27" s="9"/>
      <c r="RZ27" s="9"/>
      <c r="SA27" s="9"/>
      <c r="SB27" s="9"/>
      <c r="SC27" s="9" t="s">
        <v>900</v>
      </c>
      <c r="SD27" s="35">
        <v>0.0</v>
      </c>
      <c r="SE27" s="35">
        <v>0.0</v>
      </c>
      <c r="SF27" s="35">
        <v>0.0</v>
      </c>
      <c r="SG27" s="35">
        <v>0.0</v>
      </c>
      <c r="SH27" s="35">
        <v>0.0</v>
      </c>
      <c r="SI27" s="8">
        <v>1.0</v>
      </c>
      <c r="SJ27" s="8">
        <v>0.0</v>
      </c>
      <c r="SK27" s="8">
        <v>0.0</v>
      </c>
      <c r="SL27" s="8">
        <v>0.0</v>
      </c>
      <c r="SM27" s="9"/>
      <c r="SN27" s="9"/>
      <c r="SO27" s="31"/>
      <c r="SP27" s="31"/>
      <c r="SQ27" s="31"/>
      <c r="SR27" s="31"/>
      <c r="SS27" s="31"/>
      <c r="ST27" s="9"/>
      <c r="SU27" s="9"/>
      <c r="SV27" s="9"/>
      <c r="SW27" s="9"/>
      <c r="SX27" s="9"/>
      <c r="SY27" s="8">
        <f>VLOOKUP(AG27,'BUS 2'!$G$1:$CU$424,33,0)</f>
        <v>1</v>
      </c>
      <c r="SZ27" s="9" t="str">
        <f>VLOOKUP(AG27,'BUS 2'!$G$1:$CU$424,34,0)</f>
        <v/>
      </c>
      <c r="TA27" s="9" t="str">
        <f>VLOOKUP(AG27,'BUS 2'!$G$1:$CU$424,35,0)</f>
        <v/>
      </c>
      <c r="TB27" s="9" t="str">
        <f>VLOOKUP(AG27,'BUS 2'!$G$1:$CU$424,36,0)</f>
        <v/>
      </c>
      <c r="TC27" s="9" t="str">
        <f>VLOOKUP(AG27,'BUS 2'!$G$1:$CU$424,37,0)</f>
        <v/>
      </c>
      <c r="TD27" s="9" t="str">
        <f>VLOOKUP(AG27,'BUS 2'!$G$1:$CU$424,38,0)</f>
        <v/>
      </c>
      <c r="TE27" s="9">
        <f>VLOOKUP(AG27,'BUS 2'!$G$1:$CU$424,39,0)</f>
        <v>15</v>
      </c>
      <c r="TF27" s="9" t="str">
        <f>VLOOKUP(AG27,'BUS 2'!$G$1:$CU$424,40,0)</f>
        <v/>
      </c>
      <c r="TG27" s="8">
        <f>VLOOKUP(AG27,'BUS 2'!$G$1:$CU$424,42,0)</f>
        <v>1</v>
      </c>
      <c r="TH27" s="8" t="str">
        <f>VLOOKUP(AG27,'BUS 2'!$G$1:$CU$424,43,0)</f>
        <v/>
      </c>
      <c r="TI27" s="8" t="str">
        <f>VLOOKUP(AG27,'BUS 2'!$G$1:$CU$424,44,0)</f>
        <v/>
      </c>
      <c r="TJ27" s="8" t="str">
        <f>VLOOKUP(AG27,'BUS 2'!$G$1:$CU$424,45,0)</f>
        <v/>
      </c>
      <c r="TK27" s="8" t="str">
        <f>VLOOKUP(AG27,'BUS 2'!$G$1:$CU$424,46,0)</f>
        <v/>
      </c>
      <c r="TL27" s="8" t="str">
        <f>VLOOKUP(AG27,'BUS 2'!$G$1:$CU$424,47,0)</f>
        <v/>
      </c>
      <c r="TM27" s="8">
        <f>VLOOKUP(AG27,'BUS 2'!$G$1:$CU$424,48,0)</f>
        <v>15</v>
      </c>
      <c r="TN27" s="8" t="str">
        <f>VLOOKUP(AG27,'BUS 2'!$G$1:$CU$424,49,0)</f>
        <v/>
      </c>
      <c r="TO27" s="8" t="str">
        <f>VLOOKUP(AG27,'BUS 2'!$G$1:$CU$424,50,0)</f>
        <v/>
      </c>
      <c r="TP27" s="8" t="str">
        <f>VLOOKUP(AG27,'BUS 2'!$G$1:$CU$424,51,0)</f>
        <v/>
      </c>
      <c r="TQ27" s="8" t="str">
        <f>VLOOKUP(AG27,'BUS 2'!$G$1:$CU$424,52,0)</f>
        <v/>
      </c>
      <c r="TR27" s="8" t="str">
        <f>VLOOKUP(AG27,'BUS 2'!$G$1:$CU$424,53,0)</f>
        <v/>
      </c>
      <c r="TS27" s="9" t="str">
        <f>VLOOKUP(AG27,'BUS 2'!$G$1:$CU$424,54,0)</f>
        <v/>
      </c>
      <c r="TT27" s="9" t="str">
        <f>VLOOKUP(AG27,'BUS 2'!$G$1:$CU$424,55,0)</f>
        <v/>
      </c>
      <c r="TU27" s="9" t="str">
        <f>VLOOKUP(AG27,'BUS 2'!$G$1:$CU$424,56,0)</f>
        <v/>
      </c>
      <c r="TV27" s="9" t="str">
        <f>VLOOKUP(AG27,'BUS 2'!$G$1:$CU$424,57,0)</f>
        <v/>
      </c>
      <c r="TW27" s="9" t="str">
        <f>VLOOKUP(AG27,'BUS 2'!$G$1:$CU$424,58,0)</f>
        <v/>
      </c>
      <c r="TX27" s="9" t="str">
        <f>VLOOKUP(AG27,'BUS 2'!$G$1:$CU$424,59,0)</f>
        <v/>
      </c>
      <c r="TY27" s="9" t="str">
        <f>VLOOKUP(AG27,'BUS 2'!$G$1:$CU$424,60,0)</f>
        <v/>
      </c>
      <c r="TZ27" s="9" t="str">
        <f>VLOOKUP(AG27,'BUS 2'!$G$1:$CU$424,61,0)</f>
        <v/>
      </c>
      <c r="UA27" s="9" t="str">
        <f>VLOOKUP(AG27,'BUS 2'!$G$1:$CU$424,62,0)</f>
        <v/>
      </c>
      <c r="UB27" s="9" t="str">
        <f>VLOOKUP(AG27,'BUS 2'!$G$1:$CU$424,63,0)</f>
        <v/>
      </c>
      <c r="UC27" s="9" t="str">
        <f>VLOOKUP(AG27,'BUS 2'!$G$1:$CU$424,64,0)</f>
        <v/>
      </c>
      <c r="UD27" s="9" t="str">
        <f>VLOOKUP(AG27,'BUS 2'!$G$1:$CU$424,65,0)</f>
        <v/>
      </c>
      <c r="UE27" s="9" t="str">
        <f>VLOOKUP(AG27,'BUS 2'!$G$1:$CU$424,66,0)</f>
        <v/>
      </c>
      <c r="UF27" s="9" t="str">
        <f>VLOOKUP(AG27,'BUS 2'!$G$1:$CU$424,67,0)</f>
        <v/>
      </c>
      <c r="UG27" s="9" t="str">
        <f>VLOOKUP(AG27,'BUS 2'!$G$1:$CU$424,68,0)</f>
        <v/>
      </c>
      <c r="UH27" s="9" t="str">
        <f>VLOOKUP(AG27,'BUS 2'!$G$1:$CU$424,69,0)</f>
        <v/>
      </c>
      <c r="UI27" s="9" t="str">
        <f>VLOOKUP(AG27,'BUS 2'!$G$1:$CU$424,70,0)</f>
        <v/>
      </c>
      <c r="UJ27" s="9" t="str">
        <f>VLOOKUP(AG27,'BUS 2'!$G$1:$CU$424,71,0)</f>
        <v/>
      </c>
      <c r="UK27" s="9" t="str">
        <f>VLOOKUP(AG27,'BUS 2'!$G$1:$CU$424,72,0)</f>
        <v/>
      </c>
      <c r="UL27" s="9" t="str">
        <f>VLOOKUP(AG27,'BUS 2'!$G$1:$CU$424,73,0)</f>
        <v/>
      </c>
      <c r="UM27" s="9" t="str">
        <f>VLOOKUP(AG27,'BUS 2'!$G$1:$CU$424,74,0)</f>
        <v/>
      </c>
      <c r="UN27" s="9" t="str">
        <f>VLOOKUP(AG27,'BUS 2'!$G$1:$CU$424,75,0)</f>
        <v/>
      </c>
      <c r="UO27" s="9" t="str">
        <f>VLOOKUP(AG27,'BUS 2'!$G$1:$CU$424,76,0)</f>
        <v/>
      </c>
      <c r="UP27" s="9" t="str">
        <f>VLOOKUP(AG27,'BUS 2'!$G$1:$CU$424,77,0)</f>
        <v/>
      </c>
      <c r="UQ27" s="9" t="str">
        <f>VLOOKUP(AG27,'BUS 2'!$G$1:$CU$424,78,0)</f>
        <v/>
      </c>
      <c r="UR27" s="9" t="str">
        <f>VLOOKUP(AG27,'BUS 2'!$G$1:$CU$424,79,0)</f>
        <v/>
      </c>
      <c r="US27" s="9" t="str">
        <f>VLOOKUP(AG27,'BUS 2'!$G$1:$CU$424,80,0)</f>
        <v/>
      </c>
      <c r="UT27" s="9" t="str">
        <f>VLOOKUP(AG27,'BUS 2'!$G$1:$CU$424,81,0)</f>
        <v/>
      </c>
      <c r="UU27" s="9" t="s">
        <v>901</v>
      </c>
      <c r="UV27" s="9"/>
      <c r="UW27" s="9"/>
      <c r="UX27" s="9"/>
      <c r="UY27" s="9"/>
      <c r="UZ27" s="9"/>
      <c r="VA27" s="9" t="s">
        <v>1937</v>
      </c>
      <c r="VB27" s="9"/>
      <c r="VC27" s="9" t="s">
        <v>1938</v>
      </c>
      <c r="VD27" s="9"/>
      <c r="VE27" s="9"/>
      <c r="VF27" s="9"/>
      <c r="VG27" s="9"/>
      <c r="VH27" s="9"/>
      <c r="VI27" s="9" t="s">
        <v>1938</v>
      </c>
      <c r="VJ27" s="9"/>
      <c r="VK27" s="9" t="s">
        <v>1939</v>
      </c>
      <c r="VL27" s="9"/>
      <c r="VM27" s="9"/>
      <c r="VN27" s="9"/>
      <c r="VO27" s="9"/>
      <c r="VP27" s="9"/>
      <c r="VQ27" s="9" t="s">
        <v>1939</v>
      </c>
      <c r="VR27" s="9"/>
      <c r="VS27" s="9" t="s">
        <v>2466</v>
      </c>
      <c r="VT27" s="8">
        <v>0.0</v>
      </c>
      <c r="VU27" s="8">
        <v>0.0</v>
      </c>
      <c r="VV27" s="8">
        <v>0.0</v>
      </c>
      <c r="VW27" s="8">
        <v>0.0</v>
      </c>
      <c r="VX27" s="8">
        <v>0.0</v>
      </c>
      <c r="VY27" s="8">
        <v>1.0</v>
      </c>
      <c r="VZ27" s="8">
        <v>1.0</v>
      </c>
      <c r="WA27" s="8">
        <v>0.0</v>
      </c>
      <c r="WB27" s="8">
        <v>0.0</v>
      </c>
      <c r="WC27" s="8">
        <v>0.0</v>
      </c>
      <c r="WD27" s="8">
        <v>0.0</v>
      </c>
      <c r="WE27" s="8">
        <v>0.0</v>
      </c>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t="s">
        <v>2466</v>
      </c>
      <c r="YO27" s="8">
        <v>0.0</v>
      </c>
      <c r="YP27" s="8">
        <v>0.0</v>
      </c>
      <c r="YQ27" s="8">
        <v>0.0</v>
      </c>
      <c r="YR27" s="8">
        <v>0.0</v>
      </c>
      <c r="YS27" s="8">
        <v>0.0</v>
      </c>
      <c r="YT27" s="8">
        <v>1.0</v>
      </c>
      <c r="YU27" s="8">
        <v>1.0</v>
      </c>
      <c r="YV27" s="8">
        <v>0.0</v>
      </c>
      <c r="YW27" s="8">
        <v>0.0</v>
      </c>
      <c r="YX27" s="8">
        <v>0.0</v>
      </c>
      <c r="YY27" s="8">
        <v>0.0</v>
      </c>
      <c r="YZ27" s="8">
        <v>0.0</v>
      </c>
      <c r="ZA27" s="9"/>
      <c r="ZB27" s="9"/>
      <c r="ZC27" s="9"/>
      <c r="ZD27" s="9"/>
      <c r="ZE27" s="9"/>
      <c r="ZF27" s="9"/>
      <c r="ZG27" s="9"/>
      <c r="ZH27" s="9"/>
      <c r="ZI27" s="9"/>
      <c r="ZJ27" s="9"/>
      <c r="ZK27" s="9"/>
      <c r="ZL27" s="9"/>
      <c r="ZM27" s="9"/>
      <c r="ZN27" s="9"/>
      <c r="ZO27" s="9"/>
      <c r="ZP27" s="9"/>
      <c r="ZQ27" s="9"/>
      <c r="ZR27" s="9"/>
      <c r="ZS27" s="9"/>
      <c r="ZT27" s="9"/>
      <c r="ZU27" s="9"/>
      <c r="ZV27" s="8">
        <v>2.0</v>
      </c>
      <c r="ZW27" s="9"/>
      <c r="ZX27" s="9"/>
      <c r="ZY27" s="9"/>
      <c r="ZZ27" s="9"/>
      <c r="AAA27" s="9"/>
      <c r="AAB27" s="8">
        <v>2.0</v>
      </c>
      <c r="AAC27" s="9"/>
      <c r="AAD27" s="9" t="s">
        <v>1186</v>
      </c>
      <c r="AAE27" s="9"/>
      <c r="AAF27" s="9"/>
      <c r="AAG27" s="9"/>
      <c r="AAH27" s="9"/>
      <c r="AAI27" s="9"/>
      <c r="AAJ27" s="9" t="s">
        <v>905</v>
      </c>
      <c r="AAK27" s="9"/>
      <c r="AAL27" s="9" t="s">
        <v>857</v>
      </c>
      <c r="AAM27" s="9" t="s">
        <v>1942</v>
      </c>
      <c r="AAN27" s="8">
        <v>0.0</v>
      </c>
      <c r="AAO27" s="8">
        <v>1.0</v>
      </c>
      <c r="AAP27" s="8">
        <v>7.0</v>
      </c>
      <c r="AAQ27" s="9"/>
      <c r="AAR27" s="9" t="s">
        <v>881</v>
      </c>
      <c r="AAS27" s="9" t="s">
        <v>867</v>
      </c>
      <c r="AAT27" s="9" t="s">
        <v>2101</v>
      </c>
      <c r="AAU27" s="8">
        <v>0.0</v>
      </c>
      <c r="AAV27" s="8">
        <v>0.0</v>
      </c>
      <c r="AAW27" s="8">
        <v>0.0</v>
      </c>
      <c r="AAX27" s="8">
        <v>1.0</v>
      </c>
      <c r="AAY27" s="8">
        <v>0.0</v>
      </c>
      <c r="AAZ27" s="8">
        <v>0.0</v>
      </c>
      <c r="ABA27" s="8">
        <v>0.0</v>
      </c>
      <c r="ABB27" s="9"/>
      <c r="ABC27" s="9"/>
      <c r="ABD27" s="9"/>
      <c r="ABE27" s="9"/>
      <c r="ABF27" s="9"/>
      <c r="ABG27" s="9"/>
      <c r="ABH27" s="9"/>
      <c r="ABI27" s="9"/>
      <c r="ABJ27" s="9"/>
      <c r="ABK27" s="9"/>
      <c r="ABL27" s="9"/>
      <c r="ABM27" s="9"/>
      <c r="ABN27" s="9"/>
      <c r="ABO27" s="9"/>
      <c r="ABP27" s="9"/>
      <c r="ABQ27" s="9" t="s">
        <v>2467</v>
      </c>
      <c r="ABR27" s="9" t="s">
        <v>2289</v>
      </c>
      <c r="ABS27" s="9"/>
      <c r="ABT27" s="8">
        <v>80.0</v>
      </c>
      <c r="ABU27" s="9"/>
      <c r="ABV27" s="9"/>
      <c r="ABW27" s="9"/>
      <c r="ABX27" s="9"/>
      <c r="ABY27" s="9"/>
      <c r="ABZ27" s="9"/>
      <c r="ACA27" s="9"/>
      <c r="ACB27" s="9"/>
      <c r="ACC27" s="9"/>
      <c r="ACD27" s="9"/>
      <c r="ACE27" s="9"/>
      <c r="ACF27" s="9"/>
      <c r="ACG27" s="9"/>
      <c r="ACH27" s="9"/>
      <c r="ACI27" s="9"/>
      <c r="ACJ27" s="9"/>
      <c r="ACK27" s="9" t="s">
        <v>2468</v>
      </c>
      <c r="ACL27" s="8">
        <v>0.0</v>
      </c>
      <c r="ACM27" s="8">
        <v>0.0</v>
      </c>
      <c r="ACN27" s="8">
        <v>0.0</v>
      </c>
      <c r="ACO27" s="8">
        <v>0.0</v>
      </c>
      <c r="ACP27" s="8">
        <v>0.0</v>
      </c>
      <c r="ACQ27" s="8">
        <v>1.0</v>
      </c>
      <c r="ACR27" s="8">
        <v>0.0</v>
      </c>
      <c r="ACS27" s="9"/>
      <c r="ACT27" s="9" t="s">
        <v>1945</v>
      </c>
      <c r="ACU27" s="9" t="s">
        <v>1050</v>
      </c>
      <c r="ACV27" s="9" t="s">
        <v>914</v>
      </c>
      <c r="ACW27" s="9" t="s">
        <v>915</v>
      </c>
      <c r="ACX27" s="9" t="s">
        <v>916</v>
      </c>
      <c r="ACY27" s="9" t="s">
        <v>1017</v>
      </c>
      <c r="ACZ27" s="8">
        <v>1.0</v>
      </c>
      <c r="ADA27" s="8">
        <v>1.0</v>
      </c>
      <c r="ADB27" s="8">
        <v>1.0</v>
      </c>
      <c r="ADC27" s="8">
        <v>0.0</v>
      </c>
      <c r="ADD27" s="9" t="s">
        <v>917</v>
      </c>
      <c r="ADE27" s="9" t="s">
        <v>917</v>
      </c>
      <c r="ADF27" s="9" t="s">
        <v>917</v>
      </c>
      <c r="ADG27" s="9" t="s">
        <v>917</v>
      </c>
      <c r="ADH27" s="9" t="s">
        <v>881</v>
      </c>
      <c r="ADI27" s="9"/>
      <c r="ADJ27" s="9" t="s">
        <v>918</v>
      </c>
      <c r="ADK27" s="9"/>
      <c r="ADL27" s="9"/>
      <c r="ADM27" s="9"/>
      <c r="ADN27" s="9"/>
      <c r="ADO27" s="9"/>
      <c r="ADP27" s="9"/>
      <c r="ADQ27" s="9"/>
      <c r="ADR27" s="9"/>
      <c r="ADS27" s="9"/>
      <c r="ADT27" s="9"/>
      <c r="ADU27" s="9" t="s">
        <v>2235</v>
      </c>
      <c r="ADV27" s="8">
        <v>0.0</v>
      </c>
      <c r="ADW27" s="8">
        <v>0.0</v>
      </c>
      <c r="ADX27" s="8">
        <v>0.0</v>
      </c>
      <c r="ADY27" s="8">
        <v>0.0</v>
      </c>
      <c r="ADZ27" s="8">
        <v>0.0</v>
      </c>
      <c r="AEA27" s="8">
        <v>0.0</v>
      </c>
      <c r="AEB27" s="8">
        <v>1.0</v>
      </c>
      <c r="AEC27" s="8">
        <v>0.0</v>
      </c>
      <c r="AED27" s="9" t="s">
        <v>1945</v>
      </c>
      <c r="AEE27" s="9" t="s">
        <v>872</v>
      </c>
      <c r="AEF27" s="9"/>
      <c r="AEG27" s="9" t="s">
        <v>1367</v>
      </c>
      <c r="AEH27" s="9"/>
      <c r="AEI27" s="9" t="s">
        <v>1945</v>
      </c>
      <c r="AEJ27" s="9" t="s">
        <v>961</v>
      </c>
      <c r="AEK27" s="9" t="s">
        <v>2469</v>
      </c>
      <c r="AEL27" s="8">
        <v>0.0</v>
      </c>
      <c r="AEM27" s="8">
        <v>0.0</v>
      </c>
      <c r="AEN27" s="8">
        <v>0.0</v>
      </c>
      <c r="AEO27" s="8">
        <v>0.0</v>
      </c>
      <c r="AEP27" s="8">
        <v>0.0</v>
      </c>
      <c r="AEQ27" s="8">
        <v>0.0</v>
      </c>
      <c r="AER27" s="8">
        <v>1.0</v>
      </c>
      <c r="AES27" s="8">
        <v>1.0</v>
      </c>
      <c r="AET27" s="8">
        <v>0.0</v>
      </c>
      <c r="AEU27" s="8">
        <v>0.0</v>
      </c>
      <c r="AEV27" s="8">
        <v>0.0</v>
      </c>
      <c r="AEW27" s="8">
        <v>0.0</v>
      </c>
      <c r="AEX27" s="9"/>
      <c r="AEY27" s="9" t="s">
        <v>1305</v>
      </c>
      <c r="AEZ27" s="9"/>
      <c r="AFA27" s="9" t="s">
        <v>924</v>
      </c>
      <c r="AFB27" s="9"/>
      <c r="AFC27" s="9" t="s">
        <v>2470</v>
      </c>
      <c r="AFD27" s="16" t="s">
        <v>2471</v>
      </c>
      <c r="AFE27" s="9" t="s">
        <v>2472</v>
      </c>
      <c r="AFF27" s="16" t="s">
        <v>2473</v>
      </c>
      <c r="AFG27" s="9" t="s">
        <v>1919</v>
      </c>
      <c r="AFH27" s="9"/>
      <c r="AFI27" s="21" t="s">
        <v>2474</v>
      </c>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8">
        <v>6.72450186E8</v>
      </c>
      <c r="AWB27" s="9" t="s">
        <v>2475</v>
      </c>
      <c r="AWC27" s="6">
        <v>46068.0</v>
      </c>
      <c r="AWD27" s="9"/>
      <c r="AWE27" s="9"/>
      <c r="AWF27" s="9" t="s">
        <v>1954</v>
      </c>
      <c r="AWG27" s="9"/>
      <c r="AWH27" s="9" t="s">
        <v>1989</v>
      </c>
      <c r="AWI27" s="9"/>
      <c r="AWJ27" s="9" t="s">
        <v>2476</v>
      </c>
      <c r="AWK27" s="8">
        <v>248.0</v>
      </c>
      <c r="AWL27" s="9" t="s">
        <v>2463</v>
      </c>
      <c r="AWM27" s="8">
        <v>0.0</v>
      </c>
      <c r="AWN27" s="9" t="s">
        <v>1957</v>
      </c>
      <c r="AWO27" s="33" t="b">
        <v>1</v>
      </c>
      <c r="AWP27" s="33" t="b">
        <v>1</v>
      </c>
      <c r="AWQ27" s="33" t="b">
        <v>1</v>
      </c>
      <c r="AWR27" s="33" t="b">
        <v>1</v>
      </c>
      <c r="AWS27" s="33" t="b">
        <v>1</v>
      </c>
      <c r="AWT27" s="33" t="b">
        <v>1</v>
      </c>
      <c r="AWU27" s="9"/>
      <c r="AWV27" s="8">
        <v>3.0</v>
      </c>
      <c r="AWW27" s="9"/>
      <c r="AWX27" s="9"/>
      <c r="AWY27" s="9"/>
      <c r="AWZ27" s="9"/>
    </row>
    <row r="28">
      <c r="A28" s="6">
        <v>46068.0</v>
      </c>
      <c r="B28" s="6">
        <v>46068.0</v>
      </c>
      <c r="C28" s="30" t="s">
        <v>1919</v>
      </c>
      <c r="D28" s="30" t="s">
        <v>2477</v>
      </c>
      <c r="E28" s="9" t="str">
        <f>+62-</f>
        <v>#ERROR!</v>
      </c>
      <c r="F28" s="9" t="s">
        <v>2478</v>
      </c>
      <c r="G28" s="8">
        <v>-5.149616</v>
      </c>
      <c r="H28" s="8">
        <v>119.633305</v>
      </c>
      <c r="I28" s="8">
        <v>9.11</v>
      </c>
      <c r="J28" s="8">
        <v>3.038000107</v>
      </c>
      <c r="K28" s="8">
        <v>0.0</v>
      </c>
      <c r="L28" s="9" t="s">
        <v>2479</v>
      </c>
      <c r="M28" s="8">
        <v>-5.148771</v>
      </c>
      <c r="N28" s="8">
        <v>119.633697</v>
      </c>
      <c r="O28" s="8">
        <v>66.246</v>
      </c>
      <c r="P28" s="8">
        <v>1.437000036</v>
      </c>
      <c r="Q28" s="8">
        <v>0.0</v>
      </c>
      <c r="R28" s="9" t="s">
        <v>1923</v>
      </c>
      <c r="S28" s="8">
        <v>0.0</v>
      </c>
      <c r="T28" s="8">
        <v>0.0</v>
      </c>
      <c r="U28" s="8">
        <v>0.0</v>
      </c>
      <c r="V28" s="8">
        <v>0.0</v>
      </c>
      <c r="W28" s="8">
        <v>0.0</v>
      </c>
      <c r="X28" s="8">
        <v>0.0</v>
      </c>
      <c r="Y28" s="8">
        <v>0.0</v>
      </c>
      <c r="Z28" s="8">
        <v>0.0</v>
      </c>
      <c r="AA28" s="8">
        <v>0.0</v>
      </c>
      <c r="AB28" s="8">
        <v>1.0</v>
      </c>
      <c r="AC28" s="7" t="s">
        <v>1924</v>
      </c>
      <c r="AD28" s="7" t="s">
        <v>2088</v>
      </c>
      <c r="AE28" s="7" t="s">
        <v>2089</v>
      </c>
      <c r="AF28" s="9" t="s">
        <v>2090</v>
      </c>
      <c r="AG28" s="9" t="s">
        <v>2480</v>
      </c>
      <c r="AH28" s="8">
        <v>12.0</v>
      </c>
      <c r="AI28" s="9" t="s">
        <v>933</v>
      </c>
      <c r="AJ28" s="9" t="s">
        <v>934</v>
      </c>
      <c r="AK28" s="8">
        <v>49.0</v>
      </c>
      <c r="AL28" s="9" t="s">
        <v>1444</v>
      </c>
      <c r="AM28" s="9" t="s">
        <v>848</v>
      </c>
      <c r="AN28" s="9" t="s">
        <v>986</v>
      </c>
      <c r="AO28" s="9" t="s">
        <v>850</v>
      </c>
      <c r="AP28" s="8">
        <v>1.0</v>
      </c>
      <c r="AQ28" s="8">
        <v>0.0</v>
      </c>
      <c r="AR28" s="8">
        <v>0.0</v>
      </c>
      <c r="AS28" s="8">
        <v>0.0</v>
      </c>
      <c r="AT28" s="8">
        <v>0.0</v>
      </c>
      <c r="AU28" s="8">
        <v>0.0</v>
      </c>
      <c r="AV28" s="8">
        <v>0.0</v>
      </c>
      <c r="AW28" s="8">
        <v>0.0</v>
      </c>
      <c r="AX28" s="9"/>
      <c r="AY28" s="9" t="s">
        <v>999</v>
      </c>
      <c r="AZ28" s="8">
        <v>0.0</v>
      </c>
      <c r="BA28" s="8">
        <v>0.0</v>
      </c>
      <c r="BB28" s="8">
        <v>0.0</v>
      </c>
      <c r="BC28" s="8">
        <v>0.0</v>
      </c>
      <c r="BD28" s="8">
        <v>0.0</v>
      </c>
      <c r="BE28" s="8">
        <v>0.0</v>
      </c>
      <c r="BF28" s="8">
        <v>0.0</v>
      </c>
      <c r="BG28" s="8">
        <v>1.0</v>
      </c>
      <c r="BH28" s="11"/>
      <c r="BI28" s="9" t="s">
        <v>936</v>
      </c>
      <c r="BJ28" s="8">
        <v>1.0</v>
      </c>
      <c r="BK28" s="8">
        <v>2.0</v>
      </c>
      <c r="BL28" s="8">
        <v>0.0</v>
      </c>
      <c r="BM28" s="8">
        <v>0.0</v>
      </c>
      <c r="BN28" s="9" t="s">
        <v>853</v>
      </c>
      <c r="BO28" s="9" t="s">
        <v>854</v>
      </c>
      <c r="BP28" s="8">
        <v>1.0</v>
      </c>
      <c r="BQ28" s="8">
        <v>0.0</v>
      </c>
      <c r="BR28" s="8">
        <v>0.0</v>
      </c>
      <c r="BS28" s="8">
        <v>0.0</v>
      </c>
      <c r="BT28" s="8">
        <v>0.0</v>
      </c>
      <c r="BU28" s="9"/>
      <c r="BV28" s="9" t="s">
        <v>855</v>
      </c>
      <c r="BW28" s="8">
        <v>0.0</v>
      </c>
      <c r="BX28" s="8">
        <v>0.0</v>
      </c>
      <c r="BY28" s="8">
        <v>1.0</v>
      </c>
      <c r="BZ28" s="8">
        <v>0.0</v>
      </c>
      <c r="CA28" s="8">
        <v>0.0</v>
      </c>
      <c r="CB28" s="9"/>
      <c r="CC28" s="9" t="s">
        <v>1929</v>
      </c>
      <c r="CD28" s="8">
        <v>0.0</v>
      </c>
      <c r="CE28" s="8">
        <v>0.0</v>
      </c>
      <c r="CF28" s="8">
        <v>0.0</v>
      </c>
      <c r="CG28" s="8">
        <v>0.0</v>
      </c>
      <c r="CH28" s="8">
        <v>1.0</v>
      </c>
      <c r="CI28" s="8">
        <v>0.0</v>
      </c>
      <c r="CJ28" s="8">
        <v>0.0</v>
      </c>
      <c r="CK28" s="9"/>
      <c r="CL28" s="9" t="s">
        <v>857</v>
      </c>
      <c r="CM28" s="8">
        <v>2014.0</v>
      </c>
      <c r="CN28" s="9" t="s">
        <v>858</v>
      </c>
      <c r="CO28" s="9" t="s">
        <v>1968</v>
      </c>
      <c r="CP28" s="9" t="s">
        <v>860</v>
      </c>
      <c r="CQ28" s="8">
        <v>0.0</v>
      </c>
      <c r="CR28" s="8">
        <v>0.0</v>
      </c>
      <c r="CS28" s="8">
        <v>0.0</v>
      </c>
      <c r="CT28" s="8">
        <v>0.0</v>
      </c>
      <c r="CU28" s="8">
        <v>1.0</v>
      </c>
      <c r="CV28" s="8">
        <v>0.0</v>
      </c>
      <c r="CW28" s="8">
        <v>0.0</v>
      </c>
      <c r="CX28" s="8">
        <v>0.0</v>
      </c>
      <c r="CY28" s="9" t="s">
        <v>860</v>
      </c>
      <c r="CZ28" s="8">
        <v>1.0</v>
      </c>
      <c r="DA28" s="8">
        <v>0.0</v>
      </c>
      <c r="DB28" s="8">
        <v>0.0</v>
      </c>
      <c r="DC28" s="9"/>
      <c r="DD28" s="9" t="s">
        <v>860</v>
      </c>
      <c r="DE28" s="8">
        <v>1.0</v>
      </c>
      <c r="DF28" s="8">
        <v>0.0</v>
      </c>
      <c r="DG28" s="8">
        <v>0.0</v>
      </c>
      <c r="DH28" s="8">
        <v>0.0</v>
      </c>
      <c r="DI28" s="9"/>
      <c r="DJ28" s="9" t="s">
        <v>860</v>
      </c>
      <c r="DK28" s="8">
        <v>1.0</v>
      </c>
      <c r="DL28" s="8">
        <v>0.0</v>
      </c>
      <c r="DM28" s="8">
        <v>0.0</v>
      </c>
      <c r="DN28" s="8">
        <v>0.0</v>
      </c>
      <c r="DO28" s="9"/>
      <c r="DP28" s="9" t="s">
        <v>938</v>
      </c>
      <c r="DQ28" s="9" t="s">
        <v>939</v>
      </c>
      <c r="DR28" s="17" t="s">
        <v>940</v>
      </c>
      <c r="DS28" s="9"/>
      <c r="DT28" s="9"/>
      <c r="DU28" s="9"/>
      <c r="DV28" s="9"/>
      <c r="DW28" s="9"/>
      <c r="DX28" s="9"/>
      <c r="DY28" s="9"/>
      <c r="DZ28" s="9"/>
      <c r="EA28" s="9"/>
      <c r="EB28" s="9"/>
      <c r="EC28" s="9"/>
      <c r="ED28" s="9"/>
      <c r="EE28" s="9"/>
      <c r="EF28" s="9"/>
      <c r="EG28" s="9"/>
      <c r="EH28" s="9"/>
      <c r="EI28" s="31" t="s">
        <v>862</v>
      </c>
      <c r="EJ28" s="8">
        <v>0.0</v>
      </c>
      <c r="EK28" s="8">
        <v>0.0</v>
      </c>
      <c r="EL28" s="8">
        <v>0.0</v>
      </c>
      <c r="EM28" s="8">
        <v>1.0</v>
      </c>
      <c r="EN28" s="8">
        <v>0.0</v>
      </c>
      <c r="EO28" s="9"/>
      <c r="EP28" s="9" t="s">
        <v>863</v>
      </c>
      <c r="EQ28" s="9" t="s">
        <v>864</v>
      </c>
      <c r="ER28" s="9" t="s">
        <v>1381</v>
      </c>
      <c r="ES28" s="8">
        <v>0.0</v>
      </c>
      <c r="ET28" s="8">
        <v>1.0</v>
      </c>
      <c r="EU28" s="8">
        <v>0.0</v>
      </c>
      <c r="EV28" s="8">
        <v>0.0</v>
      </c>
      <c r="EW28" s="9"/>
      <c r="EX28" s="9" t="s">
        <v>865</v>
      </c>
      <c r="EY28" s="8">
        <v>1.0</v>
      </c>
      <c r="EZ28" s="8">
        <v>0.0</v>
      </c>
      <c r="FA28" s="8">
        <v>0.0</v>
      </c>
      <c r="FB28" s="9"/>
      <c r="FC28" s="9" t="s">
        <v>942</v>
      </c>
      <c r="FD28" s="9"/>
      <c r="FE28" s="9" t="s">
        <v>867</v>
      </c>
      <c r="FF28" s="9" t="s">
        <v>943</v>
      </c>
      <c r="FG28" s="9" t="s">
        <v>867</v>
      </c>
      <c r="FH28" s="9" t="s">
        <v>869</v>
      </c>
      <c r="FI28" s="9" t="s">
        <v>867</v>
      </c>
      <c r="FJ28" s="9" t="s">
        <v>868</v>
      </c>
      <c r="FK28" s="9" t="s">
        <v>867</v>
      </c>
      <c r="FL28" s="9" t="s">
        <v>883</v>
      </c>
      <c r="FM28" s="9" t="s">
        <v>867</v>
      </c>
      <c r="FN28" s="9" t="s">
        <v>883</v>
      </c>
      <c r="FO28" s="9" t="s">
        <v>1971</v>
      </c>
      <c r="FP28" s="9" t="s">
        <v>883</v>
      </c>
      <c r="FQ28" s="9" t="s">
        <v>867</v>
      </c>
      <c r="FR28" s="9" t="s">
        <v>857</v>
      </c>
      <c r="FS28" s="9" t="s">
        <v>867</v>
      </c>
      <c r="FT28" s="9" t="s">
        <v>1130</v>
      </c>
      <c r="FU28" s="9" t="s">
        <v>872</v>
      </c>
      <c r="FV28" s="8">
        <v>1.0</v>
      </c>
      <c r="FW28" s="8">
        <v>0.0</v>
      </c>
      <c r="FX28" s="8">
        <v>0.0</v>
      </c>
      <c r="FY28" s="8">
        <v>0.0</v>
      </c>
      <c r="FZ28" s="9" t="s">
        <v>944</v>
      </c>
      <c r="GA28" s="9" t="s">
        <v>1264</v>
      </c>
      <c r="GB28" s="8">
        <v>0.0</v>
      </c>
      <c r="GC28" s="8">
        <v>0.0</v>
      </c>
      <c r="GD28" s="8">
        <v>1.0</v>
      </c>
      <c r="GE28" s="8">
        <v>0.0</v>
      </c>
      <c r="GF28" s="9"/>
      <c r="GG28" s="9" t="s">
        <v>875</v>
      </c>
      <c r="GH28" s="9" t="s">
        <v>857</v>
      </c>
      <c r="GI28" s="9" t="s">
        <v>1264</v>
      </c>
      <c r="GJ28" s="8">
        <v>0.0</v>
      </c>
      <c r="GK28" s="8">
        <v>1.0</v>
      </c>
      <c r="GL28" s="8">
        <v>0.0</v>
      </c>
      <c r="GM28" s="8">
        <v>0.0</v>
      </c>
      <c r="GN28" s="9"/>
      <c r="GO28" s="8">
        <v>8.0</v>
      </c>
      <c r="GP28" s="34" t="s">
        <v>1931</v>
      </c>
      <c r="GQ28" s="9" t="s">
        <v>1102</v>
      </c>
      <c r="GR28" s="8">
        <v>1.0</v>
      </c>
      <c r="GS28" s="8">
        <v>0.0</v>
      </c>
      <c r="GT28" s="8">
        <v>0.0</v>
      </c>
      <c r="GU28" s="8">
        <v>0.0</v>
      </c>
      <c r="GV28" s="8">
        <v>0.0</v>
      </c>
      <c r="GW28" s="8">
        <v>0.0</v>
      </c>
      <c r="GX28" s="8">
        <v>0.0</v>
      </c>
      <c r="GY28" s="9"/>
      <c r="GZ28" s="9" t="s">
        <v>857</v>
      </c>
      <c r="HA28" s="9"/>
      <c r="HB28" s="9"/>
      <c r="HC28" s="9"/>
      <c r="HD28" s="9"/>
      <c r="HE28" s="8">
        <v>12.0</v>
      </c>
      <c r="HF28" s="8">
        <v>64000.0</v>
      </c>
      <c r="HG28" s="8">
        <v>6.0</v>
      </c>
      <c r="HH28" s="8">
        <v>44000.0</v>
      </c>
      <c r="HI28" s="9"/>
      <c r="HJ28" s="9"/>
      <c r="HK28" s="9"/>
      <c r="HL28" s="9"/>
      <c r="HM28" s="9"/>
      <c r="HN28" s="9"/>
      <c r="HO28" s="9"/>
      <c r="HP28" s="9"/>
      <c r="HQ28" s="9"/>
      <c r="HR28" s="9"/>
      <c r="HS28" s="9"/>
      <c r="HT28" s="9"/>
      <c r="HU28" s="9"/>
      <c r="HV28" s="9"/>
      <c r="HW28" s="9"/>
      <c r="HX28" s="9"/>
      <c r="HY28" s="9"/>
      <c r="HZ28" s="9"/>
      <c r="IA28" s="8">
        <v>6.0</v>
      </c>
      <c r="IB28" s="8">
        <v>20000.0</v>
      </c>
      <c r="IC28" s="9"/>
      <c r="ID28" s="9"/>
      <c r="IE28" s="9"/>
      <c r="IF28" s="9"/>
      <c r="IG28" s="9"/>
      <c r="IH28" s="9"/>
      <c r="II28" s="9"/>
      <c r="IJ28" s="9"/>
      <c r="IK28" s="9" t="s">
        <v>1932</v>
      </c>
      <c r="IL28" s="9" t="s">
        <v>1366</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945</v>
      </c>
      <c r="KT28" s="9" t="s">
        <v>886</v>
      </c>
      <c r="KU28" s="9" t="s">
        <v>886</v>
      </c>
      <c r="KV28" s="9" t="s">
        <v>1384</v>
      </c>
      <c r="KW28" s="8">
        <v>0.0</v>
      </c>
      <c r="KX28" s="8">
        <v>0.0</v>
      </c>
      <c r="KY28" s="8">
        <v>1.0</v>
      </c>
      <c r="KZ28" s="8">
        <v>0.0</v>
      </c>
      <c r="LA28" s="9" t="s">
        <v>884</v>
      </c>
      <c r="LB28" s="9" t="s">
        <v>884</v>
      </c>
      <c r="LC28" s="8">
        <v>5.0</v>
      </c>
      <c r="LD28" s="8">
        <v>0.0</v>
      </c>
      <c r="LE28" s="8">
        <v>0.0</v>
      </c>
      <c r="LF28" s="8">
        <v>0.0</v>
      </c>
      <c r="LG28" s="9" t="s">
        <v>881</v>
      </c>
      <c r="LH28" s="9"/>
      <c r="LI28" s="8">
        <v>0.0</v>
      </c>
      <c r="LJ28" s="9" t="s">
        <v>969</v>
      </c>
      <c r="LK28" s="8">
        <v>0.0</v>
      </c>
      <c r="LL28" s="8">
        <v>0.0</v>
      </c>
      <c r="LM28" s="8">
        <v>0.0</v>
      </c>
      <c r="LN28" s="8">
        <v>0.0</v>
      </c>
      <c r="LO28" s="8">
        <v>0.0</v>
      </c>
      <c r="LP28" s="8">
        <v>0.0</v>
      </c>
      <c r="LQ28" s="8">
        <v>1.0</v>
      </c>
      <c r="LR28" s="11" t="s">
        <v>1973</v>
      </c>
      <c r="LS28" s="8">
        <v>10.0</v>
      </c>
      <c r="LT28" s="8">
        <v>0.0</v>
      </c>
      <c r="LU28" s="8">
        <v>0.0</v>
      </c>
      <c r="LV28" s="8">
        <v>10.0</v>
      </c>
      <c r="LW28" s="8">
        <v>0.0</v>
      </c>
      <c r="LX28" s="8">
        <v>0.0</v>
      </c>
      <c r="LY28" s="8">
        <v>5.0</v>
      </c>
      <c r="LZ28" s="8">
        <v>0.0</v>
      </c>
      <c r="MA28" s="8">
        <v>0.0</v>
      </c>
      <c r="MB28" s="9" t="s">
        <v>881</v>
      </c>
      <c r="MC28" s="8">
        <v>0.0</v>
      </c>
      <c r="MD28" s="8">
        <v>0.0</v>
      </c>
      <c r="ME28" s="8">
        <v>0.0</v>
      </c>
      <c r="MF28" s="8">
        <v>0.0</v>
      </c>
      <c r="MG28" s="8">
        <v>0.0</v>
      </c>
      <c r="MH28" s="8">
        <v>0.0</v>
      </c>
      <c r="MI28" s="9"/>
      <c r="MJ28" s="9"/>
      <c r="MK28" s="9"/>
      <c r="ML28" s="9"/>
      <c r="MM28" s="9"/>
      <c r="MN28" s="9"/>
      <c r="MO28" s="9"/>
      <c r="MP28" s="9"/>
      <c r="MQ28" s="9"/>
      <c r="MR28" s="17" t="s">
        <v>2035</v>
      </c>
      <c r="MS28" s="9"/>
      <c r="MT28" s="9" t="s">
        <v>2035</v>
      </c>
      <c r="MU28" s="9" t="s">
        <v>1030</v>
      </c>
      <c r="MV28" s="9" t="s">
        <v>949</v>
      </c>
      <c r="MW28" s="8">
        <v>1.0</v>
      </c>
      <c r="MX28" s="8">
        <v>0.0</v>
      </c>
      <c r="MY28" s="8">
        <v>0.0</v>
      </c>
      <c r="MZ28" s="8">
        <v>0.0</v>
      </c>
      <c r="NA28" s="9"/>
      <c r="NB28" s="9"/>
      <c r="NC28" s="9"/>
      <c r="ND28" s="9"/>
      <c r="NE28" s="9"/>
      <c r="NF28" s="9"/>
      <c r="NG28" s="9"/>
      <c r="NH28" s="9"/>
      <c r="NI28" s="9"/>
      <c r="NJ28" s="9"/>
      <c r="NK28" s="9"/>
      <c r="NL28" s="9" t="s">
        <v>857</v>
      </c>
      <c r="NM28" s="9" t="s">
        <v>893</v>
      </c>
      <c r="NN28" s="17" t="s">
        <v>1387</v>
      </c>
      <c r="NO28" s="17" t="s">
        <v>895</v>
      </c>
      <c r="NP28" s="9"/>
      <c r="NQ28" s="9"/>
      <c r="NR28" s="9"/>
      <c r="NS28" s="9"/>
      <c r="NT28" s="9"/>
      <c r="NU28" s="9"/>
      <c r="NV28" s="17" t="s">
        <v>896</v>
      </c>
      <c r="NW28" s="9"/>
      <c r="NX28" s="9" t="s">
        <v>914</v>
      </c>
      <c r="NY28" s="8">
        <v>120.0</v>
      </c>
      <c r="NZ28" s="8">
        <v>0.0</v>
      </c>
      <c r="OA28" s="8">
        <v>0.0</v>
      </c>
      <c r="OB28" s="8">
        <v>10.0</v>
      </c>
      <c r="OC28" s="8">
        <v>10.0</v>
      </c>
      <c r="OD28" s="8">
        <v>0.0</v>
      </c>
      <c r="OE28" s="9" t="s">
        <v>945</v>
      </c>
      <c r="OF28" s="9" t="s">
        <v>899</v>
      </c>
      <c r="OG28" s="9" t="s">
        <v>857</v>
      </c>
      <c r="OH28" s="8">
        <v>0.0</v>
      </c>
      <c r="OI28" s="8">
        <v>0.0</v>
      </c>
      <c r="OJ28" s="8">
        <v>0.0</v>
      </c>
      <c r="OK28" s="8">
        <v>0.0</v>
      </c>
      <c r="OL28" s="8">
        <v>0.0</v>
      </c>
      <c r="OM28" s="8">
        <v>0.0</v>
      </c>
      <c r="ON28" s="8">
        <v>0.0</v>
      </c>
      <c r="OO28" s="8">
        <v>0.0</v>
      </c>
      <c r="OP28" s="9" t="str">
        <f>VLOOKUP(AG28,'BUS 2'!$G$1:$CU$424,2,0)</f>
        <v>Sapi pedaging</v>
      </c>
      <c r="OQ28" s="8">
        <f>VLOOKUP(AG28,'BUS 2'!$G$1:$CU$424,3,0)</f>
        <v>1</v>
      </c>
      <c r="OR28" s="8">
        <f>VLOOKUP(AG28,'BUS 2'!$G$1:$CU$424,4,0)</f>
        <v>0</v>
      </c>
      <c r="OS28" s="8">
        <f>VLOOKUP(AG28,'BUS 2'!$G$1:$CU$424,5,0)</f>
        <v>0</v>
      </c>
      <c r="OT28" s="8">
        <f>VLOOKUP(AG28,'BUS 2'!$G$1:$CU$424,6,0)</f>
        <v>0</v>
      </c>
      <c r="OU28" s="8">
        <f>VLOOKUP(AG28,'BUS 2'!$G$1:$CU$424,7,0)</f>
        <v>0</v>
      </c>
      <c r="OV28" s="8">
        <f>VLOOKUP(AG28,'BUS 2'!$G$1:$CU$424,8,0)</f>
        <v>0</v>
      </c>
      <c r="OW28" s="8">
        <f>VLOOKUP(AG28,'BUS 2'!$G$1:$CU$424,9,0)</f>
        <v>0</v>
      </c>
      <c r="OX28" s="8">
        <f>VLOOKUP(AG28,'BUS 2'!$G$1:$CU$424,10,0)</f>
        <v>0</v>
      </c>
      <c r="OY28" s="8">
        <f>VLOOKUP(AG28,'BUS 2'!$G$1:$CU$424,11,0)</f>
        <v>0</v>
      </c>
      <c r="OZ28" s="8" t="str">
        <f>VLOOKUP(AG28,'BUS 2'!$G$1:$CU$424,12,0)</f>
        <v>Sapi pedaging</v>
      </c>
      <c r="PA28" s="8">
        <f>VLOOKUP(AG28,'BUS 2'!$G$1:$CU$424,13,0)</f>
        <v>1</v>
      </c>
      <c r="PB28" s="8">
        <f>VLOOKUP(AG28,'BUS 2'!$G$1:$CU$424,14,0)</f>
        <v>0</v>
      </c>
      <c r="PC28" s="8">
        <f>VLOOKUP(AG28,'BUS 2'!$G$1:$CU$424,15,0)</f>
        <v>0</v>
      </c>
      <c r="PD28" s="8">
        <f>VLOOKUP(AG28,'BUS 2'!$G$1:$CU$424,16,0)</f>
        <v>0</v>
      </c>
      <c r="PE28" s="8">
        <f>VLOOKUP(AG28,'BUS 2'!$G$1:$CU$424,17,0)</f>
        <v>0</v>
      </c>
      <c r="PF28" s="8">
        <f>VLOOKUP(AG28,'BUS 2'!$G$1:$CU$424,18,0)</f>
        <v>0</v>
      </c>
      <c r="PG28" s="8">
        <f>VLOOKUP(AG28,'BUS 2'!$G$1:$CU$424,19,0)</f>
        <v>0</v>
      </c>
      <c r="PH28" s="8">
        <f>VLOOKUP(AG28,'BUS 2'!$G$1:$CU$424,20,0)</f>
        <v>0</v>
      </c>
      <c r="PI28" s="8">
        <f>VLOOKUP(AG28,'BUS 2'!$G$1:$CU$424,21,0)</f>
        <v>0</v>
      </c>
      <c r="PJ28" s="8" t="str">
        <f>VLOOKUP(AG28,'BUS 2'!$G$1:$CU$424,22,0)</f>
        <v>Sapi pedaging</v>
      </c>
      <c r="PK28" s="8">
        <f>VLOOKUP(AG28,'BUS 2'!$G$1:$CU$424,23,0)</f>
        <v>1</v>
      </c>
      <c r="PL28" s="8">
        <f>VLOOKUP(AG28,'BUS 2'!$G$1:$CU$424,24,0)</f>
        <v>0</v>
      </c>
      <c r="PM28" s="8">
        <f>VLOOKUP(AG28,'BUS 2'!$G$1:$CU$424,25,0)</f>
        <v>0</v>
      </c>
      <c r="PN28" s="8">
        <f>VLOOKUP(AG28,'BUS 2'!$G$1:$CU$424,26,0)</f>
        <v>0</v>
      </c>
      <c r="PO28" s="8">
        <f>VLOOKUP(AG28,'BUS 2'!$G$1:$CU$424,27,0)</f>
        <v>0</v>
      </c>
      <c r="PP28" s="8">
        <f>VLOOKUP(AG28,'BUS 2'!$G$1:$CU$424,28,0)</f>
        <v>0</v>
      </c>
      <c r="PQ28" s="8">
        <f>VLOOKUP(AG28,'BUS 2'!$G$1:$CU$424,29,0)</f>
        <v>0</v>
      </c>
      <c r="PR28" s="8">
        <f>VLOOKUP(AG28,'BUS 2'!$G$1:$CU$424,30,0)</f>
        <v>0</v>
      </c>
      <c r="PS28" s="8">
        <f>VLOOKUP(AG28,'BUS 2'!$G$1:$CU$424,31,0)</f>
        <v>0</v>
      </c>
      <c r="PT28" s="9" t="s">
        <v>900</v>
      </c>
      <c r="PU28" s="8">
        <v>0.0</v>
      </c>
      <c r="PV28" s="8">
        <v>0.0</v>
      </c>
      <c r="PW28" s="8">
        <v>0.0</v>
      </c>
      <c r="PX28" s="8">
        <v>0.0</v>
      </c>
      <c r="PY28" s="8">
        <v>0.0</v>
      </c>
      <c r="PZ28" s="8">
        <v>1.0</v>
      </c>
      <c r="QA28" s="8">
        <v>0.0</v>
      </c>
      <c r="QB28" s="8">
        <v>0.0</v>
      </c>
      <c r="QC28" s="8">
        <v>0.0</v>
      </c>
      <c r="QD28" s="9"/>
      <c r="QE28" s="32"/>
      <c r="QF28" s="31"/>
      <c r="QG28" s="31"/>
      <c r="QH28" s="31"/>
      <c r="QI28" s="31"/>
      <c r="QJ28" s="31"/>
      <c r="QK28" s="32"/>
      <c r="QL28" s="32"/>
      <c r="QM28" s="32"/>
      <c r="QN28" s="32"/>
      <c r="QO28" s="32"/>
      <c r="QP28" s="32"/>
      <c r="QQ28" s="32"/>
      <c r="QR28" s="32"/>
      <c r="QS28" s="32"/>
      <c r="QT28" s="32"/>
      <c r="QU28" s="32"/>
      <c r="QV28" s="32"/>
      <c r="QW28" s="31"/>
      <c r="QX28" s="31"/>
      <c r="QY28" s="31"/>
      <c r="QZ28" s="31"/>
      <c r="RA28" s="31"/>
      <c r="RB28" s="32"/>
      <c r="RC28" s="32"/>
      <c r="RD28" s="32"/>
      <c r="RE28" s="32"/>
      <c r="RF28" s="32"/>
      <c r="RG28" s="9"/>
      <c r="RH28" s="31"/>
      <c r="RI28" s="31"/>
      <c r="RJ28" s="31"/>
      <c r="RK28" s="31"/>
      <c r="RL28" s="31"/>
      <c r="RM28" s="9"/>
      <c r="RN28" s="9"/>
      <c r="RO28" s="9"/>
      <c r="RP28" s="9"/>
      <c r="RQ28" s="9"/>
      <c r="RR28" s="9"/>
      <c r="RS28" s="31"/>
      <c r="RT28" s="31"/>
      <c r="RU28" s="31"/>
      <c r="RV28" s="31"/>
      <c r="RW28" s="31"/>
      <c r="RX28" s="9"/>
      <c r="RY28" s="9"/>
      <c r="RZ28" s="9"/>
      <c r="SA28" s="9"/>
      <c r="SB28" s="9"/>
      <c r="SC28" s="9" t="s">
        <v>900</v>
      </c>
      <c r="SD28" s="35">
        <v>0.0</v>
      </c>
      <c r="SE28" s="35">
        <v>0.0</v>
      </c>
      <c r="SF28" s="35">
        <v>0.0</v>
      </c>
      <c r="SG28" s="35">
        <v>0.0</v>
      </c>
      <c r="SH28" s="35">
        <v>0.0</v>
      </c>
      <c r="SI28" s="8">
        <v>1.0</v>
      </c>
      <c r="SJ28" s="8">
        <v>0.0</v>
      </c>
      <c r="SK28" s="8">
        <v>0.0</v>
      </c>
      <c r="SL28" s="8">
        <v>0.0</v>
      </c>
      <c r="SM28" s="9"/>
      <c r="SN28" s="9"/>
      <c r="SO28" s="31"/>
      <c r="SP28" s="31"/>
      <c r="SQ28" s="31"/>
      <c r="SR28" s="31"/>
      <c r="SS28" s="31"/>
      <c r="ST28" s="9"/>
      <c r="SU28" s="9"/>
      <c r="SV28" s="9"/>
      <c r="SW28" s="9"/>
      <c r="SX28" s="9"/>
      <c r="SY28" s="8">
        <f>VLOOKUP(AG28,'BUS 2'!$G$1:$CU$424,33,0)</f>
        <v>2</v>
      </c>
      <c r="SZ28" s="9" t="str">
        <f>VLOOKUP(AG28,'BUS 2'!$G$1:$CU$424,34,0)</f>
        <v/>
      </c>
      <c r="TA28" s="9" t="str">
        <f>VLOOKUP(AG28,'BUS 2'!$G$1:$CU$424,35,0)</f>
        <v/>
      </c>
      <c r="TB28" s="9" t="str">
        <f>VLOOKUP(AG28,'BUS 2'!$G$1:$CU$424,36,0)</f>
        <v/>
      </c>
      <c r="TC28" s="9" t="str">
        <f>VLOOKUP(AG28,'BUS 2'!$G$1:$CU$424,37,0)</f>
        <v/>
      </c>
      <c r="TD28" s="9" t="str">
        <f>VLOOKUP(AG28,'BUS 2'!$G$1:$CU$424,38,0)</f>
        <v/>
      </c>
      <c r="TE28" s="9" t="str">
        <f>VLOOKUP(AG28,'BUS 2'!$G$1:$CU$424,39,0)</f>
        <v/>
      </c>
      <c r="TF28" s="9" t="str">
        <f>VLOOKUP(AG28,'BUS 2'!$G$1:$CU$424,40,0)</f>
        <v/>
      </c>
      <c r="TG28" s="8">
        <f>VLOOKUP(AG28,'BUS 2'!$G$1:$CU$424,42,0)</f>
        <v>2</v>
      </c>
      <c r="TH28" s="8" t="str">
        <f>VLOOKUP(AG28,'BUS 2'!$G$1:$CU$424,43,0)</f>
        <v/>
      </c>
      <c r="TI28" s="8" t="str">
        <f>VLOOKUP(AG28,'BUS 2'!$G$1:$CU$424,44,0)</f>
        <v/>
      </c>
      <c r="TJ28" s="8" t="str">
        <f>VLOOKUP(AG28,'BUS 2'!$G$1:$CU$424,45,0)</f>
        <v/>
      </c>
      <c r="TK28" s="8" t="str">
        <f>VLOOKUP(AG28,'BUS 2'!$G$1:$CU$424,46,0)</f>
        <v/>
      </c>
      <c r="TL28" s="8" t="str">
        <f>VLOOKUP(AG28,'BUS 2'!$G$1:$CU$424,47,0)</f>
        <v/>
      </c>
      <c r="TM28" s="8" t="str">
        <f>VLOOKUP(AG28,'BUS 2'!$G$1:$CU$424,48,0)</f>
        <v/>
      </c>
      <c r="TN28" s="8" t="str">
        <f>VLOOKUP(AG28,'BUS 2'!$G$1:$CU$424,49,0)</f>
        <v/>
      </c>
      <c r="TO28" s="8">
        <f>VLOOKUP(AG28,'BUS 2'!$G$1:$CU$424,50,0)</f>
        <v>2</v>
      </c>
      <c r="TP28" s="8">
        <f>VLOOKUP(AG28,'BUS 2'!$G$1:$CU$424,51,0)</f>
        <v>0</v>
      </c>
      <c r="TQ28" s="8">
        <f>VLOOKUP(AG28,'BUS 2'!$G$1:$CU$424,52,0)</f>
        <v>0</v>
      </c>
      <c r="TR28" s="8">
        <f>VLOOKUP(AG28,'BUS 2'!$G$1:$CU$424,53,0)</f>
        <v>0</v>
      </c>
      <c r="TS28" s="9" t="str">
        <f>VLOOKUP(AG28,'BUS 2'!$G$1:$CU$424,54,0)</f>
        <v/>
      </c>
      <c r="TT28" s="9" t="str">
        <f>VLOOKUP(AG28,'BUS 2'!$G$1:$CU$424,55,0)</f>
        <v/>
      </c>
      <c r="TU28" s="9" t="str">
        <f>VLOOKUP(AG28,'BUS 2'!$G$1:$CU$424,56,0)</f>
        <v/>
      </c>
      <c r="TV28" s="9" t="str">
        <f>VLOOKUP(AG28,'BUS 2'!$G$1:$CU$424,57,0)</f>
        <v/>
      </c>
      <c r="TW28" s="9" t="str">
        <f>VLOOKUP(AG28,'BUS 2'!$G$1:$CU$424,58,0)</f>
        <v/>
      </c>
      <c r="TX28" s="9" t="str">
        <f>VLOOKUP(AG28,'BUS 2'!$G$1:$CU$424,59,0)</f>
        <v/>
      </c>
      <c r="TY28" s="9" t="str">
        <f>VLOOKUP(AG28,'BUS 2'!$G$1:$CU$424,60,0)</f>
        <v/>
      </c>
      <c r="TZ28" s="9" t="str">
        <f>VLOOKUP(AG28,'BUS 2'!$G$1:$CU$424,61,0)</f>
        <v/>
      </c>
      <c r="UA28" s="9" t="str">
        <f>VLOOKUP(AG28,'BUS 2'!$G$1:$CU$424,62,0)</f>
        <v/>
      </c>
      <c r="UB28" s="9" t="str">
        <f>VLOOKUP(AG28,'BUS 2'!$G$1:$CU$424,63,0)</f>
        <v/>
      </c>
      <c r="UC28" s="9" t="str">
        <f>VLOOKUP(AG28,'BUS 2'!$G$1:$CU$424,64,0)</f>
        <v/>
      </c>
      <c r="UD28" s="9" t="str">
        <f>VLOOKUP(AG28,'BUS 2'!$G$1:$CU$424,65,0)</f>
        <v/>
      </c>
      <c r="UE28" s="9" t="str">
        <f>VLOOKUP(AG28,'BUS 2'!$G$1:$CU$424,66,0)</f>
        <v/>
      </c>
      <c r="UF28" s="9" t="str">
        <f>VLOOKUP(AG28,'BUS 2'!$G$1:$CU$424,67,0)</f>
        <v/>
      </c>
      <c r="UG28" s="9" t="str">
        <f>VLOOKUP(AG28,'BUS 2'!$G$1:$CU$424,68,0)</f>
        <v/>
      </c>
      <c r="UH28" s="9" t="str">
        <f>VLOOKUP(AG28,'BUS 2'!$G$1:$CU$424,69,0)</f>
        <v/>
      </c>
      <c r="UI28" s="9" t="str">
        <f>VLOOKUP(AG28,'BUS 2'!$G$1:$CU$424,70,0)</f>
        <v/>
      </c>
      <c r="UJ28" s="9" t="str">
        <f>VLOOKUP(AG28,'BUS 2'!$G$1:$CU$424,71,0)</f>
        <v/>
      </c>
      <c r="UK28" s="9" t="str">
        <f>VLOOKUP(AG28,'BUS 2'!$G$1:$CU$424,72,0)</f>
        <v/>
      </c>
      <c r="UL28" s="9" t="str">
        <f>VLOOKUP(AG28,'BUS 2'!$G$1:$CU$424,73,0)</f>
        <v/>
      </c>
      <c r="UM28" s="9" t="str">
        <f>VLOOKUP(AG28,'BUS 2'!$G$1:$CU$424,74,0)</f>
        <v/>
      </c>
      <c r="UN28" s="9" t="str">
        <f>VLOOKUP(AG28,'BUS 2'!$G$1:$CU$424,75,0)</f>
        <v/>
      </c>
      <c r="UO28" s="9" t="str">
        <f>VLOOKUP(AG28,'BUS 2'!$G$1:$CU$424,76,0)</f>
        <v/>
      </c>
      <c r="UP28" s="9" t="str">
        <f>VLOOKUP(AG28,'BUS 2'!$G$1:$CU$424,77,0)</f>
        <v/>
      </c>
      <c r="UQ28" s="9" t="str">
        <f>VLOOKUP(AG28,'BUS 2'!$G$1:$CU$424,78,0)</f>
        <v/>
      </c>
      <c r="UR28" s="9" t="str">
        <f>VLOOKUP(AG28,'BUS 2'!$G$1:$CU$424,79,0)</f>
        <v/>
      </c>
      <c r="US28" s="9" t="str">
        <f>VLOOKUP(AG28,'BUS 2'!$G$1:$CU$424,80,0)</f>
        <v/>
      </c>
      <c r="UT28" s="9" t="str">
        <f>VLOOKUP(AG28,'BUS 2'!$G$1:$CU$424,81,0)</f>
        <v/>
      </c>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t="s">
        <v>881</v>
      </c>
      <c r="AAM28" s="9"/>
      <c r="AAN28" s="9"/>
      <c r="AAO28" s="9"/>
      <c r="AAP28" s="9"/>
      <c r="AAQ28" s="9"/>
      <c r="AAR28" s="9" t="s">
        <v>881</v>
      </c>
      <c r="AAS28" s="9" t="s">
        <v>1389</v>
      </c>
      <c r="AAT28" s="9" t="s">
        <v>2176</v>
      </c>
      <c r="AAU28" s="8">
        <v>0.0</v>
      </c>
      <c r="AAV28" s="8">
        <v>0.0</v>
      </c>
      <c r="AAW28" s="8">
        <v>0.0</v>
      </c>
      <c r="AAX28" s="8">
        <v>0.0</v>
      </c>
      <c r="AAY28" s="8">
        <v>0.0</v>
      </c>
      <c r="AAZ28" s="8">
        <v>1.0</v>
      </c>
      <c r="ABA28" s="8">
        <v>0.0</v>
      </c>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t="s">
        <v>955</v>
      </c>
      <c r="ACL28" s="8">
        <v>0.0</v>
      </c>
      <c r="ACM28" s="8">
        <v>0.0</v>
      </c>
      <c r="ACN28" s="8">
        <v>0.0</v>
      </c>
      <c r="ACO28" s="8">
        <v>1.0</v>
      </c>
      <c r="ACP28" s="8">
        <v>0.0</v>
      </c>
      <c r="ACQ28" s="8">
        <v>0.0</v>
      </c>
      <c r="ACR28" s="8">
        <v>0.0</v>
      </c>
      <c r="ACS28" s="9"/>
      <c r="ACT28" s="9" t="s">
        <v>1945</v>
      </c>
      <c r="ACU28" s="9" t="s">
        <v>913</v>
      </c>
      <c r="ACV28" s="9" t="s">
        <v>914</v>
      </c>
      <c r="ACW28" s="9" t="s">
        <v>915</v>
      </c>
      <c r="ACX28" s="9" t="s">
        <v>916</v>
      </c>
      <c r="ACY28" s="9" t="s">
        <v>1017</v>
      </c>
      <c r="ACZ28" s="8">
        <v>1.0</v>
      </c>
      <c r="ADA28" s="8">
        <v>1.0</v>
      </c>
      <c r="ADB28" s="8">
        <v>1.0</v>
      </c>
      <c r="ADC28" s="8">
        <v>0.0</v>
      </c>
      <c r="ADD28" s="9" t="s">
        <v>917</v>
      </c>
      <c r="ADE28" s="9" t="s">
        <v>917</v>
      </c>
      <c r="ADF28" s="9" t="s">
        <v>917</v>
      </c>
      <c r="ADG28" s="9" t="s">
        <v>918</v>
      </c>
      <c r="ADH28" s="9" t="s">
        <v>881</v>
      </c>
      <c r="ADI28" s="9"/>
      <c r="ADJ28" s="9" t="s">
        <v>918</v>
      </c>
      <c r="ADK28" s="9"/>
      <c r="ADL28" s="9"/>
      <c r="ADM28" s="9"/>
      <c r="ADN28" s="9"/>
      <c r="ADO28" s="9"/>
      <c r="ADP28" s="9"/>
      <c r="ADQ28" s="9"/>
      <c r="ADR28" s="9"/>
      <c r="ADS28" s="9"/>
      <c r="ADT28" s="9"/>
      <c r="ADU28" s="9" t="s">
        <v>2235</v>
      </c>
      <c r="ADV28" s="8">
        <v>0.0</v>
      </c>
      <c r="ADW28" s="8">
        <v>0.0</v>
      </c>
      <c r="ADX28" s="8">
        <v>0.0</v>
      </c>
      <c r="ADY28" s="8">
        <v>0.0</v>
      </c>
      <c r="ADZ28" s="8">
        <v>0.0</v>
      </c>
      <c r="AEA28" s="8">
        <v>0.0</v>
      </c>
      <c r="AEB28" s="8">
        <v>1.0</v>
      </c>
      <c r="AEC28" s="8">
        <v>0.0</v>
      </c>
      <c r="AED28" s="9" t="s">
        <v>1945</v>
      </c>
      <c r="AEE28" s="9" t="s">
        <v>872</v>
      </c>
      <c r="AEF28" s="9"/>
      <c r="AEG28" s="9" t="s">
        <v>920</v>
      </c>
      <c r="AEH28" s="9"/>
      <c r="AEI28" s="9" t="s">
        <v>2481</v>
      </c>
      <c r="AEJ28" s="9" t="s">
        <v>961</v>
      </c>
      <c r="AEK28" s="9" t="s">
        <v>2380</v>
      </c>
      <c r="AEL28" s="8">
        <v>0.0</v>
      </c>
      <c r="AEM28" s="8">
        <v>0.0</v>
      </c>
      <c r="AEN28" s="8">
        <v>0.0</v>
      </c>
      <c r="AEO28" s="8">
        <v>0.0</v>
      </c>
      <c r="AEP28" s="8">
        <v>1.0</v>
      </c>
      <c r="AEQ28" s="8">
        <v>0.0</v>
      </c>
      <c r="AER28" s="8">
        <v>0.0</v>
      </c>
      <c r="AES28" s="8">
        <v>0.0</v>
      </c>
      <c r="AET28" s="8">
        <v>0.0</v>
      </c>
      <c r="AEU28" s="8">
        <v>0.0</v>
      </c>
      <c r="AEV28" s="8">
        <v>1.0</v>
      </c>
      <c r="AEW28" s="8">
        <v>0.0</v>
      </c>
      <c r="AEX28" s="9"/>
      <c r="AEY28" s="9" t="s">
        <v>1305</v>
      </c>
      <c r="AEZ28" s="9"/>
      <c r="AFA28" s="9" t="s">
        <v>2077</v>
      </c>
      <c r="AFB28" s="9"/>
      <c r="AFC28" s="9" t="s">
        <v>2482</v>
      </c>
      <c r="AFD28" s="16" t="s">
        <v>2483</v>
      </c>
      <c r="AFE28" s="9" t="s">
        <v>2484</v>
      </c>
      <c r="AFF28" s="16" t="s">
        <v>2485</v>
      </c>
      <c r="AFG28" s="9" t="s">
        <v>1919</v>
      </c>
      <c r="AFH28" s="9"/>
      <c r="AFI28" s="21" t="s">
        <v>2486</v>
      </c>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8">
        <v>6.72486535E8</v>
      </c>
      <c r="AWB28" s="9" t="s">
        <v>2487</v>
      </c>
      <c r="AWC28" s="6">
        <v>46068.0</v>
      </c>
      <c r="AWD28" s="9"/>
      <c r="AWE28" s="9"/>
      <c r="AWF28" s="9" t="s">
        <v>1954</v>
      </c>
      <c r="AWG28" s="9"/>
      <c r="AWH28" s="9" t="s">
        <v>1989</v>
      </c>
      <c r="AWI28" s="9"/>
      <c r="AWJ28" s="9" t="s">
        <v>2488</v>
      </c>
      <c r="AWK28" s="8">
        <v>249.0</v>
      </c>
      <c r="AWL28" s="9" t="s">
        <v>2480</v>
      </c>
      <c r="AWM28" s="8">
        <v>0.0</v>
      </c>
      <c r="AWN28" s="9" t="s">
        <v>1957</v>
      </c>
      <c r="AWO28" s="33" t="b">
        <v>1</v>
      </c>
      <c r="AWP28" s="33" t="b">
        <v>1</v>
      </c>
      <c r="AWQ28" s="33" t="b">
        <v>1</v>
      </c>
      <c r="AWR28" s="33" t="b">
        <v>1</v>
      </c>
      <c r="AWS28" s="33" t="b">
        <v>1</v>
      </c>
      <c r="AWT28" s="33" t="b">
        <v>1</v>
      </c>
      <c r="AWU28" s="9"/>
      <c r="AWV28" s="8">
        <v>6.0</v>
      </c>
      <c r="AWW28" s="9"/>
      <c r="AWX28" s="9"/>
      <c r="AWY28" s="9"/>
      <c r="AWZ28" s="9"/>
    </row>
    <row r="29">
      <c r="A29" s="6">
        <v>46063.0</v>
      </c>
      <c r="B29" s="6">
        <v>46068.0</v>
      </c>
      <c r="C29" s="30" t="s">
        <v>1991</v>
      </c>
      <c r="D29" s="30" t="s">
        <v>2489</v>
      </c>
      <c r="E29" s="8">
        <f>+6282196056716</f>
        <v>6282196056716</v>
      </c>
      <c r="F29" s="9" t="s">
        <v>2490</v>
      </c>
      <c r="G29" s="8">
        <v>-5.22525</v>
      </c>
      <c r="H29" s="8">
        <v>119.658563</v>
      </c>
      <c r="I29" s="8">
        <v>91.2</v>
      </c>
      <c r="J29" s="8">
        <v>6.900000095</v>
      </c>
      <c r="K29" s="8">
        <v>0.0</v>
      </c>
      <c r="L29" s="9" t="s">
        <v>2491</v>
      </c>
      <c r="M29" s="8">
        <v>-5.225403</v>
      </c>
      <c r="N29" s="8">
        <v>119.658297</v>
      </c>
      <c r="O29" s="8">
        <v>88.4</v>
      </c>
      <c r="P29" s="8">
        <v>5.800000191</v>
      </c>
      <c r="Q29" s="8">
        <v>0.0</v>
      </c>
      <c r="R29" s="9" t="s">
        <v>1923</v>
      </c>
      <c r="S29" s="8">
        <v>0.0</v>
      </c>
      <c r="T29" s="8">
        <v>0.0</v>
      </c>
      <c r="U29" s="8">
        <v>0.0</v>
      </c>
      <c r="V29" s="8">
        <v>0.0</v>
      </c>
      <c r="W29" s="8">
        <v>0.0</v>
      </c>
      <c r="X29" s="8">
        <v>0.0</v>
      </c>
      <c r="Y29" s="8">
        <v>0.0</v>
      </c>
      <c r="Z29" s="8">
        <v>0.0</v>
      </c>
      <c r="AA29" s="8">
        <v>0.0</v>
      </c>
      <c r="AB29" s="8">
        <v>1.0</v>
      </c>
      <c r="AC29" s="7" t="s">
        <v>2492</v>
      </c>
      <c r="AD29" s="7" t="s">
        <v>2493</v>
      </c>
      <c r="AE29" s="7" t="s">
        <v>2494</v>
      </c>
      <c r="AF29" s="9" t="s">
        <v>2170</v>
      </c>
      <c r="AG29" s="9" t="s">
        <v>2495</v>
      </c>
      <c r="AH29" s="8">
        <v>4.0</v>
      </c>
      <c r="AI29" s="9" t="s">
        <v>845</v>
      </c>
      <c r="AJ29" s="9" t="s">
        <v>846</v>
      </c>
      <c r="AK29" s="8">
        <v>51.0</v>
      </c>
      <c r="AL29" s="9" t="s">
        <v>1444</v>
      </c>
      <c r="AM29" s="9" t="s">
        <v>848</v>
      </c>
      <c r="AN29" s="9" t="s">
        <v>1009</v>
      </c>
      <c r="AO29" s="9" t="s">
        <v>2496</v>
      </c>
      <c r="AP29" s="8">
        <v>1.0</v>
      </c>
      <c r="AQ29" s="8">
        <v>0.0</v>
      </c>
      <c r="AR29" s="8">
        <v>0.0</v>
      </c>
      <c r="AS29" s="8">
        <v>0.0</v>
      </c>
      <c r="AT29" s="8">
        <v>0.0</v>
      </c>
      <c r="AU29" s="8">
        <v>0.0</v>
      </c>
      <c r="AV29" s="8">
        <v>1.0</v>
      </c>
      <c r="AW29" s="8">
        <v>0.0</v>
      </c>
      <c r="AX29" s="9" t="s">
        <v>2497</v>
      </c>
      <c r="AY29" s="9" t="s">
        <v>969</v>
      </c>
      <c r="AZ29" s="8">
        <v>0.0</v>
      </c>
      <c r="BA29" s="8">
        <v>0.0</v>
      </c>
      <c r="BB29" s="8">
        <v>0.0</v>
      </c>
      <c r="BC29" s="8">
        <v>0.0</v>
      </c>
      <c r="BD29" s="8">
        <v>0.0</v>
      </c>
      <c r="BE29" s="8">
        <v>0.0</v>
      </c>
      <c r="BF29" s="8">
        <v>1.0</v>
      </c>
      <c r="BG29" s="8">
        <v>0.0</v>
      </c>
      <c r="BH29" s="21" t="s">
        <v>2498</v>
      </c>
      <c r="BI29" s="9" t="s">
        <v>936</v>
      </c>
      <c r="BJ29" s="8">
        <v>1.0</v>
      </c>
      <c r="BK29" s="8">
        <v>1.0</v>
      </c>
      <c r="BL29" s="8">
        <v>0.0</v>
      </c>
      <c r="BM29" s="8">
        <v>0.0</v>
      </c>
      <c r="BN29" s="9" t="s">
        <v>853</v>
      </c>
      <c r="BO29" s="9" t="s">
        <v>2000</v>
      </c>
      <c r="BP29" s="8">
        <v>0.0</v>
      </c>
      <c r="BQ29" s="8">
        <v>1.0</v>
      </c>
      <c r="BR29" s="8">
        <v>0.0</v>
      </c>
      <c r="BS29" s="8">
        <v>0.0</v>
      </c>
      <c r="BT29" s="8">
        <v>0.0</v>
      </c>
      <c r="BU29" s="9"/>
      <c r="BV29" s="9" t="s">
        <v>2065</v>
      </c>
      <c r="BW29" s="8">
        <v>1.0</v>
      </c>
      <c r="BX29" s="8">
        <v>0.0</v>
      </c>
      <c r="BY29" s="8">
        <v>0.0</v>
      </c>
      <c r="BZ29" s="8">
        <v>0.0</v>
      </c>
      <c r="CA29" s="8">
        <v>0.0</v>
      </c>
      <c r="CB29" s="9"/>
      <c r="CC29" s="9" t="s">
        <v>1929</v>
      </c>
      <c r="CD29" s="8">
        <v>0.0</v>
      </c>
      <c r="CE29" s="8">
        <v>0.0</v>
      </c>
      <c r="CF29" s="8">
        <v>0.0</v>
      </c>
      <c r="CG29" s="8">
        <v>0.0</v>
      </c>
      <c r="CH29" s="8">
        <v>1.0</v>
      </c>
      <c r="CI29" s="8">
        <v>0.0</v>
      </c>
      <c r="CJ29" s="8">
        <v>0.0</v>
      </c>
      <c r="CK29" s="9"/>
      <c r="CL29" s="9" t="s">
        <v>857</v>
      </c>
      <c r="CM29" s="8">
        <v>2022.0</v>
      </c>
      <c r="CN29" s="9" t="s">
        <v>858</v>
      </c>
      <c r="CO29" s="9" t="s">
        <v>859</v>
      </c>
      <c r="CP29" s="9" t="s">
        <v>969</v>
      </c>
      <c r="CQ29" s="8">
        <v>0.0</v>
      </c>
      <c r="CR29" s="8">
        <v>0.0</v>
      </c>
      <c r="CS29" s="8">
        <v>0.0</v>
      </c>
      <c r="CT29" s="8">
        <v>0.0</v>
      </c>
      <c r="CU29" s="8">
        <v>0.0</v>
      </c>
      <c r="CV29" s="8">
        <v>0.0</v>
      </c>
      <c r="CW29" s="8">
        <v>0.0</v>
      </c>
      <c r="CX29" s="8">
        <v>1.0</v>
      </c>
      <c r="CY29" s="9" t="s">
        <v>969</v>
      </c>
      <c r="CZ29" s="8">
        <v>0.0</v>
      </c>
      <c r="DA29" s="8">
        <v>0.0</v>
      </c>
      <c r="DB29" s="8">
        <v>1.0</v>
      </c>
      <c r="DC29" s="9" t="s">
        <v>2499</v>
      </c>
      <c r="DD29" s="9" t="s">
        <v>2066</v>
      </c>
      <c r="DE29" s="8">
        <v>0.0</v>
      </c>
      <c r="DF29" s="8">
        <v>0.0</v>
      </c>
      <c r="DG29" s="8">
        <v>1.0</v>
      </c>
      <c r="DH29" s="8">
        <v>1.0</v>
      </c>
      <c r="DI29" s="9" t="s">
        <v>2500</v>
      </c>
      <c r="DJ29" s="9" t="s">
        <v>2066</v>
      </c>
      <c r="DK29" s="8">
        <v>0.0</v>
      </c>
      <c r="DL29" s="8">
        <v>0.0</v>
      </c>
      <c r="DM29" s="8">
        <v>1.0</v>
      </c>
      <c r="DN29" s="8">
        <v>1.0</v>
      </c>
      <c r="DO29" s="9" t="s">
        <v>2500</v>
      </c>
      <c r="DP29" s="9" t="s">
        <v>857</v>
      </c>
      <c r="DQ29" s="9"/>
      <c r="DR29" s="9"/>
      <c r="DS29" s="9"/>
      <c r="DT29" s="9"/>
      <c r="DU29" s="9"/>
      <c r="DV29" s="9"/>
      <c r="DW29" s="9"/>
      <c r="DX29" s="9"/>
      <c r="DY29" s="9"/>
      <c r="DZ29" s="9"/>
      <c r="EA29" s="9"/>
      <c r="EB29" s="9"/>
      <c r="EC29" s="9"/>
      <c r="ED29" s="9"/>
      <c r="EE29" s="9"/>
      <c r="EF29" s="9"/>
      <c r="EG29" s="9"/>
      <c r="EH29" s="9"/>
      <c r="EI29" s="9" t="s">
        <v>862</v>
      </c>
      <c r="EJ29" s="8">
        <v>0.0</v>
      </c>
      <c r="EK29" s="8">
        <v>0.0</v>
      </c>
      <c r="EL29" s="8">
        <v>0.0</v>
      </c>
      <c r="EM29" s="8">
        <v>1.0</v>
      </c>
      <c r="EN29" s="8">
        <v>0.0</v>
      </c>
      <c r="EO29" s="9"/>
      <c r="EP29" s="9" t="s">
        <v>863</v>
      </c>
      <c r="EQ29" s="9" t="s">
        <v>1380</v>
      </c>
      <c r="ER29" s="9" t="s">
        <v>861</v>
      </c>
      <c r="ES29" s="8">
        <v>1.0</v>
      </c>
      <c r="ET29" s="8">
        <v>0.0</v>
      </c>
      <c r="EU29" s="8">
        <v>0.0</v>
      </c>
      <c r="EV29" s="8">
        <v>0.0</v>
      </c>
      <c r="EW29" s="9"/>
      <c r="EX29" s="9" t="s">
        <v>2140</v>
      </c>
      <c r="EY29" s="8">
        <v>1.0</v>
      </c>
      <c r="EZ29" s="8">
        <v>1.0</v>
      </c>
      <c r="FA29" s="8">
        <v>1.0</v>
      </c>
      <c r="FB29" s="9" t="s">
        <v>2500</v>
      </c>
      <c r="FC29" s="9" t="s">
        <v>866</v>
      </c>
      <c r="FD29" s="9"/>
      <c r="FE29" s="9" t="s">
        <v>867</v>
      </c>
      <c r="FF29" s="9" t="s">
        <v>868</v>
      </c>
      <c r="FG29" s="9" t="s">
        <v>867</v>
      </c>
      <c r="FH29" s="9" t="s">
        <v>869</v>
      </c>
      <c r="FI29" s="9" t="s">
        <v>867</v>
      </c>
      <c r="FJ29" s="9" t="s">
        <v>868</v>
      </c>
      <c r="FK29" s="9" t="s">
        <v>867</v>
      </c>
      <c r="FL29" s="9" t="s">
        <v>868</v>
      </c>
      <c r="FM29" s="9" t="s">
        <v>867</v>
      </c>
      <c r="FN29" s="9" t="s">
        <v>870</v>
      </c>
      <c r="FO29" s="9" t="s">
        <v>867</v>
      </c>
      <c r="FP29" s="9" t="s">
        <v>869</v>
      </c>
      <c r="FQ29" s="9" t="s">
        <v>1971</v>
      </c>
      <c r="FR29" s="9" t="s">
        <v>857</v>
      </c>
      <c r="FS29" s="9" t="s">
        <v>1971</v>
      </c>
      <c r="FT29" s="9" t="s">
        <v>1130</v>
      </c>
      <c r="FU29" s="9" t="s">
        <v>2501</v>
      </c>
      <c r="FV29" s="8">
        <v>0.0</v>
      </c>
      <c r="FW29" s="8">
        <v>0.0</v>
      </c>
      <c r="FX29" s="8">
        <v>0.0</v>
      </c>
      <c r="FY29" s="8">
        <v>1.0</v>
      </c>
      <c r="FZ29" s="9" t="s">
        <v>2174</v>
      </c>
      <c r="GA29" s="31"/>
      <c r="GB29" s="12"/>
      <c r="GC29" s="12"/>
      <c r="GD29" s="12"/>
      <c r="GE29" s="12"/>
      <c r="GF29" s="9" t="s">
        <v>2502</v>
      </c>
      <c r="GG29" s="9" t="s">
        <v>883</v>
      </c>
      <c r="GH29" s="9" t="s">
        <v>857</v>
      </c>
      <c r="GI29" s="9" t="s">
        <v>876</v>
      </c>
      <c r="GJ29" s="8">
        <v>1.0</v>
      </c>
      <c r="GK29" s="8">
        <v>0.0</v>
      </c>
      <c r="GL29" s="8">
        <v>0.0</v>
      </c>
      <c r="GM29" s="8">
        <v>0.0</v>
      </c>
      <c r="GN29" s="9"/>
      <c r="GO29" s="8">
        <v>9.0</v>
      </c>
      <c r="GP29" s="9" t="s">
        <v>1931</v>
      </c>
      <c r="GQ29" s="9" t="s">
        <v>1102</v>
      </c>
      <c r="GR29" s="8">
        <v>1.0</v>
      </c>
      <c r="GS29" s="8">
        <v>0.0</v>
      </c>
      <c r="GT29" s="8">
        <v>0.0</v>
      </c>
      <c r="GU29" s="8">
        <v>0.0</v>
      </c>
      <c r="GV29" s="8">
        <v>0.0</v>
      </c>
      <c r="GW29" s="8">
        <v>0.0</v>
      </c>
      <c r="GX29" s="8">
        <v>0.0</v>
      </c>
      <c r="GY29" s="9"/>
      <c r="GZ29" s="9" t="s">
        <v>857</v>
      </c>
      <c r="HA29" s="9"/>
      <c r="HB29" s="9"/>
      <c r="HC29" s="9"/>
      <c r="HD29" s="9"/>
      <c r="HE29" s="8">
        <v>1.5</v>
      </c>
      <c r="HF29" s="8">
        <v>11500.0</v>
      </c>
      <c r="HG29" s="8">
        <v>1.0</v>
      </c>
      <c r="HH29" s="8">
        <v>8700.0</v>
      </c>
      <c r="HI29" s="9"/>
      <c r="HJ29" s="9"/>
      <c r="HK29" s="9"/>
      <c r="HL29" s="9"/>
      <c r="HM29" s="9"/>
      <c r="HN29" s="9"/>
      <c r="HO29" s="9"/>
      <c r="HP29" s="9"/>
      <c r="HQ29" s="9"/>
      <c r="HR29" s="9"/>
      <c r="HS29" s="9"/>
      <c r="HT29" s="9"/>
      <c r="HU29" s="9"/>
      <c r="HV29" s="9"/>
      <c r="HW29" s="9"/>
      <c r="HX29" s="9"/>
      <c r="HY29" s="9"/>
      <c r="HZ29" s="9"/>
      <c r="IA29" s="8">
        <v>0.5</v>
      </c>
      <c r="IB29" s="8">
        <v>4300.0</v>
      </c>
      <c r="IC29" s="9"/>
      <c r="ID29" s="9"/>
      <c r="IE29" s="9"/>
      <c r="IF29" s="9"/>
      <c r="IG29" s="9"/>
      <c r="IH29" s="9"/>
      <c r="II29" s="9"/>
      <c r="IJ29" s="9"/>
      <c r="IK29" s="9" t="s">
        <v>879</v>
      </c>
      <c r="IL29" s="9" t="s">
        <v>1366</v>
      </c>
      <c r="IM29" s="9" t="s">
        <v>857</v>
      </c>
      <c r="IN29" s="9" t="s">
        <v>857</v>
      </c>
      <c r="IO29" s="9" t="s">
        <v>945</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945</v>
      </c>
      <c r="KT29" s="9" t="s">
        <v>886</v>
      </c>
      <c r="KU29" s="9" t="s">
        <v>886</v>
      </c>
      <c r="KV29" s="9" t="s">
        <v>999</v>
      </c>
      <c r="KW29" s="8">
        <v>0.0</v>
      </c>
      <c r="KX29" s="8">
        <v>0.0</v>
      </c>
      <c r="KY29" s="8">
        <v>0.0</v>
      </c>
      <c r="KZ29" s="8">
        <v>1.0</v>
      </c>
      <c r="LA29" s="9" t="s">
        <v>884</v>
      </c>
      <c r="LB29" s="9" t="s">
        <v>884</v>
      </c>
      <c r="LC29" s="8">
        <v>4.0</v>
      </c>
      <c r="LD29" s="8">
        <v>1.0</v>
      </c>
      <c r="LE29" s="8">
        <v>8.0</v>
      </c>
      <c r="LF29" s="8">
        <v>0.0</v>
      </c>
      <c r="LG29" s="9" t="s">
        <v>881</v>
      </c>
      <c r="LH29" s="9"/>
      <c r="LI29" s="8">
        <v>0.0</v>
      </c>
      <c r="LJ29" s="9" t="s">
        <v>969</v>
      </c>
      <c r="LK29" s="8">
        <v>0.0</v>
      </c>
      <c r="LL29" s="8">
        <v>0.0</v>
      </c>
      <c r="LM29" s="8">
        <v>0.0</v>
      </c>
      <c r="LN29" s="8">
        <v>0.0</v>
      </c>
      <c r="LO29" s="8">
        <v>0.0</v>
      </c>
      <c r="LP29" s="8">
        <v>0.0</v>
      </c>
      <c r="LQ29" s="8">
        <v>1.0</v>
      </c>
      <c r="LR29" s="11" t="s">
        <v>1973</v>
      </c>
      <c r="LS29" s="8">
        <v>30.0</v>
      </c>
      <c r="LT29" s="8">
        <v>0.0</v>
      </c>
      <c r="LU29" s="8">
        <v>0.0</v>
      </c>
      <c r="LV29" s="8">
        <v>10.0</v>
      </c>
      <c r="LW29" s="8">
        <v>0.0</v>
      </c>
      <c r="LX29" s="8">
        <v>0.0</v>
      </c>
      <c r="LY29" s="8">
        <v>20.0</v>
      </c>
      <c r="LZ29" s="8">
        <v>0.0</v>
      </c>
      <c r="MA29" s="8">
        <v>0.0</v>
      </c>
      <c r="MB29" s="9" t="s">
        <v>857</v>
      </c>
      <c r="MC29" s="8">
        <v>0.0</v>
      </c>
      <c r="MD29" s="8">
        <v>0.0</v>
      </c>
      <c r="ME29" s="8">
        <v>0.0</v>
      </c>
      <c r="MF29" s="8">
        <v>0.0</v>
      </c>
      <c r="MG29" s="8">
        <v>0.0</v>
      </c>
      <c r="MH29" s="8">
        <v>0.0</v>
      </c>
      <c r="MI29" s="21" t="s">
        <v>1934</v>
      </c>
      <c r="MJ29" s="39">
        <v>0.0</v>
      </c>
      <c r="MK29" s="39">
        <v>0.0</v>
      </c>
      <c r="ML29" s="39">
        <v>0.0</v>
      </c>
      <c r="MM29" s="39">
        <v>0.0</v>
      </c>
      <c r="MN29" s="39">
        <v>1.0</v>
      </c>
      <c r="MO29" s="39">
        <v>0.0</v>
      </c>
      <c r="MP29" s="9"/>
      <c r="MQ29" s="21" t="s">
        <v>2119</v>
      </c>
      <c r="MR29" s="36" t="s">
        <v>2503</v>
      </c>
      <c r="MS29" s="9"/>
      <c r="MT29" s="9" t="s">
        <v>2504</v>
      </c>
      <c r="MU29" s="9" t="s">
        <v>890</v>
      </c>
      <c r="MV29" s="9" t="s">
        <v>949</v>
      </c>
      <c r="MW29" s="8">
        <v>1.0</v>
      </c>
      <c r="MX29" s="8">
        <v>0.0</v>
      </c>
      <c r="MY29" s="8">
        <v>0.0</v>
      </c>
      <c r="MZ29" s="8">
        <v>0.0</v>
      </c>
      <c r="NA29" s="9"/>
      <c r="NB29" s="8">
        <v>1.0</v>
      </c>
      <c r="NC29" s="9"/>
      <c r="ND29" s="9"/>
      <c r="NE29" s="9"/>
      <c r="NF29" s="9"/>
      <c r="NG29" s="9"/>
      <c r="NH29" s="9"/>
      <c r="NI29" s="9"/>
      <c r="NJ29" s="9"/>
      <c r="NK29" s="9"/>
      <c r="NL29" s="9" t="s">
        <v>881</v>
      </c>
      <c r="NM29" s="9" t="s">
        <v>893</v>
      </c>
      <c r="NN29" s="17" t="s">
        <v>1387</v>
      </c>
      <c r="NO29" s="17" t="s">
        <v>969</v>
      </c>
      <c r="NP29" s="9" t="s">
        <v>1971</v>
      </c>
      <c r="NQ29" s="9"/>
      <c r="NR29" s="9"/>
      <c r="NS29" s="9"/>
      <c r="NT29" s="9"/>
      <c r="NU29" s="9"/>
      <c r="NV29" s="17" t="s">
        <v>969</v>
      </c>
      <c r="NW29" s="21" t="s">
        <v>1971</v>
      </c>
      <c r="NX29" s="9" t="s">
        <v>897</v>
      </c>
      <c r="NY29" s="8">
        <v>60.0</v>
      </c>
      <c r="NZ29" s="8">
        <v>0.0</v>
      </c>
      <c r="OA29" s="8">
        <v>0.0</v>
      </c>
      <c r="OB29" s="8">
        <v>0.0</v>
      </c>
      <c r="OC29" s="8">
        <v>20.0</v>
      </c>
      <c r="OD29" s="8">
        <v>0.0</v>
      </c>
      <c r="OE29" s="9" t="s">
        <v>945</v>
      </c>
      <c r="OF29" s="9" t="s">
        <v>2175</v>
      </c>
      <c r="OG29" s="9" t="s">
        <v>857</v>
      </c>
      <c r="OH29" s="8">
        <v>2.0</v>
      </c>
      <c r="OI29" s="8">
        <v>0.0</v>
      </c>
      <c r="OJ29" s="8">
        <v>0.0</v>
      </c>
      <c r="OK29" s="8">
        <v>0.0</v>
      </c>
      <c r="OL29" s="8">
        <v>0.0</v>
      </c>
      <c r="OM29" s="8">
        <v>0.0</v>
      </c>
      <c r="ON29" s="8">
        <v>30.0</v>
      </c>
      <c r="OO29" s="8">
        <v>11.0</v>
      </c>
      <c r="OP29" s="9" t="str">
        <f>VLOOKUP(AG29,'BUS 2'!$G$1:$CU$424,2,0)</f>
        <v>Sapi pedaging Ayam Unggas lainnya</v>
      </c>
      <c r="OQ29" s="8">
        <f>VLOOKUP(AG29,'BUS 2'!$G$1:$CU$424,3,0)</f>
        <v>1</v>
      </c>
      <c r="OR29" s="8">
        <f>VLOOKUP(AG29,'BUS 2'!$G$1:$CU$424,4,0)</f>
        <v>0</v>
      </c>
      <c r="OS29" s="8">
        <f>VLOOKUP(AG29,'BUS 2'!$G$1:$CU$424,5,0)</f>
        <v>0</v>
      </c>
      <c r="OT29" s="8">
        <f>VLOOKUP(AG29,'BUS 2'!$G$1:$CU$424,6,0)</f>
        <v>0</v>
      </c>
      <c r="OU29" s="8">
        <f>VLOOKUP(AG29,'BUS 2'!$G$1:$CU$424,7,0)</f>
        <v>0</v>
      </c>
      <c r="OV29" s="8">
        <f>VLOOKUP(AG29,'BUS 2'!$G$1:$CU$424,8,0)</f>
        <v>0</v>
      </c>
      <c r="OW29" s="8">
        <f>VLOOKUP(AG29,'BUS 2'!$G$1:$CU$424,9,0)</f>
        <v>1</v>
      </c>
      <c r="OX29" s="8">
        <f>VLOOKUP(AG29,'BUS 2'!$G$1:$CU$424,10,0)</f>
        <v>1</v>
      </c>
      <c r="OY29" s="8">
        <f>VLOOKUP(AG29,'BUS 2'!$G$1:$CU$424,11,0)</f>
        <v>0</v>
      </c>
      <c r="OZ29" s="8" t="str">
        <f>VLOOKUP(AG29,'BUS 2'!$G$1:$CU$424,12,0)</f>
        <v>Sapi pedaging Ayam Unggas lainnya</v>
      </c>
      <c r="PA29" s="8">
        <f>VLOOKUP(AG29,'BUS 2'!$G$1:$CU$424,13,0)</f>
        <v>1</v>
      </c>
      <c r="PB29" s="8">
        <f>VLOOKUP(AG29,'BUS 2'!$G$1:$CU$424,14,0)</f>
        <v>0</v>
      </c>
      <c r="PC29" s="8">
        <f>VLOOKUP(AG29,'BUS 2'!$G$1:$CU$424,15,0)</f>
        <v>0</v>
      </c>
      <c r="PD29" s="8">
        <f>VLOOKUP(AG29,'BUS 2'!$G$1:$CU$424,16,0)</f>
        <v>0</v>
      </c>
      <c r="PE29" s="8">
        <f>VLOOKUP(AG29,'BUS 2'!$G$1:$CU$424,17,0)</f>
        <v>0</v>
      </c>
      <c r="PF29" s="8">
        <f>VLOOKUP(AG29,'BUS 2'!$G$1:$CU$424,18,0)</f>
        <v>0</v>
      </c>
      <c r="PG29" s="8">
        <f>VLOOKUP(AG29,'BUS 2'!$G$1:$CU$424,19,0)</f>
        <v>1</v>
      </c>
      <c r="PH29" s="8">
        <f>VLOOKUP(AG29,'BUS 2'!$G$1:$CU$424,20,0)</f>
        <v>1</v>
      </c>
      <c r="PI29" s="8">
        <f>VLOOKUP(AG29,'BUS 2'!$G$1:$CU$424,21,0)</f>
        <v>0</v>
      </c>
      <c r="PJ29" s="8" t="str">
        <f>VLOOKUP(AG29,'BUS 2'!$G$1:$CU$424,22,0)</f>
        <v>Sapi pedaging Ayam Unggas lainnya</v>
      </c>
      <c r="PK29" s="8">
        <f>VLOOKUP(AG29,'BUS 2'!$G$1:$CU$424,23,0)</f>
        <v>1</v>
      </c>
      <c r="PL29" s="8">
        <f>VLOOKUP(AG29,'BUS 2'!$G$1:$CU$424,24,0)</f>
        <v>0</v>
      </c>
      <c r="PM29" s="8">
        <f>VLOOKUP(AG29,'BUS 2'!$G$1:$CU$424,25,0)</f>
        <v>0</v>
      </c>
      <c r="PN29" s="8">
        <f>VLOOKUP(AG29,'BUS 2'!$G$1:$CU$424,26,0)</f>
        <v>0</v>
      </c>
      <c r="PO29" s="8">
        <f>VLOOKUP(AG29,'BUS 2'!$G$1:$CU$424,27,0)</f>
        <v>0</v>
      </c>
      <c r="PP29" s="8">
        <f>VLOOKUP(AG29,'BUS 2'!$G$1:$CU$424,28,0)</f>
        <v>0</v>
      </c>
      <c r="PQ29" s="8">
        <f>VLOOKUP(AG29,'BUS 2'!$G$1:$CU$424,29,0)</f>
        <v>1</v>
      </c>
      <c r="PR29" s="8">
        <f>VLOOKUP(AG29,'BUS 2'!$G$1:$CU$424,30,0)</f>
        <v>1</v>
      </c>
      <c r="PS29" s="8">
        <f>VLOOKUP(AG29,'BUS 2'!$G$1:$CU$424,31,0)</f>
        <v>0</v>
      </c>
      <c r="PT29" s="9" t="s">
        <v>900</v>
      </c>
      <c r="PU29" s="8">
        <v>0.0</v>
      </c>
      <c r="PV29" s="8">
        <v>0.0</v>
      </c>
      <c r="PW29" s="8">
        <v>0.0</v>
      </c>
      <c r="PX29" s="8">
        <v>0.0</v>
      </c>
      <c r="PY29" s="8">
        <v>0.0</v>
      </c>
      <c r="PZ29" s="8">
        <v>1.0</v>
      </c>
      <c r="QA29" s="8">
        <v>0.0</v>
      </c>
      <c r="QB29" s="8">
        <v>0.0</v>
      </c>
      <c r="QC29" s="8">
        <v>0.0</v>
      </c>
      <c r="QD29" s="9"/>
      <c r="QE29" s="32"/>
      <c r="QF29" s="31"/>
      <c r="QG29" s="31"/>
      <c r="QH29" s="31"/>
      <c r="QI29" s="31"/>
      <c r="QJ29" s="31"/>
      <c r="QK29" s="32"/>
      <c r="QL29" s="32"/>
      <c r="QM29" s="32"/>
      <c r="QN29" s="32"/>
      <c r="QO29" s="32"/>
      <c r="QP29" s="32"/>
      <c r="QQ29" s="32"/>
      <c r="QR29" s="32"/>
      <c r="QS29" s="32"/>
      <c r="QT29" s="32"/>
      <c r="QU29" s="32"/>
      <c r="QV29" s="32"/>
      <c r="QW29" s="31"/>
      <c r="QX29" s="31"/>
      <c r="QY29" s="31"/>
      <c r="QZ29" s="31"/>
      <c r="RA29" s="31"/>
      <c r="RB29" s="32"/>
      <c r="RC29" s="32"/>
      <c r="RD29" s="32"/>
      <c r="RE29" s="32"/>
      <c r="RF29" s="32"/>
      <c r="RG29" s="9"/>
      <c r="RH29" s="31"/>
      <c r="RI29" s="31"/>
      <c r="RJ29" s="31"/>
      <c r="RK29" s="31"/>
      <c r="RL29" s="31"/>
      <c r="RM29" s="9"/>
      <c r="RN29" s="9"/>
      <c r="RO29" s="9"/>
      <c r="RP29" s="9"/>
      <c r="RQ29" s="9"/>
      <c r="RR29" s="9"/>
      <c r="RS29" s="31"/>
      <c r="RT29" s="31"/>
      <c r="RU29" s="31"/>
      <c r="RV29" s="31"/>
      <c r="RW29" s="31"/>
      <c r="RX29" s="9"/>
      <c r="RY29" s="9"/>
      <c r="RZ29" s="9"/>
      <c r="SA29" s="9"/>
      <c r="SB29" s="9"/>
      <c r="SC29" s="9" t="s">
        <v>900</v>
      </c>
      <c r="SD29" s="35">
        <v>0.0</v>
      </c>
      <c r="SE29" s="35">
        <v>0.0</v>
      </c>
      <c r="SF29" s="35">
        <v>0.0</v>
      </c>
      <c r="SG29" s="35">
        <v>0.0</v>
      </c>
      <c r="SH29" s="35">
        <v>0.0</v>
      </c>
      <c r="SI29" s="8">
        <v>1.0</v>
      </c>
      <c r="SJ29" s="8">
        <v>0.0</v>
      </c>
      <c r="SK29" s="8">
        <v>0.0</v>
      </c>
      <c r="SL29" s="8">
        <v>0.0</v>
      </c>
      <c r="SM29" s="9"/>
      <c r="SN29" s="9" t="s">
        <v>900</v>
      </c>
      <c r="SO29" s="35">
        <v>0.0</v>
      </c>
      <c r="SP29" s="35">
        <v>0.0</v>
      </c>
      <c r="SQ29" s="35">
        <v>0.0</v>
      </c>
      <c r="SR29" s="35">
        <v>0.0</v>
      </c>
      <c r="SS29" s="35">
        <v>0.0</v>
      </c>
      <c r="ST29" s="8">
        <v>1.0</v>
      </c>
      <c r="SU29" s="8">
        <v>0.0</v>
      </c>
      <c r="SV29" s="8">
        <v>0.0</v>
      </c>
      <c r="SW29" s="8">
        <v>0.0</v>
      </c>
      <c r="SX29" s="9"/>
      <c r="SY29" s="8">
        <f>VLOOKUP(AG29,'BUS 2'!$G$1:$CU$424,33,0)</f>
        <v>12</v>
      </c>
      <c r="SZ29" s="9" t="str">
        <f>VLOOKUP(AG29,'BUS 2'!$G$1:$CU$424,34,0)</f>
        <v/>
      </c>
      <c r="TA29" s="9" t="str">
        <f>VLOOKUP(AG29,'BUS 2'!$G$1:$CU$424,35,0)</f>
        <v/>
      </c>
      <c r="TB29" s="9" t="str">
        <f>VLOOKUP(AG29,'BUS 2'!$G$1:$CU$424,36,0)</f>
        <v/>
      </c>
      <c r="TC29" s="9" t="str">
        <f>VLOOKUP(AG29,'BUS 2'!$G$1:$CU$424,37,0)</f>
        <v/>
      </c>
      <c r="TD29" s="9" t="str">
        <f>VLOOKUP(AG29,'BUS 2'!$G$1:$CU$424,38,0)</f>
        <v/>
      </c>
      <c r="TE29" s="9">
        <f>VLOOKUP(AG29,'BUS 2'!$G$1:$CU$424,39,0)</f>
        <v>160</v>
      </c>
      <c r="TF29" s="9">
        <f>VLOOKUP(AG29,'BUS 2'!$G$1:$CU$424,40,0)</f>
        <v>11</v>
      </c>
      <c r="TG29" s="8">
        <f>VLOOKUP(AG29,'BUS 2'!$G$1:$CU$424,42,0)</f>
        <v>12</v>
      </c>
      <c r="TH29" s="8" t="str">
        <f>VLOOKUP(AG29,'BUS 2'!$G$1:$CU$424,43,0)</f>
        <v/>
      </c>
      <c r="TI29" s="8" t="str">
        <f>VLOOKUP(AG29,'BUS 2'!$G$1:$CU$424,44,0)</f>
        <v/>
      </c>
      <c r="TJ29" s="8" t="str">
        <f>VLOOKUP(AG29,'BUS 2'!$G$1:$CU$424,45,0)</f>
        <v/>
      </c>
      <c r="TK29" s="8" t="str">
        <f>VLOOKUP(AG29,'BUS 2'!$G$1:$CU$424,46,0)</f>
        <v/>
      </c>
      <c r="TL29" s="8" t="str">
        <f>VLOOKUP(AG29,'BUS 2'!$G$1:$CU$424,47,0)</f>
        <v/>
      </c>
      <c r="TM29" s="8">
        <f>VLOOKUP(AG29,'BUS 2'!$G$1:$CU$424,48,0)</f>
        <v>100</v>
      </c>
      <c r="TN29" s="8">
        <f>VLOOKUP(AG29,'BUS 2'!$G$1:$CU$424,49,0)</f>
        <v>11</v>
      </c>
      <c r="TO29" s="8">
        <f>VLOOKUP(AG29,'BUS 2'!$G$1:$CU$424,50,0)</f>
        <v>10</v>
      </c>
      <c r="TP29" s="8">
        <f>VLOOKUP(AG29,'BUS 2'!$G$1:$CU$424,51,0)</f>
        <v>0</v>
      </c>
      <c r="TQ29" s="8">
        <f>VLOOKUP(AG29,'BUS 2'!$G$1:$CU$424,52,0)</f>
        <v>8</v>
      </c>
      <c r="TR29" s="8">
        <f>VLOOKUP(AG29,'BUS 2'!$G$1:$CU$424,53,0)</f>
        <v>1</v>
      </c>
      <c r="TS29" s="9" t="str">
        <f>VLOOKUP(AG29,'BUS 2'!$G$1:$CU$424,54,0)</f>
        <v/>
      </c>
      <c r="TT29" s="9" t="str">
        <f>VLOOKUP(AG29,'BUS 2'!$G$1:$CU$424,55,0)</f>
        <v/>
      </c>
      <c r="TU29" s="9" t="str">
        <f>VLOOKUP(AG29,'BUS 2'!$G$1:$CU$424,56,0)</f>
        <v/>
      </c>
      <c r="TV29" s="9" t="str">
        <f>VLOOKUP(AG29,'BUS 2'!$G$1:$CU$424,57,0)</f>
        <v/>
      </c>
      <c r="TW29" s="9" t="str">
        <f>VLOOKUP(AG29,'BUS 2'!$G$1:$CU$424,58,0)</f>
        <v/>
      </c>
      <c r="TX29" s="9" t="str">
        <f>VLOOKUP(AG29,'BUS 2'!$G$1:$CU$424,59,0)</f>
        <v/>
      </c>
      <c r="TY29" s="9" t="str">
        <f>VLOOKUP(AG29,'BUS 2'!$G$1:$CU$424,60,0)</f>
        <v/>
      </c>
      <c r="TZ29" s="9" t="str">
        <f>VLOOKUP(AG29,'BUS 2'!$G$1:$CU$424,61,0)</f>
        <v/>
      </c>
      <c r="UA29" s="9" t="str">
        <f>VLOOKUP(AG29,'BUS 2'!$G$1:$CU$424,62,0)</f>
        <v/>
      </c>
      <c r="UB29" s="9" t="str">
        <f>VLOOKUP(AG29,'BUS 2'!$G$1:$CU$424,63,0)</f>
        <v/>
      </c>
      <c r="UC29" s="9" t="str">
        <f>VLOOKUP(AG29,'BUS 2'!$G$1:$CU$424,64,0)</f>
        <v/>
      </c>
      <c r="UD29" s="9" t="str">
        <f>VLOOKUP(AG29,'BUS 2'!$G$1:$CU$424,65,0)</f>
        <v/>
      </c>
      <c r="UE29" s="9" t="str">
        <f>VLOOKUP(AG29,'BUS 2'!$G$1:$CU$424,66,0)</f>
        <v/>
      </c>
      <c r="UF29" s="9" t="str">
        <f>VLOOKUP(AG29,'BUS 2'!$G$1:$CU$424,67,0)</f>
        <v/>
      </c>
      <c r="UG29" s="9" t="str">
        <f>VLOOKUP(AG29,'BUS 2'!$G$1:$CU$424,68,0)</f>
        <v/>
      </c>
      <c r="UH29" s="9" t="str">
        <f>VLOOKUP(AG29,'BUS 2'!$G$1:$CU$424,69,0)</f>
        <v/>
      </c>
      <c r="UI29" s="9" t="str">
        <f>VLOOKUP(AG29,'BUS 2'!$G$1:$CU$424,70,0)</f>
        <v/>
      </c>
      <c r="UJ29" s="9" t="str">
        <f>VLOOKUP(AG29,'BUS 2'!$G$1:$CU$424,71,0)</f>
        <v/>
      </c>
      <c r="UK29" s="9" t="str">
        <f>VLOOKUP(AG29,'BUS 2'!$G$1:$CU$424,72,0)</f>
        <v/>
      </c>
      <c r="UL29" s="9" t="str">
        <f>VLOOKUP(AG29,'BUS 2'!$G$1:$CU$424,73,0)</f>
        <v/>
      </c>
      <c r="UM29" s="9">
        <f>VLOOKUP(AG29,'BUS 2'!$G$1:$CU$424,74,0)</f>
        <v>10</v>
      </c>
      <c r="UN29" s="9">
        <f>VLOOKUP(AG29,'BUS 2'!$G$1:$CU$424,75,0)</f>
        <v>0</v>
      </c>
      <c r="UO29" s="9">
        <f>VLOOKUP(AG29,'BUS 2'!$G$1:$CU$424,76,0)</f>
        <v>8</v>
      </c>
      <c r="UP29" s="9">
        <f>VLOOKUP(AG29,'BUS 2'!$G$1:$CU$424,77,0)</f>
        <v>0</v>
      </c>
      <c r="UQ29" s="9">
        <f>VLOOKUP(AG29,'BUS 2'!$G$1:$CU$424,78,0)</f>
        <v>0</v>
      </c>
      <c r="UR29" s="9">
        <f>VLOOKUP(AG29,'BUS 2'!$G$1:$CU$424,79,0)</f>
        <v>0</v>
      </c>
      <c r="US29" s="9">
        <f>VLOOKUP(AG29,'BUS 2'!$G$1:$CU$424,80,0)</f>
        <v>0</v>
      </c>
      <c r="UT29" s="9">
        <f>VLOOKUP(AG29,'BUS 2'!$G$1:$CU$424,81,0)</f>
        <v>0</v>
      </c>
      <c r="UU29" s="9" t="s">
        <v>1937</v>
      </c>
      <c r="UV29" s="9"/>
      <c r="UW29" s="9"/>
      <c r="UX29" s="9"/>
      <c r="UY29" s="9"/>
      <c r="UZ29" s="9"/>
      <c r="VA29" s="9" t="s">
        <v>1937</v>
      </c>
      <c r="VB29" s="9" t="s">
        <v>1937</v>
      </c>
      <c r="VC29" s="9" t="s">
        <v>1938</v>
      </c>
      <c r="VD29" s="9"/>
      <c r="VE29" s="9"/>
      <c r="VF29" s="9"/>
      <c r="VG29" s="9"/>
      <c r="VH29" s="9"/>
      <c r="VI29" s="9" t="s">
        <v>1938</v>
      </c>
      <c r="VJ29" s="9" t="s">
        <v>1938</v>
      </c>
      <c r="VK29" s="9" t="s">
        <v>1158</v>
      </c>
      <c r="VL29" s="9"/>
      <c r="VM29" s="9"/>
      <c r="VN29" s="9"/>
      <c r="VO29" s="9"/>
      <c r="VP29" s="9"/>
      <c r="VQ29" s="9" t="s">
        <v>1938</v>
      </c>
      <c r="VR29" s="9" t="s">
        <v>1938</v>
      </c>
      <c r="VS29" s="9" t="s">
        <v>1185</v>
      </c>
      <c r="VT29" s="8">
        <v>0.0</v>
      </c>
      <c r="VU29" s="8">
        <v>0.0</v>
      </c>
      <c r="VV29" s="8">
        <v>0.0</v>
      </c>
      <c r="VW29" s="8">
        <v>0.0</v>
      </c>
      <c r="VX29" s="8">
        <v>0.0</v>
      </c>
      <c r="VY29" s="8">
        <v>0.0</v>
      </c>
      <c r="VZ29" s="8">
        <v>1.0</v>
      </c>
      <c r="WA29" s="8">
        <v>0.0</v>
      </c>
      <c r="WB29" s="8">
        <v>0.0</v>
      </c>
      <c r="WC29" s="8">
        <v>1.0</v>
      </c>
      <c r="WD29" s="8">
        <v>0.0</v>
      </c>
      <c r="WE29" s="8">
        <v>0.0</v>
      </c>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t="s">
        <v>951</v>
      </c>
      <c r="YO29" s="8">
        <v>0.0</v>
      </c>
      <c r="YP29" s="8">
        <v>0.0</v>
      </c>
      <c r="YQ29" s="8">
        <v>0.0</v>
      </c>
      <c r="YR29" s="8">
        <v>0.0</v>
      </c>
      <c r="YS29" s="8">
        <v>0.0</v>
      </c>
      <c r="YT29" s="8">
        <v>0.0</v>
      </c>
      <c r="YU29" s="8">
        <v>1.0</v>
      </c>
      <c r="YV29" s="8">
        <v>0.0</v>
      </c>
      <c r="YW29" s="8">
        <v>0.0</v>
      </c>
      <c r="YX29" s="8">
        <v>0.0</v>
      </c>
      <c r="YY29" s="8">
        <v>0.0</v>
      </c>
      <c r="YZ29" s="8">
        <v>0.0</v>
      </c>
      <c r="ZA29" s="9" t="s">
        <v>951</v>
      </c>
      <c r="ZB29" s="8">
        <v>0.0</v>
      </c>
      <c r="ZC29" s="8">
        <v>0.0</v>
      </c>
      <c r="ZD29" s="8">
        <v>0.0</v>
      </c>
      <c r="ZE29" s="8">
        <v>0.0</v>
      </c>
      <c r="ZF29" s="8">
        <v>0.0</v>
      </c>
      <c r="ZG29" s="8">
        <v>0.0</v>
      </c>
      <c r="ZH29" s="8">
        <v>1.0</v>
      </c>
      <c r="ZI29" s="8">
        <v>0.0</v>
      </c>
      <c r="ZJ29" s="8">
        <v>0.0</v>
      </c>
      <c r="ZK29" s="8">
        <v>0.0</v>
      </c>
      <c r="ZL29" s="8">
        <v>0.0</v>
      </c>
      <c r="ZM29" s="8">
        <v>0.0</v>
      </c>
      <c r="ZN29" s="8">
        <v>100.0</v>
      </c>
      <c r="ZO29" s="9"/>
      <c r="ZP29" s="9"/>
      <c r="ZQ29" s="9"/>
      <c r="ZR29" s="9"/>
      <c r="ZS29" s="9"/>
      <c r="ZT29" s="9"/>
      <c r="ZU29" s="9"/>
      <c r="ZV29" s="8">
        <v>3.0</v>
      </c>
      <c r="ZW29" s="9"/>
      <c r="ZX29" s="9"/>
      <c r="ZY29" s="9"/>
      <c r="ZZ29" s="9"/>
      <c r="AAA29" s="9"/>
      <c r="AAB29" s="8">
        <v>3.0</v>
      </c>
      <c r="AAC29" s="8">
        <v>3.0</v>
      </c>
      <c r="AAD29" s="9" t="s">
        <v>1186</v>
      </c>
      <c r="AAE29" s="9"/>
      <c r="AAF29" s="9"/>
      <c r="AAG29" s="9"/>
      <c r="AAH29" s="9"/>
      <c r="AAI29" s="9"/>
      <c r="AAJ29" s="9" t="s">
        <v>905</v>
      </c>
      <c r="AAK29" s="9" t="s">
        <v>905</v>
      </c>
      <c r="AAL29" s="9" t="s">
        <v>857</v>
      </c>
      <c r="AAM29" s="9" t="s">
        <v>1033</v>
      </c>
      <c r="AAN29" s="8">
        <v>1.0</v>
      </c>
      <c r="AAO29" s="8">
        <v>1.0</v>
      </c>
      <c r="AAP29" s="8">
        <v>5.0</v>
      </c>
      <c r="AAQ29" s="8">
        <v>150.0</v>
      </c>
      <c r="AAR29" s="9" t="s">
        <v>857</v>
      </c>
      <c r="AAS29" s="9" t="s">
        <v>1389</v>
      </c>
      <c r="AAT29" s="9" t="s">
        <v>2505</v>
      </c>
      <c r="AAU29" s="8">
        <v>1.0</v>
      </c>
      <c r="AAV29" s="8">
        <v>1.0</v>
      </c>
      <c r="AAW29" s="8">
        <v>1.0</v>
      </c>
      <c r="AAX29" s="8">
        <v>0.0</v>
      </c>
      <c r="AAY29" s="8">
        <v>1.0</v>
      </c>
      <c r="AAZ29" s="8">
        <v>0.0</v>
      </c>
      <c r="ABA29" s="8">
        <v>0.0</v>
      </c>
      <c r="ABB29" s="9" t="s">
        <v>1049</v>
      </c>
      <c r="ABC29" s="8">
        <v>1.0</v>
      </c>
      <c r="ABD29" s="8">
        <v>1.0</v>
      </c>
      <c r="ABE29" s="8">
        <v>0.0</v>
      </c>
      <c r="ABF29" s="8">
        <v>0.0</v>
      </c>
      <c r="ABG29" s="8">
        <v>0.0</v>
      </c>
      <c r="ABH29" s="9"/>
      <c r="ABI29" s="9" t="s">
        <v>2506</v>
      </c>
      <c r="ABJ29" s="8">
        <v>1.0</v>
      </c>
      <c r="ABK29" s="8">
        <v>0.0</v>
      </c>
      <c r="ABL29" s="8">
        <v>0.0</v>
      </c>
      <c r="ABM29" s="8">
        <v>0.0</v>
      </c>
      <c r="ABN29" s="8">
        <v>0.0</v>
      </c>
      <c r="ABO29" s="9"/>
      <c r="ABP29" s="9" t="s">
        <v>2327</v>
      </c>
      <c r="ABQ29" s="9" t="s">
        <v>2507</v>
      </c>
      <c r="ABR29" s="9" t="s">
        <v>954</v>
      </c>
      <c r="ABS29" s="8">
        <v>15000.0</v>
      </c>
      <c r="ABT29" s="9"/>
      <c r="ABU29" s="8">
        <v>35.0</v>
      </c>
      <c r="ABV29" s="8">
        <v>150.0</v>
      </c>
      <c r="ABW29" s="9" t="s">
        <v>1199</v>
      </c>
      <c r="ABX29" s="9"/>
      <c r="ABY29" s="8">
        <v>150.0</v>
      </c>
      <c r="ABZ29" s="8">
        <v>2400.0</v>
      </c>
      <c r="ACA29" s="8">
        <v>100.0</v>
      </c>
      <c r="ACB29" s="8">
        <v>1800.0</v>
      </c>
      <c r="ACC29" s="8">
        <v>100.0</v>
      </c>
      <c r="ACD29" s="8">
        <v>150.0</v>
      </c>
      <c r="ACE29" s="9" t="s">
        <v>857</v>
      </c>
      <c r="ACF29" s="9" t="s">
        <v>911</v>
      </c>
      <c r="ACG29" s="9" t="s">
        <v>945</v>
      </c>
      <c r="ACH29" s="9" t="s">
        <v>911</v>
      </c>
      <c r="ACI29" s="9" t="s">
        <v>945</v>
      </c>
      <c r="ACJ29" s="9" t="s">
        <v>911</v>
      </c>
      <c r="ACK29" s="9" t="s">
        <v>969</v>
      </c>
      <c r="ACL29" s="8">
        <v>0.0</v>
      </c>
      <c r="ACM29" s="8">
        <v>0.0</v>
      </c>
      <c r="ACN29" s="8">
        <v>0.0</v>
      </c>
      <c r="ACO29" s="8">
        <v>0.0</v>
      </c>
      <c r="ACP29" s="8">
        <v>0.0</v>
      </c>
      <c r="ACQ29" s="8">
        <v>0.0</v>
      </c>
      <c r="ACR29" s="8">
        <v>1.0</v>
      </c>
      <c r="ACS29" s="9" t="s">
        <v>2508</v>
      </c>
      <c r="ACT29" s="9" t="s">
        <v>1945</v>
      </c>
      <c r="ACU29" s="9" t="s">
        <v>913</v>
      </c>
      <c r="ACV29" s="9" t="s">
        <v>914</v>
      </c>
      <c r="ACW29" s="9" t="s">
        <v>915</v>
      </c>
      <c r="ACX29" s="9" t="s">
        <v>916</v>
      </c>
      <c r="ACY29" s="9" t="s">
        <v>1035</v>
      </c>
      <c r="ACZ29" s="8">
        <v>1.0</v>
      </c>
      <c r="ADA29" s="8">
        <v>1.0</v>
      </c>
      <c r="ADB29" s="8">
        <v>0.0</v>
      </c>
      <c r="ADC29" s="8">
        <v>0.0</v>
      </c>
      <c r="ADD29" s="9" t="s">
        <v>917</v>
      </c>
      <c r="ADE29" s="9" t="s">
        <v>1187</v>
      </c>
      <c r="ADF29" s="9" t="s">
        <v>917</v>
      </c>
      <c r="ADG29" s="9" t="s">
        <v>1187</v>
      </c>
      <c r="ADH29" s="9" t="s">
        <v>881</v>
      </c>
      <c r="ADI29" s="9"/>
      <c r="ADJ29" s="9" t="s">
        <v>917</v>
      </c>
      <c r="ADK29" s="9"/>
      <c r="ADL29" s="9"/>
      <c r="ADM29" s="9"/>
      <c r="ADN29" s="9"/>
      <c r="ADO29" s="9"/>
      <c r="ADP29" s="9"/>
      <c r="ADQ29" s="9"/>
      <c r="ADR29" s="9"/>
      <c r="ADS29" s="9"/>
      <c r="ADT29" s="9"/>
      <c r="ADU29" s="9" t="s">
        <v>2046</v>
      </c>
      <c r="ADV29" s="8">
        <v>0.0</v>
      </c>
      <c r="ADW29" s="8">
        <v>0.0</v>
      </c>
      <c r="ADX29" s="8">
        <v>0.0</v>
      </c>
      <c r="ADY29" s="8">
        <v>0.0</v>
      </c>
      <c r="ADZ29" s="8">
        <v>0.0</v>
      </c>
      <c r="AEA29" s="8">
        <v>1.0</v>
      </c>
      <c r="AEB29" s="8">
        <v>0.0</v>
      </c>
      <c r="AEC29" s="8">
        <v>0.0</v>
      </c>
      <c r="AED29" s="9" t="s">
        <v>2046</v>
      </c>
      <c r="AEE29" s="9" t="s">
        <v>969</v>
      </c>
      <c r="AEF29" s="9" t="s">
        <v>2500</v>
      </c>
      <c r="AEG29" s="9" t="s">
        <v>969</v>
      </c>
      <c r="AEH29" s="9" t="s">
        <v>2509</v>
      </c>
      <c r="AEI29" s="9" t="s">
        <v>1945</v>
      </c>
      <c r="AEJ29" s="9" t="s">
        <v>871</v>
      </c>
      <c r="AEK29" s="9" t="s">
        <v>2510</v>
      </c>
      <c r="AEL29" s="8">
        <v>1.0</v>
      </c>
      <c r="AEM29" s="8">
        <v>1.0</v>
      </c>
      <c r="AEN29" s="8">
        <v>0.0</v>
      </c>
      <c r="AEO29" s="8">
        <v>0.0</v>
      </c>
      <c r="AEP29" s="8">
        <v>1.0</v>
      </c>
      <c r="AEQ29" s="8">
        <v>0.0</v>
      </c>
      <c r="AER29" s="8">
        <v>1.0</v>
      </c>
      <c r="AES29" s="8">
        <v>0.0</v>
      </c>
      <c r="AET29" s="8">
        <v>0.0</v>
      </c>
      <c r="AEU29" s="8">
        <v>0.0</v>
      </c>
      <c r="AEV29" s="8">
        <v>0.0</v>
      </c>
      <c r="AEW29" s="8">
        <v>0.0</v>
      </c>
      <c r="AEX29" s="9"/>
      <c r="AEY29" s="9" t="s">
        <v>923</v>
      </c>
      <c r="AEZ29" s="9"/>
      <c r="AFA29" s="9" t="s">
        <v>969</v>
      </c>
      <c r="AFB29" s="9" t="s">
        <v>2511</v>
      </c>
      <c r="AFC29" s="9" t="s">
        <v>2512</v>
      </c>
      <c r="AFD29" s="16" t="s">
        <v>2513</v>
      </c>
      <c r="AFE29" s="9" t="s">
        <v>2514</v>
      </c>
      <c r="AFF29" s="16" t="s">
        <v>2515</v>
      </c>
      <c r="AFG29" s="9" t="s">
        <v>1991</v>
      </c>
      <c r="AFH29" s="9"/>
      <c r="AFI29" s="21" t="s">
        <v>2516</v>
      </c>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8">
        <v>6.72493794E8</v>
      </c>
      <c r="AWB29" s="9" t="s">
        <v>2517</v>
      </c>
      <c r="AWC29" s="6">
        <v>46068.0</v>
      </c>
      <c r="AWD29" s="9"/>
      <c r="AWE29" s="9"/>
      <c r="AWF29" s="9" t="s">
        <v>1954</v>
      </c>
      <c r="AWG29" s="9"/>
      <c r="AWH29" s="9" t="s">
        <v>1989</v>
      </c>
      <c r="AWI29" s="9"/>
      <c r="AWJ29" s="9" t="s">
        <v>2518</v>
      </c>
      <c r="AWK29" s="8">
        <v>250.0</v>
      </c>
      <c r="AWL29" s="9" t="s">
        <v>2495</v>
      </c>
      <c r="AWM29" s="8">
        <v>0.0</v>
      </c>
      <c r="AWN29" s="9" t="s">
        <v>1957</v>
      </c>
      <c r="AWO29" s="33" t="b">
        <v>1</v>
      </c>
      <c r="AWP29" s="33" t="b">
        <v>1</v>
      </c>
      <c r="AWQ29" s="33" t="b">
        <v>1</v>
      </c>
      <c r="AWR29" s="33" t="b">
        <v>1</v>
      </c>
      <c r="AWS29" s="33" t="b">
        <v>1</v>
      </c>
      <c r="AWT29" s="33" t="b">
        <v>1</v>
      </c>
      <c r="AWU29" s="9"/>
      <c r="AWV29" s="8">
        <v>0.5</v>
      </c>
      <c r="AWW29" s="9"/>
      <c r="AWX29" s="9"/>
      <c r="AWY29" s="9"/>
      <c r="AWZ29" s="9"/>
    </row>
    <row r="30">
      <c r="A30" s="6">
        <v>46057.0</v>
      </c>
      <c r="B30" s="6">
        <v>46068.0</v>
      </c>
      <c r="C30" s="30" t="s">
        <v>2443</v>
      </c>
      <c r="D30" s="30" t="s">
        <v>2519</v>
      </c>
      <c r="E30" s="8">
        <f>+6281245946525</f>
        <v>6281245946525</v>
      </c>
      <c r="F30" s="9" t="s">
        <v>2520</v>
      </c>
      <c r="G30" s="8">
        <v>-5.139543</v>
      </c>
      <c r="H30" s="8">
        <v>119.608889</v>
      </c>
      <c r="I30" s="8">
        <v>125.988</v>
      </c>
      <c r="J30" s="8">
        <v>2.388999939</v>
      </c>
      <c r="K30" s="8">
        <v>0.0</v>
      </c>
      <c r="L30" s="9" t="s">
        <v>2521</v>
      </c>
      <c r="M30" s="8">
        <v>-5.139801</v>
      </c>
      <c r="N30" s="8">
        <v>119.609139</v>
      </c>
      <c r="O30" s="8">
        <v>78.073</v>
      </c>
      <c r="P30" s="8">
        <v>1.062999964</v>
      </c>
      <c r="Q30" s="8">
        <v>0.0</v>
      </c>
      <c r="R30" s="9" t="s">
        <v>1923</v>
      </c>
      <c r="S30" s="8">
        <v>0.0</v>
      </c>
      <c r="T30" s="8">
        <v>0.0</v>
      </c>
      <c r="U30" s="8">
        <v>0.0</v>
      </c>
      <c r="V30" s="8">
        <v>0.0</v>
      </c>
      <c r="W30" s="8">
        <v>0.0</v>
      </c>
      <c r="X30" s="8">
        <v>0.0</v>
      </c>
      <c r="Y30" s="8">
        <v>0.0</v>
      </c>
      <c r="Z30" s="8">
        <v>0.0</v>
      </c>
      <c r="AA30" s="8">
        <v>0.0</v>
      </c>
      <c r="AB30" s="8">
        <v>1.0</v>
      </c>
      <c r="AC30" s="7" t="s">
        <v>1924</v>
      </c>
      <c r="AD30" s="7" t="s">
        <v>2447</v>
      </c>
      <c r="AE30" s="7" t="s">
        <v>2448</v>
      </c>
      <c r="AF30" s="9" t="s">
        <v>2522</v>
      </c>
      <c r="AG30" s="9" t="s">
        <v>2523</v>
      </c>
      <c r="AH30" s="8">
        <v>3.0</v>
      </c>
      <c r="AI30" s="9" t="s">
        <v>845</v>
      </c>
      <c r="AJ30" s="9" t="s">
        <v>846</v>
      </c>
      <c r="AK30" s="8">
        <v>45.0</v>
      </c>
      <c r="AL30" s="9" t="s">
        <v>847</v>
      </c>
      <c r="AM30" s="9" t="s">
        <v>848</v>
      </c>
      <c r="AN30" s="9" t="s">
        <v>1009</v>
      </c>
      <c r="AO30" s="9" t="s">
        <v>850</v>
      </c>
      <c r="AP30" s="8">
        <v>1.0</v>
      </c>
      <c r="AQ30" s="8">
        <v>0.0</v>
      </c>
      <c r="AR30" s="8">
        <v>0.0</v>
      </c>
      <c r="AS30" s="8">
        <v>0.0</v>
      </c>
      <c r="AT30" s="8">
        <v>0.0</v>
      </c>
      <c r="AU30" s="8">
        <v>0.0</v>
      </c>
      <c r="AV30" s="8">
        <v>0.0</v>
      </c>
      <c r="AW30" s="8">
        <v>0.0</v>
      </c>
      <c r="AX30" s="9"/>
      <c r="AY30" s="9" t="s">
        <v>969</v>
      </c>
      <c r="AZ30" s="8">
        <v>0.0</v>
      </c>
      <c r="BA30" s="8">
        <v>0.0</v>
      </c>
      <c r="BB30" s="8">
        <v>0.0</v>
      </c>
      <c r="BC30" s="8">
        <v>0.0</v>
      </c>
      <c r="BD30" s="8">
        <v>0.0</v>
      </c>
      <c r="BE30" s="8">
        <v>0.0</v>
      </c>
      <c r="BF30" s="8">
        <v>1.0</v>
      </c>
      <c r="BG30" s="8">
        <v>0.0</v>
      </c>
      <c r="BH30" s="11" t="s">
        <v>2141</v>
      </c>
      <c r="BI30" s="9" t="s">
        <v>936</v>
      </c>
      <c r="BJ30" s="8">
        <v>2.0</v>
      </c>
      <c r="BK30" s="8">
        <v>1.0</v>
      </c>
      <c r="BL30" s="8">
        <v>2.0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2524</v>
      </c>
      <c r="CD30" s="8">
        <v>0.0</v>
      </c>
      <c r="CE30" s="8">
        <v>0.0</v>
      </c>
      <c r="CF30" s="8">
        <v>0.0</v>
      </c>
      <c r="CG30" s="8">
        <v>0.0</v>
      </c>
      <c r="CH30" s="8">
        <v>1.0</v>
      </c>
      <c r="CI30" s="8">
        <v>1.0</v>
      </c>
      <c r="CJ30" s="8">
        <v>0.0</v>
      </c>
      <c r="CK30" s="9"/>
      <c r="CL30" s="9" t="s">
        <v>857</v>
      </c>
      <c r="CM30" s="8">
        <v>2023.0</v>
      </c>
      <c r="CN30" s="9" t="s">
        <v>858</v>
      </c>
      <c r="CO30" s="9" t="s">
        <v>859</v>
      </c>
      <c r="CP30" s="9" t="s">
        <v>860</v>
      </c>
      <c r="CQ30" s="8">
        <v>0.0</v>
      </c>
      <c r="CR30" s="8">
        <v>0.0</v>
      </c>
      <c r="CS30" s="8">
        <v>0.0</v>
      </c>
      <c r="CT30" s="8">
        <v>0.0</v>
      </c>
      <c r="CU30" s="8">
        <v>1.0</v>
      </c>
      <c r="CV30" s="8">
        <v>0.0</v>
      </c>
      <c r="CW30" s="8">
        <v>0.0</v>
      </c>
      <c r="CX30" s="8">
        <v>0.0</v>
      </c>
      <c r="CY30" s="9" t="s">
        <v>860</v>
      </c>
      <c r="CZ30" s="8">
        <v>1.0</v>
      </c>
      <c r="DA30" s="8">
        <v>0.0</v>
      </c>
      <c r="DB30" s="8">
        <v>0.0</v>
      </c>
      <c r="DC30" s="9"/>
      <c r="DD30" s="9" t="s">
        <v>860</v>
      </c>
      <c r="DE30" s="8">
        <v>1.0</v>
      </c>
      <c r="DF30" s="8">
        <v>0.0</v>
      </c>
      <c r="DG30" s="8">
        <v>0.0</v>
      </c>
      <c r="DH30" s="8">
        <v>0.0</v>
      </c>
      <c r="DI30" s="9"/>
      <c r="DJ30" s="9" t="s">
        <v>861</v>
      </c>
      <c r="DK30" s="8">
        <v>0.0</v>
      </c>
      <c r="DL30" s="8">
        <v>0.0</v>
      </c>
      <c r="DM30" s="8">
        <v>1.0</v>
      </c>
      <c r="DN30" s="8">
        <v>0.0</v>
      </c>
      <c r="DO30" s="9"/>
      <c r="DP30" s="9" t="s">
        <v>857</v>
      </c>
      <c r="DQ30" s="9"/>
      <c r="DR30" s="9"/>
      <c r="DS30" s="9"/>
      <c r="DT30" s="9"/>
      <c r="DU30" s="9"/>
      <c r="DV30" s="9"/>
      <c r="DW30" s="9"/>
      <c r="DX30" s="9"/>
      <c r="DY30" s="9"/>
      <c r="DZ30" s="9"/>
      <c r="EA30" s="9"/>
      <c r="EB30" s="9"/>
      <c r="EC30" s="9"/>
      <c r="ED30" s="9"/>
      <c r="EE30" s="9"/>
      <c r="EF30" s="9"/>
      <c r="EG30" s="9"/>
      <c r="EH30" s="9"/>
      <c r="EI30" s="9" t="s">
        <v>862</v>
      </c>
      <c r="EJ30" s="8">
        <v>0.0</v>
      </c>
      <c r="EK30" s="8">
        <v>0.0</v>
      </c>
      <c r="EL30" s="8">
        <v>0.0</v>
      </c>
      <c r="EM30" s="8">
        <v>1.0</v>
      </c>
      <c r="EN30" s="8">
        <v>0.0</v>
      </c>
      <c r="EO30" s="9"/>
      <c r="EP30" s="9" t="s">
        <v>863</v>
      </c>
      <c r="EQ30" s="9" t="s">
        <v>864</v>
      </c>
      <c r="ER30" s="9" t="s">
        <v>861</v>
      </c>
      <c r="ES30" s="8">
        <v>1.0</v>
      </c>
      <c r="ET30" s="8">
        <v>0.0</v>
      </c>
      <c r="EU30" s="8">
        <v>0.0</v>
      </c>
      <c r="EV30" s="8">
        <v>0.0</v>
      </c>
      <c r="EW30" s="9"/>
      <c r="EX30" s="9" t="s">
        <v>865</v>
      </c>
      <c r="EY30" s="8">
        <v>1.0</v>
      </c>
      <c r="EZ30" s="8">
        <v>0.0</v>
      </c>
      <c r="FA30" s="8">
        <v>0.0</v>
      </c>
      <c r="FB30" s="9"/>
      <c r="FC30" s="9" t="s">
        <v>866</v>
      </c>
      <c r="FD30" s="9"/>
      <c r="FE30" s="9" t="s">
        <v>867</v>
      </c>
      <c r="FF30" s="9" t="s">
        <v>868</v>
      </c>
      <c r="FG30" s="9" t="s">
        <v>867</v>
      </c>
      <c r="FH30" s="9" t="s">
        <v>869</v>
      </c>
      <c r="FI30" s="9" t="s">
        <v>867</v>
      </c>
      <c r="FJ30" s="9" t="s">
        <v>868</v>
      </c>
      <c r="FK30" s="9" t="s">
        <v>867</v>
      </c>
      <c r="FL30" s="9" t="s">
        <v>869</v>
      </c>
      <c r="FM30" s="9" t="s">
        <v>867</v>
      </c>
      <c r="FN30" s="9" t="s">
        <v>869</v>
      </c>
      <c r="FO30" s="9" t="s">
        <v>867</v>
      </c>
      <c r="FP30" s="9" t="s">
        <v>869</v>
      </c>
      <c r="FQ30" s="9" t="s">
        <v>867</v>
      </c>
      <c r="FR30" s="9" t="s">
        <v>857</v>
      </c>
      <c r="FS30" s="9" t="s">
        <v>867</v>
      </c>
      <c r="FT30" s="9" t="s">
        <v>871</v>
      </c>
      <c r="FU30" s="9" t="s">
        <v>872</v>
      </c>
      <c r="FV30" s="8">
        <v>1.0</v>
      </c>
      <c r="FW30" s="8">
        <v>0.0</v>
      </c>
      <c r="FX30" s="8">
        <v>0.0</v>
      </c>
      <c r="FY30" s="8">
        <v>0.0</v>
      </c>
      <c r="FZ30" s="9" t="s">
        <v>873</v>
      </c>
      <c r="GA30" s="9" t="s">
        <v>874</v>
      </c>
      <c r="GB30" s="8">
        <v>1.0</v>
      </c>
      <c r="GC30" s="8">
        <v>0.0</v>
      </c>
      <c r="GD30" s="8">
        <v>0.0</v>
      </c>
      <c r="GE30" s="8">
        <v>0.0</v>
      </c>
      <c r="GF30" s="9"/>
      <c r="GG30" s="9" t="s">
        <v>875</v>
      </c>
      <c r="GH30" s="9" t="s">
        <v>857</v>
      </c>
      <c r="GI30" s="9" t="s">
        <v>1086</v>
      </c>
      <c r="GJ30" s="8">
        <v>1.0</v>
      </c>
      <c r="GK30" s="8">
        <v>1.0</v>
      </c>
      <c r="GL30" s="8">
        <v>0.0</v>
      </c>
      <c r="GM30" s="8">
        <v>0.0</v>
      </c>
      <c r="GN30" s="9"/>
      <c r="GO30" s="8">
        <v>9.0</v>
      </c>
      <c r="GP30" s="9" t="s">
        <v>1931</v>
      </c>
      <c r="GQ30" s="9" t="s">
        <v>1102</v>
      </c>
      <c r="GR30" s="8">
        <v>1.0</v>
      </c>
      <c r="GS30" s="8">
        <v>0.0</v>
      </c>
      <c r="GT30" s="8">
        <v>0.0</v>
      </c>
      <c r="GU30" s="8">
        <v>0.0</v>
      </c>
      <c r="GV30" s="8">
        <v>0.0</v>
      </c>
      <c r="GW30" s="8">
        <v>0.0</v>
      </c>
      <c r="GX30" s="8">
        <v>0.0</v>
      </c>
      <c r="GY30" s="9"/>
      <c r="GZ30" s="9" t="s">
        <v>857</v>
      </c>
      <c r="HA30" s="9"/>
      <c r="HB30" s="9"/>
      <c r="HC30" s="9"/>
      <c r="HD30" s="9"/>
      <c r="HE30" s="8">
        <v>6.0</v>
      </c>
      <c r="HF30" s="39">
        <v>36000.0</v>
      </c>
      <c r="HG30" s="8">
        <v>3.0</v>
      </c>
      <c r="HH30" s="8">
        <v>23000.0</v>
      </c>
      <c r="HI30" s="9"/>
      <c r="HJ30" s="9"/>
      <c r="HK30" s="9"/>
      <c r="HL30" s="9"/>
      <c r="HM30" s="9"/>
      <c r="HN30" s="9"/>
      <c r="HO30" s="9"/>
      <c r="HP30" s="9"/>
      <c r="HQ30" s="9"/>
      <c r="HR30" s="9"/>
      <c r="HS30" s="9"/>
      <c r="HT30" s="9"/>
      <c r="HU30" s="9"/>
      <c r="HV30" s="9"/>
      <c r="HW30" s="9"/>
      <c r="HX30" s="9"/>
      <c r="HY30" s="9"/>
      <c r="HZ30" s="9"/>
      <c r="IA30" s="8">
        <v>3.0</v>
      </c>
      <c r="IB30" s="8">
        <v>13.0</v>
      </c>
      <c r="IC30" s="9"/>
      <c r="ID30" s="9"/>
      <c r="IE30" s="9"/>
      <c r="IF30" s="9"/>
      <c r="IG30" s="9"/>
      <c r="IH30" s="9"/>
      <c r="II30" s="9"/>
      <c r="IJ30" s="9"/>
      <c r="IK30" s="9" t="s">
        <v>971</v>
      </c>
      <c r="IL30" s="9" t="s">
        <v>1366</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884</v>
      </c>
      <c r="LC30" s="8">
        <v>9.0</v>
      </c>
      <c r="LD30" s="8">
        <v>0.0</v>
      </c>
      <c r="LE30" s="8">
        <v>0.0</v>
      </c>
      <c r="LF30" s="8">
        <v>8.0</v>
      </c>
      <c r="LG30" s="9" t="s">
        <v>881</v>
      </c>
      <c r="LH30" s="9"/>
      <c r="LI30" s="8">
        <v>0.0</v>
      </c>
      <c r="LJ30" s="9" t="s">
        <v>969</v>
      </c>
      <c r="LK30" s="8">
        <v>0.0</v>
      </c>
      <c r="LL30" s="8">
        <v>0.0</v>
      </c>
      <c r="LM30" s="8">
        <v>0.0</v>
      </c>
      <c r="LN30" s="8">
        <v>0.0</v>
      </c>
      <c r="LO30" s="8">
        <v>0.0</v>
      </c>
      <c r="LP30" s="8">
        <v>0.0</v>
      </c>
      <c r="LQ30" s="8">
        <v>1.0</v>
      </c>
      <c r="LR30" s="11" t="s">
        <v>1973</v>
      </c>
      <c r="LS30" s="8">
        <v>30.0</v>
      </c>
      <c r="LT30" s="8">
        <v>0.0</v>
      </c>
      <c r="LU30" s="8">
        <v>0.0</v>
      </c>
      <c r="LV30" s="8">
        <v>5.0</v>
      </c>
      <c r="LW30" s="8">
        <v>0.0</v>
      </c>
      <c r="LX30" s="8">
        <v>0.0</v>
      </c>
      <c r="LY30" s="8">
        <v>10.0</v>
      </c>
      <c r="LZ30" s="8">
        <v>0.0</v>
      </c>
      <c r="MA30" s="8">
        <v>0.0</v>
      </c>
      <c r="MB30" s="9" t="s">
        <v>881</v>
      </c>
      <c r="MC30" s="8">
        <v>0.0</v>
      </c>
      <c r="MD30" s="8">
        <v>0.0</v>
      </c>
      <c r="ME30" s="8">
        <v>0.0</v>
      </c>
      <c r="MF30" s="8">
        <v>0.0</v>
      </c>
      <c r="MG30" s="8">
        <v>0.0</v>
      </c>
      <c r="MH30" s="8">
        <v>0.0</v>
      </c>
      <c r="MI30" s="9"/>
      <c r="MJ30" s="9"/>
      <c r="MK30" s="9"/>
      <c r="ML30" s="9"/>
      <c r="MM30" s="9"/>
      <c r="MN30" s="9"/>
      <c r="MO30" s="9"/>
      <c r="MP30" s="9"/>
      <c r="MQ30" s="9"/>
      <c r="MR30" s="17" t="s">
        <v>2035</v>
      </c>
      <c r="MS30" s="9"/>
      <c r="MT30" s="9" t="s">
        <v>2035</v>
      </c>
      <c r="MU30" s="9" t="s">
        <v>881</v>
      </c>
      <c r="MV30" s="9"/>
      <c r="MW30" s="9"/>
      <c r="MX30" s="9"/>
      <c r="MY30" s="9"/>
      <c r="MZ30" s="9"/>
      <c r="NA30" s="9"/>
      <c r="NB30" s="9"/>
      <c r="NC30" s="9"/>
      <c r="ND30" s="9"/>
      <c r="NE30" s="9"/>
      <c r="NF30" s="9"/>
      <c r="NG30" s="9"/>
      <c r="NH30" s="9"/>
      <c r="NI30" s="9"/>
      <c r="NJ30" s="9"/>
      <c r="NK30" s="9"/>
      <c r="NL30" s="9" t="s">
        <v>857</v>
      </c>
      <c r="NM30" s="9" t="s">
        <v>2324</v>
      </c>
      <c r="NN30" s="17" t="s">
        <v>1032</v>
      </c>
      <c r="NO30" s="9"/>
      <c r="NP30" s="9"/>
      <c r="NQ30" s="9"/>
      <c r="NR30" s="9"/>
      <c r="NS30" s="9"/>
      <c r="NT30" s="9"/>
      <c r="NU30" s="9"/>
      <c r="NV30" s="17" t="s">
        <v>896</v>
      </c>
      <c r="NW30" s="9"/>
      <c r="NX30" s="9" t="s">
        <v>914</v>
      </c>
      <c r="NY30" s="8">
        <v>25.0</v>
      </c>
      <c r="NZ30" s="8">
        <v>0.0</v>
      </c>
      <c r="OA30" s="8">
        <v>0.0</v>
      </c>
      <c r="OB30" s="8">
        <v>10.0</v>
      </c>
      <c r="OC30" s="8">
        <v>10.0</v>
      </c>
      <c r="OD30" s="8">
        <v>0.0</v>
      </c>
      <c r="OE30" s="9" t="s">
        <v>898</v>
      </c>
      <c r="OF30" s="9" t="s">
        <v>1184</v>
      </c>
      <c r="OG30" s="9" t="s">
        <v>857</v>
      </c>
      <c r="OH30" s="8">
        <v>10.0</v>
      </c>
      <c r="OI30" s="8">
        <v>0.0</v>
      </c>
      <c r="OJ30" s="8">
        <v>0.0</v>
      </c>
      <c r="OK30" s="8">
        <v>0.0</v>
      </c>
      <c r="OL30" s="8">
        <v>0.0</v>
      </c>
      <c r="OM30" s="8">
        <v>0.0</v>
      </c>
      <c r="ON30" s="8">
        <v>30.0</v>
      </c>
      <c r="OO30" s="8">
        <v>10.0</v>
      </c>
      <c r="OP30" s="9" t="str">
        <f>VLOOKUP(AG30,'BUS 2'!$G$1:$CU$424,2,0)</f>
        <v>Sapi pedaging Ayam Unggas lainnya</v>
      </c>
      <c r="OQ30" s="8">
        <f>VLOOKUP(AG30,'BUS 2'!$G$1:$CU$424,3,0)</f>
        <v>1</v>
      </c>
      <c r="OR30" s="8">
        <f>VLOOKUP(AG30,'BUS 2'!$G$1:$CU$424,4,0)</f>
        <v>0</v>
      </c>
      <c r="OS30" s="8">
        <f>VLOOKUP(AG30,'BUS 2'!$G$1:$CU$424,5,0)</f>
        <v>0</v>
      </c>
      <c r="OT30" s="8">
        <f>VLOOKUP(AG30,'BUS 2'!$G$1:$CU$424,6,0)</f>
        <v>0</v>
      </c>
      <c r="OU30" s="8">
        <f>VLOOKUP(AG30,'BUS 2'!$G$1:$CU$424,7,0)</f>
        <v>0</v>
      </c>
      <c r="OV30" s="8">
        <f>VLOOKUP(AG30,'BUS 2'!$G$1:$CU$424,8,0)</f>
        <v>0</v>
      </c>
      <c r="OW30" s="8">
        <f>VLOOKUP(AG30,'BUS 2'!$G$1:$CU$424,9,0)</f>
        <v>1</v>
      </c>
      <c r="OX30" s="8">
        <f>VLOOKUP(AG30,'BUS 2'!$G$1:$CU$424,10,0)</f>
        <v>1</v>
      </c>
      <c r="OY30" s="8">
        <f>VLOOKUP(AG30,'BUS 2'!$G$1:$CU$424,11,0)</f>
        <v>0</v>
      </c>
      <c r="OZ30" s="8" t="str">
        <f>VLOOKUP(AG30,'BUS 2'!$G$1:$CU$424,12,0)</f>
        <v>Sapi pedaging Ayam Unggas lainnya</v>
      </c>
      <c r="PA30" s="8">
        <f>VLOOKUP(AG30,'BUS 2'!$G$1:$CU$424,13,0)</f>
        <v>1</v>
      </c>
      <c r="PB30" s="8">
        <f>VLOOKUP(AG30,'BUS 2'!$G$1:$CU$424,14,0)</f>
        <v>0</v>
      </c>
      <c r="PC30" s="8">
        <f>VLOOKUP(AG30,'BUS 2'!$G$1:$CU$424,15,0)</f>
        <v>0</v>
      </c>
      <c r="PD30" s="8">
        <f>VLOOKUP(AG30,'BUS 2'!$G$1:$CU$424,16,0)</f>
        <v>0</v>
      </c>
      <c r="PE30" s="8">
        <f>VLOOKUP(AG30,'BUS 2'!$G$1:$CU$424,17,0)</f>
        <v>0</v>
      </c>
      <c r="PF30" s="8">
        <f>VLOOKUP(AG30,'BUS 2'!$G$1:$CU$424,18,0)</f>
        <v>0</v>
      </c>
      <c r="PG30" s="8">
        <f>VLOOKUP(AG30,'BUS 2'!$G$1:$CU$424,19,0)</f>
        <v>1</v>
      </c>
      <c r="PH30" s="8">
        <f>VLOOKUP(AG30,'BUS 2'!$G$1:$CU$424,20,0)</f>
        <v>1</v>
      </c>
      <c r="PI30" s="8">
        <f>VLOOKUP(AG30,'BUS 2'!$G$1:$CU$424,21,0)</f>
        <v>0</v>
      </c>
      <c r="PJ30" s="8" t="str">
        <f>VLOOKUP(AG30,'BUS 2'!$G$1:$CU$424,22,0)</f>
        <v>Ayam Unggas lainnya</v>
      </c>
      <c r="PK30" s="8">
        <f>VLOOKUP(AG30,'BUS 2'!$G$1:$CU$424,23,0)</f>
        <v>0</v>
      </c>
      <c r="PL30" s="8">
        <f>VLOOKUP(AG30,'BUS 2'!$G$1:$CU$424,24,0)</f>
        <v>0</v>
      </c>
      <c r="PM30" s="8">
        <f>VLOOKUP(AG30,'BUS 2'!$G$1:$CU$424,25,0)</f>
        <v>0</v>
      </c>
      <c r="PN30" s="8">
        <f>VLOOKUP(AG30,'BUS 2'!$G$1:$CU$424,26,0)</f>
        <v>0</v>
      </c>
      <c r="PO30" s="8">
        <f>VLOOKUP(AG30,'BUS 2'!$G$1:$CU$424,27,0)</f>
        <v>0</v>
      </c>
      <c r="PP30" s="8">
        <f>VLOOKUP(AG30,'BUS 2'!$G$1:$CU$424,28,0)</f>
        <v>0</v>
      </c>
      <c r="PQ30" s="8">
        <f>VLOOKUP(AG30,'BUS 2'!$G$1:$CU$424,29,0)</f>
        <v>1</v>
      </c>
      <c r="PR30" s="8">
        <f>VLOOKUP(AG30,'BUS 2'!$G$1:$CU$424,30,0)</f>
        <v>1</v>
      </c>
      <c r="PS30" s="8">
        <f>VLOOKUP(AG30,'BUS 2'!$G$1:$CU$424,31,0)</f>
        <v>0</v>
      </c>
      <c r="PT30" s="9" t="s">
        <v>900</v>
      </c>
      <c r="PU30" s="8">
        <v>0.0</v>
      </c>
      <c r="PV30" s="8">
        <v>0.0</v>
      </c>
      <c r="PW30" s="8">
        <v>0.0</v>
      </c>
      <c r="PX30" s="8">
        <v>0.0</v>
      </c>
      <c r="PY30" s="8">
        <v>0.0</v>
      </c>
      <c r="PZ30" s="8">
        <v>1.0</v>
      </c>
      <c r="QA30" s="8">
        <v>0.0</v>
      </c>
      <c r="QB30" s="8">
        <v>0.0</v>
      </c>
      <c r="QC30" s="8">
        <v>0.0</v>
      </c>
      <c r="QD30" s="9"/>
      <c r="QE30" s="32"/>
      <c r="QF30" s="31"/>
      <c r="QG30" s="31"/>
      <c r="QH30" s="31"/>
      <c r="QI30" s="31"/>
      <c r="QJ30" s="31"/>
      <c r="QK30" s="32"/>
      <c r="QL30" s="32"/>
      <c r="QM30" s="32"/>
      <c r="QN30" s="32"/>
      <c r="QO30" s="32"/>
      <c r="QP30" s="32"/>
      <c r="QQ30" s="32"/>
      <c r="QR30" s="32"/>
      <c r="QS30" s="32"/>
      <c r="QT30" s="32"/>
      <c r="QU30" s="32"/>
      <c r="QV30" s="32"/>
      <c r="QW30" s="31"/>
      <c r="QX30" s="31"/>
      <c r="QY30" s="31"/>
      <c r="QZ30" s="31"/>
      <c r="RA30" s="31"/>
      <c r="RB30" s="32"/>
      <c r="RC30" s="32"/>
      <c r="RD30" s="32"/>
      <c r="RE30" s="32"/>
      <c r="RF30" s="32"/>
      <c r="RG30" s="9"/>
      <c r="RH30" s="31"/>
      <c r="RI30" s="31"/>
      <c r="RJ30" s="31"/>
      <c r="RK30" s="31"/>
      <c r="RL30" s="31"/>
      <c r="RM30" s="9"/>
      <c r="RN30" s="9"/>
      <c r="RO30" s="9"/>
      <c r="RP30" s="9"/>
      <c r="RQ30" s="9"/>
      <c r="RR30" s="9" t="s">
        <v>900</v>
      </c>
      <c r="RS30" s="35">
        <v>0.0</v>
      </c>
      <c r="RT30" s="35">
        <v>0.0</v>
      </c>
      <c r="RU30" s="35">
        <v>0.0</v>
      </c>
      <c r="RV30" s="35">
        <v>0.0</v>
      </c>
      <c r="RW30" s="35">
        <v>0.0</v>
      </c>
      <c r="RX30" s="8">
        <v>1.0</v>
      </c>
      <c r="RY30" s="8">
        <v>0.0</v>
      </c>
      <c r="RZ30" s="8">
        <v>0.0</v>
      </c>
      <c r="SA30" s="8">
        <v>0.0</v>
      </c>
      <c r="SB30" s="9"/>
      <c r="SC30" s="9" t="s">
        <v>900</v>
      </c>
      <c r="SD30" s="35">
        <v>0.0</v>
      </c>
      <c r="SE30" s="35">
        <v>0.0</v>
      </c>
      <c r="SF30" s="35">
        <v>0.0</v>
      </c>
      <c r="SG30" s="35">
        <v>0.0</v>
      </c>
      <c r="SH30" s="35">
        <v>0.0</v>
      </c>
      <c r="SI30" s="8">
        <v>1.0</v>
      </c>
      <c r="SJ30" s="8">
        <v>0.0</v>
      </c>
      <c r="SK30" s="8">
        <v>0.0</v>
      </c>
      <c r="SL30" s="8">
        <v>0.0</v>
      </c>
      <c r="SM30" s="9"/>
      <c r="SN30" s="9" t="s">
        <v>900</v>
      </c>
      <c r="SO30" s="35">
        <v>0.0</v>
      </c>
      <c r="SP30" s="35">
        <v>0.0</v>
      </c>
      <c r="SQ30" s="35">
        <v>0.0</v>
      </c>
      <c r="SR30" s="35">
        <v>0.0</v>
      </c>
      <c r="SS30" s="35">
        <v>0.0</v>
      </c>
      <c r="ST30" s="8">
        <v>1.0</v>
      </c>
      <c r="SU30" s="8">
        <v>0.0</v>
      </c>
      <c r="SV30" s="8">
        <v>0.0</v>
      </c>
      <c r="SW30" s="8">
        <v>0.0</v>
      </c>
      <c r="SX30" s="9"/>
      <c r="SY30" s="8">
        <f>VLOOKUP(AG30,'BUS 2'!$G$1:$CU$424,33,0)</f>
        <v>10</v>
      </c>
      <c r="SZ30" s="9" t="str">
        <f>VLOOKUP(AG30,'BUS 2'!$G$1:$CU$424,34,0)</f>
        <v/>
      </c>
      <c r="TA30" s="9" t="str">
        <f>VLOOKUP(AG30,'BUS 2'!$G$1:$CU$424,35,0)</f>
        <v/>
      </c>
      <c r="TB30" s="9" t="str">
        <f>VLOOKUP(AG30,'BUS 2'!$G$1:$CU$424,36,0)</f>
        <v/>
      </c>
      <c r="TC30" s="9" t="str">
        <f>VLOOKUP(AG30,'BUS 2'!$G$1:$CU$424,37,0)</f>
        <v/>
      </c>
      <c r="TD30" s="9" t="str">
        <f>VLOOKUP(AG30,'BUS 2'!$G$1:$CU$424,38,0)</f>
        <v/>
      </c>
      <c r="TE30" s="9">
        <f>VLOOKUP(AG30,'BUS 2'!$G$1:$CU$424,39,0)</f>
        <v>30</v>
      </c>
      <c r="TF30" s="9">
        <f>VLOOKUP(AG30,'BUS 2'!$G$1:$CU$424,40,0)</f>
        <v>10</v>
      </c>
      <c r="TG30" s="8">
        <f>VLOOKUP(AG30,'BUS 2'!$G$1:$CU$424,42,0)</f>
        <v>10</v>
      </c>
      <c r="TH30" s="8" t="str">
        <f>VLOOKUP(AG30,'BUS 2'!$G$1:$CU$424,43,0)</f>
        <v/>
      </c>
      <c r="TI30" s="8" t="str">
        <f>VLOOKUP(AG30,'BUS 2'!$G$1:$CU$424,44,0)</f>
        <v/>
      </c>
      <c r="TJ30" s="8" t="str">
        <f>VLOOKUP(AG30,'BUS 2'!$G$1:$CU$424,45,0)</f>
        <v/>
      </c>
      <c r="TK30" s="8" t="str">
        <f>VLOOKUP(AG30,'BUS 2'!$G$1:$CU$424,46,0)</f>
        <v/>
      </c>
      <c r="TL30" s="8" t="str">
        <f>VLOOKUP(AG30,'BUS 2'!$G$1:$CU$424,47,0)</f>
        <v/>
      </c>
      <c r="TM30" s="8">
        <f>VLOOKUP(AG30,'BUS 2'!$G$1:$CU$424,48,0)</f>
        <v>60</v>
      </c>
      <c r="TN30" s="8">
        <f>VLOOKUP(AG30,'BUS 2'!$G$1:$CU$424,49,0)</f>
        <v>10</v>
      </c>
      <c r="TO30" s="8" t="str">
        <f>VLOOKUP(AG30,'BUS 2'!$G$1:$CU$424,50,0)</f>
        <v/>
      </c>
      <c r="TP30" s="8" t="str">
        <f>VLOOKUP(AG30,'BUS 2'!$G$1:$CU$424,51,0)</f>
        <v/>
      </c>
      <c r="TQ30" s="8" t="str">
        <f>VLOOKUP(AG30,'BUS 2'!$G$1:$CU$424,52,0)</f>
        <v/>
      </c>
      <c r="TR30" s="8" t="str">
        <f>VLOOKUP(AG30,'BUS 2'!$G$1:$CU$424,53,0)</f>
        <v/>
      </c>
      <c r="TS30" s="9" t="str">
        <f>VLOOKUP(AG30,'BUS 2'!$G$1:$CU$424,54,0)</f>
        <v/>
      </c>
      <c r="TT30" s="9" t="str">
        <f>VLOOKUP(AG30,'BUS 2'!$G$1:$CU$424,55,0)</f>
        <v/>
      </c>
      <c r="TU30" s="9" t="str">
        <f>VLOOKUP(AG30,'BUS 2'!$G$1:$CU$424,56,0)</f>
        <v/>
      </c>
      <c r="TV30" s="9" t="str">
        <f>VLOOKUP(AG30,'BUS 2'!$G$1:$CU$424,57,0)</f>
        <v/>
      </c>
      <c r="TW30" s="9" t="str">
        <f>VLOOKUP(AG30,'BUS 2'!$G$1:$CU$424,58,0)</f>
        <v/>
      </c>
      <c r="TX30" s="9" t="str">
        <f>VLOOKUP(AG30,'BUS 2'!$G$1:$CU$424,59,0)</f>
        <v/>
      </c>
      <c r="TY30" s="9" t="str">
        <f>VLOOKUP(AG30,'BUS 2'!$G$1:$CU$424,60,0)</f>
        <v/>
      </c>
      <c r="TZ30" s="9" t="str">
        <f>VLOOKUP(AG30,'BUS 2'!$G$1:$CU$424,61,0)</f>
        <v/>
      </c>
      <c r="UA30" s="9" t="str">
        <f>VLOOKUP(AG30,'BUS 2'!$G$1:$CU$424,62,0)</f>
        <v/>
      </c>
      <c r="UB30" s="9" t="str">
        <f>VLOOKUP(AG30,'BUS 2'!$G$1:$CU$424,63,0)</f>
        <v/>
      </c>
      <c r="UC30" s="9" t="str">
        <f>VLOOKUP(AG30,'BUS 2'!$G$1:$CU$424,64,0)</f>
        <v/>
      </c>
      <c r="UD30" s="9" t="str">
        <f>VLOOKUP(AG30,'BUS 2'!$G$1:$CU$424,65,0)</f>
        <v/>
      </c>
      <c r="UE30" s="9" t="str">
        <f>VLOOKUP(AG30,'BUS 2'!$G$1:$CU$424,66,0)</f>
        <v/>
      </c>
      <c r="UF30" s="9" t="str">
        <f>VLOOKUP(AG30,'BUS 2'!$G$1:$CU$424,67,0)</f>
        <v/>
      </c>
      <c r="UG30" s="9" t="str">
        <f>VLOOKUP(AG30,'BUS 2'!$G$1:$CU$424,68,0)</f>
        <v/>
      </c>
      <c r="UH30" s="9" t="str">
        <f>VLOOKUP(AG30,'BUS 2'!$G$1:$CU$424,69,0)</f>
        <v/>
      </c>
      <c r="UI30" s="9" t="str">
        <f>VLOOKUP(AG30,'BUS 2'!$G$1:$CU$424,70,0)</f>
        <v/>
      </c>
      <c r="UJ30" s="9" t="str">
        <f>VLOOKUP(AG30,'BUS 2'!$G$1:$CU$424,71,0)</f>
        <v/>
      </c>
      <c r="UK30" s="9" t="str">
        <f>VLOOKUP(AG30,'BUS 2'!$G$1:$CU$424,72,0)</f>
        <v/>
      </c>
      <c r="UL30" s="9" t="str">
        <f>VLOOKUP(AG30,'BUS 2'!$G$1:$CU$424,73,0)</f>
        <v/>
      </c>
      <c r="UM30" s="9">
        <f>VLOOKUP(AG30,'BUS 2'!$G$1:$CU$424,74,0)</f>
        <v>0</v>
      </c>
      <c r="UN30" s="9">
        <f>VLOOKUP(AG30,'BUS 2'!$G$1:$CU$424,75,0)</f>
        <v>0</v>
      </c>
      <c r="UO30" s="9">
        <f>VLOOKUP(AG30,'BUS 2'!$G$1:$CU$424,76,0)</f>
        <v>0</v>
      </c>
      <c r="UP30" s="9">
        <f>VLOOKUP(AG30,'BUS 2'!$G$1:$CU$424,77,0)</f>
        <v>40</v>
      </c>
      <c r="UQ30" s="9">
        <f>VLOOKUP(AG30,'BUS 2'!$G$1:$CU$424,78,0)</f>
        <v>0</v>
      </c>
      <c r="UR30" s="9">
        <f>VLOOKUP(AG30,'BUS 2'!$G$1:$CU$424,79,0)</f>
        <v>0</v>
      </c>
      <c r="US30" s="9">
        <f>VLOOKUP(AG30,'BUS 2'!$G$1:$CU$424,80,0)</f>
        <v>0</v>
      </c>
      <c r="UT30" s="9">
        <f>VLOOKUP(AG30,'BUS 2'!$G$1:$CU$424,81,0)</f>
        <v>0</v>
      </c>
      <c r="UU30" s="9" t="s">
        <v>1937</v>
      </c>
      <c r="UV30" s="9"/>
      <c r="UW30" s="9"/>
      <c r="UX30" s="9"/>
      <c r="UY30" s="9"/>
      <c r="UZ30" s="9"/>
      <c r="VA30" s="9" t="s">
        <v>1937</v>
      </c>
      <c r="VB30" s="9" t="s">
        <v>1937</v>
      </c>
      <c r="VC30" s="9" t="s">
        <v>2100</v>
      </c>
      <c r="VD30" s="9"/>
      <c r="VE30" s="9"/>
      <c r="VF30" s="9"/>
      <c r="VG30" s="9"/>
      <c r="VH30" s="9"/>
      <c r="VI30" s="9" t="s">
        <v>1938</v>
      </c>
      <c r="VJ30" s="9" t="s">
        <v>1938</v>
      </c>
      <c r="VK30" s="9" t="s">
        <v>1938</v>
      </c>
      <c r="VL30" s="9"/>
      <c r="VM30" s="9"/>
      <c r="VN30" s="9"/>
      <c r="VO30" s="9"/>
      <c r="VP30" s="9"/>
      <c r="VQ30" s="9" t="s">
        <v>1938</v>
      </c>
      <c r="VR30" s="9" t="s">
        <v>1938</v>
      </c>
      <c r="VS30" s="9" t="s">
        <v>1940</v>
      </c>
      <c r="VT30" s="8">
        <v>0.0</v>
      </c>
      <c r="VU30" s="8">
        <v>0.0</v>
      </c>
      <c r="VV30" s="8">
        <v>0.0</v>
      </c>
      <c r="VW30" s="8">
        <v>0.0</v>
      </c>
      <c r="VX30" s="8">
        <v>0.0</v>
      </c>
      <c r="VY30" s="8">
        <v>1.0</v>
      </c>
      <c r="VZ30" s="8">
        <v>0.0</v>
      </c>
      <c r="WA30" s="8">
        <v>0.0</v>
      </c>
      <c r="WB30" s="8">
        <v>0.0</v>
      </c>
      <c r="WC30" s="8">
        <v>0.0</v>
      </c>
      <c r="WD30" s="8">
        <v>0.0</v>
      </c>
      <c r="WE30" s="8">
        <v>0.0</v>
      </c>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t="s">
        <v>1941</v>
      </c>
      <c r="YO30" s="8">
        <v>0.0</v>
      </c>
      <c r="YP30" s="8">
        <v>0.0</v>
      </c>
      <c r="YQ30" s="8">
        <v>0.0</v>
      </c>
      <c r="YR30" s="8">
        <v>0.0</v>
      </c>
      <c r="YS30" s="8">
        <v>0.0</v>
      </c>
      <c r="YT30" s="8">
        <v>0.0</v>
      </c>
      <c r="YU30" s="8">
        <v>0.0</v>
      </c>
      <c r="YV30" s="8">
        <v>0.0</v>
      </c>
      <c r="YW30" s="8">
        <v>0.0</v>
      </c>
      <c r="YX30" s="8">
        <v>0.0</v>
      </c>
      <c r="YY30" s="8">
        <v>0.0</v>
      </c>
      <c r="YZ30" s="8">
        <v>1.0</v>
      </c>
      <c r="ZA30" s="9" t="s">
        <v>1941</v>
      </c>
      <c r="ZB30" s="8">
        <v>0.0</v>
      </c>
      <c r="ZC30" s="8">
        <v>0.0</v>
      </c>
      <c r="ZD30" s="8">
        <v>0.0</v>
      </c>
      <c r="ZE30" s="8">
        <v>0.0</v>
      </c>
      <c r="ZF30" s="8">
        <v>0.0</v>
      </c>
      <c r="ZG30" s="8">
        <v>0.0</v>
      </c>
      <c r="ZH30" s="8">
        <v>0.0</v>
      </c>
      <c r="ZI30" s="8">
        <v>0.0</v>
      </c>
      <c r="ZJ30" s="8">
        <v>0.0</v>
      </c>
      <c r="ZK30" s="8">
        <v>0.0</v>
      </c>
      <c r="ZL30" s="8">
        <v>0.0</v>
      </c>
      <c r="ZM30" s="8">
        <v>1.0</v>
      </c>
      <c r="ZN30" s="9"/>
      <c r="ZO30" s="9"/>
      <c r="ZP30" s="9"/>
      <c r="ZQ30" s="9"/>
      <c r="ZR30" s="9"/>
      <c r="ZS30" s="9"/>
      <c r="ZT30" s="9"/>
      <c r="ZU30" s="9"/>
      <c r="ZV30" s="8">
        <v>2.0</v>
      </c>
      <c r="ZW30" s="9"/>
      <c r="ZX30" s="9"/>
      <c r="ZY30" s="9"/>
      <c r="ZZ30" s="9"/>
      <c r="AAA30" s="9"/>
      <c r="AAB30" s="8">
        <v>2.0</v>
      </c>
      <c r="AAC30" s="8">
        <v>2.0</v>
      </c>
      <c r="AAD30" s="9" t="s">
        <v>1186</v>
      </c>
      <c r="AAE30" s="9"/>
      <c r="AAF30" s="9"/>
      <c r="AAG30" s="9"/>
      <c r="AAH30" s="9"/>
      <c r="AAI30" s="9"/>
      <c r="AAJ30" s="9" t="s">
        <v>905</v>
      </c>
      <c r="AAK30" s="9" t="s">
        <v>1186</v>
      </c>
      <c r="AAL30" s="9" t="s">
        <v>857</v>
      </c>
      <c r="AAM30" s="9" t="s">
        <v>1942</v>
      </c>
      <c r="AAN30" s="8">
        <v>0.0</v>
      </c>
      <c r="AAO30" s="8">
        <v>1.0</v>
      </c>
      <c r="AAP30" s="8">
        <v>20.0</v>
      </c>
      <c r="AAQ30" s="9"/>
      <c r="AAR30" s="9" t="s">
        <v>881</v>
      </c>
      <c r="AAS30" s="9" t="s">
        <v>867</v>
      </c>
      <c r="AAT30" s="9" t="s">
        <v>2101</v>
      </c>
      <c r="AAU30" s="8">
        <v>0.0</v>
      </c>
      <c r="AAV30" s="8">
        <v>0.0</v>
      </c>
      <c r="AAW30" s="8">
        <v>0.0</v>
      </c>
      <c r="AAX30" s="8">
        <v>1.0</v>
      </c>
      <c r="AAY30" s="8">
        <v>0.0</v>
      </c>
      <c r="AAZ30" s="8">
        <v>0.0</v>
      </c>
      <c r="ABA30" s="8">
        <v>0.0</v>
      </c>
      <c r="ABB30" s="9"/>
      <c r="ABC30" s="9"/>
      <c r="ABD30" s="9"/>
      <c r="ABE30" s="9"/>
      <c r="ABF30" s="9"/>
      <c r="ABG30" s="9"/>
      <c r="ABH30" s="9"/>
      <c r="ABI30" s="9"/>
      <c r="ABJ30" s="9"/>
      <c r="ABK30" s="9"/>
      <c r="ABL30" s="9"/>
      <c r="ABM30" s="9"/>
      <c r="ABN30" s="9"/>
      <c r="ABO30" s="9"/>
      <c r="ABP30" s="9"/>
      <c r="ABQ30" s="9" t="s">
        <v>2525</v>
      </c>
      <c r="ABR30" s="9" t="s">
        <v>2289</v>
      </c>
      <c r="ABS30" s="9"/>
      <c r="ABT30" s="8">
        <v>1000.0</v>
      </c>
      <c r="ABU30" s="9"/>
      <c r="ABV30" s="9"/>
      <c r="ABW30" s="9"/>
      <c r="ABX30" s="9"/>
      <c r="ABY30" s="9"/>
      <c r="ABZ30" s="9"/>
      <c r="ACA30" s="9"/>
      <c r="ACB30" s="9"/>
      <c r="ACC30" s="9"/>
      <c r="ACD30" s="9"/>
      <c r="ACE30" s="9"/>
      <c r="ACF30" s="9"/>
      <c r="ACG30" s="9"/>
      <c r="ACH30" s="9"/>
      <c r="ACI30" s="9"/>
      <c r="ACJ30" s="9"/>
      <c r="ACK30" s="9" t="s">
        <v>955</v>
      </c>
      <c r="ACL30" s="8">
        <v>0.0</v>
      </c>
      <c r="ACM30" s="8">
        <v>0.0</v>
      </c>
      <c r="ACN30" s="8">
        <v>0.0</v>
      </c>
      <c r="ACO30" s="8">
        <v>1.0</v>
      </c>
      <c r="ACP30" s="8">
        <v>0.0</v>
      </c>
      <c r="ACQ30" s="8">
        <v>0.0</v>
      </c>
      <c r="ACR30" s="8">
        <v>0.0</v>
      </c>
      <c r="ACS30" s="9"/>
      <c r="ACT30" s="9" t="s">
        <v>1945</v>
      </c>
      <c r="ACU30" s="9" t="s">
        <v>913</v>
      </c>
      <c r="ACV30" s="9" t="s">
        <v>914</v>
      </c>
      <c r="ACW30" s="9" t="s">
        <v>915</v>
      </c>
      <c r="ACX30" s="9" t="s">
        <v>958</v>
      </c>
      <c r="ACY30" s="9" t="s">
        <v>1017</v>
      </c>
      <c r="ACZ30" s="8">
        <v>1.0</v>
      </c>
      <c r="ADA30" s="8">
        <v>1.0</v>
      </c>
      <c r="ADB30" s="8">
        <v>1.0</v>
      </c>
      <c r="ADC30" s="8">
        <v>0.0</v>
      </c>
      <c r="ADD30" s="9" t="s">
        <v>917</v>
      </c>
      <c r="ADE30" s="9" t="s">
        <v>917</v>
      </c>
      <c r="ADF30" s="9" t="s">
        <v>917</v>
      </c>
      <c r="ADG30" s="9" t="s">
        <v>917</v>
      </c>
      <c r="ADH30" s="9" t="s">
        <v>881</v>
      </c>
      <c r="ADI30" s="9"/>
      <c r="ADJ30" s="9" t="s">
        <v>918</v>
      </c>
      <c r="ADK30" s="9"/>
      <c r="ADL30" s="9"/>
      <c r="ADM30" s="9"/>
      <c r="ADN30" s="9"/>
      <c r="ADO30" s="9"/>
      <c r="ADP30" s="9"/>
      <c r="ADQ30" s="9"/>
      <c r="ADR30" s="9"/>
      <c r="ADS30" s="9"/>
      <c r="ADT30" s="9"/>
      <c r="ADU30" s="9" t="s">
        <v>2046</v>
      </c>
      <c r="ADV30" s="8">
        <v>0.0</v>
      </c>
      <c r="ADW30" s="8">
        <v>0.0</v>
      </c>
      <c r="ADX30" s="8">
        <v>0.0</v>
      </c>
      <c r="ADY30" s="8">
        <v>0.0</v>
      </c>
      <c r="ADZ30" s="8">
        <v>0.0</v>
      </c>
      <c r="AEA30" s="8">
        <v>1.0</v>
      </c>
      <c r="AEB30" s="8">
        <v>0.0</v>
      </c>
      <c r="AEC30" s="8">
        <v>0.0</v>
      </c>
      <c r="AED30" s="9" t="s">
        <v>1945</v>
      </c>
      <c r="AEE30" s="9" t="s">
        <v>872</v>
      </c>
      <c r="AEF30" s="9"/>
      <c r="AEG30" s="9" t="s">
        <v>920</v>
      </c>
      <c r="AEH30" s="9"/>
      <c r="AEI30" s="9" t="s">
        <v>2526</v>
      </c>
      <c r="AEJ30" s="9" t="s">
        <v>871</v>
      </c>
      <c r="AEK30" s="9" t="s">
        <v>2452</v>
      </c>
      <c r="AEL30" s="8">
        <v>1.0</v>
      </c>
      <c r="AEM30" s="8">
        <v>0.0</v>
      </c>
      <c r="AEN30" s="8">
        <v>0.0</v>
      </c>
      <c r="AEO30" s="8">
        <v>0.0</v>
      </c>
      <c r="AEP30" s="8">
        <v>1.0</v>
      </c>
      <c r="AEQ30" s="8">
        <v>0.0</v>
      </c>
      <c r="AER30" s="8">
        <v>1.0</v>
      </c>
      <c r="AES30" s="8">
        <v>1.0</v>
      </c>
      <c r="AET30" s="8">
        <v>1.0</v>
      </c>
      <c r="AEU30" s="8">
        <v>0.0</v>
      </c>
      <c r="AEV30" s="8">
        <v>0.0</v>
      </c>
      <c r="AEW30" s="8">
        <v>0.0</v>
      </c>
      <c r="AEX30" s="9"/>
      <c r="AEY30" s="9" t="s">
        <v>1305</v>
      </c>
      <c r="AEZ30" s="9"/>
      <c r="AFA30" s="9" t="s">
        <v>2077</v>
      </c>
      <c r="AFB30" s="9"/>
      <c r="AFC30" s="9" t="s">
        <v>2527</v>
      </c>
      <c r="AFD30" s="16" t="s">
        <v>2528</v>
      </c>
      <c r="AFE30" s="9" t="s">
        <v>2529</v>
      </c>
      <c r="AFF30" s="16" t="s">
        <v>2530</v>
      </c>
      <c r="AFG30" s="9" t="s">
        <v>2443</v>
      </c>
      <c r="AFH30" s="9"/>
      <c r="AFI30" s="21" t="s">
        <v>2531</v>
      </c>
      <c r="AFJ30" s="9"/>
      <c r="AFK30" s="9"/>
      <c r="AFL30" s="9"/>
      <c r="AFM30" s="9"/>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c r="AGV30" s="9"/>
      <c r="AGW30" s="9"/>
      <c r="AGX30" s="9"/>
      <c r="AGY30" s="9"/>
      <c r="AGZ30" s="9"/>
      <c r="AHA30" s="9"/>
      <c r="AHB30" s="9"/>
      <c r="AHC30" s="9"/>
      <c r="AHD30" s="9"/>
      <c r="AHE30" s="9"/>
      <c r="AHF30" s="9"/>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c r="AQH30" s="9"/>
      <c r="AQI30" s="9"/>
      <c r="AQJ30" s="9"/>
      <c r="AQK30" s="9"/>
      <c r="AQL30" s="9"/>
      <c r="AQM30" s="9"/>
      <c r="AQN30" s="9"/>
      <c r="AQO30" s="9"/>
      <c r="AQP30" s="9"/>
      <c r="AQQ30" s="9"/>
      <c r="AQR30" s="9"/>
      <c r="AQS30" s="9"/>
      <c r="AQT30" s="9"/>
      <c r="AQU30" s="9"/>
      <c r="AQV30" s="9"/>
      <c r="AQW30" s="9"/>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c r="ATS30" s="9"/>
      <c r="ATT30" s="9"/>
      <c r="ATU30" s="9"/>
      <c r="ATV30" s="9"/>
      <c r="ATW30" s="9"/>
      <c r="ATX30" s="9"/>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8">
        <v>6.72501043E8</v>
      </c>
      <c r="AWB30" s="9" t="s">
        <v>2532</v>
      </c>
      <c r="AWC30" s="6">
        <v>46068.0</v>
      </c>
      <c r="AWD30" s="9"/>
      <c r="AWE30" s="9"/>
      <c r="AWF30" s="9" t="s">
        <v>1954</v>
      </c>
      <c r="AWG30" s="9"/>
      <c r="AWH30" s="9" t="s">
        <v>1989</v>
      </c>
      <c r="AWI30" s="9"/>
      <c r="AWJ30" s="9" t="s">
        <v>2533</v>
      </c>
      <c r="AWK30" s="8">
        <v>251.0</v>
      </c>
      <c r="AWL30" s="9" t="s">
        <v>2523</v>
      </c>
      <c r="AWM30" s="8">
        <v>0.0</v>
      </c>
      <c r="AWN30" s="9" t="s">
        <v>1957</v>
      </c>
      <c r="AWO30" s="33" t="b">
        <v>1</v>
      </c>
      <c r="AWP30" s="33" t="b">
        <v>1</v>
      </c>
      <c r="AWQ30" s="33" t="b">
        <v>1</v>
      </c>
      <c r="AWR30" s="33" t="b">
        <v>1</v>
      </c>
      <c r="AWS30" s="33" t="b">
        <v>1</v>
      </c>
      <c r="AWT30" s="33" t="b">
        <v>1</v>
      </c>
      <c r="AWU30" s="9"/>
      <c r="AWV30" s="8">
        <v>3.0</v>
      </c>
      <c r="AWW30" s="9"/>
      <c r="AWX30" s="9"/>
      <c r="AWY30" s="9"/>
      <c r="AWZ30" s="9"/>
    </row>
    <row r="31">
      <c r="A31" s="6">
        <v>46068.0</v>
      </c>
      <c r="B31" s="6">
        <v>46068.0</v>
      </c>
      <c r="C31" s="30" t="s">
        <v>1919</v>
      </c>
      <c r="D31" s="30" t="s">
        <v>2534</v>
      </c>
      <c r="E31" s="8">
        <f>+6281355722498</f>
        <v>6281355722498</v>
      </c>
      <c r="F31" s="9" t="s">
        <v>2535</v>
      </c>
      <c r="G31" s="8">
        <v>-5.156567</v>
      </c>
      <c r="H31" s="8">
        <v>119.642429</v>
      </c>
      <c r="I31" s="8">
        <v>115.212</v>
      </c>
      <c r="J31" s="8">
        <v>3.986999989</v>
      </c>
      <c r="K31" s="8">
        <v>0.0</v>
      </c>
      <c r="L31" s="9" t="s">
        <v>2536</v>
      </c>
      <c r="M31" s="8">
        <v>-5.156366</v>
      </c>
      <c r="N31" s="8">
        <v>119.642456</v>
      </c>
      <c r="O31" s="8">
        <v>121.533</v>
      </c>
      <c r="P31" s="8">
        <v>0.7710000277</v>
      </c>
      <c r="Q31" s="8">
        <v>0.0</v>
      </c>
      <c r="R31" s="9" t="s">
        <v>1923</v>
      </c>
      <c r="S31" s="8">
        <v>0.0</v>
      </c>
      <c r="T31" s="8">
        <v>0.0</v>
      </c>
      <c r="U31" s="8">
        <v>0.0</v>
      </c>
      <c r="V31" s="8">
        <v>0.0</v>
      </c>
      <c r="W31" s="8">
        <v>0.0</v>
      </c>
      <c r="X31" s="8">
        <v>0.0</v>
      </c>
      <c r="Y31" s="8">
        <v>0.0</v>
      </c>
      <c r="Z31" s="8">
        <v>0.0</v>
      </c>
      <c r="AA31" s="8">
        <v>0.0</v>
      </c>
      <c r="AB31" s="8">
        <v>1.0</v>
      </c>
      <c r="AC31" s="7" t="s">
        <v>1924</v>
      </c>
      <c r="AD31" s="7" t="s">
        <v>2088</v>
      </c>
      <c r="AE31" s="7" t="s">
        <v>2089</v>
      </c>
      <c r="AF31" s="9" t="s">
        <v>2090</v>
      </c>
      <c r="AG31" s="9" t="s">
        <v>2537</v>
      </c>
      <c r="AH31" s="8">
        <v>12.0</v>
      </c>
      <c r="AI31" s="9" t="s">
        <v>933</v>
      </c>
      <c r="AJ31" s="9" t="s">
        <v>934</v>
      </c>
      <c r="AK31" s="8">
        <v>46.0</v>
      </c>
      <c r="AL31" s="9" t="s">
        <v>1444</v>
      </c>
      <c r="AM31" s="9" t="s">
        <v>848</v>
      </c>
      <c r="AN31" s="9" t="s">
        <v>1099</v>
      </c>
      <c r="AO31" s="9" t="s">
        <v>1168</v>
      </c>
      <c r="AP31" s="8">
        <v>0.0</v>
      </c>
      <c r="AQ31" s="8">
        <v>0.0</v>
      </c>
      <c r="AR31" s="8">
        <v>0.0</v>
      </c>
      <c r="AS31" s="8">
        <v>0.0</v>
      </c>
      <c r="AT31" s="8">
        <v>1.0</v>
      </c>
      <c r="AU31" s="8">
        <v>0.0</v>
      </c>
      <c r="AV31" s="8">
        <v>0.0</v>
      </c>
      <c r="AW31" s="8">
        <v>0.0</v>
      </c>
      <c r="AX31" s="9"/>
      <c r="AY31" s="9" t="s">
        <v>999</v>
      </c>
      <c r="AZ31" s="8">
        <v>0.0</v>
      </c>
      <c r="BA31" s="8">
        <v>0.0</v>
      </c>
      <c r="BB31" s="8">
        <v>0.0</v>
      </c>
      <c r="BC31" s="8">
        <v>0.0</v>
      </c>
      <c r="BD31" s="8">
        <v>0.0</v>
      </c>
      <c r="BE31" s="8">
        <v>0.0</v>
      </c>
      <c r="BF31" s="8">
        <v>0.0</v>
      </c>
      <c r="BG31" s="8">
        <v>1.0</v>
      </c>
      <c r="BH31" s="11"/>
      <c r="BI31" s="9" t="s">
        <v>852</v>
      </c>
      <c r="BJ31" s="8">
        <v>1.0</v>
      </c>
      <c r="BK31" s="8">
        <v>1.0</v>
      </c>
      <c r="BL31" s="8">
        <v>3.0</v>
      </c>
      <c r="BM31" s="8">
        <v>0.0</v>
      </c>
      <c r="BN31" s="9" t="s">
        <v>853</v>
      </c>
      <c r="BO31" s="9" t="s">
        <v>2538</v>
      </c>
      <c r="BP31" s="8">
        <v>1.0</v>
      </c>
      <c r="BQ31" s="8">
        <v>0.0</v>
      </c>
      <c r="BR31" s="8">
        <v>0.0</v>
      </c>
      <c r="BS31" s="8">
        <v>1.0</v>
      </c>
      <c r="BT31" s="8">
        <v>0.0</v>
      </c>
      <c r="BU31" s="9"/>
      <c r="BV31" s="9" t="s">
        <v>855</v>
      </c>
      <c r="BW31" s="8">
        <v>0.0</v>
      </c>
      <c r="BX31" s="8">
        <v>0.0</v>
      </c>
      <c r="BY31" s="8">
        <v>1.0</v>
      </c>
      <c r="BZ31" s="8">
        <v>0.0</v>
      </c>
      <c r="CA31" s="8">
        <v>0.0</v>
      </c>
      <c r="CB31" s="9"/>
      <c r="CC31" s="9" t="s">
        <v>1929</v>
      </c>
      <c r="CD31" s="8">
        <v>0.0</v>
      </c>
      <c r="CE31" s="8">
        <v>0.0</v>
      </c>
      <c r="CF31" s="8">
        <v>0.0</v>
      </c>
      <c r="CG31" s="8">
        <v>0.0</v>
      </c>
      <c r="CH31" s="8">
        <v>1.0</v>
      </c>
      <c r="CI31" s="8">
        <v>0.0</v>
      </c>
      <c r="CJ31" s="8">
        <v>0.0</v>
      </c>
      <c r="CK31" s="9"/>
      <c r="CL31" s="9" t="s">
        <v>857</v>
      </c>
      <c r="CM31" s="8">
        <v>2014.0</v>
      </c>
      <c r="CN31" s="9" t="s">
        <v>858</v>
      </c>
      <c r="CO31" s="9" t="s">
        <v>2405</v>
      </c>
      <c r="CP31" s="9" t="s">
        <v>860</v>
      </c>
      <c r="CQ31" s="8">
        <v>0.0</v>
      </c>
      <c r="CR31" s="8">
        <v>0.0</v>
      </c>
      <c r="CS31" s="8">
        <v>0.0</v>
      </c>
      <c r="CT31" s="8">
        <v>0.0</v>
      </c>
      <c r="CU31" s="8">
        <v>1.0</v>
      </c>
      <c r="CV31" s="8">
        <v>0.0</v>
      </c>
      <c r="CW31" s="8">
        <v>0.0</v>
      </c>
      <c r="CX31" s="8">
        <v>0.0</v>
      </c>
      <c r="CY31" s="9" t="s">
        <v>860</v>
      </c>
      <c r="CZ31" s="8">
        <v>1.0</v>
      </c>
      <c r="DA31" s="8">
        <v>0.0</v>
      </c>
      <c r="DB31" s="8">
        <v>0.0</v>
      </c>
      <c r="DC31" s="9"/>
      <c r="DD31" s="9" t="s">
        <v>860</v>
      </c>
      <c r="DE31" s="8">
        <v>1.0</v>
      </c>
      <c r="DF31" s="8">
        <v>0.0</v>
      </c>
      <c r="DG31" s="8">
        <v>0.0</v>
      </c>
      <c r="DH31" s="8">
        <v>0.0</v>
      </c>
      <c r="DI31" s="9"/>
      <c r="DJ31" s="9" t="s">
        <v>861</v>
      </c>
      <c r="DK31" s="8">
        <v>0.0</v>
      </c>
      <c r="DL31" s="8">
        <v>0.0</v>
      </c>
      <c r="DM31" s="8">
        <v>1.0</v>
      </c>
      <c r="DN31" s="8">
        <v>0.0</v>
      </c>
      <c r="DO31" s="9"/>
      <c r="DP31" s="9" t="s">
        <v>938</v>
      </c>
      <c r="DQ31" s="9" t="s">
        <v>939</v>
      </c>
      <c r="DR31" s="17" t="s">
        <v>987</v>
      </c>
      <c r="DS31" s="9"/>
      <c r="DT31" s="9"/>
      <c r="DU31" s="9"/>
      <c r="DV31" s="9"/>
      <c r="DW31" s="9"/>
      <c r="DX31" s="9"/>
      <c r="DY31" s="9"/>
      <c r="DZ31" s="9"/>
      <c r="EA31" s="9"/>
      <c r="EB31" s="9"/>
      <c r="EC31" s="9"/>
      <c r="ED31" s="9"/>
      <c r="EE31" s="9"/>
      <c r="EF31" s="9"/>
      <c r="EG31" s="9"/>
      <c r="EH31" s="9"/>
      <c r="EI31" s="31" t="s">
        <v>862</v>
      </c>
      <c r="EJ31" s="8">
        <v>0.0</v>
      </c>
      <c r="EK31" s="8">
        <v>0.0</v>
      </c>
      <c r="EL31" s="8">
        <v>0.0</v>
      </c>
      <c r="EM31" s="8">
        <v>1.0</v>
      </c>
      <c r="EN31" s="8">
        <v>0.0</v>
      </c>
      <c r="EO31" s="9"/>
      <c r="EP31" s="9" t="s">
        <v>863</v>
      </c>
      <c r="EQ31" s="9" t="s">
        <v>864</v>
      </c>
      <c r="ER31" s="9" t="s">
        <v>1046</v>
      </c>
      <c r="ES31" s="8">
        <v>1.0</v>
      </c>
      <c r="ET31" s="8">
        <v>1.0</v>
      </c>
      <c r="EU31" s="8">
        <v>0.0</v>
      </c>
      <c r="EV31" s="8">
        <v>0.0</v>
      </c>
      <c r="EW31" s="9"/>
      <c r="EX31" s="9" t="s">
        <v>865</v>
      </c>
      <c r="EY31" s="8">
        <v>1.0</v>
      </c>
      <c r="EZ31" s="8">
        <v>0.0</v>
      </c>
      <c r="FA31" s="8">
        <v>0.0</v>
      </c>
      <c r="FB31" s="9"/>
      <c r="FC31" s="9" t="s">
        <v>1028</v>
      </c>
      <c r="FD31" s="9"/>
      <c r="FE31" s="9" t="s">
        <v>867</v>
      </c>
      <c r="FF31" s="9" t="s">
        <v>868</v>
      </c>
      <c r="FG31" s="9" t="s">
        <v>867</v>
      </c>
      <c r="FH31" s="9" t="s">
        <v>868</v>
      </c>
      <c r="FI31" s="9" t="s">
        <v>867</v>
      </c>
      <c r="FJ31" s="9" t="s">
        <v>868</v>
      </c>
      <c r="FK31" s="9" t="s">
        <v>867</v>
      </c>
      <c r="FL31" s="9" t="s">
        <v>870</v>
      </c>
      <c r="FM31" s="9" t="s">
        <v>867</v>
      </c>
      <c r="FN31" s="9" t="s">
        <v>943</v>
      </c>
      <c r="FO31" s="9" t="s">
        <v>867</v>
      </c>
      <c r="FP31" s="9" t="s">
        <v>870</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1930</v>
      </c>
      <c r="GJ31" s="8">
        <v>1.0</v>
      </c>
      <c r="GK31" s="8">
        <v>1.0</v>
      </c>
      <c r="GL31" s="8">
        <v>1.0</v>
      </c>
      <c r="GM31" s="8">
        <v>0.0</v>
      </c>
      <c r="GN31" s="9"/>
      <c r="GO31" s="8">
        <v>10.0</v>
      </c>
      <c r="GP31" s="34" t="s">
        <v>1931</v>
      </c>
      <c r="GQ31" s="9" t="s">
        <v>1102</v>
      </c>
      <c r="GR31" s="8">
        <v>1.0</v>
      </c>
      <c r="GS31" s="8">
        <v>0.0</v>
      </c>
      <c r="GT31" s="8">
        <v>0.0</v>
      </c>
      <c r="GU31" s="8">
        <v>0.0</v>
      </c>
      <c r="GV31" s="8">
        <v>0.0</v>
      </c>
      <c r="GW31" s="8">
        <v>0.0</v>
      </c>
      <c r="GX31" s="8">
        <v>0.0</v>
      </c>
      <c r="GY31" s="9"/>
      <c r="GZ31" s="9" t="s">
        <v>857</v>
      </c>
      <c r="HA31" s="9"/>
      <c r="HB31" s="9"/>
      <c r="HC31" s="9"/>
      <c r="HD31" s="9"/>
      <c r="HE31" s="8">
        <v>18.0</v>
      </c>
      <c r="HF31" s="8">
        <v>96000.0</v>
      </c>
      <c r="HG31" s="8">
        <v>3.0</v>
      </c>
      <c r="HH31" s="8">
        <v>22000.0</v>
      </c>
      <c r="HI31" s="9"/>
      <c r="HJ31" s="9"/>
      <c r="HK31" s="9"/>
      <c r="HL31" s="9"/>
      <c r="HM31" s="9"/>
      <c r="HN31" s="9"/>
      <c r="HO31" s="9"/>
      <c r="HP31" s="9"/>
      <c r="HQ31" s="9"/>
      <c r="HR31" s="9"/>
      <c r="HS31" s="9"/>
      <c r="HT31" s="9"/>
      <c r="HU31" s="9"/>
      <c r="HV31" s="9"/>
      <c r="HW31" s="9"/>
      <c r="HX31" s="9"/>
      <c r="HY31" s="9"/>
      <c r="HZ31" s="9"/>
      <c r="IA31" s="8">
        <v>15.0</v>
      </c>
      <c r="IB31" s="8">
        <v>74000.0</v>
      </c>
      <c r="IC31" s="9"/>
      <c r="ID31" s="9"/>
      <c r="IE31" s="9"/>
      <c r="IF31" s="9"/>
      <c r="IG31" s="9"/>
      <c r="IH31" s="9"/>
      <c r="II31" s="9"/>
      <c r="IJ31" s="9"/>
      <c r="IK31" s="9" t="s">
        <v>879</v>
      </c>
      <c r="IL31" s="9" t="s">
        <v>1366</v>
      </c>
      <c r="IM31" s="9" t="s">
        <v>857</v>
      </c>
      <c r="IN31" s="9" t="s">
        <v>857</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999</v>
      </c>
      <c r="KW31" s="8">
        <v>0.0</v>
      </c>
      <c r="KX31" s="8">
        <v>0.0</v>
      </c>
      <c r="KY31" s="8">
        <v>0.0</v>
      </c>
      <c r="KZ31" s="8">
        <v>1.0</v>
      </c>
      <c r="LA31" s="9" t="s">
        <v>1180</v>
      </c>
      <c r="LB31" s="9" t="s">
        <v>1180</v>
      </c>
      <c r="LC31" s="8">
        <v>0.0</v>
      </c>
      <c r="LD31" s="8">
        <v>0.0</v>
      </c>
      <c r="LE31" s="8">
        <v>0.0</v>
      </c>
      <c r="LF31" s="8">
        <v>0.0</v>
      </c>
      <c r="LG31" s="9" t="s">
        <v>857</v>
      </c>
      <c r="LH31" s="8">
        <v>300000.0</v>
      </c>
      <c r="LI31" s="9"/>
      <c r="LJ31" s="9" t="s">
        <v>887</v>
      </c>
      <c r="LK31" s="8">
        <v>0.0</v>
      </c>
      <c r="LL31" s="8">
        <v>0.0</v>
      </c>
      <c r="LM31" s="8">
        <v>0.0</v>
      </c>
      <c r="LN31" s="8">
        <v>0.0</v>
      </c>
      <c r="LO31" s="8">
        <v>1.0</v>
      </c>
      <c r="LP31" s="8">
        <v>0.0</v>
      </c>
      <c r="LQ31" s="8">
        <v>0.0</v>
      </c>
      <c r="LR31" s="11"/>
      <c r="LS31" s="8">
        <v>15.0</v>
      </c>
      <c r="LT31" s="8">
        <v>0.0</v>
      </c>
      <c r="LU31" s="8">
        <v>0.0</v>
      </c>
      <c r="LV31" s="8">
        <v>10.0</v>
      </c>
      <c r="LW31" s="8">
        <v>0.0</v>
      </c>
      <c r="LX31" s="8">
        <v>0.0</v>
      </c>
      <c r="LY31" s="8">
        <v>5.0</v>
      </c>
      <c r="LZ31" s="8">
        <v>0.0</v>
      </c>
      <c r="MA31" s="8">
        <v>0.0</v>
      </c>
      <c r="MB31" s="9" t="s">
        <v>857</v>
      </c>
      <c r="MC31" s="8">
        <v>0.0</v>
      </c>
      <c r="MD31" s="8">
        <v>0.0</v>
      </c>
      <c r="ME31" s="8">
        <v>0.0</v>
      </c>
      <c r="MF31" s="8">
        <v>0.0</v>
      </c>
      <c r="MG31" s="8">
        <v>0.0</v>
      </c>
      <c r="MH31" s="8">
        <v>0.0</v>
      </c>
      <c r="MI31" s="9" t="s">
        <v>946</v>
      </c>
      <c r="MJ31" s="8">
        <v>0.0</v>
      </c>
      <c r="MK31" s="8">
        <v>0.0</v>
      </c>
      <c r="ML31" s="8">
        <v>1.0</v>
      </c>
      <c r="MM31" s="8">
        <v>0.0</v>
      </c>
      <c r="MN31" s="8">
        <v>0.0</v>
      </c>
      <c r="MO31" s="8">
        <v>0.0</v>
      </c>
      <c r="MP31" s="9"/>
      <c r="MQ31" s="9"/>
      <c r="MR31" s="36" t="s">
        <v>2120</v>
      </c>
      <c r="MS31" s="9"/>
      <c r="MT31" s="9" t="s">
        <v>2120</v>
      </c>
      <c r="MU31" s="9" t="s">
        <v>1030</v>
      </c>
      <c r="MV31" s="9" t="s">
        <v>949</v>
      </c>
      <c r="MW31" s="8">
        <v>1.0</v>
      </c>
      <c r="MX31" s="8">
        <v>0.0</v>
      </c>
      <c r="MY31" s="8">
        <v>0.0</v>
      </c>
      <c r="MZ31" s="8">
        <v>0.0</v>
      </c>
      <c r="NA31" s="9"/>
      <c r="NB31" s="9"/>
      <c r="NC31" s="9"/>
      <c r="ND31" s="9"/>
      <c r="NE31" s="9"/>
      <c r="NF31" s="9"/>
      <c r="NG31" s="9"/>
      <c r="NH31" s="9"/>
      <c r="NI31" s="9"/>
      <c r="NJ31" s="9"/>
      <c r="NK31" s="9"/>
      <c r="NL31" s="9" t="s">
        <v>857</v>
      </c>
      <c r="NM31" s="9" t="s">
        <v>1386</v>
      </c>
      <c r="NN31" s="17" t="s">
        <v>1975</v>
      </c>
      <c r="NO31" s="17" t="s">
        <v>895</v>
      </c>
      <c r="NP31" s="9"/>
      <c r="NQ31" s="9"/>
      <c r="NR31" s="9"/>
      <c r="NS31" s="9"/>
      <c r="NT31" s="9"/>
      <c r="NU31" s="9"/>
      <c r="NV31" s="9"/>
      <c r="NW31" s="9"/>
      <c r="NX31" s="9" t="s">
        <v>897</v>
      </c>
      <c r="NY31" s="8">
        <v>180.0</v>
      </c>
      <c r="NZ31" s="8">
        <v>0.0</v>
      </c>
      <c r="OA31" s="8">
        <v>0.0</v>
      </c>
      <c r="OB31" s="8">
        <v>0.0</v>
      </c>
      <c r="OC31" s="8">
        <v>10.0</v>
      </c>
      <c r="OD31" s="8">
        <v>0.0</v>
      </c>
      <c r="OE31" s="9" t="s">
        <v>898</v>
      </c>
      <c r="OF31" s="9" t="s">
        <v>1184</v>
      </c>
      <c r="OG31" s="38" t="s">
        <v>881</v>
      </c>
      <c r="OH31" s="40">
        <v>0.0</v>
      </c>
      <c r="OI31" s="40">
        <v>0.0</v>
      </c>
      <c r="OJ31" s="40">
        <v>0.0</v>
      </c>
      <c r="OK31" s="40">
        <v>0.0</v>
      </c>
      <c r="OL31" s="40">
        <v>0.0</v>
      </c>
      <c r="OM31" s="40">
        <v>0.0</v>
      </c>
      <c r="ON31" s="40">
        <v>0.0</v>
      </c>
      <c r="OO31" s="40">
        <v>0.0</v>
      </c>
      <c r="OP31" s="9" t="str">
        <f>VLOOKUP(AG31,'BUS 2'!$G$1:$CU$424,2,0)</f>
        <v>Sapi pedaging</v>
      </c>
      <c r="OQ31" s="8">
        <f>VLOOKUP(AG31,'BUS 2'!$G$1:$CU$424,3,0)</f>
        <v>1</v>
      </c>
      <c r="OR31" s="8">
        <f>VLOOKUP(AG31,'BUS 2'!$G$1:$CU$424,4,0)</f>
        <v>0</v>
      </c>
      <c r="OS31" s="8">
        <f>VLOOKUP(AG31,'BUS 2'!$G$1:$CU$424,5,0)</f>
        <v>0</v>
      </c>
      <c r="OT31" s="8">
        <f>VLOOKUP(AG31,'BUS 2'!$G$1:$CU$424,6,0)</f>
        <v>0</v>
      </c>
      <c r="OU31" s="8">
        <f>VLOOKUP(AG31,'BUS 2'!$G$1:$CU$424,7,0)</f>
        <v>0</v>
      </c>
      <c r="OV31" s="8">
        <f>VLOOKUP(AG31,'BUS 2'!$G$1:$CU$424,8,0)</f>
        <v>0</v>
      </c>
      <c r="OW31" s="8">
        <f>VLOOKUP(AG31,'BUS 2'!$G$1:$CU$424,9,0)</f>
        <v>0</v>
      </c>
      <c r="OX31" s="8">
        <f>VLOOKUP(AG31,'BUS 2'!$G$1:$CU$424,10,0)</f>
        <v>0</v>
      </c>
      <c r="OY31" s="8">
        <f>VLOOKUP(AG31,'BUS 2'!$G$1:$CU$424,11,0)</f>
        <v>0</v>
      </c>
      <c r="OZ31" s="8" t="str">
        <f>VLOOKUP(AG31,'BUS 2'!$G$1:$CU$424,12,0)</f>
        <v>Tidak ada</v>
      </c>
      <c r="PA31" s="8">
        <f>VLOOKUP(AG31,'BUS 2'!$G$1:$CU$424,13,0)</f>
        <v>0</v>
      </c>
      <c r="PB31" s="8">
        <f>VLOOKUP(AG31,'BUS 2'!$G$1:$CU$424,14,0)</f>
        <v>0</v>
      </c>
      <c r="PC31" s="8">
        <f>VLOOKUP(AG31,'BUS 2'!$G$1:$CU$424,15,0)</f>
        <v>0</v>
      </c>
      <c r="PD31" s="8">
        <f>VLOOKUP(AG31,'BUS 2'!$G$1:$CU$424,16,0)</f>
        <v>0</v>
      </c>
      <c r="PE31" s="8">
        <f>VLOOKUP(AG31,'BUS 2'!$G$1:$CU$424,17,0)</f>
        <v>0</v>
      </c>
      <c r="PF31" s="8">
        <f>VLOOKUP(AG31,'BUS 2'!$G$1:$CU$424,18,0)</f>
        <v>0</v>
      </c>
      <c r="PG31" s="8">
        <f>VLOOKUP(AG31,'BUS 2'!$G$1:$CU$424,19,0)</f>
        <v>0</v>
      </c>
      <c r="PH31" s="8">
        <f>VLOOKUP(AG31,'BUS 2'!$G$1:$CU$424,20,0)</f>
        <v>0</v>
      </c>
      <c r="PI31" s="8">
        <f>VLOOKUP(AG31,'BUS 2'!$G$1:$CU$424,21,0)</f>
        <v>1</v>
      </c>
      <c r="PJ31" s="8" t="str">
        <f>VLOOKUP(AG31,'BUS 2'!$G$1:$CU$424,22,0)</f>
        <v>Sapi pedaging</v>
      </c>
      <c r="PK31" s="8">
        <f>VLOOKUP(AG31,'BUS 2'!$G$1:$CU$424,23,0)</f>
        <v>1</v>
      </c>
      <c r="PL31" s="8">
        <f>VLOOKUP(AG31,'BUS 2'!$G$1:$CU$424,24,0)</f>
        <v>0</v>
      </c>
      <c r="PM31" s="8">
        <f>VLOOKUP(AG31,'BUS 2'!$G$1:$CU$424,25,0)</f>
        <v>0</v>
      </c>
      <c r="PN31" s="8">
        <f>VLOOKUP(AG31,'BUS 2'!$G$1:$CU$424,26,0)</f>
        <v>0</v>
      </c>
      <c r="PO31" s="8">
        <f>VLOOKUP(AG31,'BUS 2'!$G$1:$CU$424,27,0)</f>
        <v>0</v>
      </c>
      <c r="PP31" s="8">
        <f>VLOOKUP(AG31,'BUS 2'!$G$1:$CU$424,28,0)</f>
        <v>0</v>
      </c>
      <c r="PQ31" s="8">
        <f>VLOOKUP(AG31,'BUS 2'!$G$1:$CU$424,29,0)</f>
        <v>0</v>
      </c>
      <c r="PR31" s="8">
        <f>VLOOKUP(AG31,'BUS 2'!$G$1:$CU$424,30,0)</f>
        <v>0</v>
      </c>
      <c r="PS31" s="8">
        <f>VLOOKUP(AG31,'BUS 2'!$G$1:$CU$424,31,0)</f>
        <v>0</v>
      </c>
      <c r="PT31" s="9" t="s">
        <v>900</v>
      </c>
      <c r="PU31" s="8">
        <v>0.0</v>
      </c>
      <c r="PV31" s="8">
        <v>0.0</v>
      </c>
      <c r="PW31" s="8">
        <v>0.0</v>
      </c>
      <c r="PX31" s="8">
        <v>0.0</v>
      </c>
      <c r="PY31" s="8">
        <v>0.0</v>
      </c>
      <c r="PZ31" s="8">
        <v>1.0</v>
      </c>
      <c r="QA31" s="8">
        <v>0.0</v>
      </c>
      <c r="QB31" s="8">
        <v>0.0</v>
      </c>
      <c r="QC31" s="8">
        <v>0.0</v>
      </c>
      <c r="QD31" s="9"/>
      <c r="QE31" s="32"/>
      <c r="QF31" s="31"/>
      <c r="QG31" s="31"/>
      <c r="QH31" s="31"/>
      <c r="QI31" s="31"/>
      <c r="QJ31" s="31"/>
      <c r="QK31" s="32"/>
      <c r="QL31" s="32"/>
      <c r="QM31" s="32"/>
      <c r="QN31" s="32"/>
      <c r="QO31" s="32"/>
      <c r="QP31" s="32"/>
      <c r="QQ31" s="32"/>
      <c r="QR31" s="32"/>
      <c r="QS31" s="32"/>
      <c r="QT31" s="32"/>
      <c r="QU31" s="32"/>
      <c r="QV31" s="32"/>
      <c r="QW31" s="31"/>
      <c r="QX31" s="31"/>
      <c r="QY31" s="31"/>
      <c r="QZ31" s="31"/>
      <c r="RA31" s="31"/>
      <c r="RB31" s="32"/>
      <c r="RC31" s="32"/>
      <c r="RD31" s="32"/>
      <c r="RE31" s="32"/>
      <c r="RF31" s="32"/>
      <c r="RG31" s="9"/>
      <c r="RH31" s="31"/>
      <c r="RI31" s="31"/>
      <c r="RJ31" s="31"/>
      <c r="RK31" s="31"/>
      <c r="RL31" s="31"/>
      <c r="RM31" s="9"/>
      <c r="RN31" s="9"/>
      <c r="RO31" s="9"/>
      <c r="RP31" s="9"/>
      <c r="RQ31" s="9"/>
      <c r="RR31" s="9"/>
      <c r="RS31" s="31"/>
      <c r="RT31" s="31"/>
      <c r="RU31" s="31"/>
      <c r="RV31" s="31"/>
      <c r="RW31" s="31"/>
      <c r="RX31" s="9"/>
      <c r="RY31" s="9"/>
      <c r="RZ31" s="9"/>
      <c r="SA31" s="9"/>
      <c r="SB31" s="9"/>
      <c r="SC31" s="9"/>
      <c r="SD31" s="31"/>
      <c r="SE31" s="31"/>
      <c r="SF31" s="31"/>
      <c r="SG31" s="31"/>
      <c r="SH31" s="31"/>
      <c r="SI31" s="9"/>
      <c r="SJ31" s="9"/>
      <c r="SK31" s="9"/>
      <c r="SL31" s="9"/>
      <c r="SM31" s="9"/>
      <c r="SN31" s="9"/>
      <c r="SO31" s="31"/>
      <c r="SP31" s="31"/>
      <c r="SQ31" s="31"/>
      <c r="SR31" s="31"/>
      <c r="SS31" s="31"/>
      <c r="ST31" s="9"/>
      <c r="SU31" s="9"/>
      <c r="SV31" s="9"/>
      <c r="SW31" s="9"/>
      <c r="SX31" s="9"/>
      <c r="SY31" s="8">
        <f>VLOOKUP(AG31,'BUS 2'!$G$1:$CU$424,33,0)</f>
        <v>7</v>
      </c>
      <c r="SZ31" s="9" t="str">
        <f>VLOOKUP(AG31,'BUS 2'!$G$1:$CU$424,34,0)</f>
        <v/>
      </c>
      <c r="TA31" s="9" t="str">
        <f>VLOOKUP(AG31,'BUS 2'!$G$1:$CU$424,35,0)</f>
        <v/>
      </c>
      <c r="TB31" s="9" t="str">
        <f>VLOOKUP(AG31,'BUS 2'!$G$1:$CU$424,36,0)</f>
        <v/>
      </c>
      <c r="TC31" s="9" t="str">
        <f>VLOOKUP(AG31,'BUS 2'!$G$1:$CU$424,37,0)</f>
        <v/>
      </c>
      <c r="TD31" s="9" t="str">
        <f>VLOOKUP(AG31,'BUS 2'!$G$1:$CU$424,38,0)</f>
        <v/>
      </c>
      <c r="TE31" s="9" t="str">
        <f>VLOOKUP(AG31,'BUS 2'!$G$1:$CU$424,39,0)</f>
        <v/>
      </c>
      <c r="TF31" s="9" t="str">
        <f>VLOOKUP(AG31,'BUS 2'!$G$1:$CU$424,40,0)</f>
        <v/>
      </c>
      <c r="TG31" s="8" t="str">
        <f>VLOOKUP(AG31,'BUS 2'!$G$1:$CU$424,42,0)</f>
        <v/>
      </c>
      <c r="TH31" s="8" t="str">
        <f>VLOOKUP(AG31,'BUS 2'!$G$1:$CU$424,43,0)</f>
        <v/>
      </c>
      <c r="TI31" s="8" t="str">
        <f>VLOOKUP(AG31,'BUS 2'!$G$1:$CU$424,44,0)</f>
        <v/>
      </c>
      <c r="TJ31" s="8" t="str">
        <f>VLOOKUP(AG31,'BUS 2'!$G$1:$CU$424,45,0)</f>
        <v/>
      </c>
      <c r="TK31" s="8" t="str">
        <f>VLOOKUP(AG31,'BUS 2'!$G$1:$CU$424,46,0)</f>
        <v/>
      </c>
      <c r="TL31" s="8" t="str">
        <f>VLOOKUP(AG31,'BUS 2'!$G$1:$CU$424,47,0)</f>
        <v/>
      </c>
      <c r="TM31" s="8" t="str">
        <f>VLOOKUP(AG31,'BUS 2'!$G$1:$CU$424,48,0)</f>
        <v/>
      </c>
      <c r="TN31" s="8" t="str">
        <f>VLOOKUP(AG31,'BUS 2'!$G$1:$CU$424,49,0)</f>
        <v/>
      </c>
      <c r="TO31" s="8">
        <f>VLOOKUP(AG31,'BUS 2'!$G$1:$CU$424,50,0)</f>
        <v>7</v>
      </c>
      <c r="TP31" s="8">
        <f>VLOOKUP(AG31,'BUS 2'!$G$1:$CU$424,51,0)</f>
        <v>0</v>
      </c>
      <c r="TQ31" s="8">
        <f>VLOOKUP(AG31,'BUS 2'!$G$1:$CU$424,52,0)</f>
        <v>0</v>
      </c>
      <c r="TR31" s="8">
        <f>VLOOKUP(AG31,'BUS 2'!$G$1:$CU$424,53,0)</f>
        <v>0</v>
      </c>
      <c r="TS31" s="9" t="str">
        <f>VLOOKUP(AG31,'BUS 2'!$G$1:$CU$424,54,0)</f>
        <v/>
      </c>
      <c r="TT31" s="9" t="str">
        <f>VLOOKUP(AG31,'BUS 2'!$G$1:$CU$424,55,0)</f>
        <v/>
      </c>
      <c r="TU31" s="9" t="str">
        <f>VLOOKUP(AG31,'BUS 2'!$G$1:$CU$424,56,0)</f>
        <v/>
      </c>
      <c r="TV31" s="9" t="str">
        <f>VLOOKUP(AG31,'BUS 2'!$G$1:$CU$424,57,0)</f>
        <v/>
      </c>
      <c r="TW31" s="9" t="str">
        <f>VLOOKUP(AG31,'BUS 2'!$G$1:$CU$424,58,0)</f>
        <v/>
      </c>
      <c r="TX31" s="9" t="str">
        <f>VLOOKUP(AG31,'BUS 2'!$G$1:$CU$424,59,0)</f>
        <v/>
      </c>
      <c r="TY31" s="9" t="str">
        <f>VLOOKUP(AG31,'BUS 2'!$G$1:$CU$424,60,0)</f>
        <v/>
      </c>
      <c r="TZ31" s="9" t="str">
        <f>VLOOKUP(AG31,'BUS 2'!$G$1:$CU$424,61,0)</f>
        <v/>
      </c>
      <c r="UA31" s="9" t="str">
        <f>VLOOKUP(AG31,'BUS 2'!$G$1:$CU$424,62,0)</f>
        <v/>
      </c>
      <c r="UB31" s="9" t="str">
        <f>VLOOKUP(AG31,'BUS 2'!$G$1:$CU$424,63,0)</f>
        <v/>
      </c>
      <c r="UC31" s="9" t="str">
        <f>VLOOKUP(AG31,'BUS 2'!$G$1:$CU$424,64,0)</f>
        <v/>
      </c>
      <c r="UD31" s="9" t="str">
        <f>VLOOKUP(AG31,'BUS 2'!$G$1:$CU$424,65,0)</f>
        <v/>
      </c>
      <c r="UE31" s="9" t="str">
        <f>VLOOKUP(AG31,'BUS 2'!$G$1:$CU$424,66,0)</f>
        <v/>
      </c>
      <c r="UF31" s="9" t="str">
        <f>VLOOKUP(AG31,'BUS 2'!$G$1:$CU$424,67,0)</f>
        <v/>
      </c>
      <c r="UG31" s="9" t="str">
        <f>VLOOKUP(AG31,'BUS 2'!$G$1:$CU$424,68,0)</f>
        <v/>
      </c>
      <c r="UH31" s="9" t="str">
        <f>VLOOKUP(AG31,'BUS 2'!$G$1:$CU$424,69,0)</f>
        <v/>
      </c>
      <c r="UI31" s="9" t="str">
        <f>VLOOKUP(AG31,'BUS 2'!$G$1:$CU$424,70,0)</f>
        <v/>
      </c>
      <c r="UJ31" s="9" t="str">
        <f>VLOOKUP(AG31,'BUS 2'!$G$1:$CU$424,71,0)</f>
        <v/>
      </c>
      <c r="UK31" s="9" t="str">
        <f>VLOOKUP(AG31,'BUS 2'!$G$1:$CU$424,72,0)</f>
        <v/>
      </c>
      <c r="UL31" s="9" t="str">
        <f>VLOOKUP(AG31,'BUS 2'!$G$1:$CU$424,73,0)</f>
        <v/>
      </c>
      <c r="UM31" s="9" t="str">
        <f>VLOOKUP(AG31,'BUS 2'!$G$1:$CU$424,74,0)</f>
        <v/>
      </c>
      <c r="UN31" s="9" t="str">
        <f>VLOOKUP(AG31,'BUS 2'!$G$1:$CU$424,75,0)</f>
        <v/>
      </c>
      <c r="UO31" s="9" t="str">
        <f>VLOOKUP(AG31,'BUS 2'!$G$1:$CU$424,76,0)</f>
        <v/>
      </c>
      <c r="UP31" s="9" t="str">
        <f>VLOOKUP(AG31,'BUS 2'!$G$1:$CU$424,77,0)</f>
        <v/>
      </c>
      <c r="UQ31" s="9" t="str">
        <f>VLOOKUP(AG31,'BUS 2'!$G$1:$CU$424,78,0)</f>
        <v/>
      </c>
      <c r="UR31" s="9" t="str">
        <f>VLOOKUP(AG31,'BUS 2'!$G$1:$CU$424,79,0)</f>
        <v/>
      </c>
      <c r="US31" s="9" t="str">
        <f>VLOOKUP(AG31,'BUS 2'!$G$1:$CU$424,80,0)</f>
        <v/>
      </c>
      <c r="UT31" s="9" t="str">
        <f>VLOOKUP(AG31,'BUS 2'!$G$1:$CU$424,81,0)</f>
        <v/>
      </c>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t="s">
        <v>857</v>
      </c>
      <c r="AAM31" s="9" t="s">
        <v>1942</v>
      </c>
      <c r="AAN31" s="8">
        <v>0.0</v>
      </c>
      <c r="AAO31" s="8">
        <v>1.0</v>
      </c>
      <c r="AAP31" s="8">
        <v>7.0</v>
      </c>
      <c r="AAQ31" s="9"/>
      <c r="AAR31" s="9" t="s">
        <v>857</v>
      </c>
      <c r="AAS31" s="9" t="s">
        <v>867</v>
      </c>
      <c r="AAT31" s="9" t="s">
        <v>2101</v>
      </c>
      <c r="AAU31" s="8">
        <v>0.0</v>
      </c>
      <c r="AAV31" s="8">
        <v>0.0</v>
      </c>
      <c r="AAW31" s="8">
        <v>0.0</v>
      </c>
      <c r="AAX31" s="8">
        <v>1.0</v>
      </c>
      <c r="AAY31" s="8">
        <v>0.0</v>
      </c>
      <c r="AAZ31" s="8">
        <v>0.0</v>
      </c>
      <c r="ABA31" s="8">
        <v>0.0</v>
      </c>
      <c r="ABB31" s="9"/>
      <c r="ABC31" s="9"/>
      <c r="ABD31" s="9"/>
      <c r="ABE31" s="9"/>
      <c r="ABF31" s="9"/>
      <c r="ABG31" s="9"/>
      <c r="ABH31" s="9"/>
      <c r="ABI31" s="9"/>
      <c r="ABJ31" s="9"/>
      <c r="ABK31" s="9"/>
      <c r="ABL31" s="9"/>
      <c r="ABM31" s="9"/>
      <c r="ABN31" s="9"/>
      <c r="ABO31" s="9"/>
      <c r="ABP31" s="9"/>
      <c r="ABQ31" s="9" t="s">
        <v>2539</v>
      </c>
      <c r="ABR31" s="9" t="s">
        <v>954</v>
      </c>
      <c r="ABS31" s="9"/>
      <c r="ABT31" s="8">
        <v>2000.0</v>
      </c>
      <c r="ABU31" s="9"/>
      <c r="ABV31" s="9"/>
      <c r="ABW31" s="9"/>
      <c r="ABX31" s="9"/>
      <c r="ABY31" s="9"/>
      <c r="ABZ31" s="9"/>
      <c r="ACA31" s="9"/>
      <c r="ACB31" s="9"/>
      <c r="ACC31" s="9"/>
      <c r="ACD31" s="9"/>
      <c r="ACE31" s="9"/>
      <c r="ACF31" s="9"/>
      <c r="ACG31" s="9"/>
      <c r="ACH31" s="9"/>
      <c r="ACI31" s="9"/>
      <c r="ACJ31" s="9"/>
      <c r="ACK31" s="9" t="s">
        <v>976</v>
      </c>
      <c r="ACL31" s="8">
        <v>0.0</v>
      </c>
      <c r="ACM31" s="8">
        <v>0.0</v>
      </c>
      <c r="ACN31" s="8">
        <v>1.0</v>
      </c>
      <c r="ACO31" s="8">
        <v>1.0</v>
      </c>
      <c r="ACP31" s="8">
        <v>0.0</v>
      </c>
      <c r="ACQ31" s="8">
        <v>0.0</v>
      </c>
      <c r="ACR31" s="8">
        <v>0.0</v>
      </c>
      <c r="ACS31" s="9"/>
      <c r="ACT31" s="9" t="s">
        <v>1945</v>
      </c>
      <c r="ACU31" s="9" t="s">
        <v>1050</v>
      </c>
      <c r="ACV31" s="9" t="s">
        <v>996</v>
      </c>
      <c r="ACW31" s="9" t="s">
        <v>915</v>
      </c>
      <c r="ACX31" s="9" t="s">
        <v>916</v>
      </c>
      <c r="ACY31" s="9" t="s">
        <v>1017</v>
      </c>
      <c r="ACZ31" s="8">
        <v>1.0</v>
      </c>
      <c r="ADA31" s="8">
        <v>1.0</v>
      </c>
      <c r="ADB31" s="8">
        <v>1.0</v>
      </c>
      <c r="ADC31" s="8">
        <v>0.0</v>
      </c>
      <c r="ADD31" s="9" t="s">
        <v>917</v>
      </c>
      <c r="ADE31" s="9" t="s">
        <v>1187</v>
      </c>
      <c r="ADF31" s="9" t="s">
        <v>917</v>
      </c>
      <c r="ADG31" s="9" t="s">
        <v>917</v>
      </c>
      <c r="ADH31" s="9" t="s">
        <v>881</v>
      </c>
      <c r="ADI31" s="9"/>
      <c r="ADJ31" s="9" t="s">
        <v>917</v>
      </c>
      <c r="ADK31" s="9"/>
      <c r="ADL31" s="9"/>
      <c r="ADM31" s="9"/>
      <c r="ADN31" s="9"/>
      <c r="ADO31" s="9"/>
      <c r="ADP31" s="9"/>
      <c r="ADQ31" s="9"/>
      <c r="ADR31" s="9"/>
      <c r="ADS31" s="9"/>
      <c r="ADT31" s="9"/>
      <c r="ADU31" s="9" t="s">
        <v>919</v>
      </c>
      <c r="ADV31" s="8">
        <v>0.0</v>
      </c>
      <c r="ADW31" s="8">
        <v>0.0</v>
      </c>
      <c r="ADX31" s="8">
        <v>0.0</v>
      </c>
      <c r="ADY31" s="8">
        <v>0.0</v>
      </c>
      <c r="ADZ31" s="8">
        <v>1.0</v>
      </c>
      <c r="AEA31" s="8">
        <v>0.0</v>
      </c>
      <c r="AEB31" s="8">
        <v>0.0</v>
      </c>
      <c r="AEC31" s="8">
        <v>0.0</v>
      </c>
      <c r="AED31" s="9" t="s">
        <v>1945</v>
      </c>
      <c r="AEE31" s="9" t="s">
        <v>872</v>
      </c>
      <c r="AEF31" s="9"/>
      <c r="AEG31" s="9" t="s">
        <v>920</v>
      </c>
      <c r="AEH31" s="9"/>
      <c r="AEI31" s="9" t="s">
        <v>2540</v>
      </c>
      <c r="AEJ31" s="9" t="s">
        <v>871</v>
      </c>
      <c r="AEK31" s="9" t="s">
        <v>2541</v>
      </c>
      <c r="AEL31" s="8">
        <v>0.0</v>
      </c>
      <c r="AEM31" s="8">
        <v>0.0</v>
      </c>
      <c r="AEN31" s="8">
        <v>0.0</v>
      </c>
      <c r="AEO31" s="8">
        <v>0.0</v>
      </c>
      <c r="AEP31" s="8">
        <v>1.0</v>
      </c>
      <c r="AEQ31" s="8">
        <v>0.0</v>
      </c>
      <c r="AER31" s="8">
        <v>0.0</v>
      </c>
      <c r="AES31" s="8">
        <v>1.0</v>
      </c>
      <c r="AET31" s="8">
        <v>0.0</v>
      </c>
      <c r="AEU31" s="8">
        <v>0.0</v>
      </c>
      <c r="AEV31" s="8">
        <v>1.0</v>
      </c>
      <c r="AEW31" s="8">
        <v>0.0</v>
      </c>
      <c r="AEX31" s="9"/>
      <c r="AEY31" s="9" t="s">
        <v>1305</v>
      </c>
      <c r="AEZ31" s="9"/>
      <c r="AFA31" s="9" t="s">
        <v>924</v>
      </c>
      <c r="AFB31" s="9"/>
      <c r="AFC31" s="9" t="s">
        <v>2542</v>
      </c>
      <c r="AFD31" s="16" t="s">
        <v>2543</v>
      </c>
      <c r="AFE31" s="9" t="s">
        <v>2544</v>
      </c>
      <c r="AFF31" s="16" t="s">
        <v>2545</v>
      </c>
      <c r="AFG31" s="9" t="s">
        <v>1919</v>
      </c>
      <c r="AFH31" s="9"/>
      <c r="AFI31" s="21" t="s">
        <v>2546</v>
      </c>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c r="ATS31" s="9"/>
      <c r="ATT31" s="9"/>
      <c r="ATU31" s="9"/>
      <c r="ATV31" s="9"/>
      <c r="ATW31" s="9"/>
      <c r="ATX31" s="9"/>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8">
        <v>6.72509882E8</v>
      </c>
      <c r="AWB31" s="9" t="s">
        <v>2547</v>
      </c>
      <c r="AWC31" s="6">
        <v>46068.0</v>
      </c>
      <c r="AWD31" s="9"/>
      <c r="AWE31" s="9"/>
      <c r="AWF31" s="9" t="s">
        <v>1954</v>
      </c>
      <c r="AWG31" s="9"/>
      <c r="AWH31" s="9" t="s">
        <v>1989</v>
      </c>
      <c r="AWI31" s="9"/>
      <c r="AWJ31" s="9" t="s">
        <v>2548</v>
      </c>
      <c r="AWK31" s="8">
        <v>252.0</v>
      </c>
      <c r="AWL31" s="9" t="s">
        <v>2537</v>
      </c>
      <c r="AWM31" s="8">
        <v>0.0</v>
      </c>
      <c r="AWN31" s="9" t="s">
        <v>1957</v>
      </c>
      <c r="AWO31" s="33" t="b">
        <v>1</v>
      </c>
      <c r="AWP31" s="33" t="b">
        <v>1</v>
      </c>
      <c r="AWQ31" s="33" t="b">
        <v>1</v>
      </c>
      <c r="AWR31" s="33" t="b">
        <v>1</v>
      </c>
      <c r="AWS31" s="33" t="b">
        <v>1</v>
      </c>
      <c r="AWT31" s="33" t="b">
        <v>1</v>
      </c>
      <c r="AWU31" s="9"/>
      <c r="AWV31" s="8">
        <v>15.0</v>
      </c>
      <c r="AWW31" s="9"/>
      <c r="AWX31" s="9"/>
      <c r="AWY31" s="9"/>
      <c r="AWZ31" s="9"/>
    </row>
    <row r="32">
      <c r="A32" s="6">
        <v>46068.0</v>
      </c>
      <c r="B32" s="6">
        <v>46068.0</v>
      </c>
      <c r="C32" s="30" t="s">
        <v>2443</v>
      </c>
      <c r="D32" s="30" t="s">
        <v>2549</v>
      </c>
      <c r="E32" s="8">
        <f>+6285255463514</f>
        <v>6285255463514</v>
      </c>
      <c r="F32" s="9" t="s">
        <v>2550</v>
      </c>
      <c r="G32" s="8">
        <v>-5.105182</v>
      </c>
      <c r="H32" s="8">
        <v>119.621375</v>
      </c>
      <c r="I32" s="8">
        <v>56.1</v>
      </c>
      <c r="J32" s="8">
        <v>6.199999809</v>
      </c>
      <c r="K32" s="8">
        <v>0.0</v>
      </c>
      <c r="L32" s="9" t="s">
        <v>2551</v>
      </c>
      <c r="M32" s="8">
        <v>-5.10518</v>
      </c>
      <c r="N32" s="8">
        <v>119.621377</v>
      </c>
      <c r="O32" s="8">
        <v>56.1</v>
      </c>
      <c r="P32" s="8">
        <v>8.5</v>
      </c>
      <c r="Q32" s="8">
        <v>0.0</v>
      </c>
      <c r="R32" s="9" t="s">
        <v>1923</v>
      </c>
      <c r="S32" s="8">
        <v>0.0</v>
      </c>
      <c r="T32" s="8">
        <v>0.0</v>
      </c>
      <c r="U32" s="8">
        <v>0.0</v>
      </c>
      <c r="V32" s="8">
        <v>0.0</v>
      </c>
      <c r="W32" s="8">
        <v>0.0</v>
      </c>
      <c r="X32" s="8">
        <v>0.0</v>
      </c>
      <c r="Y32" s="8">
        <v>0.0</v>
      </c>
      <c r="Z32" s="8">
        <v>0.0</v>
      </c>
      <c r="AA32" s="8">
        <v>0.0</v>
      </c>
      <c r="AB32" s="8">
        <v>1.0</v>
      </c>
      <c r="AC32" s="7" t="s">
        <v>1924</v>
      </c>
      <c r="AD32" s="7" t="s">
        <v>2447</v>
      </c>
      <c r="AE32" s="7" t="s">
        <v>2552</v>
      </c>
      <c r="AF32" s="9" t="s">
        <v>2522</v>
      </c>
      <c r="AG32" s="9" t="s">
        <v>2553</v>
      </c>
      <c r="AH32" s="8">
        <v>3.0</v>
      </c>
      <c r="AI32" s="9" t="s">
        <v>845</v>
      </c>
      <c r="AJ32" s="9" t="s">
        <v>934</v>
      </c>
      <c r="AK32" s="35">
        <v>62.0</v>
      </c>
      <c r="AL32" s="9" t="s">
        <v>847</v>
      </c>
      <c r="AM32" s="9" t="s">
        <v>848</v>
      </c>
      <c r="AN32" s="9" t="s">
        <v>849</v>
      </c>
      <c r="AO32" s="9" t="s">
        <v>850</v>
      </c>
      <c r="AP32" s="8">
        <v>1.0</v>
      </c>
      <c r="AQ32" s="8">
        <v>0.0</v>
      </c>
      <c r="AR32" s="8">
        <v>0.0</v>
      </c>
      <c r="AS32" s="8">
        <v>0.0</v>
      </c>
      <c r="AT32" s="8">
        <v>0.0</v>
      </c>
      <c r="AU32" s="8">
        <v>0.0</v>
      </c>
      <c r="AV32" s="8">
        <v>0.0</v>
      </c>
      <c r="AW32" s="8">
        <v>0.0</v>
      </c>
      <c r="AX32" s="9"/>
      <c r="AY32" s="9" t="s">
        <v>969</v>
      </c>
      <c r="AZ32" s="8">
        <v>0.0</v>
      </c>
      <c r="BA32" s="8">
        <v>0.0</v>
      </c>
      <c r="BB32" s="8">
        <v>0.0</v>
      </c>
      <c r="BC32" s="8">
        <v>0.0</v>
      </c>
      <c r="BD32" s="8">
        <v>0.0</v>
      </c>
      <c r="BE32" s="8">
        <v>0.0</v>
      </c>
      <c r="BF32" s="8">
        <v>1.0</v>
      </c>
      <c r="BG32" s="8">
        <v>0.0</v>
      </c>
      <c r="BH32" s="11" t="s">
        <v>2554</v>
      </c>
      <c r="BI32" s="9" t="s">
        <v>852</v>
      </c>
      <c r="BJ32" s="8">
        <v>1.0</v>
      </c>
      <c r="BK32" s="8">
        <v>1.0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1929</v>
      </c>
      <c r="CD32" s="8">
        <v>0.0</v>
      </c>
      <c r="CE32" s="8">
        <v>0.0</v>
      </c>
      <c r="CF32" s="8">
        <v>0.0</v>
      </c>
      <c r="CG32" s="8">
        <v>0.0</v>
      </c>
      <c r="CH32" s="8">
        <v>1.0</v>
      </c>
      <c r="CI32" s="8">
        <v>0.0</v>
      </c>
      <c r="CJ32" s="8">
        <v>0.0</v>
      </c>
      <c r="CK32" s="9"/>
      <c r="CL32" s="9" t="s">
        <v>857</v>
      </c>
      <c r="CM32" s="8">
        <v>2023.0</v>
      </c>
      <c r="CN32" s="9" t="s">
        <v>858</v>
      </c>
      <c r="CO32" s="9" t="s">
        <v>2405</v>
      </c>
      <c r="CP32" s="9" t="s">
        <v>860</v>
      </c>
      <c r="CQ32" s="8">
        <v>0.0</v>
      </c>
      <c r="CR32" s="8">
        <v>0.0</v>
      </c>
      <c r="CS32" s="8">
        <v>0.0</v>
      </c>
      <c r="CT32" s="8">
        <v>0.0</v>
      </c>
      <c r="CU32" s="8">
        <v>1.0</v>
      </c>
      <c r="CV32" s="8">
        <v>0.0</v>
      </c>
      <c r="CW32" s="8">
        <v>0.0</v>
      </c>
      <c r="CX32" s="8">
        <v>0.0</v>
      </c>
      <c r="CY32" s="9" t="s">
        <v>860</v>
      </c>
      <c r="CZ32" s="8">
        <v>1.0</v>
      </c>
      <c r="DA32" s="8">
        <v>0.0</v>
      </c>
      <c r="DB32" s="8">
        <v>0.0</v>
      </c>
      <c r="DC32" s="9"/>
      <c r="DD32" s="9" t="s">
        <v>860</v>
      </c>
      <c r="DE32" s="8">
        <v>1.0</v>
      </c>
      <c r="DF32" s="8">
        <v>0.0</v>
      </c>
      <c r="DG32" s="8">
        <v>0.0</v>
      </c>
      <c r="DH32" s="8">
        <v>0.0</v>
      </c>
      <c r="DI32" s="9"/>
      <c r="DJ32" s="9" t="s">
        <v>861</v>
      </c>
      <c r="DK32" s="8">
        <v>0.0</v>
      </c>
      <c r="DL32" s="8">
        <v>0.0</v>
      </c>
      <c r="DM32" s="8">
        <v>1.0</v>
      </c>
      <c r="DN32" s="8">
        <v>0.0</v>
      </c>
      <c r="DO32" s="9"/>
      <c r="DP32" s="9" t="s">
        <v>938</v>
      </c>
      <c r="DQ32" s="9" t="s">
        <v>2555</v>
      </c>
      <c r="DR32" s="17" t="s">
        <v>940</v>
      </c>
      <c r="DS32" s="9"/>
      <c r="DT32" s="9"/>
      <c r="DU32" s="9"/>
      <c r="DV32" s="9"/>
      <c r="DW32" s="9"/>
      <c r="DX32" s="9"/>
      <c r="DY32" s="9"/>
      <c r="DZ32" s="9"/>
      <c r="EA32" s="9"/>
      <c r="EB32" s="9"/>
      <c r="EC32" s="9"/>
      <c r="ED32" s="9"/>
      <c r="EE32" s="9"/>
      <c r="EF32" s="9"/>
      <c r="EG32" s="9"/>
      <c r="EH32" s="9"/>
      <c r="EI32" s="31" t="s">
        <v>862</v>
      </c>
      <c r="EJ32" s="8">
        <v>0.0</v>
      </c>
      <c r="EK32" s="8">
        <v>0.0</v>
      </c>
      <c r="EL32" s="8">
        <v>0.0</v>
      </c>
      <c r="EM32" s="8">
        <v>1.0</v>
      </c>
      <c r="EN32" s="8">
        <v>0.0</v>
      </c>
      <c r="EO32" s="9"/>
      <c r="EP32" s="9" t="s">
        <v>863</v>
      </c>
      <c r="EQ32" s="9" t="s">
        <v>1380</v>
      </c>
      <c r="ER32" s="9" t="s">
        <v>969</v>
      </c>
      <c r="ES32" s="8">
        <v>0.0</v>
      </c>
      <c r="ET32" s="8">
        <v>0.0</v>
      </c>
      <c r="EU32" s="8">
        <v>0.0</v>
      </c>
      <c r="EV32" s="8">
        <v>1.0</v>
      </c>
      <c r="EW32" s="9" t="s">
        <v>2343</v>
      </c>
      <c r="EX32" s="9" t="s">
        <v>865</v>
      </c>
      <c r="EY32" s="8">
        <v>1.0</v>
      </c>
      <c r="EZ32" s="8">
        <v>0.0</v>
      </c>
      <c r="FA32" s="8">
        <v>0.0</v>
      </c>
      <c r="FB32" s="9"/>
      <c r="FC32" s="9" t="s">
        <v>1028</v>
      </c>
      <c r="FD32" s="9"/>
      <c r="FE32" s="9" t="s">
        <v>867</v>
      </c>
      <c r="FF32" s="9" t="s">
        <v>868</v>
      </c>
      <c r="FG32" s="9" t="s">
        <v>867</v>
      </c>
      <c r="FH32" s="9" t="s">
        <v>869</v>
      </c>
      <c r="FI32" s="9" t="s">
        <v>867</v>
      </c>
      <c r="FJ32" s="9" t="s">
        <v>868</v>
      </c>
      <c r="FK32" s="9" t="s">
        <v>867</v>
      </c>
      <c r="FL32" s="9" t="s">
        <v>869</v>
      </c>
      <c r="FM32" s="9" t="s">
        <v>867</v>
      </c>
      <c r="FN32" s="9" t="s">
        <v>869</v>
      </c>
      <c r="FO32" s="9" t="s">
        <v>867</v>
      </c>
      <c r="FP32" s="9" t="s">
        <v>869</v>
      </c>
      <c r="FQ32" s="9" t="s">
        <v>867</v>
      </c>
      <c r="FR32" s="9" t="s">
        <v>857</v>
      </c>
      <c r="FS32" s="9" t="s">
        <v>867</v>
      </c>
      <c r="FT32" s="9" t="s">
        <v>871</v>
      </c>
      <c r="FU32" s="9" t="s">
        <v>872</v>
      </c>
      <c r="FV32" s="8">
        <v>1.0</v>
      </c>
      <c r="FW32" s="8">
        <v>0.0</v>
      </c>
      <c r="FX32" s="8">
        <v>0.0</v>
      </c>
      <c r="FY32" s="8">
        <v>0.0</v>
      </c>
      <c r="FZ32" s="9" t="s">
        <v>944</v>
      </c>
      <c r="GA32" s="9" t="s">
        <v>1264</v>
      </c>
      <c r="GB32" s="8">
        <v>0.0</v>
      </c>
      <c r="GC32" s="8">
        <v>0.0</v>
      </c>
      <c r="GD32" s="8">
        <v>1.0</v>
      </c>
      <c r="GE32" s="8">
        <v>0.0</v>
      </c>
      <c r="GF32" s="9"/>
      <c r="GG32" s="9" t="s">
        <v>961</v>
      </c>
      <c r="GH32" s="9" t="s">
        <v>881</v>
      </c>
      <c r="GI32" s="9"/>
      <c r="GJ32" s="9"/>
      <c r="GK32" s="9"/>
      <c r="GL32" s="9"/>
      <c r="GM32" s="9"/>
      <c r="GN32" s="9"/>
      <c r="GO32" s="9"/>
      <c r="GP32" s="34" t="s">
        <v>1931</v>
      </c>
      <c r="GQ32" s="9" t="s">
        <v>1102</v>
      </c>
      <c r="GR32" s="8">
        <v>1.0</v>
      </c>
      <c r="GS32" s="8">
        <v>0.0</v>
      </c>
      <c r="GT32" s="8">
        <v>0.0</v>
      </c>
      <c r="GU32" s="8">
        <v>0.0</v>
      </c>
      <c r="GV32" s="8">
        <v>0.0</v>
      </c>
      <c r="GW32" s="8">
        <v>0.0</v>
      </c>
      <c r="GX32" s="8">
        <v>0.0</v>
      </c>
      <c r="GY32" s="9"/>
      <c r="GZ32" s="9" t="s">
        <v>857</v>
      </c>
      <c r="HA32" s="9"/>
      <c r="HB32" s="9"/>
      <c r="HC32" s="9"/>
      <c r="HD32" s="9"/>
      <c r="HE32" s="8">
        <v>12.0</v>
      </c>
      <c r="HF32" s="39">
        <v>68000.0</v>
      </c>
      <c r="HG32" s="8">
        <v>6.0</v>
      </c>
      <c r="HH32" s="8">
        <v>38000.0</v>
      </c>
      <c r="HI32" s="9"/>
      <c r="HJ32" s="9"/>
      <c r="HK32" s="9"/>
      <c r="HL32" s="9"/>
      <c r="HM32" s="9"/>
      <c r="HN32" s="9"/>
      <c r="HO32" s="9"/>
      <c r="HP32" s="9"/>
      <c r="HQ32" s="9"/>
      <c r="HR32" s="9"/>
      <c r="HS32" s="9"/>
      <c r="HT32" s="9"/>
      <c r="HU32" s="9"/>
      <c r="HV32" s="9"/>
      <c r="HW32" s="9"/>
      <c r="HX32" s="9"/>
      <c r="HY32" s="9"/>
      <c r="HZ32" s="9"/>
      <c r="IA32" s="8">
        <v>6.0</v>
      </c>
      <c r="IB32" s="8">
        <v>30.0</v>
      </c>
      <c r="IC32" s="9"/>
      <c r="ID32" s="9"/>
      <c r="IE32" s="9"/>
      <c r="IF32" s="9"/>
      <c r="IG32" s="9"/>
      <c r="IH32" s="9"/>
      <c r="II32" s="9"/>
      <c r="IJ32" s="9"/>
      <c r="IK32" s="9" t="s">
        <v>971</v>
      </c>
      <c r="IL32" s="9" t="s">
        <v>1366</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4.0</v>
      </c>
      <c r="LD32" s="8">
        <v>2.0</v>
      </c>
      <c r="LE32" s="8">
        <v>0.0</v>
      </c>
      <c r="LF32" s="8">
        <v>0.0</v>
      </c>
      <c r="LG32" s="9" t="s">
        <v>881</v>
      </c>
      <c r="LH32" s="9"/>
      <c r="LI32" s="8">
        <v>0.0</v>
      </c>
      <c r="LJ32" s="9" t="s">
        <v>969</v>
      </c>
      <c r="LK32" s="8">
        <v>0.0</v>
      </c>
      <c r="LL32" s="8">
        <v>0.0</v>
      </c>
      <c r="LM32" s="8">
        <v>0.0</v>
      </c>
      <c r="LN32" s="8">
        <v>0.0</v>
      </c>
      <c r="LO32" s="8">
        <v>0.0</v>
      </c>
      <c r="LP32" s="8">
        <v>0.0</v>
      </c>
      <c r="LQ32" s="8">
        <v>1.0</v>
      </c>
      <c r="LR32" s="11" t="s">
        <v>1973</v>
      </c>
      <c r="LS32" s="8">
        <v>10.0</v>
      </c>
      <c r="LT32" s="8">
        <v>0.0</v>
      </c>
      <c r="LU32" s="8">
        <v>0.0</v>
      </c>
      <c r="LV32" s="8">
        <v>8.0</v>
      </c>
      <c r="LW32" s="8">
        <v>0.0</v>
      </c>
      <c r="LX32" s="8">
        <v>0.0</v>
      </c>
      <c r="LY32" s="8">
        <v>5.0</v>
      </c>
      <c r="LZ32" s="8">
        <v>0.0</v>
      </c>
      <c r="MA32" s="8">
        <v>0.0</v>
      </c>
      <c r="MB32" s="9" t="s">
        <v>881</v>
      </c>
      <c r="MC32" s="8">
        <v>0.0</v>
      </c>
      <c r="MD32" s="8">
        <v>0.0</v>
      </c>
      <c r="ME32" s="8">
        <v>0.0</v>
      </c>
      <c r="MF32" s="8">
        <v>0.0</v>
      </c>
      <c r="MG32" s="8">
        <v>0.0</v>
      </c>
      <c r="MH32" s="8">
        <v>0.0</v>
      </c>
      <c r="MI32" s="9"/>
      <c r="MJ32" s="9"/>
      <c r="MK32" s="9"/>
      <c r="ML32" s="9"/>
      <c r="MM32" s="9"/>
      <c r="MN32" s="9"/>
      <c r="MO32" s="9"/>
      <c r="MP32" s="9"/>
      <c r="MQ32" s="9"/>
      <c r="MR32" s="17" t="s">
        <v>2035</v>
      </c>
      <c r="MS32" s="9"/>
      <c r="MT32" s="9" t="s">
        <v>2035</v>
      </c>
      <c r="MU32" s="9" t="s">
        <v>881</v>
      </c>
      <c r="MV32" s="9"/>
      <c r="MW32" s="9"/>
      <c r="MX32" s="9"/>
      <c r="MY32" s="9"/>
      <c r="MZ32" s="9"/>
      <c r="NA32" s="9"/>
      <c r="NB32" s="9"/>
      <c r="NC32" s="9"/>
      <c r="ND32" s="9"/>
      <c r="NE32" s="9"/>
      <c r="NF32" s="9"/>
      <c r="NG32" s="9"/>
      <c r="NH32" s="9"/>
      <c r="NI32" s="9"/>
      <c r="NJ32" s="9"/>
      <c r="NK32" s="9"/>
      <c r="NL32" s="9" t="s">
        <v>857</v>
      </c>
      <c r="NM32" s="9" t="s">
        <v>1386</v>
      </c>
      <c r="NN32" s="17" t="s">
        <v>1975</v>
      </c>
      <c r="NO32" s="17" t="s">
        <v>895</v>
      </c>
      <c r="NP32" s="9"/>
      <c r="NQ32" s="9"/>
      <c r="NR32" s="9"/>
      <c r="NS32" s="9"/>
      <c r="NT32" s="9"/>
      <c r="NU32" s="9"/>
      <c r="NV32" s="9"/>
      <c r="NW32" s="9"/>
      <c r="NX32" s="9" t="s">
        <v>914</v>
      </c>
      <c r="NY32" s="8">
        <v>50.0</v>
      </c>
      <c r="NZ32" s="8">
        <v>0.0</v>
      </c>
      <c r="OA32" s="8">
        <v>5.0</v>
      </c>
      <c r="OB32" s="8">
        <v>0.0</v>
      </c>
      <c r="OC32" s="8">
        <v>10.0</v>
      </c>
      <c r="OD32" s="8">
        <v>0.0</v>
      </c>
      <c r="OE32" s="9" t="s">
        <v>945</v>
      </c>
      <c r="OF32" s="9" t="s">
        <v>899</v>
      </c>
      <c r="OG32" s="9" t="s">
        <v>857</v>
      </c>
      <c r="OH32" s="8">
        <v>3.0</v>
      </c>
      <c r="OI32" s="8">
        <v>0.0</v>
      </c>
      <c r="OJ32" s="8">
        <v>0.0</v>
      </c>
      <c r="OK32" s="8">
        <v>0.0</v>
      </c>
      <c r="OL32" s="8">
        <v>0.0</v>
      </c>
      <c r="OM32" s="8">
        <v>0.0</v>
      </c>
      <c r="ON32" s="8">
        <v>10.0</v>
      </c>
      <c r="OO32" s="8">
        <v>0.0</v>
      </c>
      <c r="OP32" s="9" t="str">
        <f>VLOOKUP(AG32,'BUS 2'!$G$1:$CU$424,2,0)</f>
        <v>Sapi pedaging Kuda Kambing Ayam Unggas lainnya</v>
      </c>
      <c r="OQ32" s="8">
        <f>VLOOKUP(AG32,'BUS 2'!$G$1:$CU$424,3,0)</f>
        <v>1</v>
      </c>
      <c r="OR32" s="8">
        <f>VLOOKUP(AG32,'BUS 2'!$G$1:$CU$424,4,0)</f>
        <v>0</v>
      </c>
      <c r="OS32" s="8">
        <f>VLOOKUP(AG32,'BUS 2'!$G$1:$CU$424,5,0)</f>
        <v>0</v>
      </c>
      <c r="OT32" s="8">
        <f>VLOOKUP(AG32,'BUS 2'!$G$1:$CU$424,6,0)</f>
        <v>0</v>
      </c>
      <c r="OU32" s="8">
        <f>VLOOKUP(AG32,'BUS 2'!$G$1:$CU$424,7,0)</f>
        <v>1</v>
      </c>
      <c r="OV32" s="8">
        <f>VLOOKUP(AG32,'BUS 2'!$G$1:$CU$424,8,0)</f>
        <v>1</v>
      </c>
      <c r="OW32" s="8">
        <f>VLOOKUP(AG32,'BUS 2'!$G$1:$CU$424,9,0)</f>
        <v>1</v>
      </c>
      <c r="OX32" s="8">
        <f>VLOOKUP(AG32,'BUS 2'!$G$1:$CU$424,10,0)</f>
        <v>1</v>
      </c>
      <c r="OY32" s="8">
        <f>VLOOKUP(AG32,'BUS 2'!$G$1:$CU$424,11,0)</f>
        <v>0</v>
      </c>
      <c r="OZ32" s="8" t="str">
        <f>VLOOKUP(AG32,'BUS 2'!$G$1:$CU$424,12,0)</f>
        <v>Sapi pedaging Ayam</v>
      </c>
      <c r="PA32" s="8">
        <f>VLOOKUP(AG32,'BUS 2'!$G$1:$CU$424,13,0)</f>
        <v>1</v>
      </c>
      <c r="PB32" s="8">
        <f>VLOOKUP(AG32,'BUS 2'!$G$1:$CU$424,14,0)</f>
        <v>0</v>
      </c>
      <c r="PC32" s="8">
        <f>VLOOKUP(AG32,'BUS 2'!$G$1:$CU$424,15,0)</f>
        <v>0</v>
      </c>
      <c r="PD32" s="8">
        <f>VLOOKUP(AG32,'BUS 2'!$G$1:$CU$424,16,0)</f>
        <v>0</v>
      </c>
      <c r="PE32" s="8">
        <f>VLOOKUP(AG32,'BUS 2'!$G$1:$CU$424,17,0)</f>
        <v>0</v>
      </c>
      <c r="PF32" s="8">
        <f>VLOOKUP(AG32,'BUS 2'!$G$1:$CU$424,18,0)</f>
        <v>0</v>
      </c>
      <c r="PG32" s="8">
        <f>VLOOKUP(AG32,'BUS 2'!$G$1:$CU$424,19,0)</f>
        <v>1</v>
      </c>
      <c r="PH32" s="8">
        <f>VLOOKUP(AG32,'BUS 2'!$G$1:$CU$424,20,0)</f>
        <v>0</v>
      </c>
      <c r="PI32" s="8">
        <f>VLOOKUP(AG32,'BUS 2'!$G$1:$CU$424,21,0)</f>
        <v>0</v>
      </c>
      <c r="PJ32" s="8" t="str">
        <f>VLOOKUP(AG32,'BUS 2'!$G$1:$CU$424,22,0)</f>
        <v>Sapi pedaging Ayam</v>
      </c>
      <c r="PK32" s="8">
        <f>VLOOKUP(AG32,'BUS 2'!$G$1:$CU$424,23,0)</f>
        <v>1</v>
      </c>
      <c r="PL32" s="8">
        <f>VLOOKUP(AG32,'BUS 2'!$G$1:$CU$424,24,0)</f>
        <v>0</v>
      </c>
      <c r="PM32" s="8">
        <f>VLOOKUP(AG32,'BUS 2'!$G$1:$CU$424,25,0)</f>
        <v>0</v>
      </c>
      <c r="PN32" s="8">
        <f>VLOOKUP(AG32,'BUS 2'!$G$1:$CU$424,26,0)</f>
        <v>0</v>
      </c>
      <c r="PO32" s="8">
        <f>VLOOKUP(AG32,'BUS 2'!$G$1:$CU$424,27,0)</f>
        <v>0</v>
      </c>
      <c r="PP32" s="8">
        <f>VLOOKUP(AG32,'BUS 2'!$G$1:$CU$424,28,0)</f>
        <v>0</v>
      </c>
      <c r="PQ32" s="8">
        <f>VLOOKUP(AG32,'BUS 2'!$G$1:$CU$424,29,0)</f>
        <v>1</v>
      </c>
      <c r="PR32" s="8">
        <f>VLOOKUP(AG32,'BUS 2'!$G$1:$CU$424,30,0)</f>
        <v>0</v>
      </c>
      <c r="PS32" s="8">
        <f>VLOOKUP(AG32,'BUS 2'!$G$1:$CU$424,31,0)</f>
        <v>0</v>
      </c>
      <c r="PT32" s="9" t="s">
        <v>900</v>
      </c>
      <c r="PU32" s="8">
        <v>0.0</v>
      </c>
      <c r="PV32" s="8">
        <v>0.0</v>
      </c>
      <c r="PW32" s="8">
        <v>0.0</v>
      </c>
      <c r="PX32" s="8">
        <v>0.0</v>
      </c>
      <c r="PY32" s="8">
        <v>0.0</v>
      </c>
      <c r="PZ32" s="8">
        <v>1.0</v>
      </c>
      <c r="QA32" s="8">
        <v>0.0</v>
      </c>
      <c r="QB32" s="8">
        <v>0.0</v>
      </c>
      <c r="QC32" s="8">
        <v>0.0</v>
      </c>
      <c r="QD32" s="9"/>
      <c r="QE32" s="32"/>
      <c r="QF32" s="31"/>
      <c r="QG32" s="31"/>
      <c r="QH32" s="31"/>
      <c r="QI32" s="31"/>
      <c r="QJ32" s="31"/>
      <c r="QK32" s="32"/>
      <c r="QL32" s="32"/>
      <c r="QM32" s="32"/>
      <c r="QN32" s="32"/>
      <c r="QO32" s="32"/>
      <c r="QP32" s="32"/>
      <c r="QQ32" s="32"/>
      <c r="QR32" s="32"/>
      <c r="QS32" s="32"/>
      <c r="QT32" s="32"/>
      <c r="QU32" s="32"/>
      <c r="QV32" s="32"/>
      <c r="QW32" s="31"/>
      <c r="QX32" s="31"/>
      <c r="QY32" s="31"/>
      <c r="QZ32" s="31"/>
      <c r="RA32" s="31"/>
      <c r="RB32" s="32"/>
      <c r="RC32" s="32"/>
      <c r="RD32" s="32"/>
      <c r="RE32" s="32"/>
      <c r="RF32" s="32"/>
      <c r="RG32" s="9" t="s">
        <v>900</v>
      </c>
      <c r="RH32" s="35">
        <v>0.0</v>
      </c>
      <c r="RI32" s="35">
        <v>0.0</v>
      </c>
      <c r="RJ32" s="35">
        <v>0.0</v>
      </c>
      <c r="RK32" s="35">
        <v>0.0</v>
      </c>
      <c r="RL32" s="35">
        <v>0.0</v>
      </c>
      <c r="RM32" s="8">
        <v>1.0</v>
      </c>
      <c r="RN32" s="8">
        <v>0.0</v>
      </c>
      <c r="RO32" s="8">
        <v>0.0</v>
      </c>
      <c r="RP32" s="8">
        <v>0.0</v>
      </c>
      <c r="RQ32" s="9"/>
      <c r="RR32" s="9" t="s">
        <v>900</v>
      </c>
      <c r="RS32" s="35">
        <v>0.0</v>
      </c>
      <c r="RT32" s="35">
        <v>0.0</v>
      </c>
      <c r="RU32" s="35">
        <v>0.0</v>
      </c>
      <c r="RV32" s="35">
        <v>0.0</v>
      </c>
      <c r="RW32" s="35">
        <v>0.0</v>
      </c>
      <c r="RX32" s="8">
        <v>1.0</v>
      </c>
      <c r="RY32" s="8">
        <v>0.0</v>
      </c>
      <c r="RZ32" s="8">
        <v>0.0</v>
      </c>
      <c r="SA32" s="8">
        <v>0.0</v>
      </c>
      <c r="SB32" s="9"/>
      <c r="SC32" s="9" t="s">
        <v>900</v>
      </c>
      <c r="SD32" s="35">
        <v>0.0</v>
      </c>
      <c r="SE32" s="35">
        <v>0.0</v>
      </c>
      <c r="SF32" s="35">
        <v>0.0</v>
      </c>
      <c r="SG32" s="35">
        <v>0.0</v>
      </c>
      <c r="SH32" s="35">
        <v>0.0</v>
      </c>
      <c r="SI32" s="8">
        <v>1.0</v>
      </c>
      <c r="SJ32" s="8">
        <v>0.0</v>
      </c>
      <c r="SK32" s="8">
        <v>0.0</v>
      </c>
      <c r="SL32" s="8">
        <v>0.0</v>
      </c>
      <c r="SM32" s="9"/>
      <c r="SN32" s="9"/>
      <c r="SO32" s="31"/>
      <c r="SP32" s="31"/>
      <c r="SQ32" s="31"/>
      <c r="SR32" s="31"/>
      <c r="SS32" s="31"/>
      <c r="ST32" s="9"/>
      <c r="SU32" s="9"/>
      <c r="SV32" s="9"/>
      <c r="SW32" s="9"/>
      <c r="SX32" s="9"/>
      <c r="SY32" s="8">
        <f>VLOOKUP(AG32,'BUS 2'!$G$1:$CU$424,33,0)</f>
        <v>8</v>
      </c>
      <c r="SZ32" s="9" t="str">
        <f>VLOOKUP(AG32,'BUS 2'!$G$1:$CU$424,34,0)</f>
        <v/>
      </c>
      <c r="TA32" s="9" t="str">
        <f>VLOOKUP(AG32,'BUS 2'!$G$1:$CU$424,35,0)</f>
        <v/>
      </c>
      <c r="TB32" s="9" t="str">
        <f>VLOOKUP(AG32,'BUS 2'!$G$1:$CU$424,36,0)</f>
        <v/>
      </c>
      <c r="TC32" s="9">
        <f>VLOOKUP(AG32,'BUS 2'!$G$1:$CU$424,37,0)</f>
        <v>5</v>
      </c>
      <c r="TD32" s="9">
        <f>VLOOKUP(AG32,'BUS 2'!$G$1:$CU$424,38,0)</f>
        <v>8</v>
      </c>
      <c r="TE32" s="9">
        <f>VLOOKUP(AG32,'BUS 2'!$G$1:$CU$424,39,0)</f>
        <v>5</v>
      </c>
      <c r="TF32" s="9">
        <f>VLOOKUP(AG32,'BUS 2'!$G$1:$CU$424,40,0)</f>
        <v>3</v>
      </c>
      <c r="TG32" s="8">
        <f>VLOOKUP(AG32,'BUS 2'!$G$1:$CU$424,42,0)</f>
        <v>3</v>
      </c>
      <c r="TH32" s="8" t="str">
        <f>VLOOKUP(AG32,'BUS 2'!$G$1:$CU$424,43,0)</f>
        <v/>
      </c>
      <c r="TI32" s="8" t="str">
        <f>VLOOKUP(AG32,'BUS 2'!$G$1:$CU$424,44,0)</f>
        <v/>
      </c>
      <c r="TJ32" s="8" t="str">
        <f>VLOOKUP(AG32,'BUS 2'!$G$1:$CU$424,45,0)</f>
        <v/>
      </c>
      <c r="TK32" s="8" t="str">
        <f>VLOOKUP(AG32,'BUS 2'!$G$1:$CU$424,46,0)</f>
        <v/>
      </c>
      <c r="TL32" s="8" t="str">
        <f>VLOOKUP(AG32,'BUS 2'!$G$1:$CU$424,47,0)</f>
        <v/>
      </c>
      <c r="TM32" s="8">
        <f>VLOOKUP(AG32,'BUS 2'!$G$1:$CU$424,48,0)</f>
        <v>10</v>
      </c>
      <c r="TN32" s="8" t="str">
        <f>VLOOKUP(AG32,'BUS 2'!$G$1:$CU$424,49,0)</f>
        <v/>
      </c>
      <c r="TO32" s="8">
        <f>VLOOKUP(AG32,'BUS 2'!$G$1:$CU$424,50,0)</f>
        <v>5</v>
      </c>
      <c r="TP32" s="8">
        <f>VLOOKUP(AG32,'BUS 2'!$G$1:$CU$424,51,0)</f>
        <v>0</v>
      </c>
      <c r="TQ32" s="8">
        <f>VLOOKUP(AG32,'BUS 2'!$G$1:$CU$424,52,0)</f>
        <v>0</v>
      </c>
      <c r="TR32" s="8">
        <f>VLOOKUP(AG32,'BUS 2'!$G$1:$CU$424,53,0)</f>
        <v>0</v>
      </c>
      <c r="TS32" s="9" t="str">
        <f>VLOOKUP(AG32,'BUS 2'!$G$1:$CU$424,54,0)</f>
        <v/>
      </c>
      <c r="TT32" s="9" t="str">
        <f>VLOOKUP(AG32,'BUS 2'!$G$1:$CU$424,55,0)</f>
        <v/>
      </c>
      <c r="TU32" s="9" t="str">
        <f>VLOOKUP(AG32,'BUS 2'!$G$1:$CU$424,56,0)</f>
        <v/>
      </c>
      <c r="TV32" s="9" t="str">
        <f>VLOOKUP(AG32,'BUS 2'!$G$1:$CU$424,57,0)</f>
        <v/>
      </c>
      <c r="TW32" s="9" t="str">
        <f>VLOOKUP(AG32,'BUS 2'!$G$1:$CU$424,58,0)</f>
        <v/>
      </c>
      <c r="TX32" s="9" t="str">
        <f>VLOOKUP(AG32,'BUS 2'!$G$1:$CU$424,59,0)</f>
        <v/>
      </c>
      <c r="TY32" s="9" t="str">
        <f>VLOOKUP(AG32,'BUS 2'!$G$1:$CU$424,60,0)</f>
        <v/>
      </c>
      <c r="TZ32" s="9" t="str">
        <f>VLOOKUP(AG32,'BUS 2'!$G$1:$CU$424,61,0)</f>
        <v/>
      </c>
      <c r="UA32" s="9" t="str">
        <f>VLOOKUP(AG32,'BUS 2'!$G$1:$CU$424,62,0)</f>
        <v/>
      </c>
      <c r="UB32" s="9" t="str">
        <f>VLOOKUP(AG32,'BUS 2'!$G$1:$CU$424,63,0)</f>
        <v/>
      </c>
      <c r="UC32" s="9" t="str">
        <f>VLOOKUP(AG32,'BUS 2'!$G$1:$CU$424,64,0)</f>
        <v/>
      </c>
      <c r="UD32" s="9" t="str">
        <f>VLOOKUP(AG32,'BUS 2'!$G$1:$CU$424,65,0)</f>
        <v/>
      </c>
      <c r="UE32" s="9" t="str">
        <f>VLOOKUP(AG32,'BUS 2'!$G$1:$CU$424,66,0)</f>
        <v/>
      </c>
      <c r="UF32" s="9" t="str">
        <f>VLOOKUP(AG32,'BUS 2'!$G$1:$CU$424,67,0)</f>
        <v/>
      </c>
      <c r="UG32" s="9" t="str">
        <f>VLOOKUP(AG32,'BUS 2'!$G$1:$CU$424,68,0)</f>
        <v/>
      </c>
      <c r="UH32" s="9" t="str">
        <f>VLOOKUP(AG32,'BUS 2'!$G$1:$CU$424,69,0)</f>
        <v/>
      </c>
      <c r="UI32" s="9" t="str">
        <f>VLOOKUP(AG32,'BUS 2'!$G$1:$CU$424,70,0)</f>
        <v/>
      </c>
      <c r="UJ32" s="9" t="str">
        <f>VLOOKUP(AG32,'BUS 2'!$G$1:$CU$424,71,0)</f>
        <v/>
      </c>
      <c r="UK32" s="9" t="str">
        <f>VLOOKUP(AG32,'BUS 2'!$G$1:$CU$424,72,0)</f>
        <v/>
      </c>
      <c r="UL32" s="9" t="str">
        <f>VLOOKUP(AG32,'BUS 2'!$G$1:$CU$424,73,0)</f>
        <v/>
      </c>
      <c r="UM32" s="9">
        <f>VLOOKUP(AG32,'BUS 2'!$G$1:$CU$424,74,0)</f>
        <v>0</v>
      </c>
      <c r="UN32" s="9">
        <f>VLOOKUP(AG32,'BUS 2'!$G$1:$CU$424,75,0)</f>
        <v>0</v>
      </c>
      <c r="UO32" s="9">
        <f>VLOOKUP(AG32,'BUS 2'!$G$1:$CU$424,76,0)</f>
        <v>5</v>
      </c>
      <c r="UP32" s="9">
        <f>VLOOKUP(AG32,'BUS 2'!$G$1:$CU$424,77,0)</f>
        <v>0</v>
      </c>
      <c r="UQ32" s="9" t="str">
        <f>VLOOKUP(AG32,'BUS 2'!$G$1:$CU$424,78,0)</f>
        <v/>
      </c>
      <c r="UR32" s="9" t="str">
        <f>VLOOKUP(AG32,'BUS 2'!$G$1:$CU$424,79,0)</f>
        <v/>
      </c>
      <c r="US32" s="9" t="str">
        <f>VLOOKUP(AG32,'BUS 2'!$G$1:$CU$424,80,0)</f>
        <v/>
      </c>
      <c r="UT32" s="9" t="str">
        <f>VLOOKUP(AG32,'BUS 2'!$G$1:$CU$424,81,0)</f>
        <v/>
      </c>
      <c r="UU32" s="9" t="s">
        <v>1937</v>
      </c>
      <c r="UV32" s="9"/>
      <c r="UW32" s="9"/>
      <c r="UX32" s="9"/>
      <c r="UY32" s="9"/>
      <c r="UZ32" s="9"/>
      <c r="VA32" s="9" t="s">
        <v>1937</v>
      </c>
      <c r="VB32" s="9"/>
      <c r="VC32" s="9" t="s">
        <v>2100</v>
      </c>
      <c r="VD32" s="9"/>
      <c r="VE32" s="9"/>
      <c r="VF32" s="9"/>
      <c r="VG32" s="9"/>
      <c r="VH32" s="9"/>
      <c r="VI32" s="9" t="s">
        <v>1938</v>
      </c>
      <c r="VJ32" s="9"/>
      <c r="VK32" s="9" t="s">
        <v>903</v>
      </c>
      <c r="VL32" s="9"/>
      <c r="VM32" s="9"/>
      <c r="VN32" s="9"/>
      <c r="VO32" s="9"/>
      <c r="VP32" s="9"/>
      <c r="VQ32" s="9" t="s">
        <v>1939</v>
      </c>
      <c r="VR32" s="9"/>
      <c r="VS32" s="9" t="s">
        <v>1940</v>
      </c>
      <c r="VT32" s="8">
        <v>0.0</v>
      </c>
      <c r="VU32" s="8">
        <v>0.0</v>
      </c>
      <c r="VV32" s="8">
        <v>0.0</v>
      </c>
      <c r="VW32" s="8">
        <v>0.0</v>
      </c>
      <c r="VX32" s="8">
        <v>0.0</v>
      </c>
      <c r="VY32" s="8">
        <v>1.0</v>
      </c>
      <c r="VZ32" s="8">
        <v>0.0</v>
      </c>
      <c r="WA32" s="8">
        <v>0.0</v>
      </c>
      <c r="WB32" s="8">
        <v>0.0</v>
      </c>
      <c r="WC32" s="8">
        <v>0.0</v>
      </c>
      <c r="WD32" s="8">
        <v>0.0</v>
      </c>
      <c r="WE32" s="8">
        <v>0.0</v>
      </c>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t="s">
        <v>1941</v>
      </c>
      <c r="YO32" s="8">
        <v>0.0</v>
      </c>
      <c r="YP32" s="8">
        <v>0.0</v>
      </c>
      <c r="YQ32" s="8">
        <v>0.0</v>
      </c>
      <c r="YR32" s="8">
        <v>0.0</v>
      </c>
      <c r="YS32" s="8">
        <v>0.0</v>
      </c>
      <c r="YT32" s="8">
        <v>0.0</v>
      </c>
      <c r="YU32" s="8">
        <v>0.0</v>
      </c>
      <c r="YV32" s="8">
        <v>0.0</v>
      </c>
      <c r="YW32" s="8">
        <v>0.0</v>
      </c>
      <c r="YX32" s="8">
        <v>0.0</v>
      </c>
      <c r="YY32" s="8">
        <v>0.0</v>
      </c>
      <c r="YZ32" s="8">
        <v>1.0</v>
      </c>
      <c r="ZA32" s="9"/>
      <c r="ZB32" s="9"/>
      <c r="ZC32" s="9"/>
      <c r="ZD32" s="9"/>
      <c r="ZE32" s="9"/>
      <c r="ZF32" s="9"/>
      <c r="ZG32" s="9"/>
      <c r="ZH32" s="9"/>
      <c r="ZI32" s="9"/>
      <c r="ZJ32" s="9"/>
      <c r="ZK32" s="9"/>
      <c r="ZL32" s="9"/>
      <c r="ZM32" s="9"/>
      <c r="ZN32" s="9"/>
      <c r="ZO32" s="9"/>
      <c r="ZP32" s="9"/>
      <c r="ZQ32" s="9"/>
      <c r="ZR32" s="9"/>
      <c r="ZS32" s="9"/>
      <c r="ZT32" s="9"/>
      <c r="ZU32" s="9"/>
      <c r="ZV32" s="8">
        <v>2.0</v>
      </c>
      <c r="ZW32" s="9"/>
      <c r="ZX32" s="9"/>
      <c r="ZY32" s="9"/>
      <c r="ZZ32" s="9"/>
      <c r="AAA32" s="9"/>
      <c r="AAB32" s="8">
        <v>2.0</v>
      </c>
      <c r="AAC32" s="9"/>
      <c r="AAD32" s="9" t="s">
        <v>1186</v>
      </c>
      <c r="AAE32" s="9"/>
      <c r="AAF32" s="9"/>
      <c r="AAG32" s="9"/>
      <c r="AAH32" s="9"/>
      <c r="AAI32" s="9"/>
      <c r="AAJ32" s="9" t="s">
        <v>905</v>
      </c>
      <c r="AAK32" s="9"/>
      <c r="AAL32" s="9" t="s">
        <v>857</v>
      </c>
      <c r="AAM32" s="9" t="s">
        <v>1942</v>
      </c>
      <c r="AAN32" s="8">
        <v>0.0</v>
      </c>
      <c r="AAO32" s="8">
        <v>1.0</v>
      </c>
      <c r="AAP32" s="8">
        <v>5.0</v>
      </c>
      <c r="AAQ32" s="9"/>
      <c r="AAR32" s="9" t="s">
        <v>881</v>
      </c>
      <c r="AAS32" s="9" t="s">
        <v>867</v>
      </c>
      <c r="AAT32" s="9" t="s">
        <v>2101</v>
      </c>
      <c r="AAU32" s="8">
        <v>0.0</v>
      </c>
      <c r="AAV32" s="8">
        <v>0.0</v>
      </c>
      <c r="AAW32" s="8">
        <v>0.0</v>
      </c>
      <c r="AAX32" s="8">
        <v>1.0</v>
      </c>
      <c r="AAY32" s="8">
        <v>0.0</v>
      </c>
      <c r="AAZ32" s="8">
        <v>0.0</v>
      </c>
      <c r="ABA32" s="8">
        <v>0.0</v>
      </c>
      <c r="ABB32" s="9"/>
      <c r="ABC32" s="9"/>
      <c r="ABD32" s="9"/>
      <c r="ABE32" s="9"/>
      <c r="ABF32" s="9"/>
      <c r="ABG32" s="9"/>
      <c r="ABH32" s="9"/>
      <c r="ABI32" s="9"/>
      <c r="ABJ32" s="9"/>
      <c r="ABK32" s="9"/>
      <c r="ABL32" s="9"/>
      <c r="ABM32" s="9"/>
      <c r="ABN32" s="9"/>
      <c r="ABO32" s="9"/>
      <c r="ABP32" s="9"/>
      <c r="ABQ32" s="9" t="s">
        <v>2556</v>
      </c>
      <c r="ABR32" s="9" t="s">
        <v>954</v>
      </c>
      <c r="ABS32" s="9"/>
      <c r="ABT32" s="8">
        <v>10000.0</v>
      </c>
      <c r="ABU32" s="9"/>
      <c r="ABV32" s="9"/>
      <c r="ABW32" s="9"/>
      <c r="ABX32" s="9"/>
      <c r="ABY32" s="9"/>
      <c r="ABZ32" s="9"/>
      <c r="ACA32" s="9"/>
      <c r="ACB32" s="9"/>
      <c r="ACC32" s="9"/>
      <c r="ACD32" s="9"/>
      <c r="ACE32" s="9"/>
      <c r="ACF32" s="9"/>
      <c r="ACG32" s="9"/>
      <c r="ACH32" s="9"/>
      <c r="ACI32" s="9"/>
      <c r="ACJ32" s="9"/>
      <c r="ACK32" s="9" t="s">
        <v>955</v>
      </c>
      <c r="ACL32" s="8">
        <v>0.0</v>
      </c>
      <c r="ACM32" s="8">
        <v>0.0</v>
      </c>
      <c r="ACN32" s="8">
        <v>0.0</v>
      </c>
      <c r="ACO32" s="8">
        <v>1.0</v>
      </c>
      <c r="ACP32" s="8">
        <v>0.0</v>
      </c>
      <c r="ACQ32" s="8">
        <v>0.0</v>
      </c>
      <c r="ACR32" s="8">
        <v>0.0</v>
      </c>
      <c r="ACS32" s="9"/>
      <c r="ACT32" s="9" t="s">
        <v>1945</v>
      </c>
      <c r="ACU32" s="9" t="s">
        <v>913</v>
      </c>
      <c r="ACV32" s="9" t="s">
        <v>914</v>
      </c>
      <c r="ACW32" s="9" t="s">
        <v>915</v>
      </c>
      <c r="ACX32" s="9" t="s">
        <v>958</v>
      </c>
      <c r="ACY32" s="9" t="s">
        <v>1017</v>
      </c>
      <c r="ACZ32" s="8">
        <v>1.0</v>
      </c>
      <c r="ADA32" s="8">
        <v>1.0</v>
      </c>
      <c r="ADB32" s="8">
        <v>1.0</v>
      </c>
      <c r="ADC32" s="8">
        <v>0.0</v>
      </c>
      <c r="ADD32" s="9" t="s">
        <v>918</v>
      </c>
      <c r="ADE32" s="9" t="s">
        <v>918</v>
      </c>
      <c r="ADF32" s="9" t="s">
        <v>918</v>
      </c>
      <c r="ADG32" s="9" t="s">
        <v>918</v>
      </c>
      <c r="ADH32" s="9" t="s">
        <v>881</v>
      </c>
      <c r="ADI32" s="9"/>
      <c r="ADJ32" s="9" t="s">
        <v>918</v>
      </c>
      <c r="ADK32" s="9"/>
      <c r="ADL32" s="9"/>
      <c r="ADM32" s="9"/>
      <c r="ADN32" s="9"/>
      <c r="ADO32" s="9"/>
      <c r="ADP32" s="9"/>
      <c r="ADQ32" s="9"/>
      <c r="ADR32" s="9"/>
      <c r="ADS32" s="9"/>
      <c r="ADT32" s="9"/>
      <c r="ADU32" s="9" t="s">
        <v>2046</v>
      </c>
      <c r="ADV32" s="8">
        <v>0.0</v>
      </c>
      <c r="ADW32" s="8">
        <v>0.0</v>
      </c>
      <c r="ADX32" s="8">
        <v>0.0</v>
      </c>
      <c r="ADY32" s="8">
        <v>0.0</v>
      </c>
      <c r="ADZ32" s="8">
        <v>0.0</v>
      </c>
      <c r="AEA32" s="8">
        <v>1.0</v>
      </c>
      <c r="AEB32" s="8">
        <v>0.0</v>
      </c>
      <c r="AEC32" s="8">
        <v>0.0</v>
      </c>
      <c r="AED32" s="9" t="s">
        <v>1945</v>
      </c>
      <c r="AEE32" s="9" t="s">
        <v>872</v>
      </c>
      <c r="AEF32" s="9"/>
      <c r="AEG32" s="9" t="s">
        <v>920</v>
      </c>
      <c r="AEH32" s="9"/>
      <c r="AEI32" s="9" t="s">
        <v>1945</v>
      </c>
      <c r="AEJ32" s="9" t="s">
        <v>961</v>
      </c>
      <c r="AEK32" s="9" t="s">
        <v>2452</v>
      </c>
      <c r="AEL32" s="8">
        <v>1.0</v>
      </c>
      <c r="AEM32" s="8">
        <v>0.0</v>
      </c>
      <c r="AEN32" s="8">
        <v>0.0</v>
      </c>
      <c r="AEO32" s="8">
        <v>0.0</v>
      </c>
      <c r="AEP32" s="8">
        <v>1.0</v>
      </c>
      <c r="AEQ32" s="8">
        <v>0.0</v>
      </c>
      <c r="AER32" s="8">
        <v>1.0</v>
      </c>
      <c r="AES32" s="8">
        <v>1.0</v>
      </c>
      <c r="AET32" s="8">
        <v>1.0</v>
      </c>
      <c r="AEU32" s="8">
        <v>0.0</v>
      </c>
      <c r="AEV32" s="8">
        <v>0.0</v>
      </c>
      <c r="AEW32" s="8">
        <v>0.0</v>
      </c>
      <c r="AEX32" s="9"/>
      <c r="AEY32" s="9" t="s">
        <v>1305</v>
      </c>
      <c r="AEZ32" s="9"/>
      <c r="AFA32" s="9" t="s">
        <v>2077</v>
      </c>
      <c r="AFB32" s="9"/>
      <c r="AFC32" s="9" t="s">
        <v>2557</v>
      </c>
      <c r="AFD32" s="16" t="s">
        <v>2558</v>
      </c>
      <c r="AFE32" s="9" t="s">
        <v>2559</v>
      </c>
      <c r="AFF32" s="16" t="s">
        <v>2560</v>
      </c>
      <c r="AFG32" s="9" t="s">
        <v>2443</v>
      </c>
      <c r="AFH32" s="9"/>
      <c r="AFI32" s="21" t="s">
        <v>1945</v>
      </c>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8">
        <v>6.72522073E8</v>
      </c>
      <c r="AWB32" s="9" t="s">
        <v>2561</v>
      </c>
      <c r="AWC32" s="6">
        <v>46068.0</v>
      </c>
      <c r="AWD32" s="9"/>
      <c r="AWE32" s="9"/>
      <c r="AWF32" s="9" t="s">
        <v>1954</v>
      </c>
      <c r="AWG32" s="9"/>
      <c r="AWH32" s="9" t="s">
        <v>1989</v>
      </c>
      <c r="AWI32" s="9"/>
      <c r="AWJ32" s="9" t="s">
        <v>2562</v>
      </c>
      <c r="AWK32" s="8">
        <v>253.0</v>
      </c>
      <c r="AWL32" s="9" t="s">
        <v>2553</v>
      </c>
      <c r="AWM32" s="8">
        <v>0.0</v>
      </c>
      <c r="AWN32" s="9" t="s">
        <v>1957</v>
      </c>
      <c r="AWO32" s="33" t="b">
        <v>1</v>
      </c>
      <c r="AWP32" s="33" t="b">
        <v>1</v>
      </c>
      <c r="AWQ32" s="33" t="b">
        <v>1</v>
      </c>
      <c r="AWR32" s="33" t="b">
        <v>1</v>
      </c>
      <c r="AWS32" s="33" t="b">
        <v>1</v>
      </c>
      <c r="AWT32" s="33" t="b">
        <v>1</v>
      </c>
      <c r="AWU32" s="9"/>
      <c r="AWV32" s="8">
        <v>6.0</v>
      </c>
      <c r="AWW32" s="9"/>
      <c r="AWX32" s="9"/>
      <c r="AWY32" s="9"/>
      <c r="AWZ32" s="9"/>
    </row>
    <row r="33">
      <c r="A33" s="6">
        <v>46067.0</v>
      </c>
      <c r="B33" s="6">
        <v>46069.0</v>
      </c>
      <c r="C33" s="30" t="s">
        <v>1991</v>
      </c>
      <c r="D33" s="30" t="s">
        <v>2563</v>
      </c>
      <c r="E33" s="8">
        <f>+6285282733230</f>
        <v>6285282733230</v>
      </c>
      <c r="F33" s="9" t="s">
        <v>2564</v>
      </c>
      <c r="G33" s="8">
        <v>-5.397297</v>
      </c>
      <c r="H33" s="8">
        <v>119.554614</v>
      </c>
      <c r="I33" s="8">
        <v>104.1999969</v>
      </c>
      <c r="J33" s="8">
        <v>24.89999962</v>
      </c>
      <c r="K33" s="8">
        <v>0.0</v>
      </c>
      <c r="L33" s="9" t="s">
        <v>2565</v>
      </c>
      <c r="M33" s="8">
        <v>-5.396945</v>
      </c>
      <c r="N33" s="8">
        <v>119.554755</v>
      </c>
      <c r="O33" s="8">
        <v>95.13052122</v>
      </c>
      <c r="P33" s="8">
        <v>14.26900005</v>
      </c>
      <c r="Q33" s="8">
        <v>0.0</v>
      </c>
      <c r="R33" s="9" t="s">
        <v>1923</v>
      </c>
      <c r="S33" s="8">
        <v>0.0</v>
      </c>
      <c r="T33" s="8">
        <v>0.0</v>
      </c>
      <c r="U33" s="8">
        <v>0.0</v>
      </c>
      <c r="V33" s="8">
        <v>0.0</v>
      </c>
      <c r="W33" s="8">
        <v>0.0</v>
      </c>
      <c r="X33" s="8">
        <v>0.0</v>
      </c>
      <c r="Y33" s="8">
        <v>0.0</v>
      </c>
      <c r="Z33" s="8">
        <v>0.0</v>
      </c>
      <c r="AA33" s="8">
        <v>0.0</v>
      </c>
      <c r="AB33" s="8">
        <v>1.0</v>
      </c>
      <c r="AC33" s="7" t="s">
        <v>2113</v>
      </c>
      <c r="AD33" s="7" t="s">
        <v>2566</v>
      </c>
      <c r="AE33" s="7" t="s">
        <v>2567</v>
      </c>
      <c r="AF33" s="9" t="s">
        <v>2568</v>
      </c>
      <c r="AG33" s="7" t="s">
        <v>2569</v>
      </c>
      <c r="AH33" s="8">
        <v>11.0</v>
      </c>
      <c r="AI33" s="9" t="s">
        <v>933</v>
      </c>
      <c r="AJ33" s="9" t="s">
        <v>934</v>
      </c>
      <c r="AK33" s="8">
        <v>28.0</v>
      </c>
      <c r="AL33" s="9" t="s">
        <v>847</v>
      </c>
      <c r="AM33" s="9" t="s">
        <v>1098</v>
      </c>
      <c r="AN33" s="9" t="s">
        <v>1099</v>
      </c>
      <c r="AO33" s="9" t="s">
        <v>1168</v>
      </c>
      <c r="AP33" s="8">
        <v>0.0</v>
      </c>
      <c r="AQ33" s="8">
        <v>0.0</v>
      </c>
      <c r="AR33" s="8">
        <v>0.0</v>
      </c>
      <c r="AS33" s="8">
        <v>0.0</v>
      </c>
      <c r="AT33" s="8">
        <v>1.0</v>
      </c>
      <c r="AU33" s="8">
        <v>0.0</v>
      </c>
      <c r="AV33" s="8">
        <v>0.0</v>
      </c>
      <c r="AW33" s="8">
        <v>0.0</v>
      </c>
      <c r="AX33" s="9"/>
      <c r="AY33" s="9" t="s">
        <v>999</v>
      </c>
      <c r="AZ33" s="8">
        <v>0.0</v>
      </c>
      <c r="BA33" s="8">
        <v>0.0</v>
      </c>
      <c r="BB33" s="8">
        <v>0.0</v>
      </c>
      <c r="BC33" s="8">
        <v>0.0</v>
      </c>
      <c r="BD33" s="8">
        <v>0.0</v>
      </c>
      <c r="BE33" s="8">
        <v>0.0</v>
      </c>
      <c r="BF33" s="8">
        <v>0.0</v>
      </c>
      <c r="BG33" s="8">
        <v>1.0</v>
      </c>
      <c r="BH33" s="11"/>
      <c r="BI33" s="9" t="s">
        <v>852</v>
      </c>
      <c r="BJ33" s="8">
        <v>1.0</v>
      </c>
      <c r="BK33" s="8">
        <v>1.0</v>
      </c>
      <c r="BL33" s="8">
        <v>0.0</v>
      </c>
      <c r="BM33" s="8">
        <v>2.0</v>
      </c>
      <c r="BN33" s="9" t="s">
        <v>853</v>
      </c>
      <c r="BO33" s="9" t="s">
        <v>2000</v>
      </c>
      <c r="BP33" s="8">
        <v>0.0</v>
      </c>
      <c r="BQ33" s="8">
        <v>1.0</v>
      </c>
      <c r="BR33" s="8">
        <v>0.0</v>
      </c>
      <c r="BS33" s="8">
        <v>0.0</v>
      </c>
      <c r="BT33" s="8">
        <v>0.0</v>
      </c>
      <c r="BU33" s="9"/>
      <c r="BV33" s="9" t="s">
        <v>2065</v>
      </c>
      <c r="BW33" s="8">
        <v>1.0</v>
      </c>
      <c r="BX33" s="8">
        <v>0.0</v>
      </c>
      <c r="BY33" s="8">
        <v>0.0</v>
      </c>
      <c r="BZ33" s="8">
        <v>0.0</v>
      </c>
      <c r="CA33" s="8">
        <v>0.0</v>
      </c>
      <c r="CB33" s="9"/>
      <c r="CC33" s="9" t="s">
        <v>1929</v>
      </c>
      <c r="CD33" s="8">
        <v>0.0</v>
      </c>
      <c r="CE33" s="8">
        <v>0.0</v>
      </c>
      <c r="CF33" s="8">
        <v>0.0</v>
      </c>
      <c r="CG33" s="8">
        <v>0.0</v>
      </c>
      <c r="CH33" s="8">
        <v>1.0</v>
      </c>
      <c r="CI33" s="8">
        <v>0.0</v>
      </c>
      <c r="CJ33" s="8">
        <v>0.0</v>
      </c>
      <c r="CK33" s="9"/>
      <c r="CL33" s="9" t="s">
        <v>857</v>
      </c>
      <c r="CM33" s="8">
        <v>2014.0</v>
      </c>
      <c r="CN33" s="9" t="s">
        <v>858</v>
      </c>
      <c r="CO33" s="9" t="s">
        <v>1968</v>
      </c>
      <c r="CP33" s="9" t="s">
        <v>969</v>
      </c>
      <c r="CQ33" s="8">
        <v>0.0</v>
      </c>
      <c r="CR33" s="8">
        <v>0.0</v>
      </c>
      <c r="CS33" s="8">
        <v>0.0</v>
      </c>
      <c r="CT33" s="8">
        <v>0.0</v>
      </c>
      <c r="CU33" s="8">
        <v>0.0</v>
      </c>
      <c r="CV33" s="8">
        <v>0.0</v>
      </c>
      <c r="CW33" s="8">
        <v>0.0</v>
      </c>
      <c r="CX33" s="8">
        <v>1.0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9" t="s">
        <v>938</v>
      </c>
      <c r="DQ33" s="9" t="s">
        <v>939</v>
      </c>
      <c r="DR33" s="17" t="s">
        <v>987</v>
      </c>
      <c r="DS33" s="9"/>
      <c r="DT33" s="9"/>
      <c r="DU33" s="9"/>
      <c r="DV33" s="9"/>
      <c r="DW33" s="9"/>
      <c r="DX33" s="9"/>
      <c r="DY33" s="9"/>
      <c r="DZ33" s="9"/>
      <c r="EA33" s="9"/>
      <c r="EB33" s="9"/>
      <c r="EC33" s="9"/>
      <c r="ED33" s="9"/>
      <c r="EE33" s="9"/>
      <c r="EF33" s="9"/>
      <c r="EG33" s="9"/>
      <c r="EH33" s="9"/>
      <c r="EI33" s="31" t="s">
        <v>862</v>
      </c>
      <c r="EJ33" s="8">
        <v>0.0</v>
      </c>
      <c r="EK33" s="8">
        <v>0.0</v>
      </c>
      <c r="EL33" s="8">
        <v>0.0</v>
      </c>
      <c r="EM33" s="8">
        <v>1.0</v>
      </c>
      <c r="EN33" s="8">
        <v>0.0</v>
      </c>
      <c r="EO33" s="9"/>
      <c r="EP33" s="9" t="s">
        <v>863</v>
      </c>
      <c r="EQ33" s="9" t="s">
        <v>1380</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1971</v>
      </c>
      <c r="FH33" s="9" t="s">
        <v>883</v>
      </c>
      <c r="FI33" s="9" t="s">
        <v>867</v>
      </c>
      <c r="FJ33" s="9" t="s">
        <v>868</v>
      </c>
      <c r="FK33" s="9" t="s">
        <v>1971</v>
      </c>
      <c r="FL33" s="9" t="s">
        <v>883</v>
      </c>
      <c r="FM33" s="9" t="s">
        <v>867</v>
      </c>
      <c r="FN33" s="9" t="s">
        <v>943</v>
      </c>
      <c r="FO33" s="9" t="s">
        <v>1971</v>
      </c>
      <c r="FP33" s="9" t="s">
        <v>883</v>
      </c>
      <c r="FQ33" s="9" t="s">
        <v>867</v>
      </c>
      <c r="FR33" s="9" t="s">
        <v>857</v>
      </c>
      <c r="FS33" s="9" t="s">
        <v>867</v>
      </c>
      <c r="FT33" s="9" t="s">
        <v>871</v>
      </c>
      <c r="FU33" s="9" t="s">
        <v>872</v>
      </c>
      <c r="FV33" s="8">
        <v>1.0</v>
      </c>
      <c r="FW33" s="8">
        <v>0.0</v>
      </c>
      <c r="FX33" s="8">
        <v>0.0</v>
      </c>
      <c r="FY33" s="8">
        <v>0.0</v>
      </c>
      <c r="FZ33" s="9" t="s">
        <v>2174</v>
      </c>
      <c r="GA33" s="31"/>
      <c r="GB33" s="12"/>
      <c r="GC33" s="12"/>
      <c r="GD33" s="12"/>
      <c r="GE33" s="12"/>
      <c r="GF33" s="9" t="s">
        <v>2174</v>
      </c>
      <c r="GG33" s="9" t="s">
        <v>883</v>
      </c>
      <c r="GH33" s="9" t="s">
        <v>881</v>
      </c>
      <c r="GI33" s="9"/>
      <c r="GJ33" s="9"/>
      <c r="GK33" s="9"/>
      <c r="GL33" s="9"/>
      <c r="GM33" s="9"/>
      <c r="GN33" s="9"/>
      <c r="GO33" s="9"/>
      <c r="GP33" s="34" t="s">
        <v>1931</v>
      </c>
      <c r="GQ33" s="21" t="s">
        <v>878</v>
      </c>
      <c r="GR33" s="8">
        <v>1.0</v>
      </c>
      <c r="GS33" s="8">
        <v>1.0</v>
      </c>
      <c r="GT33" s="8">
        <v>0.0</v>
      </c>
      <c r="GU33" s="8">
        <v>0.0</v>
      </c>
      <c r="GV33" s="8">
        <v>0.0</v>
      </c>
      <c r="GW33" s="8">
        <v>0.0</v>
      </c>
      <c r="GX33" s="8">
        <v>0.0</v>
      </c>
      <c r="GY33" s="9"/>
      <c r="GZ33" s="9" t="s">
        <v>857</v>
      </c>
      <c r="HA33" s="39">
        <v>5.0</v>
      </c>
      <c r="HB33" s="39">
        <v>0.0</v>
      </c>
      <c r="HC33" s="39">
        <v>5.0</v>
      </c>
      <c r="HD33" s="39">
        <v>0.0</v>
      </c>
      <c r="HE33" s="8">
        <v>6.0</v>
      </c>
      <c r="HF33" s="8">
        <v>37000.0</v>
      </c>
      <c r="HG33" s="8">
        <v>3.0</v>
      </c>
      <c r="HH33" s="8">
        <v>23000.0</v>
      </c>
      <c r="HI33" s="9"/>
      <c r="HJ33" s="9"/>
      <c r="HK33" s="9"/>
      <c r="HL33" s="9"/>
      <c r="HM33" s="9"/>
      <c r="HN33" s="9"/>
      <c r="HO33" s="9"/>
      <c r="HP33" s="9"/>
      <c r="HQ33" s="9"/>
      <c r="HR33" s="9"/>
      <c r="HS33" s="9"/>
      <c r="HT33" s="9"/>
      <c r="HU33" s="9"/>
      <c r="HV33" s="9"/>
      <c r="HW33" s="9"/>
      <c r="HX33" s="9"/>
      <c r="HY33" s="8">
        <v>0.0</v>
      </c>
      <c r="HZ33" s="8">
        <v>0.0</v>
      </c>
      <c r="IA33" s="8">
        <v>3.0</v>
      </c>
      <c r="IB33" s="8">
        <v>23000.0</v>
      </c>
      <c r="IC33" s="9"/>
      <c r="ID33" s="9"/>
      <c r="IE33" s="9"/>
      <c r="IF33" s="9"/>
      <c r="IG33" s="9"/>
      <c r="IH33" s="9"/>
      <c r="II33" s="9"/>
      <c r="IJ33" s="9"/>
      <c r="IK33" s="9" t="s">
        <v>1382</v>
      </c>
      <c r="IL33" s="9" t="s">
        <v>1383</v>
      </c>
      <c r="IM33" s="9" t="s">
        <v>881</v>
      </c>
      <c r="IN33" s="9" t="s">
        <v>881</v>
      </c>
      <c r="IO33" s="9" t="s">
        <v>945</v>
      </c>
      <c r="IP33" s="9" t="s">
        <v>883</v>
      </c>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945</v>
      </c>
      <c r="KT33" s="9" t="s">
        <v>886</v>
      </c>
      <c r="KU33" s="9" t="s">
        <v>886</v>
      </c>
      <c r="KV33" s="9" t="s">
        <v>999</v>
      </c>
      <c r="KW33" s="8">
        <v>0.0</v>
      </c>
      <c r="KX33" s="8">
        <v>0.0</v>
      </c>
      <c r="KY33" s="8">
        <v>0.0</v>
      </c>
      <c r="KZ33" s="8">
        <v>1.0</v>
      </c>
      <c r="LA33" s="9" t="s">
        <v>884</v>
      </c>
      <c r="LB33" s="9" t="s">
        <v>1180</v>
      </c>
      <c r="LC33" s="8">
        <v>0.0</v>
      </c>
      <c r="LD33" s="8">
        <v>0.0</v>
      </c>
      <c r="LE33" s="8">
        <v>0.0</v>
      </c>
      <c r="LF33" s="8">
        <v>8.0</v>
      </c>
      <c r="LG33" s="9" t="s">
        <v>857</v>
      </c>
      <c r="LH33" s="8">
        <v>23000.0</v>
      </c>
      <c r="LI33" s="9"/>
      <c r="LJ33" s="9" t="s">
        <v>887</v>
      </c>
      <c r="LK33" s="8">
        <v>0.0</v>
      </c>
      <c r="LL33" s="8">
        <v>0.0</v>
      </c>
      <c r="LM33" s="8">
        <v>0.0</v>
      </c>
      <c r="LN33" s="8">
        <v>0.0</v>
      </c>
      <c r="LO33" s="8">
        <v>1.0</v>
      </c>
      <c r="LP33" s="8">
        <v>0.0</v>
      </c>
      <c r="LQ33" s="8">
        <v>0.0</v>
      </c>
      <c r="LR33" s="11"/>
      <c r="LS33" s="8">
        <v>15.0</v>
      </c>
      <c r="LT33" s="8">
        <v>0.0</v>
      </c>
      <c r="LU33" s="8">
        <v>0.0</v>
      </c>
      <c r="LV33" s="8">
        <v>5.0</v>
      </c>
      <c r="LW33" s="8">
        <v>0.0</v>
      </c>
      <c r="LX33" s="8">
        <v>0.0</v>
      </c>
      <c r="LY33" s="8">
        <v>15.0</v>
      </c>
      <c r="LZ33" s="8">
        <v>0.0</v>
      </c>
      <c r="MA33" s="8">
        <v>0.0</v>
      </c>
      <c r="MB33" s="9" t="s">
        <v>881</v>
      </c>
      <c r="MC33" s="8">
        <v>30.0</v>
      </c>
      <c r="MD33" s="8">
        <v>30.0</v>
      </c>
      <c r="ME33" s="8">
        <v>0.0</v>
      </c>
      <c r="MF33" s="8">
        <v>0.0</v>
      </c>
      <c r="MG33" s="8">
        <v>0.0</v>
      </c>
      <c r="MH33" s="8">
        <v>0.0</v>
      </c>
      <c r="MI33" s="9"/>
      <c r="MJ33" s="9"/>
      <c r="MK33" s="9"/>
      <c r="ML33" s="9"/>
      <c r="MM33" s="9"/>
      <c r="MN33" s="9"/>
      <c r="MO33" s="9"/>
      <c r="MP33" s="9"/>
      <c r="MQ33" s="9"/>
      <c r="MR33" s="17" t="s">
        <v>2270</v>
      </c>
      <c r="MS33" s="9"/>
      <c r="MT33" s="9" t="s">
        <v>2270</v>
      </c>
      <c r="MU33" s="9" t="s">
        <v>881</v>
      </c>
      <c r="MV33" s="9"/>
      <c r="MW33" s="9"/>
      <c r="MX33" s="9"/>
      <c r="MY33" s="9"/>
      <c r="MZ33" s="9"/>
      <c r="NA33" s="9"/>
      <c r="NB33" s="9"/>
      <c r="NC33" s="9"/>
      <c r="ND33" s="9"/>
      <c r="NE33" s="9"/>
      <c r="NF33" s="9"/>
      <c r="NG33" s="9"/>
      <c r="NH33" s="9"/>
      <c r="NI33" s="9"/>
      <c r="NJ33" s="9"/>
      <c r="NK33" s="9"/>
      <c r="NL33" s="9" t="s">
        <v>857</v>
      </c>
      <c r="NM33" s="9" t="s">
        <v>893</v>
      </c>
      <c r="NN33" s="17" t="s">
        <v>1387</v>
      </c>
      <c r="NO33" s="17" t="s">
        <v>969</v>
      </c>
      <c r="NP33" s="9" t="s">
        <v>2570</v>
      </c>
      <c r="NQ33" s="9"/>
      <c r="NR33" s="9"/>
      <c r="NS33" s="9"/>
      <c r="NT33" s="9"/>
      <c r="NU33" s="9"/>
      <c r="NV33" s="17" t="s">
        <v>896</v>
      </c>
      <c r="NW33" s="9"/>
      <c r="NX33" s="9" t="s">
        <v>914</v>
      </c>
      <c r="NY33" s="8">
        <v>45.0</v>
      </c>
      <c r="NZ33" s="8">
        <v>0.0</v>
      </c>
      <c r="OA33" s="8">
        <v>0.0</v>
      </c>
      <c r="OB33" s="8">
        <v>0.0</v>
      </c>
      <c r="OC33" s="8">
        <v>10.0</v>
      </c>
      <c r="OD33" s="8">
        <v>0.0</v>
      </c>
      <c r="OE33" s="9" t="s">
        <v>945</v>
      </c>
      <c r="OF33" s="9" t="s">
        <v>2175</v>
      </c>
      <c r="OG33" s="9" t="s">
        <v>857</v>
      </c>
      <c r="OH33" s="8">
        <v>0.0</v>
      </c>
      <c r="OI33" s="8">
        <v>0.0</v>
      </c>
      <c r="OJ33" s="8">
        <v>0.0</v>
      </c>
      <c r="OK33" s="8">
        <v>0.0</v>
      </c>
      <c r="OL33" s="8">
        <v>0.0</v>
      </c>
      <c r="OM33" s="8">
        <v>0.0</v>
      </c>
      <c r="ON33" s="8">
        <v>5.0</v>
      </c>
      <c r="OO33" s="8">
        <v>0.0</v>
      </c>
      <c r="OP33" s="9" t="str">
        <f>VLOOKUP(AG33,'BUS 2'!$G$1:$CU$424,2,0)</f>
        <v>Sapi pedaging Ayam</v>
      </c>
      <c r="OQ33" s="8">
        <f>VLOOKUP(AG33,'BUS 2'!$G$1:$CU$424,3,0)</f>
        <v>1</v>
      </c>
      <c r="OR33" s="8">
        <f>VLOOKUP(AG33,'BUS 2'!$G$1:$CU$424,4,0)</f>
        <v>0</v>
      </c>
      <c r="OS33" s="8">
        <f>VLOOKUP(AG33,'BUS 2'!$G$1:$CU$424,5,0)</f>
        <v>0</v>
      </c>
      <c r="OT33" s="8">
        <f>VLOOKUP(AG33,'BUS 2'!$G$1:$CU$424,6,0)</f>
        <v>0</v>
      </c>
      <c r="OU33" s="8">
        <f>VLOOKUP(AG33,'BUS 2'!$G$1:$CU$424,7,0)</f>
        <v>0</v>
      </c>
      <c r="OV33" s="8">
        <f>VLOOKUP(AG33,'BUS 2'!$G$1:$CU$424,8,0)</f>
        <v>0</v>
      </c>
      <c r="OW33" s="8">
        <f>VLOOKUP(AG33,'BUS 2'!$G$1:$CU$424,9,0)</f>
        <v>1</v>
      </c>
      <c r="OX33" s="8">
        <f>VLOOKUP(AG33,'BUS 2'!$G$1:$CU$424,10,0)</f>
        <v>0</v>
      </c>
      <c r="OY33" s="8">
        <f>VLOOKUP(AG33,'BUS 2'!$G$1:$CU$424,11,0)</f>
        <v>0</v>
      </c>
      <c r="OZ33" s="8" t="str">
        <f>VLOOKUP(AG33,'BUS 2'!$G$1:$CU$424,12,0)</f>
        <v>Sapi pedaging Ayam</v>
      </c>
      <c r="PA33" s="8">
        <f>VLOOKUP(AG33,'BUS 2'!$G$1:$CU$424,13,0)</f>
        <v>1</v>
      </c>
      <c r="PB33" s="8">
        <f>VLOOKUP(AG33,'BUS 2'!$G$1:$CU$424,14,0)</f>
        <v>0</v>
      </c>
      <c r="PC33" s="8">
        <f>VLOOKUP(AG33,'BUS 2'!$G$1:$CU$424,15,0)</f>
        <v>0</v>
      </c>
      <c r="PD33" s="8">
        <f>VLOOKUP(AG33,'BUS 2'!$G$1:$CU$424,16,0)</f>
        <v>0</v>
      </c>
      <c r="PE33" s="8">
        <f>VLOOKUP(AG33,'BUS 2'!$G$1:$CU$424,17,0)</f>
        <v>0</v>
      </c>
      <c r="PF33" s="8">
        <f>VLOOKUP(AG33,'BUS 2'!$G$1:$CU$424,18,0)</f>
        <v>0</v>
      </c>
      <c r="PG33" s="8">
        <f>VLOOKUP(AG33,'BUS 2'!$G$1:$CU$424,19,0)</f>
        <v>1</v>
      </c>
      <c r="PH33" s="8">
        <f>VLOOKUP(AG33,'BUS 2'!$G$1:$CU$424,20,0)</f>
        <v>0</v>
      </c>
      <c r="PI33" s="8">
        <f>VLOOKUP(AG33,'BUS 2'!$G$1:$CU$424,21,0)</f>
        <v>0</v>
      </c>
      <c r="PJ33" s="8" t="str">
        <f>VLOOKUP(AG33,'BUS 2'!$G$1:$CU$424,22,0)</f>
        <v>Ayam</v>
      </c>
      <c r="PK33" s="8">
        <f>VLOOKUP(AG33,'BUS 2'!$G$1:$CU$424,23,0)</f>
        <v>0</v>
      </c>
      <c r="PL33" s="8">
        <f>VLOOKUP(AG33,'BUS 2'!$G$1:$CU$424,24,0)</f>
        <v>0</v>
      </c>
      <c r="PM33" s="8">
        <f>VLOOKUP(AG33,'BUS 2'!$G$1:$CU$424,25,0)</f>
        <v>0</v>
      </c>
      <c r="PN33" s="8">
        <f>VLOOKUP(AG33,'BUS 2'!$G$1:$CU$424,26,0)</f>
        <v>0</v>
      </c>
      <c r="PO33" s="8">
        <f>VLOOKUP(AG33,'BUS 2'!$G$1:$CU$424,27,0)</f>
        <v>0</v>
      </c>
      <c r="PP33" s="8">
        <f>VLOOKUP(AG33,'BUS 2'!$G$1:$CU$424,28,0)</f>
        <v>0</v>
      </c>
      <c r="PQ33" s="8">
        <f>VLOOKUP(AG33,'BUS 2'!$G$1:$CU$424,29,0)</f>
        <v>1</v>
      </c>
      <c r="PR33" s="8">
        <f>VLOOKUP(AG33,'BUS 2'!$G$1:$CU$424,30,0)</f>
        <v>0</v>
      </c>
      <c r="PS33" s="8">
        <f>VLOOKUP(AG33,'BUS 2'!$G$1:$CU$424,31,0)</f>
        <v>0</v>
      </c>
      <c r="PT33" s="9" t="s">
        <v>900</v>
      </c>
      <c r="PU33" s="8">
        <v>0.0</v>
      </c>
      <c r="PV33" s="8">
        <v>0.0</v>
      </c>
      <c r="PW33" s="8">
        <v>0.0</v>
      </c>
      <c r="PX33" s="8">
        <v>0.0</v>
      </c>
      <c r="PY33" s="8">
        <v>0.0</v>
      </c>
      <c r="PZ33" s="8">
        <v>1.0</v>
      </c>
      <c r="QA33" s="8">
        <v>0.0</v>
      </c>
      <c r="QB33" s="8">
        <v>0.0</v>
      </c>
      <c r="QC33" s="8">
        <v>0.0</v>
      </c>
      <c r="QD33" s="9"/>
      <c r="QE33" s="32"/>
      <c r="QF33" s="31"/>
      <c r="QG33" s="31"/>
      <c r="QH33" s="31"/>
      <c r="QI33" s="31"/>
      <c r="QJ33" s="31"/>
      <c r="QK33" s="32"/>
      <c r="QL33" s="32"/>
      <c r="QM33" s="32"/>
      <c r="QN33" s="32"/>
      <c r="QO33" s="32"/>
      <c r="QP33" s="32"/>
      <c r="QQ33" s="32"/>
      <c r="QR33" s="32"/>
      <c r="QS33" s="32"/>
      <c r="QT33" s="32"/>
      <c r="QU33" s="32"/>
      <c r="QV33" s="32"/>
      <c r="QW33" s="31"/>
      <c r="QX33" s="31"/>
      <c r="QY33" s="31"/>
      <c r="QZ33" s="31"/>
      <c r="RA33" s="31"/>
      <c r="RB33" s="32"/>
      <c r="RC33" s="32"/>
      <c r="RD33" s="32"/>
      <c r="RE33" s="32"/>
      <c r="RF33" s="32"/>
      <c r="RG33" s="9"/>
      <c r="RH33" s="31"/>
      <c r="RI33" s="31"/>
      <c r="RJ33" s="31"/>
      <c r="RK33" s="31"/>
      <c r="RL33" s="31"/>
      <c r="RM33" s="9"/>
      <c r="RN33" s="9"/>
      <c r="RO33" s="9"/>
      <c r="RP33" s="9"/>
      <c r="RQ33" s="9"/>
      <c r="RR33" s="9"/>
      <c r="RS33" s="31"/>
      <c r="RT33" s="31"/>
      <c r="RU33" s="31"/>
      <c r="RV33" s="31"/>
      <c r="RW33" s="31"/>
      <c r="RX33" s="9"/>
      <c r="RY33" s="9"/>
      <c r="RZ33" s="9"/>
      <c r="SA33" s="9"/>
      <c r="SB33" s="9"/>
      <c r="SC33" s="9" t="s">
        <v>900</v>
      </c>
      <c r="SD33" s="35">
        <v>0.0</v>
      </c>
      <c r="SE33" s="35">
        <v>0.0</v>
      </c>
      <c r="SF33" s="35">
        <v>0.0</v>
      </c>
      <c r="SG33" s="35">
        <v>0.0</v>
      </c>
      <c r="SH33" s="35">
        <v>0.0</v>
      </c>
      <c r="SI33" s="8">
        <v>1.0</v>
      </c>
      <c r="SJ33" s="8">
        <v>0.0</v>
      </c>
      <c r="SK33" s="8">
        <v>0.0</v>
      </c>
      <c r="SL33" s="8">
        <v>0.0</v>
      </c>
      <c r="SM33" s="9"/>
      <c r="SN33" s="9"/>
      <c r="SO33" s="31"/>
      <c r="SP33" s="31"/>
      <c r="SQ33" s="31"/>
      <c r="SR33" s="31"/>
      <c r="SS33" s="31"/>
      <c r="ST33" s="9"/>
      <c r="SU33" s="9"/>
      <c r="SV33" s="9"/>
      <c r="SW33" s="9"/>
      <c r="SX33" s="9"/>
      <c r="SY33" s="8">
        <f>VLOOKUP(AG33,'BUS 2'!$G$1:$CU$424,33,0)</f>
        <v>4</v>
      </c>
      <c r="SZ33" s="9" t="str">
        <f>VLOOKUP(AG33,'BUS 2'!$G$1:$CU$424,34,0)</f>
        <v/>
      </c>
      <c r="TA33" s="9" t="str">
        <f>VLOOKUP(AG33,'BUS 2'!$G$1:$CU$424,35,0)</f>
        <v/>
      </c>
      <c r="TB33" s="9" t="str">
        <f>VLOOKUP(AG33,'BUS 2'!$G$1:$CU$424,36,0)</f>
        <v/>
      </c>
      <c r="TC33" s="9" t="str">
        <f>VLOOKUP(AG33,'BUS 2'!$G$1:$CU$424,37,0)</f>
        <v/>
      </c>
      <c r="TD33" s="9" t="str">
        <f>VLOOKUP(AG33,'BUS 2'!$G$1:$CU$424,38,0)</f>
        <v/>
      </c>
      <c r="TE33" s="9">
        <f>VLOOKUP(AG33,'BUS 2'!$G$1:$CU$424,39,0)</f>
        <v>10</v>
      </c>
      <c r="TF33" s="9" t="str">
        <f>VLOOKUP(AG33,'BUS 2'!$G$1:$CU$424,40,0)</f>
        <v/>
      </c>
      <c r="TG33" s="8">
        <f>VLOOKUP(AG33,'BUS 2'!$G$1:$CU$424,42,0)</f>
        <v>4</v>
      </c>
      <c r="TH33" s="8" t="str">
        <f>VLOOKUP(AG33,'BUS 2'!$G$1:$CU$424,43,0)</f>
        <v/>
      </c>
      <c r="TI33" s="8" t="str">
        <f>VLOOKUP(AG33,'BUS 2'!$G$1:$CU$424,44,0)</f>
        <v/>
      </c>
      <c r="TJ33" s="8" t="str">
        <f>VLOOKUP(AG33,'BUS 2'!$G$1:$CU$424,45,0)</f>
        <v/>
      </c>
      <c r="TK33" s="8" t="str">
        <f>VLOOKUP(AG33,'BUS 2'!$G$1:$CU$424,46,0)</f>
        <v/>
      </c>
      <c r="TL33" s="8" t="str">
        <f>VLOOKUP(AG33,'BUS 2'!$G$1:$CU$424,47,0)</f>
        <v/>
      </c>
      <c r="TM33" s="8">
        <f>VLOOKUP(AG33,'BUS 2'!$G$1:$CU$424,48,0)</f>
        <v>10</v>
      </c>
      <c r="TN33" s="8" t="str">
        <f>VLOOKUP(AG33,'BUS 2'!$G$1:$CU$424,49,0)</f>
        <v/>
      </c>
      <c r="TO33" s="8" t="str">
        <f>VLOOKUP(AG33,'BUS 2'!$G$1:$CU$424,50,0)</f>
        <v/>
      </c>
      <c r="TP33" s="8" t="str">
        <f>VLOOKUP(AG33,'BUS 2'!$G$1:$CU$424,51,0)</f>
        <v/>
      </c>
      <c r="TQ33" s="8" t="str">
        <f>VLOOKUP(AG33,'BUS 2'!$G$1:$CU$424,52,0)</f>
        <v/>
      </c>
      <c r="TR33" s="8" t="str">
        <f>VLOOKUP(AG33,'BUS 2'!$G$1:$CU$424,53,0)</f>
        <v/>
      </c>
      <c r="TS33" s="9" t="str">
        <f>VLOOKUP(AG33,'BUS 2'!$G$1:$CU$424,54,0)</f>
        <v/>
      </c>
      <c r="TT33" s="9" t="str">
        <f>VLOOKUP(AG33,'BUS 2'!$G$1:$CU$424,55,0)</f>
        <v/>
      </c>
      <c r="TU33" s="9" t="str">
        <f>VLOOKUP(AG33,'BUS 2'!$G$1:$CU$424,56,0)</f>
        <v/>
      </c>
      <c r="TV33" s="9" t="str">
        <f>VLOOKUP(AG33,'BUS 2'!$G$1:$CU$424,57,0)</f>
        <v/>
      </c>
      <c r="TW33" s="9" t="str">
        <f>VLOOKUP(AG33,'BUS 2'!$G$1:$CU$424,58,0)</f>
        <v/>
      </c>
      <c r="TX33" s="9" t="str">
        <f>VLOOKUP(AG33,'BUS 2'!$G$1:$CU$424,59,0)</f>
        <v/>
      </c>
      <c r="TY33" s="9" t="str">
        <f>VLOOKUP(AG33,'BUS 2'!$G$1:$CU$424,60,0)</f>
        <v/>
      </c>
      <c r="TZ33" s="9" t="str">
        <f>VLOOKUP(AG33,'BUS 2'!$G$1:$CU$424,61,0)</f>
        <v/>
      </c>
      <c r="UA33" s="9" t="str">
        <f>VLOOKUP(AG33,'BUS 2'!$G$1:$CU$424,62,0)</f>
        <v/>
      </c>
      <c r="UB33" s="9" t="str">
        <f>VLOOKUP(AG33,'BUS 2'!$G$1:$CU$424,63,0)</f>
        <v/>
      </c>
      <c r="UC33" s="9" t="str">
        <f>VLOOKUP(AG33,'BUS 2'!$G$1:$CU$424,64,0)</f>
        <v/>
      </c>
      <c r="UD33" s="9" t="str">
        <f>VLOOKUP(AG33,'BUS 2'!$G$1:$CU$424,65,0)</f>
        <v/>
      </c>
      <c r="UE33" s="9" t="str">
        <f>VLOOKUP(AG33,'BUS 2'!$G$1:$CU$424,66,0)</f>
        <v/>
      </c>
      <c r="UF33" s="9" t="str">
        <f>VLOOKUP(AG33,'BUS 2'!$G$1:$CU$424,67,0)</f>
        <v/>
      </c>
      <c r="UG33" s="9" t="str">
        <f>VLOOKUP(AG33,'BUS 2'!$G$1:$CU$424,68,0)</f>
        <v/>
      </c>
      <c r="UH33" s="9" t="str">
        <f>VLOOKUP(AG33,'BUS 2'!$G$1:$CU$424,69,0)</f>
        <v/>
      </c>
      <c r="UI33" s="9" t="str">
        <f>VLOOKUP(AG33,'BUS 2'!$G$1:$CU$424,70,0)</f>
        <v/>
      </c>
      <c r="UJ33" s="9" t="str">
        <f>VLOOKUP(AG33,'BUS 2'!$G$1:$CU$424,71,0)</f>
        <v/>
      </c>
      <c r="UK33" s="9" t="str">
        <f>VLOOKUP(AG33,'BUS 2'!$G$1:$CU$424,72,0)</f>
        <v/>
      </c>
      <c r="UL33" s="9" t="str">
        <f>VLOOKUP(AG33,'BUS 2'!$G$1:$CU$424,73,0)</f>
        <v/>
      </c>
      <c r="UM33" s="9">
        <f>VLOOKUP(AG33,'BUS 2'!$G$1:$CU$424,74,0)</f>
        <v>0</v>
      </c>
      <c r="UN33" s="9">
        <f>VLOOKUP(AG33,'BUS 2'!$G$1:$CU$424,75,0)</f>
        <v>0</v>
      </c>
      <c r="UO33" s="9">
        <f>VLOOKUP(AG33,'BUS 2'!$G$1:$CU$424,76,0)</f>
        <v>0</v>
      </c>
      <c r="UP33" s="9">
        <f>VLOOKUP(AG33,'BUS 2'!$G$1:$CU$424,77,0)</f>
        <v>5</v>
      </c>
      <c r="UQ33" s="9" t="str">
        <f>VLOOKUP(AG33,'BUS 2'!$G$1:$CU$424,78,0)</f>
        <v/>
      </c>
      <c r="UR33" s="9" t="str">
        <f>VLOOKUP(AG33,'BUS 2'!$G$1:$CU$424,79,0)</f>
        <v/>
      </c>
      <c r="US33" s="9" t="str">
        <f>VLOOKUP(AG33,'BUS 2'!$G$1:$CU$424,80,0)</f>
        <v/>
      </c>
      <c r="UT33" s="9" t="str">
        <f>VLOOKUP(AG33,'BUS 2'!$G$1:$CU$424,81,0)</f>
        <v/>
      </c>
      <c r="UU33" s="9"/>
      <c r="UV33" s="9"/>
      <c r="UW33" s="9"/>
      <c r="UX33" s="9"/>
      <c r="UY33" s="9"/>
      <c r="UZ33" s="9"/>
      <c r="VA33" s="9" t="s">
        <v>1937</v>
      </c>
      <c r="VB33" s="9"/>
      <c r="VC33" s="9"/>
      <c r="VD33" s="9"/>
      <c r="VE33" s="9"/>
      <c r="VF33" s="9"/>
      <c r="VG33" s="9"/>
      <c r="VH33" s="9"/>
      <c r="VI33" s="9" t="s">
        <v>1938</v>
      </c>
      <c r="VJ33" s="9"/>
      <c r="VK33" s="9"/>
      <c r="VL33" s="9"/>
      <c r="VM33" s="9"/>
      <c r="VN33" s="9"/>
      <c r="VO33" s="9"/>
      <c r="VP33" s="9"/>
      <c r="VQ33" s="9" t="s">
        <v>1158</v>
      </c>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t="s">
        <v>951</v>
      </c>
      <c r="YO33" s="8">
        <v>0.0</v>
      </c>
      <c r="YP33" s="8">
        <v>0.0</v>
      </c>
      <c r="YQ33" s="8">
        <v>0.0</v>
      </c>
      <c r="YR33" s="8">
        <v>0.0</v>
      </c>
      <c r="YS33" s="8">
        <v>0.0</v>
      </c>
      <c r="YT33" s="8">
        <v>0.0</v>
      </c>
      <c r="YU33" s="8">
        <v>1.0</v>
      </c>
      <c r="YV33" s="8">
        <v>0.0</v>
      </c>
      <c r="YW33" s="8">
        <v>0.0</v>
      </c>
      <c r="YX33" s="8">
        <v>0.0</v>
      </c>
      <c r="YY33" s="8">
        <v>0.0</v>
      </c>
      <c r="YZ33" s="8">
        <v>0.0</v>
      </c>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8">
        <v>2.0</v>
      </c>
      <c r="AAC33" s="9"/>
      <c r="AAD33" s="9"/>
      <c r="AAE33" s="9"/>
      <c r="AAF33" s="9"/>
      <c r="AAG33" s="9"/>
      <c r="AAH33" s="9"/>
      <c r="AAI33" s="9"/>
      <c r="AAJ33" s="9" t="s">
        <v>905</v>
      </c>
      <c r="AAK33" s="9"/>
      <c r="AAL33" s="9" t="s">
        <v>857</v>
      </c>
      <c r="AAM33" s="9" t="s">
        <v>1942</v>
      </c>
      <c r="AAN33" s="8">
        <v>0.0</v>
      </c>
      <c r="AAO33" s="8">
        <v>1.0</v>
      </c>
      <c r="AAP33" s="8">
        <v>20.0</v>
      </c>
      <c r="AAQ33" s="9"/>
      <c r="AAR33" s="9" t="s">
        <v>857</v>
      </c>
      <c r="AAS33" s="9" t="s">
        <v>867</v>
      </c>
      <c r="AAT33" s="9" t="s">
        <v>906</v>
      </c>
      <c r="AAU33" s="8">
        <v>1.0</v>
      </c>
      <c r="AAV33" s="8">
        <v>0.0</v>
      </c>
      <c r="AAW33" s="8">
        <v>0.0</v>
      </c>
      <c r="AAX33" s="8">
        <v>0.0</v>
      </c>
      <c r="AAY33" s="8">
        <v>0.0</v>
      </c>
      <c r="AAZ33" s="8">
        <v>0.0</v>
      </c>
      <c r="ABA33" s="8">
        <v>0.0</v>
      </c>
      <c r="ABB33" s="9" t="s">
        <v>2571</v>
      </c>
      <c r="ABC33" s="8">
        <v>1.0</v>
      </c>
      <c r="ABD33" s="8">
        <v>0.0</v>
      </c>
      <c r="ABE33" s="8">
        <v>1.0</v>
      </c>
      <c r="ABF33" s="8">
        <v>0.0</v>
      </c>
      <c r="ABG33" s="8">
        <v>0.0</v>
      </c>
      <c r="ABH33" s="9"/>
      <c r="ABI33" s="9"/>
      <c r="ABJ33" s="9"/>
      <c r="ABK33" s="9"/>
      <c r="ABL33" s="9"/>
      <c r="ABM33" s="9"/>
      <c r="ABN33" s="9"/>
      <c r="ABO33" s="9"/>
      <c r="ABP33" s="9"/>
      <c r="ABQ33" s="9" t="s">
        <v>2572</v>
      </c>
      <c r="ABR33" s="9" t="s">
        <v>1075</v>
      </c>
      <c r="ABS33" s="8">
        <v>5000.0</v>
      </c>
      <c r="ABT33" s="9"/>
      <c r="ABU33" s="8">
        <v>20.0</v>
      </c>
      <c r="ABV33" s="8">
        <v>0.0</v>
      </c>
      <c r="ABW33" s="9" t="s">
        <v>1199</v>
      </c>
      <c r="ABX33" s="9"/>
      <c r="ABY33" s="8">
        <v>250.0</v>
      </c>
      <c r="ABZ33" s="8">
        <v>2400.0</v>
      </c>
      <c r="ACA33" s="8">
        <v>250.0</v>
      </c>
      <c r="ACB33" s="8">
        <v>1840.0</v>
      </c>
      <c r="ACC33" s="8">
        <v>2500.0</v>
      </c>
      <c r="ACD33" s="8">
        <v>2500.0</v>
      </c>
      <c r="ACE33" s="9" t="s">
        <v>857</v>
      </c>
      <c r="ACF33" s="9" t="s">
        <v>945</v>
      </c>
      <c r="ACG33" s="9" t="s">
        <v>945</v>
      </c>
      <c r="ACH33" s="9" t="s">
        <v>945</v>
      </c>
      <c r="ACI33" s="9"/>
      <c r="ACJ33" s="9"/>
      <c r="ACK33" s="9"/>
      <c r="ACL33" s="9"/>
      <c r="ACM33" s="9"/>
      <c r="ACN33" s="9"/>
      <c r="ACO33" s="9"/>
      <c r="ACP33" s="9"/>
      <c r="ACQ33" s="9"/>
      <c r="ACR33" s="9"/>
      <c r="ACS33" s="9"/>
      <c r="ACT33" s="9" t="s">
        <v>1945</v>
      </c>
      <c r="ACU33" s="9" t="s">
        <v>913</v>
      </c>
      <c r="ACV33" s="9" t="s">
        <v>914</v>
      </c>
      <c r="ACW33" s="9" t="s">
        <v>915</v>
      </c>
      <c r="ACX33" s="9" t="s">
        <v>958</v>
      </c>
      <c r="ACY33" s="9" t="s">
        <v>1035</v>
      </c>
      <c r="ACZ33" s="8">
        <v>1.0</v>
      </c>
      <c r="ADA33" s="8">
        <v>1.0</v>
      </c>
      <c r="ADB33" s="8">
        <v>0.0</v>
      </c>
      <c r="ADC33" s="8">
        <v>0.0</v>
      </c>
      <c r="ADD33" s="9" t="s">
        <v>917</v>
      </c>
      <c r="ADE33" s="9" t="s">
        <v>918</v>
      </c>
      <c r="ADF33" s="9" t="s">
        <v>917</v>
      </c>
      <c r="ADG33" s="9" t="s">
        <v>918</v>
      </c>
      <c r="ADH33" s="9" t="s">
        <v>881</v>
      </c>
      <c r="ADI33" s="9"/>
      <c r="ADJ33" s="9" t="s">
        <v>917</v>
      </c>
      <c r="ADK33" s="9"/>
      <c r="ADL33" s="9"/>
      <c r="ADM33" s="9"/>
      <c r="ADN33" s="9"/>
      <c r="ADO33" s="9"/>
      <c r="ADP33" s="9"/>
      <c r="ADQ33" s="9"/>
      <c r="ADR33" s="9"/>
      <c r="ADS33" s="9"/>
      <c r="ADT33" s="9"/>
      <c r="ADU33" s="9" t="s">
        <v>2235</v>
      </c>
      <c r="ADV33" s="8">
        <v>0.0</v>
      </c>
      <c r="ADW33" s="8">
        <v>0.0</v>
      </c>
      <c r="ADX33" s="8">
        <v>0.0</v>
      </c>
      <c r="ADY33" s="8">
        <v>0.0</v>
      </c>
      <c r="ADZ33" s="8">
        <v>0.0</v>
      </c>
      <c r="AEA33" s="8">
        <v>0.0</v>
      </c>
      <c r="AEB33" s="8">
        <v>1.0</v>
      </c>
      <c r="AEC33" s="8">
        <v>0.0</v>
      </c>
      <c r="AED33" s="9" t="s">
        <v>2235</v>
      </c>
      <c r="AEE33" s="9" t="s">
        <v>872</v>
      </c>
      <c r="AEF33" s="9"/>
      <c r="AEG33" s="9" t="s">
        <v>920</v>
      </c>
      <c r="AEH33" s="9"/>
      <c r="AEI33" s="9" t="s">
        <v>2573</v>
      </c>
      <c r="AEJ33" s="9" t="s">
        <v>871</v>
      </c>
      <c r="AEK33" s="9" t="s">
        <v>2574</v>
      </c>
      <c r="AEL33" s="8">
        <v>1.0</v>
      </c>
      <c r="AEM33" s="8">
        <v>1.0</v>
      </c>
      <c r="AEN33" s="8">
        <v>0.0</v>
      </c>
      <c r="AEO33" s="8">
        <v>0.0</v>
      </c>
      <c r="AEP33" s="8">
        <v>0.0</v>
      </c>
      <c r="AEQ33" s="8">
        <v>0.0</v>
      </c>
      <c r="AER33" s="8">
        <v>1.0</v>
      </c>
      <c r="AES33" s="8">
        <v>0.0</v>
      </c>
      <c r="AET33" s="8">
        <v>0.0</v>
      </c>
      <c r="AEU33" s="8">
        <v>0.0</v>
      </c>
      <c r="AEV33" s="8">
        <v>0.0</v>
      </c>
      <c r="AEW33" s="8">
        <v>0.0</v>
      </c>
      <c r="AEX33" s="9"/>
      <c r="AEY33" s="9" t="s">
        <v>2575</v>
      </c>
      <c r="AEZ33" s="9"/>
      <c r="AFA33" s="9" t="s">
        <v>969</v>
      </c>
      <c r="AFB33" s="9" t="s">
        <v>2576</v>
      </c>
      <c r="AFC33" s="9" t="s">
        <v>2577</v>
      </c>
      <c r="AFD33" s="16" t="s">
        <v>2578</v>
      </c>
      <c r="AFE33" s="9" t="s">
        <v>2579</v>
      </c>
      <c r="AFF33" s="16" t="s">
        <v>2580</v>
      </c>
      <c r="AFG33" s="9" t="s">
        <v>1991</v>
      </c>
      <c r="AFH33" s="9"/>
      <c r="AFI33" s="21" t="s">
        <v>2581</v>
      </c>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8">
        <v>6.72744653E8</v>
      </c>
      <c r="AWB33" s="9" t="s">
        <v>2582</v>
      </c>
      <c r="AWC33" s="6">
        <v>46069.0</v>
      </c>
      <c r="AWD33" s="9"/>
      <c r="AWE33" s="9"/>
      <c r="AWF33" s="9" t="s">
        <v>1954</v>
      </c>
      <c r="AWG33" s="9"/>
      <c r="AWH33" s="9" t="s">
        <v>1989</v>
      </c>
      <c r="AWI33" s="9"/>
      <c r="AWJ33" s="9" t="s">
        <v>2583</v>
      </c>
      <c r="AWK33" s="8">
        <v>256.0</v>
      </c>
      <c r="AWL33" s="9" t="s">
        <v>2584</v>
      </c>
      <c r="AWM33" s="8">
        <v>0.0</v>
      </c>
      <c r="AWN33" s="9" t="s">
        <v>1957</v>
      </c>
      <c r="AWO33" s="33" t="b">
        <v>1</v>
      </c>
      <c r="AWP33" s="33" t="b">
        <v>1</v>
      </c>
      <c r="AWQ33" s="33" t="b">
        <v>1</v>
      </c>
      <c r="AWR33" s="33" t="b">
        <v>1</v>
      </c>
      <c r="AWS33" s="33" t="b">
        <v>1</v>
      </c>
      <c r="AWT33" s="33" t="b">
        <v>1</v>
      </c>
      <c r="AWU33" s="8">
        <v>0.0</v>
      </c>
      <c r="AWV33" s="8">
        <v>3.0</v>
      </c>
      <c r="AWW33" s="9"/>
      <c r="AWX33" s="9"/>
      <c r="AWY33" s="9"/>
      <c r="AWZ33" s="9"/>
    </row>
    <row r="34">
      <c r="A34" s="6">
        <v>46062.0</v>
      </c>
      <c r="B34" s="6">
        <v>46069.0</v>
      </c>
      <c r="C34" s="30" t="s">
        <v>1991</v>
      </c>
      <c r="D34" s="30" t="s">
        <v>2585</v>
      </c>
      <c r="E34" s="9">
        <f>+6285823836654</f>
        <v>6285823836654</v>
      </c>
      <c r="F34" s="9" t="s">
        <v>2586</v>
      </c>
      <c r="G34" s="8">
        <v>-5.386467</v>
      </c>
      <c r="H34" s="8">
        <v>119.542418</v>
      </c>
      <c r="I34" s="8">
        <v>97.6</v>
      </c>
      <c r="J34" s="8">
        <v>4.300000191</v>
      </c>
      <c r="K34" s="8">
        <v>0.0</v>
      </c>
      <c r="L34" s="9" t="s">
        <v>2587</v>
      </c>
      <c r="M34" s="8">
        <v>-5.386181</v>
      </c>
      <c r="N34" s="8">
        <v>119.542546</v>
      </c>
      <c r="O34" s="8">
        <v>99.5</v>
      </c>
      <c r="P34" s="8">
        <v>5.320000172</v>
      </c>
      <c r="Q34" s="8">
        <v>0.0</v>
      </c>
      <c r="R34" s="9" t="s">
        <v>1923</v>
      </c>
      <c r="S34" s="8">
        <v>0.0</v>
      </c>
      <c r="T34" s="8">
        <v>0.0</v>
      </c>
      <c r="U34" s="8">
        <v>0.0</v>
      </c>
      <c r="V34" s="8">
        <v>0.0</v>
      </c>
      <c r="W34" s="8">
        <v>0.0</v>
      </c>
      <c r="X34" s="8">
        <v>0.0</v>
      </c>
      <c r="Y34" s="8">
        <v>0.0</v>
      </c>
      <c r="Z34" s="8">
        <v>0.0</v>
      </c>
      <c r="AA34" s="8">
        <v>0.0</v>
      </c>
      <c r="AB34" s="8">
        <v>1.0</v>
      </c>
      <c r="AC34" s="7" t="s">
        <v>2113</v>
      </c>
      <c r="AD34" s="7" t="s">
        <v>2566</v>
      </c>
      <c r="AE34" s="7" t="s">
        <v>2588</v>
      </c>
      <c r="AF34" s="9" t="s">
        <v>2589</v>
      </c>
      <c r="AG34" s="9" t="s">
        <v>2590</v>
      </c>
      <c r="AH34" s="8">
        <v>13.0</v>
      </c>
      <c r="AI34" s="9" t="s">
        <v>933</v>
      </c>
      <c r="AJ34" s="9" t="s">
        <v>934</v>
      </c>
      <c r="AK34" s="8">
        <v>53.0</v>
      </c>
      <c r="AL34" s="9" t="s">
        <v>847</v>
      </c>
      <c r="AM34" s="9" t="s">
        <v>848</v>
      </c>
      <c r="AN34" s="9" t="s">
        <v>986</v>
      </c>
      <c r="AO34" s="9" t="s">
        <v>850</v>
      </c>
      <c r="AP34" s="8">
        <v>1.0</v>
      </c>
      <c r="AQ34" s="8">
        <v>0.0</v>
      </c>
      <c r="AR34" s="8">
        <v>0.0</v>
      </c>
      <c r="AS34" s="8">
        <v>0.0</v>
      </c>
      <c r="AT34" s="8">
        <v>0.0</v>
      </c>
      <c r="AU34" s="8">
        <v>0.0</v>
      </c>
      <c r="AV34" s="8">
        <v>0.0</v>
      </c>
      <c r="AW34" s="8">
        <v>0.0</v>
      </c>
      <c r="AX34" s="9"/>
      <c r="AY34" s="9" t="s">
        <v>999</v>
      </c>
      <c r="AZ34" s="8">
        <v>0.0</v>
      </c>
      <c r="BA34" s="8">
        <v>0.0</v>
      </c>
      <c r="BB34" s="8">
        <v>0.0</v>
      </c>
      <c r="BC34" s="8">
        <v>0.0</v>
      </c>
      <c r="BD34" s="8">
        <v>0.0</v>
      </c>
      <c r="BE34" s="8">
        <v>0.0</v>
      </c>
      <c r="BF34" s="8">
        <v>0.0</v>
      </c>
      <c r="BG34" s="8">
        <v>1.0</v>
      </c>
      <c r="BH34" s="11"/>
      <c r="BI34" s="9" t="s">
        <v>936</v>
      </c>
      <c r="BJ34" s="8">
        <v>0.0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1929</v>
      </c>
      <c r="CD34" s="8">
        <v>0.0</v>
      </c>
      <c r="CE34" s="8">
        <v>0.0</v>
      </c>
      <c r="CF34" s="8">
        <v>0.0</v>
      </c>
      <c r="CG34" s="8">
        <v>0.0</v>
      </c>
      <c r="CH34" s="8">
        <v>1.0</v>
      </c>
      <c r="CI34" s="8">
        <v>0.0</v>
      </c>
      <c r="CJ34" s="8">
        <v>0.0</v>
      </c>
      <c r="CK34" s="9"/>
      <c r="CL34" s="9" t="s">
        <v>857</v>
      </c>
      <c r="CM34" s="8">
        <v>2013.0</v>
      </c>
      <c r="CN34" s="9" t="s">
        <v>858</v>
      </c>
      <c r="CO34" s="9" t="s">
        <v>859</v>
      </c>
      <c r="CP34" s="9" t="s">
        <v>860</v>
      </c>
      <c r="CQ34" s="8">
        <v>0.0</v>
      </c>
      <c r="CR34" s="8">
        <v>0.0</v>
      </c>
      <c r="CS34" s="8">
        <v>0.0</v>
      </c>
      <c r="CT34" s="8">
        <v>0.0</v>
      </c>
      <c r="CU34" s="8">
        <v>1.0</v>
      </c>
      <c r="CV34" s="8">
        <v>0.0</v>
      </c>
      <c r="CW34" s="8">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9" t="s">
        <v>938</v>
      </c>
      <c r="DQ34" s="9" t="s">
        <v>939</v>
      </c>
      <c r="DR34" s="17" t="s">
        <v>987</v>
      </c>
      <c r="DS34" s="9"/>
      <c r="DT34" s="9"/>
      <c r="DU34" s="9"/>
      <c r="DV34" s="9"/>
      <c r="DW34" s="9"/>
      <c r="DX34" s="9"/>
      <c r="DY34" s="9"/>
      <c r="DZ34" s="9"/>
      <c r="EA34" s="9"/>
      <c r="EB34" s="9"/>
      <c r="EC34" s="9"/>
      <c r="ED34" s="9"/>
      <c r="EE34" s="9"/>
      <c r="EF34" s="9"/>
      <c r="EG34" s="9"/>
      <c r="EH34" s="9"/>
      <c r="EI34" s="31" t="s">
        <v>862</v>
      </c>
      <c r="EJ34" s="8">
        <v>0.0</v>
      </c>
      <c r="EK34" s="8">
        <v>0.0</v>
      </c>
      <c r="EL34" s="8">
        <v>0.0</v>
      </c>
      <c r="EM34" s="8">
        <v>1.0</v>
      </c>
      <c r="EN34" s="8">
        <v>0.0</v>
      </c>
      <c r="EO34" s="9"/>
      <c r="EP34" s="9" t="s">
        <v>863</v>
      </c>
      <c r="EQ34" s="9" t="s">
        <v>1380</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868</v>
      </c>
      <c r="FI34" s="9" t="s">
        <v>867</v>
      </c>
      <c r="FJ34" s="9" t="s">
        <v>868</v>
      </c>
      <c r="FK34" s="9" t="s">
        <v>867</v>
      </c>
      <c r="FL34" s="9" t="s">
        <v>868</v>
      </c>
      <c r="FM34" s="9" t="s">
        <v>1971</v>
      </c>
      <c r="FN34" s="9" t="s">
        <v>883</v>
      </c>
      <c r="FO34" s="9" t="s">
        <v>867</v>
      </c>
      <c r="FP34" s="9" t="s">
        <v>868</v>
      </c>
      <c r="FQ34" s="9" t="s">
        <v>867</v>
      </c>
      <c r="FR34" s="9" t="s">
        <v>857</v>
      </c>
      <c r="FS34" s="9" t="s">
        <v>867</v>
      </c>
      <c r="FT34" s="9" t="s">
        <v>871</v>
      </c>
      <c r="FU34" s="9" t="s">
        <v>872</v>
      </c>
      <c r="FV34" s="8">
        <v>1.0</v>
      </c>
      <c r="FW34" s="8">
        <v>0.0</v>
      </c>
      <c r="FX34" s="8">
        <v>0.0</v>
      </c>
      <c r="FY34" s="8">
        <v>0.0</v>
      </c>
      <c r="FZ34" s="9" t="s">
        <v>873</v>
      </c>
      <c r="GA34" s="9" t="s">
        <v>874</v>
      </c>
      <c r="GB34" s="8">
        <v>1.0</v>
      </c>
      <c r="GC34" s="8">
        <v>0.0</v>
      </c>
      <c r="GD34" s="8">
        <v>0.0</v>
      </c>
      <c r="GE34" s="8">
        <v>0.0</v>
      </c>
      <c r="GF34" s="9"/>
      <c r="GG34" s="9" t="s">
        <v>961</v>
      </c>
      <c r="GH34" s="9" t="s">
        <v>857</v>
      </c>
      <c r="GI34" s="9" t="s">
        <v>876</v>
      </c>
      <c r="GJ34" s="8">
        <v>1.0</v>
      </c>
      <c r="GK34" s="8">
        <v>0.0</v>
      </c>
      <c r="GL34" s="8">
        <v>0.0</v>
      </c>
      <c r="GM34" s="8">
        <v>0.0</v>
      </c>
      <c r="GN34" s="9"/>
      <c r="GO34" s="8">
        <v>10.0</v>
      </c>
      <c r="GP34" s="34" t="s">
        <v>877</v>
      </c>
      <c r="GQ34" s="9" t="s">
        <v>1102</v>
      </c>
      <c r="GR34" s="8">
        <v>1.0</v>
      </c>
      <c r="GS34" s="8">
        <v>0.0</v>
      </c>
      <c r="GT34" s="8">
        <v>0.0</v>
      </c>
      <c r="GU34" s="8">
        <v>0.0</v>
      </c>
      <c r="GV34" s="8">
        <v>0.0</v>
      </c>
      <c r="GW34" s="8">
        <v>0.0</v>
      </c>
      <c r="GX34" s="8">
        <v>0.0</v>
      </c>
      <c r="GY34" s="9"/>
      <c r="GZ34" s="9" t="s">
        <v>857</v>
      </c>
      <c r="HA34" s="9"/>
      <c r="HB34" s="9"/>
      <c r="HC34" s="9"/>
      <c r="HD34" s="9"/>
      <c r="HE34" s="8">
        <v>6.0</v>
      </c>
      <c r="HF34" s="8">
        <v>52500.0</v>
      </c>
      <c r="HG34" s="8">
        <v>0.0</v>
      </c>
      <c r="HH34" s="35">
        <v>0.0</v>
      </c>
      <c r="HI34" s="9"/>
      <c r="HJ34" s="9"/>
      <c r="HK34" s="9"/>
      <c r="HL34" s="9"/>
      <c r="HM34" s="9"/>
      <c r="HN34" s="9"/>
      <c r="HO34" s="9"/>
      <c r="HP34" s="9"/>
      <c r="HQ34" s="9"/>
      <c r="HR34" s="9"/>
      <c r="HS34" s="9"/>
      <c r="HT34" s="9"/>
      <c r="HU34" s="9"/>
      <c r="HV34" s="9"/>
      <c r="HW34" s="9"/>
      <c r="HX34" s="9"/>
      <c r="HY34" s="9"/>
      <c r="HZ34" s="9"/>
      <c r="IA34" s="8">
        <v>6.0</v>
      </c>
      <c r="IB34" s="8">
        <v>50000.0</v>
      </c>
      <c r="IC34" s="9"/>
      <c r="ID34" s="9"/>
      <c r="IE34" s="9"/>
      <c r="IF34" s="9"/>
      <c r="IG34" s="9"/>
      <c r="IH34" s="9"/>
      <c r="II34" s="9"/>
      <c r="IJ34" s="9"/>
      <c r="IK34" s="9" t="s">
        <v>971</v>
      </c>
      <c r="IL34" s="9" t="s">
        <v>880</v>
      </c>
      <c r="IM34" s="9" t="s">
        <v>857</v>
      </c>
      <c r="IN34" s="9" t="s">
        <v>881</v>
      </c>
      <c r="IO34" s="9" t="s">
        <v>1206</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872</v>
      </c>
      <c r="KW34" s="8">
        <v>1.0</v>
      </c>
      <c r="KX34" s="8">
        <v>0.0</v>
      </c>
      <c r="KY34" s="8">
        <v>0.0</v>
      </c>
      <c r="KZ34" s="8">
        <v>0.0</v>
      </c>
      <c r="LA34" s="9" t="s">
        <v>1180</v>
      </c>
      <c r="LB34" s="9" t="s">
        <v>1180</v>
      </c>
      <c r="LC34" s="8">
        <v>5.0</v>
      </c>
      <c r="LD34" s="8">
        <v>2.0</v>
      </c>
      <c r="LE34" s="8">
        <v>0.0</v>
      </c>
      <c r="LF34" s="8">
        <v>0.0</v>
      </c>
      <c r="LG34" s="9" t="s">
        <v>857</v>
      </c>
      <c r="LH34" s="8">
        <v>500000.0</v>
      </c>
      <c r="LI34" s="9"/>
      <c r="LJ34" s="9" t="s">
        <v>1933</v>
      </c>
      <c r="LK34" s="8">
        <v>0.0</v>
      </c>
      <c r="LL34" s="8">
        <v>0.0</v>
      </c>
      <c r="LM34" s="8">
        <v>0.0</v>
      </c>
      <c r="LN34" s="8">
        <v>0.0</v>
      </c>
      <c r="LO34" s="8">
        <v>1.0</v>
      </c>
      <c r="LP34" s="8">
        <v>1.0</v>
      </c>
      <c r="LQ34" s="8">
        <v>0.0</v>
      </c>
      <c r="LR34" s="11"/>
      <c r="LS34" s="8">
        <v>20.0</v>
      </c>
      <c r="LT34" s="8">
        <v>0.0</v>
      </c>
      <c r="LU34" s="8">
        <v>0.0</v>
      </c>
      <c r="LV34" s="8">
        <v>10.0</v>
      </c>
      <c r="LW34" s="8">
        <v>0.0</v>
      </c>
      <c r="LX34" s="8">
        <v>0.0</v>
      </c>
      <c r="LY34" s="8">
        <v>10.0</v>
      </c>
      <c r="LZ34" s="8">
        <v>0.0</v>
      </c>
      <c r="MA34" s="8">
        <v>0.0</v>
      </c>
      <c r="MB34" s="9" t="s">
        <v>857</v>
      </c>
      <c r="MC34" s="8">
        <v>60.0</v>
      </c>
      <c r="MD34" s="8">
        <v>0.0</v>
      </c>
      <c r="ME34" s="8">
        <v>0.0</v>
      </c>
      <c r="MF34" s="8">
        <v>0.0</v>
      </c>
      <c r="MG34" s="8">
        <v>0.0</v>
      </c>
      <c r="MH34" s="8">
        <v>0.0</v>
      </c>
      <c r="MI34" s="9" t="s">
        <v>2591</v>
      </c>
      <c r="MJ34" s="8">
        <v>0.0</v>
      </c>
      <c r="MK34" s="8">
        <v>1.0</v>
      </c>
      <c r="ML34" s="8">
        <v>1.0</v>
      </c>
      <c r="MM34" s="8">
        <v>0.0</v>
      </c>
      <c r="MN34" s="8">
        <v>0.0</v>
      </c>
      <c r="MO34" s="8">
        <v>0.0</v>
      </c>
      <c r="MP34" s="9"/>
      <c r="MQ34" s="9"/>
      <c r="MR34" s="36" t="s">
        <v>2592</v>
      </c>
      <c r="MS34" s="17" t="s">
        <v>2593</v>
      </c>
      <c r="MT34" s="9"/>
      <c r="MU34" s="9" t="s">
        <v>881</v>
      </c>
      <c r="MV34" s="9"/>
      <c r="MW34" s="9"/>
      <c r="MX34" s="9"/>
      <c r="MY34" s="9"/>
      <c r="MZ34" s="9"/>
      <c r="NA34" s="9"/>
      <c r="NB34" s="9"/>
      <c r="NC34" s="9"/>
      <c r="ND34" s="9"/>
      <c r="NE34" s="9"/>
      <c r="NF34" s="9"/>
      <c r="NG34" s="9"/>
      <c r="NH34" s="9"/>
      <c r="NI34" s="9"/>
      <c r="NJ34" s="9"/>
      <c r="NK34" s="9"/>
      <c r="NL34" s="9" t="s">
        <v>857</v>
      </c>
      <c r="NM34" s="9" t="s">
        <v>893</v>
      </c>
      <c r="NN34" s="17" t="s">
        <v>1387</v>
      </c>
      <c r="NO34" s="17" t="s">
        <v>895</v>
      </c>
      <c r="NP34" s="9"/>
      <c r="NQ34" s="9"/>
      <c r="NR34" s="9"/>
      <c r="NS34" s="9"/>
      <c r="NT34" s="9"/>
      <c r="NU34" s="9"/>
      <c r="NV34" s="17" t="s">
        <v>896</v>
      </c>
      <c r="NW34" s="9"/>
      <c r="NX34" s="9" t="s">
        <v>897</v>
      </c>
      <c r="NY34" s="8">
        <v>180.0</v>
      </c>
      <c r="NZ34" s="8">
        <v>0.0</v>
      </c>
      <c r="OA34" s="8">
        <v>0.0</v>
      </c>
      <c r="OB34" s="8">
        <v>0.0</v>
      </c>
      <c r="OC34" s="8">
        <v>30.0</v>
      </c>
      <c r="OD34" s="8">
        <v>0.0</v>
      </c>
      <c r="OE34" s="9" t="s">
        <v>898</v>
      </c>
      <c r="OF34" s="9" t="s">
        <v>899</v>
      </c>
      <c r="OG34" s="9" t="s">
        <v>857</v>
      </c>
      <c r="OH34" s="8">
        <v>0.0</v>
      </c>
      <c r="OI34" s="8">
        <v>0.0</v>
      </c>
      <c r="OJ34" s="8">
        <v>0.0</v>
      </c>
      <c r="OK34" s="8">
        <v>0.0</v>
      </c>
      <c r="OL34" s="8">
        <v>0.0</v>
      </c>
      <c r="OM34" s="8">
        <v>0.0</v>
      </c>
      <c r="ON34" s="8">
        <v>7.0</v>
      </c>
      <c r="OO34" s="8">
        <v>7.0</v>
      </c>
      <c r="OP34" s="9" t="str">
        <f>VLOOKUP(AG34,'BUS 2'!$G$1:$CU$424,2,0)</f>
        <v>Sapi pedaging Ayam Unggas lainnya</v>
      </c>
      <c r="OQ34" s="8">
        <f>VLOOKUP(AG34,'BUS 2'!$G$1:$CU$424,3,0)</f>
        <v>1</v>
      </c>
      <c r="OR34" s="8">
        <f>VLOOKUP(AG34,'BUS 2'!$G$1:$CU$424,4,0)</f>
        <v>0</v>
      </c>
      <c r="OS34" s="8">
        <f>VLOOKUP(AG34,'BUS 2'!$G$1:$CU$424,5,0)</f>
        <v>0</v>
      </c>
      <c r="OT34" s="8">
        <f>VLOOKUP(AG34,'BUS 2'!$G$1:$CU$424,6,0)</f>
        <v>0</v>
      </c>
      <c r="OU34" s="8">
        <f>VLOOKUP(AG34,'BUS 2'!$G$1:$CU$424,7,0)</f>
        <v>0</v>
      </c>
      <c r="OV34" s="8">
        <f>VLOOKUP(AG34,'BUS 2'!$G$1:$CU$424,8,0)</f>
        <v>0</v>
      </c>
      <c r="OW34" s="8">
        <f>VLOOKUP(AG34,'BUS 2'!$G$1:$CU$424,9,0)</f>
        <v>1</v>
      </c>
      <c r="OX34" s="8">
        <f>VLOOKUP(AG34,'BUS 2'!$G$1:$CU$424,10,0)</f>
        <v>1</v>
      </c>
      <c r="OY34" s="8">
        <f>VLOOKUP(AG34,'BUS 2'!$G$1:$CU$424,11,0)</f>
        <v>0</v>
      </c>
      <c r="OZ34" s="8" t="str">
        <f>VLOOKUP(AG34,'BUS 2'!$G$1:$CU$424,12,0)</f>
        <v>Sapi pedaging Ayam Unggas lainnya</v>
      </c>
      <c r="PA34" s="8">
        <f>VLOOKUP(AG34,'BUS 2'!$G$1:$CU$424,13,0)</f>
        <v>1</v>
      </c>
      <c r="PB34" s="8">
        <f>VLOOKUP(AG34,'BUS 2'!$G$1:$CU$424,14,0)</f>
        <v>0</v>
      </c>
      <c r="PC34" s="8">
        <f>VLOOKUP(AG34,'BUS 2'!$G$1:$CU$424,15,0)</f>
        <v>0</v>
      </c>
      <c r="PD34" s="8">
        <f>VLOOKUP(AG34,'BUS 2'!$G$1:$CU$424,16,0)</f>
        <v>0</v>
      </c>
      <c r="PE34" s="8">
        <f>VLOOKUP(AG34,'BUS 2'!$G$1:$CU$424,17,0)</f>
        <v>0</v>
      </c>
      <c r="PF34" s="8">
        <f>VLOOKUP(AG34,'BUS 2'!$G$1:$CU$424,18,0)</f>
        <v>0</v>
      </c>
      <c r="PG34" s="8">
        <f>VLOOKUP(AG34,'BUS 2'!$G$1:$CU$424,19,0)</f>
        <v>1</v>
      </c>
      <c r="PH34" s="8">
        <f>VLOOKUP(AG34,'BUS 2'!$G$1:$CU$424,20,0)</f>
        <v>1</v>
      </c>
      <c r="PI34" s="8">
        <f>VLOOKUP(AG34,'BUS 2'!$G$1:$CU$424,21,0)</f>
        <v>0</v>
      </c>
      <c r="PJ34" s="8" t="str">
        <f>VLOOKUP(AG34,'BUS 2'!$G$1:$CU$424,22,0)</f>
        <v>Ayam Unggas lainnya</v>
      </c>
      <c r="PK34" s="8">
        <f>VLOOKUP(AG34,'BUS 2'!$G$1:$CU$424,23,0)</f>
        <v>0</v>
      </c>
      <c r="PL34" s="8">
        <f>VLOOKUP(AG34,'BUS 2'!$G$1:$CU$424,24,0)</f>
        <v>0</v>
      </c>
      <c r="PM34" s="8">
        <f>VLOOKUP(AG34,'BUS 2'!$G$1:$CU$424,25,0)</f>
        <v>0</v>
      </c>
      <c r="PN34" s="8">
        <f>VLOOKUP(AG34,'BUS 2'!$G$1:$CU$424,26,0)</f>
        <v>0</v>
      </c>
      <c r="PO34" s="8">
        <f>VLOOKUP(AG34,'BUS 2'!$G$1:$CU$424,27,0)</f>
        <v>0</v>
      </c>
      <c r="PP34" s="8">
        <f>VLOOKUP(AG34,'BUS 2'!$G$1:$CU$424,28,0)</f>
        <v>0</v>
      </c>
      <c r="PQ34" s="8">
        <f>VLOOKUP(AG34,'BUS 2'!$G$1:$CU$424,29,0)</f>
        <v>1</v>
      </c>
      <c r="PR34" s="8">
        <f>VLOOKUP(AG34,'BUS 2'!$G$1:$CU$424,30,0)</f>
        <v>1</v>
      </c>
      <c r="PS34" s="8">
        <f>VLOOKUP(AG34,'BUS 2'!$G$1:$CU$424,31,0)</f>
        <v>0</v>
      </c>
      <c r="PT34" s="9" t="s">
        <v>900</v>
      </c>
      <c r="PU34" s="8">
        <v>0.0</v>
      </c>
      <c r="PV34" s="8">
        <v>0.0</v>
      </c>
      <c r="PW34" s="8">
        <v>0.0</v>
      </c>
      <c r="PX34" s="8">
        <v>0.0</v>
      </c>
      <c r="PY34" s="8">
        <v>0.0</v>
      </c>
      <c r="PZ34" s="8">
        <v>1.0</v>
      </c>
      <c r="QA34" s="8">
        <v>0.0</v>
      </c>
      <c r="QB34" s="8">
        <v>0.0</v>
      </c>
      <c r="QC34" s="8">
        <v>0.0</v>
      </c>
      <c r="QD34" s="9"/>
      <c r="QE34" s="32"/>
      <c r="QF34" s="31"/>
      <c r="QG34" s="31"/>
      <c r="QH34" s="31"/>
      <c r="QI34" s="31"/>
      <c r="QJ34" s="31"/>
      <c r="QK34" s="32"/>
      <c r="QL34" s="32"/>
      <c r="QM34" s="32"/>
      <c r="QN34" s="32"/>
      <c r="QO34" s="32"/>
      <c r="QP34" s="32"/>
      <c r="QQ34" s="32"/>
      <c r="QR34" s="32"/>
      <c r="QS34" s="32"/>
      <c r="QT34" s="32"/>
      <c r="QU34" s="32"/>
      <c r="QV34" s="32"/>
      <c r="QW34" s="31"/>
      <c r="QX34" s="31"/>
      <c r="QY34" s="31"/>
      <c r="QZ34" s="31"/>
      <c r="RA34" s="31"/>
      <c r="RB34" s="32"/>
      <c r="RC34" s="32"/>
      <c r="RD34" s="32"/>
      <c r="RE34" s="32"/>
      <c r="RF34" s="32"/>
      <c r="RG34" s="9"/>
      <c r="RH34" s="31"/>
      <c r="RI34" s="31"/>
      <c r="RJ34" s="31"/>
      <c r="RK34" s="31"/>
      <c r="RL34" s="31"/>
      <c r="RM34" s="9"/>
      <c r="RN34" s="9"/>
      <c r="RO34" s="9"/>
      <c r="RP34" s="9"/>
      <c r="RQ34" s="9"/>
      <c r="RR34" s="9"/>
      <c r="RS34" s="31"/>
      <c r="RT34" s="31"/>
      <c r="RU34" s="31"/>
      <c r="RV34" s="31"/>
      <c r="RW34" s="31"/>
      <c r="RX34" s="9"/>
      <c r="RY34" s="9"/>
      <c r="RZ34" s="9"/>
      <c r="SA34" s="9"/>
      <c r="SB34" s="9"/>
      <c r="SC34" s="9" t="s">
        <v>900</v>
      </c>
      <c r="SD34" s="35">
        <v>0.0</v>
      </c>
      <c r="SE34" s="35">
        <v>0.0</v>
      </c>
      <c r="SF34" s="35">
        <v>0.0</v>
      </c>
      <c r="SG34" s="35">
        <v>0.0</v>
      </c>
      <c r="SH34" s="35">
        <v>0.0</v>
      </c>
      <c r="SI34" s="8">
        <v>1.0</v>
      </c>
      <c r="SJ34" s="8">
        <v>0.0</v>
      </c>
      <c r="SK34" s="8">
        <v>0.0</v>
      </c>
      <c r="SL34" s="8">
        <v>0.0</v>
      </c>
      <c r="SM34" s="9"/>
      <c r="SN34" s="9" t="s">
        <v>900</v>
      </c>
      <c r="SO34" s="35">
        <v>0.0</v>
      </c>
      <c r="SP34" s="35">
        <v>0.0</v>
      </c>
      <c r="SQ34" s="35">
        <v>0.0</v>
      </c>
      <c r="SR34" s="35">
        <v>0.0</v>
      </c>
      <c r="SS34" s="35">
        <v>0.0</v>
      </c>
      <c r="ST34" s="8">
        <v>1.0</v>
      </c>
      <c r="SU34" s="8">
        <v>0.0</v>
      </c>
      <c r="SV34" s="8">
        <v>0.0</v>
      </c>
      <c r="SW34" s="8">
        <v>0.0</v>
      </c>
      <c r="SX34" s="9"/>
      <c r="SY34" s="8">
        <f>VLOOKUP(AG34,'BUS 2'!$G$1:$CU$424,33,0)</f>
        <v>4</v>
      </c>
      <c r="SZ34" s="9" t="str">
        <f>VLOOKUP(AG34,'BUS 2'!$G$1:$CU$424,34,0)</f>
        <v/>
      </c>
      <c r="TA34" s="9" t="str">
        <f>VLOOKUP(AG34,'BUS 2'!$G$1:$CU$424,35,0)</f>
        <v/>
      </c>
      <c r="TB34" s="9" t="str">
        <f>VLOOKUP(AG34,'BUS 2'!$G$1:$CU$424,36,0)</f>
        <v/>
      </c>
      <c r="TC34" s="9" t="str">
        <f>VLOOKUP(AG34,'BUS 2'!$G$1:$CU$424,37,0)</f>
        <v/>
      </c>
      <c r="TD34" s="9" t="str">
        <f>VLOOKUP(AG34,'BUS 2'!$G$1:$CU$424,38,0)</f>
        <v/>
      </c>
      <c r="TE34" s="9">
        <f>VLOOKUP(AG34,'BUS 2'!$G$1:$CU$424,39,0)</f>
        <v>7</v>
      </c>
      <c r="TF34" s="9">
        <f>VLOOKUP(AG34,'BUS 2'!$G$1:$CU$424,40,0)</f>
        <v>20</v>
      </c>
      <c r="TG34" s="8">
        <f>VLOOKUP(AG34,'BUS 2'!$G$1:$CU$424,42,0)</f>
        <v>4</v>
      </c>
      <c r="TH34" s="8" t="str">
        <f>VLOOKUP(AG34,'BUS 2'!$G$1:$CU$424,43,0)</f>
        <v/>
      </c>
      <c r="TI34" s="8" t="str">
        <f>VLOOKUP(AG34,'BUS 2'!$G$1:$CU$424,44,0)</f>
        <v/>
      </c>
      <c r="TJ34" s="8" t="str">
        <f>VLOOKUP(AG34,'BUS 2'!$G$1:$CU$424,45,0)</f>
        <v/>
      </c>
      <c r="TK34" s="8" t="str">
        <f>VLOOKUP(AG34,'BUS 2'!$G$1:$CU$424,46,0)</f>
        <v/>
      </c>
      <c r="TL34" s="8" t="str">
        <f>VLOOKUP(AG34,'BUS 2'!$G$1:$CU$424,47,0)</f>
        <v/>
      </c>
      <c r="TM34" s="8">
        <f>VLOOKUP(AG34,'BUS 2'!$G$1:$CU$424,48,0)</f>
        <v>12</v>
      </c>
      <c r="TN34" s="8">
        <f>VLOOKUP(AG34,'BUS 2'!$G$1:$CU$424,49,0)</f>
        <v>20</v>
      </c>
      <c r="TO34" s="8" t="str">
        <f>VLOOKUP(AG34,'BUS 2'!$G$1:$CU$424,50,0)</f>
        <v/>
      </c>
      <c r="TP34" s="8" t="str">
        <f>VLOOKUP(AG34,'BUS 2'!$G$1:$CU$424,51,0)</f>
        <v/>
      </c>
      <c r="TQ34" s="8" t="str">
        <f>VLOOKUP(AG34,'BUS 2'!$G$1:$CU$424,52,0)</f>
        <v/>
      </c>
      <c r="TR34" s="8" t="str">
        <f>VLOOKUP(AG34,'BUS 2'!$G$1:$CU$424,53,0)</f>
        <v/>
      </c>
      <c r="TS34" s="9" t="str">
        <f>VLOOKUP(AG34,'BUS 2'!$G$1:$CU$424,54,0)</f>
        <v/>
      </c>
      <c r="TT34" s="9" t="str">
        <f>VLOOKUP(AG34,'BUS 2'!$G$1:$CU$424,55,0)</f>
        <v/>
      </c>
      <c r="TU34" s="9" t="str">
        <f>VLOOKUP(AG34,'BUS 2'!$G$1:$CU$424,56,0)</f>
        <v/>
      </c>
      <c r="TV34" s="9" t="str">
        <f>VLOOKUP(AG34,'BUS 2'!$G$1:$CU$424,57,0)</f>
        <v/>
      </c>
      <c r="TW34" s="9" t="str">
        <f>VLOOKUP(AG34,'BUS 2'!$G$1:$CU$424,58,0)</f>
        <v/>
      </c>
      <c r="TX34" s="9" t="str">
        <f>VLOOKUP(AG34,'BUS 2'!$G$1:$CU$424,59,0)</f>
        <v/>
      </c>
      <c r="TY34" s="9" t="str">
        <f>VLOOKUP(AG34,'BUS 2'!$G$1:$CU$424,60,0)</f>
        <v/>
      </c>
      <c r="TZ34" s="9" t="str">
        <f>VLOOKUP(AG34,'BUS 2'!$G$1:$CU$424,61,0)</f>
        <v/>
      </c>
      <c r="UA34" s="9" t="str">
        <f>VLOOKUP(AG34,'BUS 2'!$G$1:$CU$424,62,0)</f>
        <v/>
      </c>
      <c r="UB34" s="9" t="str">
        <f>VLOOKUP(AG34,'BUS 2'!$G$1:$CU$424,63,0)</f>
        <v/>
      </c>
      <c r="UC34" s="9" t="str">
        <f>VLOOKUP(AG34,'BUS 2'!$G$1:$CU$424,64,0)</f>
        <v/>
      </c>
      <c r="UD34" s="9" t="str">
        <f>VLOOKUP(AG34,'BUS 2'!$G$1:$CU$424,65,0)</f>
        <v/>
      </c>
      <c r="UE34" s="9" t="str">
        <f>VLOOKUP(AG34,'BUS 2'!$G$1:$CU$424,66,0)</f>
        <v/>
      </c>
      <c r="UF34" s="9" t="str">
        <f>VLOOKUP(AG34,'BUS 2'!$G$1:$CU$424,67,0)</f>
        <v/>
      </c>
      <c r="UG34" s="9" t="str">
        <f>VLOOKUP(AG34,'BUS 2'!$G$1:$CU$424,68,0)</f>
        <v/>
      </c>
      <c r="UH34" s="9" t="str">
        <f>VLOOKUP(AG34,'BUS 2'!$G$1:$CU$424,69,0)</f>
        <v/>
      </c>
      <c r="UI34" s="9" t="str">
        <f>VLOOKUP(AG34,'BUS 2'!$G$1:$CU$424,70,0)</f>
        <v/>
      </c>
      <c r="UJ34" s="9" t="str">
        <f>VLOOKUP(AG34,'BUS 2'!$G$1:$CU$424,71,0)</f>
        <v/>
      </c>
      <c r="UK34" s="9" t="str">
        <f>VLOOKUP(AG34,'BUS 2'!$G$1:$CU$424,72,0)</f>
        <v/>
      </c>
      <c r="UL34" s="9" t="str">
        <f>VLOOKUP(AG34,'BUS 2'!$G$1:$CU$424,73,0)</f>
        <v/>
      </c>
      <c r="UM34" s="9">
        <f>VLOOKUP(AG34,'BUS 2'!$G$1:$CU$424,74,0)</f>
        <v>0</v>
      </c>
      <c r="UN34" s="9">
        <f>VLOOKUP(AG34,'BUS 2'!$G$1:$CU$424,75,0)</f>
        <v>0</v>
      </c>
      <c r="UO34" s="9">
        <f>VLOOKUP(AG34,'BUS 2'!$G$1:$CU$424,76,0)</f>
        <v>0</v>
      </c>
      <c r="UP34" s="9">
        <f>VLOOKUP(AG34,'BUS 2'!$G$1:$CU$424,77,0)</f>
        <v>7</v>
      </c>
      <c r="UQ34" s="9">
        <f>VLOOKUP(AG34,'BUS 2'!$G$1:$CU$424,78,0)</f>
        <v>0</v>
      </c>
      <c r="UR34" s="9">
        <f>VLOOKUP(AG34,'BUS 2'!$G$1:$CU$424,79,0)</f>
        <v>0</v>
      </c>
      <c r="US34" s="9">
        <f>VLOOKUP(AG34,'BUS 2'!$G$1:$CU$424,80,0)</f>
        <v>0</v>
      </c>
      <c r="UT34" s="9">
        <f>VLOOKUP(AG34,'BUS 2'!$G$1:$CU$424,81,0)</f>
        <v>0</v>
      </c>
      <c r="UU34" s="9"/>
      <c r="UV34" s="9"/>
      <c r="UW34" s="9"/>
      <c r="UX34" s="9"/>
      <c r="UY34" s="9"/>
      <c r="UZ34" s="9"/>
      <c r="VA34" s="9" t="s">
        <v>1976</v>
      </c>
      <c r="VB34" s="9" t="s">
        <v>1976</v>
      </c>
      <c r="VC34" s="9"/>
      <c r="VD34" s="9"/>
      <c r="VE34" s="9"/>
      <c r="VF34" s="9"/>
      <c r="VG34" s="9"/>
      <c r="VH34" s="9"/>
      <c r="VI34" s="9" t="s">
        <v>1938</v>
      </c>
      <c r="VJ34" s="9" t="s">
        <v>1938</v>
      </c>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t="s">
        <v>951</v>
      </c>
      <c r="YO34" s="8">
        <v>0.0</v>
      </c>
      <c r="YP34" s="8">
        <v>0.0</v>
      </c>
      <c r="YQ34" s="8">
        <v>0.0</v>
      </c>
      <c r="YR34" s="8">
        <v>0.0</v>
      </c>
      <c r="YS34" s="8">
        <v>0.0</v>
      </c>
      <c r="YT34" s="8">
        <v>0.0</v>
      </c>
      <c r="YU34" s="8">
        <v>1.0</v>
      </c>
      <c r="YV34" s="8">
        <v>0.0</v>
      </c>
      <c r="YW34" s="8">
        <v>0.0</v>
      </c>
      <c r="YX34" s="8">
        <v>0.0</v>
      </c>
      <c r="YY34" s="8">
        <v>0.0</v>
      </c>
      <c r="YZ34" s="8">
        <v>0.0</v>
      </c>
      <c r="ZA34" s="9" t="s">
        <v>951</v>
      </c>
      <c r="ZB34" s="8">
        <v>0.0</v>
      </c>
      <c r="ZC34" s="8">
        <v>0.0</v>
      </c>
      <c r="ZD34" s="8">
        <v>0.0</v>
      </c>
      <c r="ZE34" s="8">
        <v>0.0</v>
      </c>
      <c r="ZF34" s="8">
        <v>0.0</v>
      </c>
      <c r="ZG34" s="8">
        <v>0.0</v>
      </c>
      <c r="ZH34" s="8">
        <v>1.0</v>
      </c>
      <c r="ZI34" s="8">
        <v>0.0</v>
      </c>
      <c r="ZJ34" s="8">
        <v>0.0</v>
      </c>
      <c r="ZK34" s="8">
        <v>0.0</v>
      </c>
      <c r="ZL34" s="8">
        <v>0.0</v>
      </c>
      <c r="ZM34" s="8">
        <v>0.0</v>
      </c>
      <c r="ZN34" s="9"/>
      <c r="ZO34" s="9"/>
      <c r="ZP34" s="9"/>
      <c r="ZQ34" s="9"/>
      <c r="ZR34" s="9"/>
      <c r="ZS34" s="9"/>
      <c r="ZT34" s="9"/>
      <c r="ZU34" s="9"/>
      <c r="ZV34" s="9"/>
      <c r="ZW34" s="9"/>
      <c r="ZX34" s="9"/>
      <c r="ZY34" s="9"/>
      <c r="ZZ34" s="9"/>
      <c r="AAA34" s="9"/>
      <c r="AAB34" s="8">
        <v>2.0</v>
      </c>
      <c r="AAC34" s="8">
        <v>2.0</v>
      </c>
      <c r="AAD34" s="9"/>
      <c r="AAE34" s="9"/>
      <c r="AAF34" s="9"/>
      <c r="AAG34" s="9"/>
      <c r="AAH34" s="9"/>
      <c r="AAI34" s="9"/>
      <c r="AAJ34" s="9" t="s">
        <v>905</v>
      </c>
      <c r="AAK34" s="9" t="s">
        <v>905</v>
      </c>
      <c r="AAL34" s="9" t="s">
        <v>857</v>
      </c>
      <c r="AAM34" s="9" t="s">
        <v>1033</v>
      </c>
      <c r="AAN34" s="8">
        <v>1.0</v>
      </c>
      <c r="AAO34" s="8">
        <v>1.0</v>
      </c>
      <c r="AAP34" s="8">
        <v>5.0</v>
      </c>
      <c r="AAQ34" s="8">
        <v>10.0</v>
      </c>
      <c r="AAR34" s="9" t="s">
        <v>857</v>
      </c>
      <c r="AAS34" s="9" t="s">
        <v>1389</v>
      </c>
      <c r="AAT34" s="9" t="s">
        <v>995</v>
      </c>
      <c r="AAU34" s="8">
        <v>1.0</v>
      </c>
      <c r="AAV34" s="8">
        <v>0.0</v>
      </c>
      <c r="AAW34" s="8">
        <v>0.0</v>
      </c>
      <c r="AAX34" s="8">
        <v>0.0</v>
      </c>
      <c r="AAY34" s="8">
        <v>1.0</v>
      </c>
      <c r="AAZ34" s="8">
        <v>0.0</v>
      </c>
      <c r="ABA34" s="8">
        <v>0.0</v>
      </c>
      <c r="ABB34" s="9" t="s">
        <v>2571</v>
      </c>
      <c r="ABC34" s="8">
        <v>1.0</v>
      </c>
      <c r="ABD34" s="8">
        <v>0.0</v>
      </c>
      <c r="ABE34" s="8">
        <v>1.0</v>
      </c>
      <c r="ABF34" s="8">
        <v>0.0</v>
      </c>
      <c r="ABG34" s="8">
        <v>0.0</v>
      </c>
      <c r="ABH34" s="9"/>
      <c r="ABI34" s="9"/>
      <c r="ABJ34" s="9"/>
      <c r="ABK34" s="9"/>
      <c r="ABL34" s="9"/>
      <c r="ABM34" s="9"/>
      <c r="ABN34" s="9"/>
      <c r="ABO34" s="9"/>
      <c r="ABP34" s="9"/>
      <c r="ABQ34" s="9" t="s">
        <v>2042</v>
      </c>
      <c r="ABR34" s="9" t="s">
        <v>1240</v>
      </c>
      <c r="ABS34" s="8">
        <v>75000.0</v>
      </c>
      <c r="ABT34" s="9"/>
      <c r="ABU34" s="8">
        <v>12.0</v>
      </c>
      <c r="ABV34" s="8">
        <v>0.0</v>
      </c>
      <c r="ABW34" s="9" t="s">
        <v>1199</v>
      </c>
      <c r="ABX34" s="9"/>
      <c r="ABY34" s="8">
        <v>750.0</v>
      </c>
      <c r="ABZ34" s="8">
        <v>2400.0</v>
      </c>
      <c r="ACA34" s="8">
        <v>500.0</v>
      </c>
      <c r="ACB34" s="8">
        <v>1800.0</v>
      </c>
      <c r="ACC34" s="8">
        <v>900.0</v>
      </c>
      <c r="ACD34" s="8">
        <v>1600.0</v>
      </c>
      <c r="ACE34" s="9" t="s">
        <v>857</v>
      </c>
      <c r="ACF34" s="9" t="s">
        <v>911</v>
      </c>
      <c r="ACG34" s="9" t="s">
        <v>911</v>
      </c>
      <c r="ACH34" s="9" t="s">
        <v>1183</v>
      </c>
      <c r="ACI34" s="9"/>
      <c r="ACJ34" s="9"/>
      <c r="ACK34" s="9" t="s">
        <v>969</v>
      </c>
      <c r="ACL34" s="8">
        <v>0.0</v>
      </c>
      <c r="ACM34" s="8">
        <v>0.0</v>
      </c>
      <c r="ACN34" s="8">
        <v>0.0</v>
      </c>
      <c r="ACO34" s="8">
        <v>0.0</v>
      </c>
      <c r="ACP34" s="8">
        <v>0.0</v>
      </c>
      <c r="ACQ34" s="8">
        <v>0.0</v>
      </c>
      <c r="ACR34" s="8">
        <v>1.0</v>
      </c>
      <c r="ACS34" s="9" t="s">
        <v>2594</v>
      </c>
      <c r="ACT34" s="9" t="s">
        <v>1945</v>
      </c>
      <c r="ACU34" s="9" t="s">
        <v>1050</v>
      </c>
      <c r="ACV34" s="9" t="s">
        <v>914</v>
      </c>
      <c r="ACW34" s="9" t="s">
        <v>915</v>
      </c>
      <c r="ACX34" s="9" t="s">
        <v>916</v>
      </c>
      <c r="ACY34" s="9" t="s">
        <v>1035</v>
      </c>
      <c r="ACZ34" s="8">
        <v>1.0</v>
      </c>
      <c r="ADA34" s="8">
        <v>1.0</v>
      </c>
      <c r="ADB34" s="8">
        <v>0.0</v>
      </c>
      <c r="ADC34" s="8">
        <v>0.0</v>
      </c>
      <c r="ADD34" s="9" t="s">
        <v>1187</v>
      </c>
      <c r="ADE34" s="9" t="s">
        <v>917</v>
      </c>
      <c r="ADF34" s="9" t="s">
        <v>1187</v>
      </c>
      <c r="ADG34" s="9" t="s">
        <v>1187</v>
      </c>
      <c r="ADH34" s="9" t="s">
        <v>881</v>
      </c>
      <c r="ADI34" s="9"/>
      <c r="ADJ34" s="9" t="s">
        <v>1187</v>
      </c>
      <c r="ADK34" s="9"/>
      <c r="ADL34" s="9"/>
      <c r="ADM34" s="9"/>
      <c r="ADN34" s="9"/>
      <c r="ADO34" s="9"/>
      <c r="ADP34" s="9"/>
      <c r="ADQ34" s="9"/>
      <c r="ADR34" s="9"/>
      <c r="ADS34" s="9"/>
      <c r="ADT34" s="9"/>
      <c r="ADU34" s="9" t="s">
        <v>919</v>
      </c>
      <c r="ADV34" s="8">
        <v>0.0</v>
      </c>
      <c r="ADW34" s="8">
        <v>0.0</v>
      </c>
      <c r="ADX34" s="8">
        <v>0.0</v>
      </c>
      <c r="ADY34" s="8">
        <v>0.0</v>
      </c>
      <c r="ADZ34" s="8">
        <v>1.0</v>
      </c>
      <c r="AEA34" s="8">
        <v>0.0</v>
      </c>
      <c r="AEB34" s="8">
        <v>0.0</v>
      </c>
      <c r="AEC34" s="8">
        <v>0.0</v>
      </c>
      <c r="AED34" s="9" t="s">
        <v>2595</v>
      </c>
      <c r="AEE34" s="9" t="s">
        <v>872</v>
      </c>
      <c r="AEF34" s="9"/>
      <c r="AEG34" s="9" t="s">
        <v>920</v>
      </c>
      <c r="AEH34" s="9"/>
      <c r="AEI34" s="9" t="s">
        <v>2596</v>
      </c>
      <c r="AEJ34" s="9" t="s">
        <v>871</v>
      </c>
      <c r="AEK34" s="9" t="s">
        <v>2597</v>
      </c>
      <c r="AEL34" s="8">
        <v>1.0</v>
      </c>
      <c r="AEM34" s="8">
        <v>1.0</v>
      </c>
      <c r="AEN34" s="8">
        <v>0.0</v>
      </c>
      <c r="AEO34" s="8">
        <v>0.0</v>
      </c>
      <c r="AEP34" s="8">
        <v>0.0</v>
      </c>
      <c r="AEQ34" s="8">
        <v>0.0</v>
      </c>
      <c r="AER34" s="8">
        <v>0.0</v>
      </c>
      <c r="AES34" s="8">
        <v>0.0</v>
      </c>
      <c r="AET34" s="8">
        <v>0.0</v>
      </c>
      <c r="AEU34" s="8">
        <v>0.0</v>
      </c>
      <c r="AEV34" s="8">
        <v>0.0</v>
      </c>
      <c r="AEW34" s="8">
        <v>0.0</v>
      </c>
      <c r="AEX34" s="9"/>
      <c r="AEY34" s="9" t="s">
        <v>923</v>
      </c>
      <c r="AEZ34" s="9"/>
      <c r="AFA34" s="9" t="s">
        <v>924</v>
      </c>
      <c r="AFB34" s="9"/>
      <c r="AFC34" s="9" t="s">
        <v>2598</v>
      </c>
      <c r="AFD34" s="16" t="s">
        <v>2599</v>
      </c>
      <c r="AFE34" s="9" t="s">
        <v>2600</v>
      </c>
      <c r="AFF34" s="16" t="s">
        <v>2601</v>
      </c>
      <c r="AFG34" s="9" t="s">
        <v>1991</v>
      </c>
      <c r="AFH34" s="9"/>
      <c r="AFI34" s="21" t="s">
        <v>2602</v>
      </c>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8">
        <v>6.72776808E8</v>
      </c>
      <c r="AWB34" s="9" t="s">
        <v>2603</v>
      </c>
      <c r="AWC34" s="6">
        <v>46069.0</v>
      </c>
      <c r="AWD34" s="9"/>
      <c r="AWE34" s="9"/>
      <c r="AWF34" s="9" t="s">
        <v>1954</v>
      </c>
      <c r="AWG34" s="9"/>
      <c r="AWH34" s="9" t="s">
        <v>1989</v>
      </c>
      <c r="AWI34" s="9"/>
      <c r="AWJ34" s="9" t="s">
        <v>2604</v>
      </c>
      <c r="AWK34" s="8">
        <v>274.0</v>
      </c>
      <c r="AWL34" s="9" t="s">
        <v>2590</v>
      </c>
      <c r="AWM34" s="8">
        <v>0.0</v>
      </c>
      <c r="AWN34" s="9" t="s">
        <v>1957</v>
      </c>
      <c r="AWO34" s="33" t="b">
        <v>1</v>
      </c>
      <c r="AWP34" s="33" t="b">
        <v>1</v>
      </c>
      <c r="AWQ34" s="33" t="b">
        <v>1</v>
      </c>
      <c r="AWR34" s="33" t="b">
        <v>1</v>
      </c>
      <c r="AWS34" s="33" t="b">
        <v>1</v>
      </c>
      <c r="AWT34" s="33" t="b">
        <v>1</v>
      </c>
      <c r="AWU34" s="9"/>
      <c r="AWV34" s="8">
        <v>6.0</v>
      </c>
      <c r="AWW34" s="9"/>
      <c r="AWX34" s="9"/>
      <c r="AWY34" s="9"/>
      <c r="AWZ34" s="9"/>
    </row>
    <row r="35">
      <c r="A35" s="6">
        <v>46065.0</v>
      </c>
      <c r="B35" s="6">
        <v>46069.0</v>
      </c>
      <c r="C35" s="30" t="s">
        <v>1991</v>
      </c>
      <c r="D35" s="30" t="s">
        <v>2605</v>
      </c>
      <c r="E35" s="8">
        <f>+620</f>
        <v>620</v>
      </c>
      <c r="F35" s="9" t="s">
        <v>2606</v>
      </c>
      <c r="G35" s="8">
        <v>-5.196637</v>
      </c>
      <c r="H35" s="8">
        <v>119.395318</v>
      </c>
      <c r="I35" s="8">
        <v>57.59999847</v>
      </c>
      <c r="J35" s="8">
        <v>11.0</v>
      </c>
      <c r="K35" s="8">
        <v>0.0</v>
      </c>
      <c r="L35" s="9" t="s">
        <v>2607</v>
      </c>
      <c r="M35" s="8">
        <v>-5.19655</v>
      </c>
      <c r="N35" s="8">
        <v>119.395337</v>
      </c>
      <c r="O35" s="8">
        <v>57.59999847</v>
      </c>
      <c r="P35" s="8">
        <v>7.300000191</v>
      </c>
      <c r="Q35" s="8">
        <v>0.0</v>
      </c>
      <c r="R35" s="9" t="s">
        <v>1923</v>
      </c>
      <c r="S35" s="8">
        <v>0.0</v>
      </c>
      <c r="T35" s="8">
        <v>0.0</v>
      </c>
      <c r="U35" s="8">
        <v>0.0</v>
      </c>
      <c r="V35" s="8">
        <v>0.0</v>
      </c>
      <c r="W35" s="8">
        <v>0.0</v>
      </c>
      <c r="X35" s="8">
        <v>0.0</v>
      </c>
      <c r="Y35" s="8">
        <v>0.0</v>
      </c>
      <c r="Z35" s="8">
        <v>0.0</v>
      </c>
      <c r="AA35" s="8">
        <v>0.0</v>
      </c>
      <c r="AB35" s="8">
        <v>1.0</v>
      </c>
      <c r="AC35" s="7" t="s">
        <v>2608</v>
      </c>
      <c r="AD35" s="7" t="s">
        <v>2609</v>
      </c>
      <c r="AE35" s="7" t="s">
        <v>2610</v>
      </c>
      <c r="AF35" s="9" t="s">
        <v>2611</v>
      </c>
      <c r="AG35" s="9" t="s">
        <v>2612</v>
      </c>
      <c r="AH35" s="8">
        <v>7.0</v>
      </c>
      <c r="AI35" s="9" t="s">
        <v>845</v>
      </c>
      <c r="AJ35" s="9" t="s">
        <v>934</v>
      </c>
      <c r="AK35" s="8">
        <v>49.0</v>
      </c>
      <c r="AL35" s="9" t="s">
        <v>847</v>
      </c>
      <c r="AM35" s="9" t="s">
        <v>848</v>
      </c>
      <c r="AN35" s="9" t="s">
        <v>1099</v>
      </c>
      <c r="AO35" s="9" t="s">
        <v>1231</v>
      </c>
      <c r="AP35" s="8">
        <v>0.0</v>
      </c>
      <c r="AQ35" s="8">
        <v>0.0</v>
      </c>
      <c r="AR35" s="8">
        <v>0.0</v>
      </c>
      <c r="AS35" s="8">
        <v>1.0</v>
      </c>
      <c r="AT35" s="8">
        <v>0.0</v>
      </c>
      <c r="AU35" s="8">
        <v>0.0</v>
      </c>
      <c r="AV35" s="8">
        <v>0.0</v>
      </c>
      <c r="AW35" s="8">
        <v>0.0</v>
      </c>
      <c r="AX35" s="9"/>
      <c r="AY35" s="9" t="s">
        <v>999</v>
      </c>
      <c r="AZ35" s="8">
        <v>0.0</v>
      </c>
      <c r="BA35" s="8">
        <v>0.0</v>
      </c>
      <c r="BB35" s="8">
        <v>0.0</v>
      </c>
      <c r="BC35" s="8">
        <v>0.0</v>
      </c>
      <c r="BD35" s="8">
        <v>0.0</v>
      </c>
      <c r="BE35" s="8">
        <v>0.0</v>
      </c>
      <c r="BF35" s="8">
        <v>0.0</v>
      </c>
      <c r="BG35" s="8">
        <v>1.0</v>
      </c>
      <c r="BH35" s="11"/>
      <c r="BI35" s="9" t="s">
        <v>936</v>
      </c>
      <c r="BJ35" s="8">
        <v>1.0</v>
      </c>
      <c r="BK35" s="8">
        <v>2.0</v>
      </c>
      <c r="BL35" s="8">
        <v>3.0</v>
      </c>
      <c r="BM35" s="8">
        <v>2.0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1929</v>
      </c>
      <c r="CD35" s="8">
        <v>0.0</v>
      </c>
      <c r="CE35" s="8">
        <v>0.0</v>
      </c>
      <c r="CF35" s="8">
        <v>0.0</v>
      </c>
      <c r="CG35" s="8">
        <v>0.0</v>
      </c>
      <c r="CH35" s="8">
        <v>1.0</v>
      </c>
      <c r="CI35" s="8">
        <v>0.0</v>
      </c>
      <c r="CJ35" s="8">
        <v>0.0</v>
      </c>
      <c r="CK35" s="9"/>
      <c r="CL35" s="9" t="s">
        <v>857</v>
      </c>
      <c r="CM35" s="8">
        <v>2019.0</v>
      </c>
      <c r="CN35" s="9" t="s">
        <v>1376</v>
      </c>
      <c r="CO35" s="9" t="s">
        <v>2613</v>
      </c>
      <c r="CP35" s="9" t="s">
        <v>969</v>
      </c>
      <c r="CQ35" s="8">
        <v>0.0</v>
      </c>
      <c r="CR35" s="8">
        <v>0.0</v>
      </c>
      <c r="CS35" s="8">
        <v>0.0</v>
      </c>
      <c r="CT35" s="8">
        <v>0.0</v>
      </c>
      <c r="CU35" s="8">
        <v>0.0</v>
      </c>
      <c r="CV35" s="8">
        <v>0.0</v>
      </c>
      <c r="CW35" s="8">
        <v>0.0</v>
      </c>
      <c r="CX35" s="8">
        <v>1.0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9" t="s">
        <v>938</v>
      </c>
      <c r="DQ35" s="9" t="s">
        <v>939</v>
      </c>
      <c r="DR35" s="17" t="s">
        <v>969</v>
      </c>
      <c r="DS35" s="9" t="s">
        <v>2614</v>
      </c>
      <c r="DT35" s="9"/>
      <c r="DU35" s="9"/>
      <c r="DV35" s="9"/>
      <c r="DW35" s="9"/>
      <c r="DX35" s="9"/>
      <c r="DY35" s="9"/>
      <c r="DZ35" s="9"/>
      <c r="EA35" s="9"/>
      <c r="EB35" s="9"/>
      <c r="EC35" s="9"/>
      <c r="ED35" s="9"/>
      <c r="EE35" s="9"/>
      <c r="EF35" s="9"/>
      <c r="EG35" s="9"/>
      <c r="EH35" s="9"/>
      <c r="EI35" s="31" t="s">
        <v>862</v>
      </c>
      <c r="EJ35" s="8">
        <v>0.0</v>
      </c>
      <c r="EK35" s="8">
        <v>0.0</v>
      </c>
      <c r="EL35" s="8">
        <v>0.0</v>
      </c>
      <c r="EM35" s="8">
        <v>1.0</v>
      </c>
      <c r="EN35" s="8">
        <v>0.0</v>
      </c>
      <c r="EO35" s="9"/>
      <c r="EP35" s="9" t="s">
        <v>1403</v>
      </c>
      <c r="EQ35" s="9" t="s">
        <v>1380</v>
      </c>
      <c r="ER35" s="9" t="s">
        <v>861</v>
      </c>
      <c r="ES35" s="8">
        <v>1.0</v>
      </c>
      <c r="ET35" s="8">
        <v>0.0</v>
      </c>
      <c r="EU35" s="8">
        <v>0.0</v>
      </c>
      <c r="EV35" s="8">
        <v>0.0</v>
      </c>
      <c r="EW35" s="9"/>
      <c r="EX35" s="9" t="s">
        <v>865</v>
      </c>
      <c r="EY35" s="8">
        <v>1.0</v>
      </c>
      <c r="EZ35" s="8">
        <v>0.0</v>
      </c>
      <c r="FA35" s="8">
        <v>0.0</v>
      </c>
      <c r="FB35" s="9"/>
      <c r="FC35" s="9" t="s">
        <v>942</v>
      </c>
      <c r="FD35" s="9"/>
      <c r="FE35" s="9" t="s">
        <v>867</v>
      </c>
      <c r="FF35" s="9" t="s">
        <v>868</v>
      </c>
      <c r="FG35" s="9" t="s">
        <v>1971</v>
      </c>
      <c r="FH35" s="9" t="s">
        <v>883</v>
      </c>
      <c r="FI35" s="9" t="s">
        <v>867</v>
      </c>
      <c r="FJ35" s="9" t="s">
        <v>868</v>
      </c>
      <c r="FK35" s="9" t="s">
        <v>1971</v>
      </c>
      <c r="FL35" s="9" t="s">
        <v>883</v>
      </c>
      <c r="FM35" s="9" t="s">
        <v>867</v>
      </c>
      <c r="FN35" s="9" t="s">
        <v>883</v>
      </c>
      <c r="FO35" s="9" t="s">
        <v>1971</v>
      </c>
      <c r="FP35" s="9" t="s">
        <v>883</v>
      </c>
      <c r="FQ35" s="9" t="s">
        <v>867</v>
      </c>
      <c r="FR35" s="9" t="s">
        <v>857</v>
      </c>
      <c r="FS35" s="9" t="s">
        <v>867</v>
      </c>
      <c r="FT35" s="9" t="s">
        <v>871</v>
      </c>
      <c r="FU35" s="9" t="s">
        <v>872</v>
      </c>
      <c r="FV35" s="8">
        <v>1.0</v>
      </c>
      <c r="FW35" s="8">
        <v>0.0</v>
      </c>
      <c r="FX35" s="8">
        <v>0.0</v>
      </c>
      <c r="FY35" s="8">
        <v>0.0</v>
      </c>
      <c r="FZ35" s="9" t="s">
        <v>873</v>
      </c>
      <c r="GA35" s="9" t="s">
        <v>874</v>
      </c>
      <c r="GB35" s="8">
        <v>1.0</v>
      </c>
      <c r="GC35" s="8">
        <v>0.0</v>
      </c>
      <c r="GD35" s="8">
        <v>0.0</v>
      </c>
      <c r="GE35" s="8">
        <v>0.0</v>
      </c>
      <c r="GF35" s="9"/>
      <c r="GG35" s="9" t="s">
        <v>1232</v>
      </c>
      <c r="GH35" s="9" t="s">
        <v>857</v>
      </c>
      <c r="GI35" s="9" t="s">
        <v>876</v>
      </c>
      <c r="GJ35" s="8">
        <v>1.0</v>
      </c>
      <c r="GK35" s="8">
        <v>0.0</v>
      </c>
      <c r="GL35" s="8">
        <v>0.0</v>
      </c>
      <c r="GM35" s="8">
        <v>0.0</v>
      </c>
      <c r="GN35" s="9"/>
      <c r="GO35" s="8">
        <v>5.0</v>
      </c>
      <c r="GP35" s="34" t="s">
        <v>1931</v>
      </c>
      <c r="GQ35" s="9" t="s">
        <v>1102</v>
      </c>
      <c r="GR35" s="8">
        <v>1.0</v>
      </c>
      <c r="GS35" s="8">
        <v>0.0</v>
      </c>
      <c r="GT35" s="8">
        <v>0.0</v>
      </c>
      <c r="GU35" s="8">
        <v>0.0</v>
      </c>
      <c r="GV35" s="8">
        <v>0.0</v>
      </c>
      <c r="GW35" s="8">
        <v>0.0</v>
      </c>
      <c r="GX35" s="8">
        <v>0.0</v>
      </c>
      <c r="GY35" s="9"/>
      <c r="GZ35" s="9" t="s">
        <v>857</v>
      </c>
      <c r="HA35" s="9"/>
      <c r="HB35" s="9"/>
      <c r="HC35" s="9"/>
      <c r="HD35" s="9"/>
      <c r="HE35" s="8">
        <v>3.0</v>
      </c>
      <c r="HF35" s="8">
        <v>19000.0</v>
      </c>
      <c r="HG35" s="8">
        <v>3.0</v>
      </c>
      <c r="HH35" s="8">
        <v>23000.0</v>
      </c>
      <c r="HI35" s="9"/>
      <c r="HJ35" s="9"/>
      <c r="HK35" s="9"/>
      <c r="HL35" s="9"/>
      <c r="HM35" s="9"/>
      <c r="HN35" s="9"/>
      <c r="HO35" s="9"/>
      <c r="HP35" s="9"/>
      <c r="HQ35" s="9"/>
      <c r="HR35" s="9"/>
      <c r="HS35" s="9"/>
      <c r="HT35" s="9"/>
      <c r="HU35" s="9"/>
      <c r="HV35" s="9"/>
      <c r="HW35" s="9"/>
      <c r="HX35" s="9"/>
      <c r="HY35" s="9"/>
      <c r="HZ35" s="9"/>
      <c r="IA35" s="8">
        <v>0.0</v>
      </c>
      <c r="IB35" s="8">
        <v>0.0</v>
      </c>
      <c r="IC35" s="9"/>
      <c r="ID35" s="9"/>
      <c r="IE35" s="9"/>
      <c r="IF35" s="9"/>
      <c r="IG35" s="9"/>
      <c r="IH35" s="9"/>
      <c r="II35" s="9"/>
      <c r="IJ35" s="9"/>
      <c r="IK35" s="9" t="s">
        <v>1382</v>
      </c>
      <c r="IL35" s="9" t="s">
        <v>1383</v>
      </c>
      <c r="IM35" s="9" t="s">
        <v>857</v>
      </c>
      <c r="IN35" s="9" t="s">
        <v>857</v>
      </c>
      <c r="IO35" s="9" t="s">
        <v>945</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945</v>
      </c>
      <c r="LC35" s="8">
        <v>0.0</v>
      </c>
      <c r="LD35" s="8">
        <v>0.0</v>
      </c>
      <c r="LE35" s="8">
        <v>8.0</v>
      </c>
      <c r="LF35" s="8">
        <v>0.0</v>
      </c>
      <c r="LG35" s="9" t="s">
        <v>881</v>
      </c>
      <c r="LH35" s="9"/>
      <c r="LI35" s="8">
        <v>0.0</v>
      </c>
      <c r="LJ35" s="9" t="s">
        <v>969</v>
      </c>
      <c r="LK35" s="8">
        <v>0.0</v>
      </c>
      <c r="LL35" s="8">
        <v>0.0</v>
      </c>
      <c r="LM35" s="8">
        <v>0.0</v>
      </c>
      <c r="LN35" s="8">
        <v>0.0</v>
      </c>
      <c r="LO35" s="8">
        <v>0.0</v>
      </c>
      <c r="LP35" s="8">
        <v>0.0</v>
      </c>
      <c r="LQ35" s="8">
        <v>1.0</v>
      </c>
      <c r="LR35" s="11" t="s">
        <v>1973</v>
      </c>
      <c r="LS35" s="8">
        <v>60.0</v>
      </c>
      <c r="LT35" s="8">
        <v>0.0</v>
      </c>
      <c r="LU35" s="8">
        <v>0.0</v>
      </c>
      <c r="LV35" s="8">
        <v>0.0</v>
      </c>
      <c r="LW35" s="8">
        <v>0.0</v>
      </c>
      <c r="LX35" s="8">
        <v>0.0</v>
      </c>
      <c r="LY35" s="8">
        <v>0.0</v>
      </c>
      <c r="LZ35" s="8">
        <v>0.0</v>
      </c>
      <c r="MA35" s="8">
        <v>0.0</v>
      </c>
      <c r="MB35" s="9" t="s">
        <v>881</v>
      </c>
      <c r="MC35" s="8">
        <v>0.0</v>
      </c>
      <c r="MD35" s="8">
        <v>0.0</v>
      </c>
      <c r="ME35" s="8">
        <v>0.0</v>
      </c>
      <c r="MF35" s="8">
        <v>0.0</v>
      </c>
      <c r="MG35" s="8">
        <v>0.0</v>
      </c>
      <c r="MH35" s="8">
        <v>0.0</v>
      </c>
      <c r="MI35" s="9"/>
      <c r="MJ35" s="9"/>
      <c r="MK35" s="9"/>
      <c r="ML35" s="9"/>
      <c r="MM35" s="9"/>
      <c r="MN35" s="9"/>
      <c r="MO35" s="9"/>
      <c r="MP35" s="9"/>
      <c r="MQ35" s="9"/>
      <c r="MR35" s="17" t="s">
        <v>2035</v>
      </c>
      <c r="MS35" s="9"/>
      <c r="MT35" s="9" t="s">
        <v>2035</v>
      </c>
      <c r="MU35" s="9" t="s">
        <v>881</v>
      </c>
      <c r="MV35" s="9"/>
      <c r="MW35" s="9"/>
      <c r="MX35" s="9"/>
      <c r="MY35" s="9"/>
      <c r="MZ35" s="9"/>
      <c r="NA35" s="9"/>
      <c r="NB35" s="9"/>
      <c r="NC35" s="9"/>
      <c r="ND35" s="9"/>
      <c r="NE35" s="9"/>
      <c r="NF35" s="9"/>
      <c r="NG35" s="9"/>
      <c r="NH35" s="9"/>
      <c r="NI35" s="9"/>
      <c r="NJ35" s="9"/>
      <c r="NK35" s="9"/>
      <c r="NL35" s="9" t="s">
        <v>857</v>
      </c>
      <c r="NM35" s="9" t="s">
        <v>1386</v>
      </c>
      <c r="NN35" s="17" t="s">
        <v>1975</v>
      </c>
      <c r="NO35" s="17" t="s">
        <v>895</v>
      </c>
      <c r="NP35" s="9"/>
      <c r="NQ35" s="9"/>
      <c r="NR35" s="9"/>
      <c r="NS35" s="9"/>
      <c r="NT35" s="9"/>
      <c r="NU35" s="9"/>
      <c r="NV35" s="9"/>
      <c r="NW35" s="9"/>
      <c r="NX35" s="9" t="s">
        <v>914</v>
      </c>
      <c r="NY35" s="8">
        <v>30.0</v>
      </c>
      <c r="NZ35" s="8">
        <v>0.0</v>
      </c>
      <c r="OA35" s="8">
        <v>0.0</v>
      </c>
      <c r="OB35" s="8">
        <v>0.0</v>
      </c>
      <c r="OC35" s="8">
        <v>10.0</v>
      </c>
      <c r="OD35" s="8">
        <v>0.0</v>
      </c>
      <c r="OE35" s="9" t="s">
        <v>945</v>
      </c>
      <c r="OF35" s="9" t="s">
        <v>2175</v>
      </c>
      <c r="OG35" s="38" t="s">
        <v>881</v>
      </c>
      <c r="OH35" s="40">
        <v>0.0</v>
      </c>
      <c r="OI35" s="40">
        <v>0.0</v>
      </c>
      <c r="OJ35" s="40">
        <v>0.0</v>
      </c>
      <c r="OK35" s="40">
        <v>0.0</v>
      </c>
      <c r="OL35" s="40">
        <v>0.0</v>
      </c>
      <c r="OM35" s="40">
        <v>0.0</v>
      </c>
      <c r="ON35" s="40">
        <v>0.0</v>
      </c>
      <c r="OO35" s="40">
        <v>0.0</v>
      </c>
      <c r="OP35" s="9" t="str">
        <f>VLOOKUP(AG35,'BUS 2'!$G$1:$CU$424,2,0)</f>
        <v>Tidak ada</v>
      </c>
      <c r="OQ35" s="8">
        <f>VLOOKUP(AG35,'BUS 2'!$G$1:$CU$424,3,0)</f>
        <v>0</v>
      </c>
      <c r="OR35" s="8">
        <f>VLOOKUP(AG35,'BUS 2'!$G$1:$CU$424,4,0)</f>
        <v>0</v>
      </c>
      <c r="OS35" s="8">
        <f>VLOOKUP(AG35,'BUS 2'!$G$1:$CU$424,5,0)</f>
        <v>0</v>
      </c>
      <c r="OT35" s="8">
        <f>VLOOKUP(AG35,'BUS 2'!$G$1:$CU$424,6,0)</f>
        <v>0</v>
      </c>
      <c r="OU35" s="8">
        <f>VLOOKUP(AG35,'BUS 2'!$G$1:$CU$424,7,0)</f>
        <v>0</v>
      </c>
      <c r="OV35" s="8">
        <f>VLOOKUP(AG35,'BUS 2'!$G$1:$CU$424,8,0)</f>
        <v>0</v>
      </c>
      <c r="OW35" s="8">
        <f>VLOOKUP(AG35,'BUS 2'!$G$1:$CU$424,9,0)</f>
        <v>0</v>
      </c>
      <c r="OX35" s="8">
        <f>VLOOKUP(AG35,'BUS 2'!$G$1:$CU$424,10,0)</f>
        <v>0</v>
      </c>
      <c r="OY35" s="8">
        <f>VLOOKUP(AG35,'BUS 2'!$G$1:$CU$424,11,0)</f>
        <v>1</v>
      </c>
      <c r="OZ35" s="8" t="str">
        <f>VLOOKUP(AG35,'BUS 2'!$G$1:$CU$424,12,0)</f>
        <v>Tidak ada</v>
      </c>
      <c r="PA35" s="8">
        <f>VLOOKUP(AG35,'BUS 2'!$G$1:$CU$424,13,0)</f>
        <v>0</v>
      </c>
      <c r="PB35" s="8">
        <f>VLOOKUP(AG35,'BUS 2'!$G$1:$CU$424,14,0)</f>
        <v>0</v>
      </c>
      <c r="PC35" s="8">
        <f>VLOOKUP(AG35,'BUS 2'!$G$1:$CU$424,15,0)</f>
        <v>0</v>
      </c>
      <c r="PD35" s="8">
        <f>VLOOKUP(AG35,'BUS 2'!$G$1:$CU$424,16,0)</f>
        <v>0</v>
      </c>
      <c r="PE35" s="8">
        <f>VLOOKUP(AG35,'BUS 2'!$G$1:$CU$424,17,0)</f>
        <v>0</v>
      </c>
      <c r="PF35" s="8">
        <f>VLOOKUP(AG35,'BUS 2'!$G$1:$CU$424,18,0)</f>
        <v>0</v>
      </c>
      <c r="PG35" s="8">
        <f>VLOOKUP(AG35,'BUS 2'!$G$1:$CU$424,19,0)</f>
        <v>0</v>
      </c>
      <c r="PH35" s="8">
        <f>VLOOKUP(AG35,'BUS 2'!$G$1:$CU$424,20,0)</f>
        <v>0</v>
      </c>
      <c r="PI35" s="8">
        <f>VLOOKUP(AG35,'BUS 2'!$G$1:$CU$424,21,0)</f>
        <v>1</v>
      </c>
      <c r="PJ35" s="8" t="str">
        <f>VLOOKUP(AG35,'BUS 2'!$G$1:$CU$424,22,0)</f>
        <v>Tidak ada</v>
      </c>
      <c r="PK35" s="8">
        <f>VLOOKUP(AG35,'BUS 2'!$G$1:$CU$424,23,0)</f>
        <v>0</v>
      </c>
      <c r="PL35" s="8">
        <f>VLOOKUP(AG35,'BUS 2'!$G$1:$CU$424,24,0)</f>
        <v>0</v>
      </c>
      <c r="PM35" s="8">
        <f>VLOOKUP(AG35,'BUS 2'!$G$1:$CU$424,25,0)</f>
        <v>0</v>
      </c>
      <c r="PN35" s="8">
        <f>VLOOKUP(AG35,'BUS 2'!$G$1:$CU$424,26,0)</f>
        <v>0</v>
      </c>
      <c r="PO35" s="8">
        <f>VLOOKUP(AG35,'BUS 2'!$G$1:$CU$424,27,0)</f>
        <v>0</v>
      </c>
      <c r="PP35" s="8">
        <f>VLOOKUP(AG35,'BUS 2'!$G$1:$CU$424,28,0)</f>
        <v>0</v>
      </c>
      <c r="PQ35" s="8">
        <f>VLOOKUP(AG35,'BUS 2'!$G$1:$CU$424,29,0)</f>
        <v>0</v>
      </c>
      <c r="PR35" s="8">
        <f>VLOOKUP(AG35,'BUS 2'!$G$1:$CU$424,30,0)</f>
        <v>0</v>
      </c>
      <c r="PS35" s="8">
        <f>VLOOKUP(AG35,'BUS 2'!$G$1:$CU$424,31,0)</f>
        <v>1</v>
      </c>
      <c r="PT35" s="9"/>
      <c r="PU35" s="9"/>
      <c r="PV35" s="9"/>
      <c r="PW35" s="9"/>
      <c r="PX35" s="9"/>
      <c r="PY35" s="9"/>
      <c r="PZ35" s="9"/>
      <c r="QA35" s="9"/>
      <c r="QB35" s="9"/>
      <c r="QC35" s="9"/>
      <c r="QD35" s="9"/>
      <c r="QE35" s="32"/>
      <c r="QF35" s="31"/>
      <c r="QG35" s="31"/>
      <c r="QH35" s="31"/>
      <c r="QI35" s="31"/>
      <c r="QJ35" s="31"/>
      <c r="QK35" s="32"/>
      <c r="QL35" s="32"/>
      <c r="QM35" s="32"/>
      <c r="QN35" s="32"/>
      <c r="QO35" s="32"/>
      <c r="QP35" s="32"/>
      <c r="QQ35" s="32"/>
      <c r="QR35" s="32"/>
      <c r="QS35" s="32"/>
      <c r="QT35" s="32"/>
      <c r="QU35" s="32"/>
      <c r="QV35" s="32"/>
      <c r="QW35" s="31"/>
      <c r="QX35" s="31"/>
      <c r="QY35" s="31"/>
      <c r="QZ35" s="31"/>
      <c r="RA35" s="31"/>
      <c r="RB35" s="32"/>
      <c r="RC35" s="32"/>
      <c r="RD35" s="32"/>
      <c r="RE35" s="32"/>
      <c r="RF35" s="32"/>
      <c r="RG35" s="9"/>
      <c r="RH35" s="31"/>
      <c r="RI35" s="31"/>
      <c r="RJ35" s="31"/>
      <c r="RK35" s="31"/>
      <c r="RL35" s="31"/>
      <c r="RM35" s="9"/>
      <c r="RN35" s="9"/>
      <c r="RO35" s="9"/>
      <c r="RP35" s="9"/>
      <c r="RQ35" s="9"/>
      <c r="RR35" s="9"/>
      <c r="RS35" s="31"/>
      <c r="RT35" s="31"/>
      <c r="RU35" s="31"/>
      <c r="RV35" s="31"/>
      <c r="RW35" s="31"/>
      <c r="RX35" s="9"/>
      <c r="RY35" s="9"/>
      <c r="RZ35" s="9"/>
      <c r="SA35" s="9"/>
      <c r="SB35" s="9"/>
      <c r="SC35" s="9"/>
      <c r="SD35" s="31"/>
      <c r="SE35" s="31"/>
      <c r="SF35" s="31"/>
      <c r="SG35" s="31"/>
      <c r="SH35" s="31"/>
      <c r="SI35" s="9"/>
      <c r="SJ35" s="9"/>
      <c r="SK35" s="9"/>
      <c r="SL35" s="9"/>
      <c r="SM35" s="9"/>
      <c r="SN35" s="9" t="s">
        <v>2070</v>
      </c>
      <c r="SO35" s="35">
        <v>0.0</v>
      </c>
      <c r="SP35" s="35">
        <v>0.0</v>
      </c>
      <c r="SQ35" s="35">
        <v>0.0</v>
      </c>
      <c r="SR35" s="35">
        <v>0.0</v>
      </c>
      <c r="SS35" s="35">
        <v>0.0</v>
      </c>
      <c r="ST35" s="8">
        <v>0.0</v>
      </c>
      <c r="SU35" s="8">
        <v>0.0</v>
      </c>
      <c r="SV35" s="8">
        <v>0.0</v>
      </c>
      <c r="SW35" s="8">
        <v>1.0</v>
      </c>
      <c r="SX35" s="9" t="s">
        <v>2615</v>
      </c>
      <c r="SY35" s="8" t="str">
        <f>VLOOKUP(AG35,'BUS 2'!$G$1:$CU$424,33,0)</f>
        <v/>
      </c>
      <c r="SZ35" s="9" t="str">
        <f>VLOOKUP(AG35,'BUS 2'!$G$1:$CU$424,34,0)</f>
        <v/>
      </c>
      <c r="TA35" s="9" t="str">
        <f>VLOOKUP(AG35,'BUS 2'!$G$1:$CU$424,35,0)</f>
        <v/>
      </c>
      <c r="TB35" s="9" t="str">
        <f>VLOOKUP(AG35,'BUS 2'!$G$1:$CU$424,36,0)</f>
        <v/>
      </c>
      <c r="TC35" s="9" t="str">
        <f>VLOOKUP(AG35,'BUS 2'!$G$1:$CU$424,37,0)</f>
        <v/>
      </c>
      <c r="TD35" s="9" t="str">
        <f>VLOOKUP(AG35,'BUS 2'!$G$1:$CU$424,38,0)</f>
        <v/>
      </c>
      <c r="TE35" s="9" t="str">
        <f>VLOOKUP(AG35,'BUS 2'!$G$1:$CU$424,39,0)</f>
        <v/>
      </c>
      <c r="TF35" s="9" t="str">
        <f>VLOOKUP(AG35,'BUS 2'!$G$1:$CU$424,40,0)</f>
        <v/>
      </c>
      <c r="TG35" s="8" t="str">
        <f>VLOOKUP(AG35,'BUS 2'!$G$1:$CU$424,42,0)</f>
        <v/>
      </c>
      <c r="TH35" s="8" t="str">
        <f>VLOOKUP(AG35,'BUS 2'!$G$1:$CU$424,43,0)</f>
        <v/>
      </c>
      <c r="TI35" s="8" t="str">
        <f>VLOOKUP(AG35,'BUS 2'!$G$1:$CU$424,44,0)</f>
        <v/>
      </c>
      <c r="TJ35" s="8" t="str">
        <f>VLOOKUP(AG35,'BUS 2'!$G$1:$CU$424,45,0)</f>
        <v/>
      </c>
      <c r="TK35" s="8" t="str">
        <f>VLOOKUP(AG35,'BUS 2'!$G$1:$CU$424,46,0)</f>
        <v/>
      </c>
      <c r="TL35" s="8" t="str">
        <f>VLOOKUP(AG35,'BUS 2'!$G$1:$CU$424,47,0)</f>
        <v/>
      </c>
      <c r="TM35" s="8" t="str">
        <f>VLOOKUP(AG35,'BUS 2'!$G$1:$CU$424,48,0)</f>
        <v/>
      </c>
      <c r="TN35" s="8" t="str">
        <f>VLOOKUP(AG35,'BUS 2'!$G$1:$CU$424,49,0)</f>
        <v/>
      </c>
      <c r="TO35" s="8" t="str">
        <f>VLOOKUP(AG35,'BUS 2'!$G$1:$CU$424,50,0)</f>
        <v/>
      </c>
      <c r="TP35" s="8" t="str">
        <f>VLOOKUP(AG35,'BUS 2'!$G$1:$CU$424,51,0)</f>
        <v/>
      </c>
      <c r="TQ35" s="8" t="str">
        <f>VLOOKUP(AG35,'BUS 2'!$G$1:$CU$424,52,0)</f>
        <v/>
      </c>
      <c r="TR35" s="8" t="str">
        <f>VLOOKUP(AG35,'BUS 2'!$G$1:$CU$424,53,0)</f>
        <v/>
      </c>
      <c r="TS35" s="9" t="str">
        <f>VLOOKUP(AG35,'BUS 2'!$G$1:$CU$424,54,0)</f>
        <v/>
      </c>
      <c r="TT35" s="9" t="str">
        <f>VLOOKUP(AG35,'BUS 2'!$G$1:$CU$424,55,0)</f>
        <v/>
      </c>
      <c r="TU35" s="9" t="str">
        <f>VLOOKUP(AG35,'BUS 2'!$G$1:$CU$424,56,0)</f>
        <v/>
      </c>
      <c r="TV35" s="9" t="str">
        <f>VLOOKUP(AG35,'BUS 2'!$G$1:$CU$424,57,0)</f>
        <v/>
      </c>
      <c r="TW35" s="9" t="str">
        <f>VLOOKUP(AG35,'BUS 2'!$G$1:$CU$424,58,0)</f>
        <v/>
      </c>
      <c r="TX35" s="9" t="str">
        <f>VLOOKUP(AG35,'BUS 2'!$G$1:$CU$424,59,0)</f>
        <v/>
      </c>
      <c r="TY35" s="9" t="str">
        <f>VLOOKUP(AG35,'BUS 2'!$G$1:$CU$424,60,0)</f>
        <v/>
      </c>
      <c r="TZ35" s="9" t="str">
        <f>VLOOKUP(AG35,'BUS 2'!$G$1:$CU$424,61,0)</f>
        <v/>
      </c>
      <c r="UA35" s="9" t="str">
        <f>VLOOKUP(AG35,'BUS 2'!$G$1:$CU$424,62,0)</f>
        <v/>
      </c>
      <c r="UB35" s="9" t="str">
        <f>VLOOKUP(AG35,'BUS 2'!$G$1:$CU$424,63,0)</f>
        <v/>
      </c>
      <c r="UC35" s="9" t="str">
        <f>VLOOKUP(AG35,'BUS 2'!$G$1:$CU$424,64,0)</f>
        <v/>
      </c>
      <c r="UD35" s="9" t="str">
        <f>VLOOKUP(AG35,'BUS 2'!$G$1:$CU$424,65,0)</f>
        <v/>
      </c>
      <c r="UE35" s="9" t="str">
        <f>VLOOKUP(AG35,'BUS 2'!$G$1:$CU$424,66,0)</f>
        <v/>
      </c>
      <c r="UF35" s="9" t="str">
        <f>VLOOKUP(AG35,'BUS 2'!$G$1:$CU$424,67,0)</f>
        <v/>
      </c>
      <c r="UG35" s="9" t="str">
        <f>VLOOKUP(AG35,'BUS 2'!$G$1:$CU$424,68,0)</f>
        <v/>
      </c>
      <c r="UH35" s="9" t="str">
        <f>VLOOKUP(AG35,'BUS 2'!$G$1:$CU$424,69,0)</f>
        <v/>
      </c>
      <c r="UI35" s="9" t="str">
        <f>VLOOKUP(AG35,'BUS 2'!$G$1:$CU$424,70,0)</f>
        <v/>
      </c>
      <c r="UJ35" s="9" t="str">
        <f>VLOOKUP(AG35,'BUS 2'!$G$1:$CU$424,71,0)</f>
        <v/>
      </c>
      <c r="UK35" s="9" t="str">
        <f>VLOOKUP(AG35,'BUS 2'!$G$1:$CU$424,72,0)</f>
        <v/>
      </c>
      <c r="UL35" s="9" t="str">
        <f>VLOOKUP(AG35,'BUS 2'!$G$1:$CU$424,73,0)</f>
        <v/>
      </c>
      <c r="UM35" s="9" t="str">
        <f>VLOOKUP(AG35,'BUS 2'!$G$1:$CU$424,74,0)</f>
        <v/>
      </c>
      <c r="UN35" s="9" t="str">
        <f>VLOOKUP(AG35,'BUS 2'!$G$1:$CU$424,75,0)</f>
        <v/>
      </c>
      <c r="UO35" s="9" t="str">
        <f>VLOOKUP(AG35,'BUS 2'!$G$1:$CU$424,76,0)</f>
        <v/>
      </c>
      <c r="UP35" s="9" t="str">
        <f>VLOOKUP(AG35,'BUS 2'!$G$1:$CU$424,77,0)</f>
        <v/>
      </c>
      <c r="UQ35" s="9" t="str">
        <f>VLOOKUP(AG35,'BUS 2'!$G$1:$CU$424,78,0)</f>
        <v/>
      </c>
      <c r="UR35" s="9" t="str">
        <f>VLOOKUP(AG35,'BUS 2'!$G$1:$CU$424,79,0)</f>
        <v/>
      </c>
      <c r="US35" s="9" t="str">
        <f>VLOOKUP(AG35,'BUS 2'!$G$1:$CU$424,80,0)</f>
        <v/>
      </c>
      <c r="UT35" s="9" t="str">
        <f>VLOOKUP(AG35,'BUS 2'!$G$1:$CU$424,81,0)</f>
        <v/>
      </c>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t="s">
        <v>857</v>
      </c>
      <c r="AAM35" s="9" t="s">
        <v>1033</v>
      </c>
      <c r="AAN35" s="8">
        <v>1.0</v>
      </c>
      <c r="AAO35" s="8">
        <v>1.0</v>
      </c>
      <c r="AAP35" s="8">
        <v>5.0</v>
      </c>
      <c r="AAQ35" s="8">
        <v>4.0</v>
      </c>
      <c r="AAR35" s="9" t="s">
        <v>857</v>
      </c>
      <c r="AAS35" s="9" t="s">
        <v>867</v>
      </c>
      <c r="AAT35" s="9" t="s">
        <v>906</v>
      </c>
      <c r="AAU35" s="8">
        <v>1.0</v>
      </c>
      <c r="AAV35" s="8">
        <v>0.0</v>
      </c>
      <c r="AAW35" s="8">
        <v>0.0</v>
      </c>
      <c r="AAX35" s="8">
        <v>0.0</v>
      </c>
      <c r="AAY35" s="8">
        <v>0.0</v>
      </c>
      <c r="AAZ35" s="8">
        <v>0.0</v>
      </c>
      <c r="ABA35" s="8">
        <v>0.0</v>
      </c>
      <c r="ABB35" s="9" t="s">
        <v>2616</v>
      </c>
      <c r="ABC35" s="8">
        <v>0.0</v>
      </c>
      <c r="ABD35" s="8">
        <v>0.0</v>
      </c>
      <c r="ABE35" s="8">
        <v>1.0</v>
      </c>
      <c r="ABF35" s="8">
        <v>0.0</v>
      </c>
      <c r="ABG35" s="8">
        <v>0.0</v>
      </c>
      <c r="ABH35" s="9"/>
      <c r="ABI35" s="9"/>
      <c r="ABJ35" s="9"/>
      <c r="ABK35" s="9"/>
      <c r="ABL35" s="9"/>
      <c r="ABM35" s="9"/>
      <c r="ABN35" s="9"/>
      <c r="ABO35" s="9"/>
      <c r="ABP35" s="9"/>
      <c r="ABQ35" s="9" t="s">
        <v>2617</v>
      </c>
      <c r="ABR35" s="9" t="s">
        <v>2289</v>
      </c>
      <c r="ABS35" s="8">
        <v>5000.0</v>
      </c>
      <c r="ABT35" s="9"/>
      <c r="ABU35" s="8">
        <v>5.0</v>
      </c>
      <c r="ABV35" s="8">
        <v>4.0</v>
      </c>
      <c r="ABW35" s="9" t="s">
        <v>969</v>
      </c>
      <c r="ABX35" s="9" t="s">
        <v>2618</v>
      </c>
      <c r="ABY35" s="8">
        <v>0.0</v>
      </c>
      <c r="ABZ35" s="8">
        <v>0.0</v>
      </c>
      <c r="ACA35" s="8">
        <v>0.0</v>
      </c>
      <c r="ACB35" s="8">
        <v>0.0</v>
      </c>
      <c r="ACC35" s="8">
        <v>300.0</v>
      </c>
      <c r="ACD35" s="8">
        <v>400.0</v>
      </c>
      <c r="ACE35" s="9" t="s">
        <v>857</v>
      </c>
      <c r="ACF35" s="9" t="s">
        <v>911</v>
      </c>
      <c r="ACG35" s="9" t="s">
        <v>911</v>
      </c>
      <c r="ACH35" s="9" t="s">
        <v>911</v>
      </c>
      <c r="ACI35" s="9"/>
      <c r="ACJ35" s="9"/>
      <c r="ACK35" s="9"/>
      <c r="ACL35" s="9"/>
      <c r="ACM35" s="9"/>
      <c r="ACN35" s="9"/>
      <c r="ACO35" s="9"/>
      <c r="ACP35" s="9"/>
      <c r="ACQ35" s="9"/>
      <c r="ACR35" s="9"/>
      <c r="ACS35" s="9"/>
      <c r="ACT35" s="9" t="s">
        <v>1945</v>
      </c>
      <c r="ACU35" s="9" t="s">
        <v>2045</v>
      </c>
      <c r="ACV35" s="9" t="s">
        <v>914</v>
      </c>
      <c r="ACW35" s="9" t="s">
        <v>915</v>
      </c>
      <c r="ACX35" s="9" t="s">
        <v>958</v>
      </c>
      <c r="ACY35" s="9" t="s">
        <v>1035</v>
      </c>
      <c r="ACZ35" s="8">
        <v>1.0</v>
      </c>
      <c r="ADA35" s="8">
        <v>1.0</v>
      </c>
      <c r="ADB35" s="8">
        <v>0.0</v>
      </c>
      <c r="ADC35" s="8">
        <v>0.0</v>
      </c>
      <c r="ADD35" s="9" t="s">
        <v>917</v>
      </c>
      <c r="ADE35" s="9" t="s">
        <v>917</v>
      </c>
      <c r="ADF35" s="9" t="s">
        <v>917</v>
      </c>
      <c r="ADG35" s="9" t="s">
        <v>917</v>
      </c>
      <c r="ADH35" s="9" t="s">
        <v>881</v>
      </c>
      <c r="ADI35" s="9"/>
      <c r="ADJ35" s="9" t="s">
        <v>917</v>
      </c>
      <c r="ADK35" s="9"/>
      <c r="ADL35" s="9"/>
      <c r="ADM35" s="9"/>
      <c r="ADN35" s="9"/>
      <c r="ADO35" s="9"/>
      <c r="ADP35" s="9"/>
      <c r="ADQ35" s="9"/>
      <c r="ADR35" s="9"/>
      <c r="ADS35" s="9"/>
      <c r="ADT35" s="9"/>
      <c r="ADU35" s="9" t="s">
        <v>2046</v>
      </c>
      <c r="ADV35" s="8">
        <v>0.0</v>
      </c>
      <c r="ADW35" s="8">
        <v>0.0</v>
      </c>
      <c r="ADX35" s="8">
        <v>0.0</v>
      </c>
      <c r="ADY35" s="8">
        <v>0.0</v>
      </c>
      <c r="ADZ35" s="8">
        <v>0.0</v>
      </c>
      <c r="AEA35" s="8">
        <v>1.0</v>
      </c>
      <c r="AEB35" s="8">
        <v>0.0</v>
      </c>
      <c r="AEC35" s="8">
        <v>0.0</v>
      </c>
      <c r="AED35" s="9" t="s">
        <v>2158</v>
      </c>
      <c r="AEE35" s="9" t="s">
        <v>969</v>
      </c>
      <c r="AEF35" s="9" t="s">
        <v>2158</v>
      </c>
      <c r="AEG35" s="9" t="s">
        <v>969</v>
      </c>
      <c r="AEH35" s="9" t="s">
        <v>2158</v>
      </c>
      <c r="AEI35" s="9" t="s">
        <v>2619</v>
      </c>
      <c r="AEJ35" s="9" t="s">
        <v>871</v>
      </c>
      <c r="AEK35" s="9" t="s">
        <v>2620</v>
      </c>
      <c r="AEL35" s="8">
        <v>0.0</v>
      </c>
      <c r="AEM35" s="8">
        <v>1.0</v>
      </c>
      <c r="AEN35" s="8">
        <v>1.0</v>
      </c>
      <c r="AEO35" s="8">
        <v>0.0</v>
      </c>
      <c r="AEP35" s="8">
        <v>0.0</v>
      </c>
      <c r="AEQ35" s="8">
        <v>0.0</v>
      </c>
      <c r="AER35" s="8">
        <v>0.0</v>
      </c>
      <c r="AES35" s="8">
        <v>0.0</v>
      </c>
      <c r="AET35" s="8">
        <v>1.0</v>
      </c>
      <c r="AEU35" s="8">
        <v>0.0</v>
      </c>
      <c r="AEV35" s="8">
        <v>1.0</v>
      </c>
      <c r="AEW35" s="8">
        <v>0.0</v>
      </c>
      <c r="AEX35" s="9"/>
      <c r="AEY35" s="9" t="s">
        <v>969</v>
      </c>
      <c r="AEZ35" s="9" t="s">
        <v>2621</v>
      </c>
      <c r="AFA35" s="9" t="s">
        <v>2077</v>
      </c>
      <c r="AFB35" s="9"/>
      <c r="AFC35" s="9" t="s">
        <v>2622</v>
      </c>
      <c r="AFD35" s="16" t="s">
        <v>2623</v>
      </c>
      <c r="AFE35" s="9" t="s">
        <v>2624</v>
      </c>
      <c r="AFF35" s="16" t="s">
        <v>2625</v>
      </c>
      <c r="AFG35" s="9" t="s">
        <v>1991</v>
      </c>
      <c r="AFH35" s="9"/>
      <c r="AFI35" s="21" t="s">
        <v>2626</v>
      </c>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c r="AQH35" s="9"/>
      <c r="AQI35" s="9"/>
      <c r="AQJ35" s="9"/>
      <c r="AQK35" s="9"/>
      <c r="AQL35" s="9"/>
      <c r="AQM35" s="9"/>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c r="ATS35" s="9"/>
      <c r="ATT35" s="9"/>
      <c r="ATU35" s="9"/>
      <c r="ATV35" s="9"/>
      <c r="ATW35" s="9"/>
      <c r="ATX35" s="9"/>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8">
        <v>6.72784438E8</v>
      </c>
      <c r="AWB35" s="9" t="s">
        <v>2627</v>
      </c>
      <c r="AWC35" s="6">
        <v>46069.0</v>
      </c>
      <c r="AWD35" s="9"/>
      <c r="AWE35" s="9"/>
      <c r="AWF35" s="9" t="s">
        <v>1954</v>
      </c>
      <c r="AWG35" s="9"/>
      <c r="AWH35" s="9" t="s">
        <v>1989</v>
      </c>
      <c r="AWI35" s="9"/>
      <c r="AWJ35" s="9" t="s">
        <v>2628</v>
      </c>
      <c r="AWK35" s="8">
        <v>276.0</v>
      </c>
      <c r="AWL35" s="9" t="s">
        <v>2612</v>
      </c>
      <c r="AWM35" s="8">
        <v>0.0</v>
      </c>
      <c r="AWN35" s="9" t="s">
        <v>1957</v>
      </c>
      <c r="AWO35" s="33" t="b">
        <v>1</v>
      </c>
      <c r="AWP35" s="33" t="b">
        <v>1</v>
      </c>
      <c r="AWQ35" s="33" t="b">
        <v>1</v>
      </c>
      <c r="AWR35" s="33" t="b">
        <v>1</v>
      </c>
      <c r="AWS35" s="33" t="b">
        <v>1</v>
      </c>
      <c r="AWT35" s="33" t="b">
        <v>1</v>
      </c>
      <c r="AWU35" s="9"/>
      <c r="AWV35" s="8">
        <v>0.0</v>
      </c>
      <c r="AWW35" s="9"/>
      <c r="AWX35" s="9"/>
      <c r="AWY35" s="9"/>
      <c r="AWZ35" s="9"/>
    </row>
    <row r="36">
      <c r="A36" s="6">
        <v>46065.0</v>
      </c>
      <c r="B36" s="6">
        <v>46069.0</v>
      </c>
      <c r="C36" s="30" t="s">
        <v>1991</v>
      </c>
      <c r="D36" s="30" t="s">
        <v>2629</v>
      </c>
      <c r="E36" s="8">
        <f>+6281341769129</f>
        <v>6281341769129</v>
      </c>
      <c r="F36" s="9" t="s">
        <v>2630</v>
      </c>
      <c r="G36" s="8">
        <v>-5.437688</v>
      </c>
      <c r="H36" s="8">
        <v>119.412527</v>
      </c>
      <c r="I36" s="8">
        <v>53.4</v>
      </c>
      <c r="J36" s="8">
        <v>8.300000191</v>
      </c>
      <c r="K36" s="8">
        <v>0.0</v>
      </c>
      <c r="L36" s="9" t="s">
        <v>2631</v>
      </c>
      <c r="M36" s="8">
        <v>-5.437514</v>
      </c>
      <c r="N36" s="8">
        <v>119.412523</v>
      </c>
      <c r="O36" s="8">
        <v>68.40496826</v>
      </c>
      <c r="P36" s="8">
        <v>4.607999802</v>
      </c>
      <c r="Q36" s="8">
        <v>0.0</v>
      </c>
      <c r="R36" s="9" t="s">
        <v>1923</v>
      </c>
      <c r="S36" s="8">
        <v>0.0</v>
      </c>
      <c r="T36" s="8">
        <v>0.0</v>
      </c>
      <c r="U36" s="8">
        <v>0.0</v>
      </c>
      <c r="V36" s="8">
        <v>0.0</v>
      </c>
      <c r="W36" s="8">
        <v>0.0</v>
      </c>
      <c r="X36" s="8">
        <v>0.0</v>
      </c>
      <c r="Y36" s="8">
        <v>0.0</v>
      </c>
      <c r="Z36" s="8">
        <v>0.0</v>
      </c>
      <c r="AA36" s="8">
        <v>0.0</v>
      </c>
      <c r="AB36" s="8">
        <v>1.0</v>
      </c>
      <c r="AC36" s="7" t="s">
        <v>2113</v>
      </c>
      <c r="AD36" s="7" t="s">
        <v>2632</v>
      </c>
      <c r="AE36" s="7" t="s">
        <v>2633</v>
      </c>
      <c r="AF36" s="9" t="s">
        <v>2568</v>
      </c>
      <c r="AG36" s="9" t="s">
        <v>2634</v>
      </c>
      <c r="AH36" s="8">
        <v>13.0</v>
      </c>
      <c r="AI36" s="9" t="s">
        <v>933</v>
      </c>
      <c r="AJ36" s="9" t="s">
        <v>934</v>
      </c>
      <c r="AK36" s="8">
        <v>46.0</v>
      </c>
      <c r="AL36" s="9" t="s">
        <v>847</v>
      </c>
      <c r="AM36" s="9" t="s">
        <v>848</v>
      </c>
      <c r="AN36" s="9" t="s">
        <v>986</v>
      </c>
      <c r="AO36" s="9" t="s">
        <v>935</v>
      </c>
      <c r="AP36" s="8">
        <v>0.0</v>
      </c>
      <c r="AQ36" s="8">
        <v>1.0</v>
      </c>
      <c r="AR36" s="8">
        <v>0.0</v>
      </c>
      <c r="AS36" s="8">
        <v>0.0</v>
      </c>
      <c r="AT36" s="8">
        <v>0.0</v>
      </c>
      <c r="AU36" s="8">
        <v>0.0</v>
      </c>
      <c r="AV36" s="8">
        <v>0.0</v>
      </c>
      <c r="AW36" s="8">
        <v>0.0</v>
      </c>
      <c r="AX36" s="9"/>
      <c r="AY36" s="9" t="s">
        <v>999</v>
      </c>
      <c r="AZ36" s="8">
        <v>0.0</v>
      </c>
      <c r="BA36" s="8">
        <v>0.0</v>
      </c>
      <c r="BB36" s="8">
        <v>0.0</v>
      </c>
      <c r="BC36" s="8">
        <v>0.0</v>
      </c>
      <c r="BD36" s="8">
        <v>0.0</v>
      </c>
      <c r="BE36" s="8">
        <v>0.0</v>
      </c>
      <c r="BF36" s="8">
        <v>0.0</v>
      </c>
      <c r="BG36" s="8">
        <v>1.0</v>
      </c>
      <c r="BH36" s="11"/>
      <c r="BI36" s="9" t="s">
        <v>1101</v>
      </c>
      <c r="BJ36" s="8">
        <v>0.0</v>
      </c>
      <c r="BK36" s="8">
        <v>1.0</v>
      </c>
      <c r="BL36" s="8">
        <v>4.0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1929</v>
      </c>
      <c r="CD36" s="8">
        <v>0.0</v>
      </c>
      <c r="CE36" s="8">
        <v>0.0</v>
      </c>
      <c r="CF36" s="8">
        <v>0.0</v>
      </c>
      <c r="CG36" s="8">
        <v>0.0</v>
      </c>
      <c r="CH36" s="8">
        <v>1.0</v>
      </c>
      <c r="CI36" s="8">
        <v>0.0</v>
      </c>
      <c r="CJ36" s="8">
        <v>0.0</v>
      </c>
      <c r="CK36" s="9"/>
      <c r="CL36" s="9" t="s">
        <v>857</v>
      </c>
      <c r="CM36" s="8">
        <v>2014.0</v>
      </c>
      <c r="CN36" s="9" t="s">
        <v>858</v>
      </c>
      <c r="CO36" s="9" t="s">
        <v>859</v>
      </c>
      <c r="CP36" s="9" t="s">
        <v>860</v>
      </c>
      <c r="CQ36" s="8">
        <v>0.0</v>
      </c>
      <c r="CR36" s="8">
        <v>0.0</v>
      </c>
      <c r="CS36" s="8">
        <v>0.0</v>
      </c>
      <c r="CT36" s="8">
        <v>0.0</v>
      </c>
      <c r="CU36" s="8">
        <v>1.0</v>
      </c>
      <c r="CV36" s="8">
        <v>0.0</v>
      </c>
      <c r="CW36" s="8">
        <v>0.0</v>
      </c>
      <c r="CX36" s="8">
        <v>0.0</v>
      </c>
      <c r="CY36" s="9" t="s">
        <v>860</v>
      </c>
      <c r="CZ36" s="8">
        <v>1.0</v>
      </c>
      <c r="DA36" s="8">
        <v>0.0</v>
      </c>
      <c r="DB36" s="8">
        <v>0.0</v>
      </c>
      <c r="DC36" s="9"/>
      <c r="DD36" s="9" t="s">
        <v>860</v>
      </c>
      <c r="DE36" s="8">
        <v>1.0</v>
      </c>
      <c r="DF36" s="8">
        <v>0.0</v>
      </c>
      <c r="DG36" s="8">
        <v>0.0</v>
      </c>
      <c r="DH36" s="8">
        <v>0.0</v>
      </c>
      <c r="DI36" s="9"/>
      <c r="DJ36" s="9" t="s">
        <v>937</v>
      </c>
      <c r="DK36" s="8">
        <v>1.0</v>
      </c>
      <c r="DL36" s="8">
        <v>0.0</v>
      </c>
      <c r="DM36" s="8">
        <v>1.0</v>
      </c>
      <c r="DN36" s="8">
        <v>0.0</v>
      </c>
      <c r="DO36" s="9"/>
      <c r="DP36" s="9" t="s">
        <v>938</v>
      </c>
      <c r="DQ36" s="9" t="s">
        <v>939</v>
      </c>
      <c r="DR36" s="17" t="s">
        <v>2030</v>
      </c>
      <c r="DS36" s="9"/>
      <c r="DT36" s="9" t="s">
        <v>2031</v>
      </c>
      <c r="DU36" s="8">
        <v>1.0</v>
      </c>
      <c r="DV36" s="8">
        <v>0.0</v>
      </c>
      <c r="DW36" s="8">
        <v>0.0</v>
      </c>
      <c r="DX36" s="8">
        <v>0.0</v>
      </c>
      <c r="DY36" s="8">
        <v>0.0</v>
      </c>
      <c r="DZ36" s="8">
        <v>0.0</v>
      </c>
      <c r="EA36" s="8">
        <v>0.0</v>
      </c>
      <c r="EB36" s="8">
        <v>0.0</v>
      </c>
      <c r="EC36" s="8">
        <v>0.0</v>
      </c>
      <c r="ED36" s="8">
        <v>0.0</v>
      </c>
      <c r="EE36" s="8">
        <v>0.0</v>
      </c>
      <c r="EF36" s="8">
        <v>0.0</v>
      </c>
      <c r="EG36" s="8">
        <v>0.0</v>
      </c>
      <c r="EH36" s="8">
        <v>0.0</v>
      </c>
      <c r="EI36" s="9" t="s">
        <v>862</v>
      </c>
      <c r="EJ36" s="8">
        <v>0.0</v>
      </c>
      <c r="EK36" s="8">
        <v>0.0</v>
      </c>
      <c r="EL36" s="8">
        <v>0.0</v>
      </c>
      <c r="EM36" s="8">
        <v>1.0</v>
      </c>
      <c r="EN36" s="8">
        <v>0.0</v>
      </c>
      <c r="EO36" s="9"/>
      <c r="EP36" s="9" t="s">
        <v>863</v>
      </c>
      <c r="EQ36" s="9" t="s">
        <v>864</v>
      </c>
      <c r="ER36" s="9" t="s">
        <v>861</v>
      </c>
      <c r="ES36" s="8">
        <v>1.0</v>
      </c>
      <c r="ET36" s="8">
        <v>0.0</v>
      </c>
      <c r="EU36" s="8">
        <v>0.0</v>
      </c>
      <c r="EV36" s="8">
        <v>0.0</v>
      </c>
      <c r="EW36" s="9"/>
      <c r="EX36" s="9" t="s">
        <v>865</v>
      </c>
      <c r="EY36" s="8">
        <v>1.0</v>
      </c>
      <c r="EZ36" s="8">
        <v>0.0</v>
      </c>
      <c r="FA36" s="8">
        <v>0.0</v>
      </c>
      <c r="FB36" s="9"/>
      <c r="FC36" s="9" t="s">
        <v>1072</v>
      </c>
      <c r="FD36" s="9" t="s">
        <v>2032</v>
      </c>
      <c r="FE36" s="9" t="s">
        <v>867</v>
      </c>
      <c r="FF36" s="9" t="s">
        <v>868</v>
      </c>
      <c r="FG36" s="9" t="s">
        <v>867</v>
      </c>
      <c r="FH36" s="9" t="s">
        <v>943</v>
      </c>
      <c r="FI36" s="9" t="s">
        <v>867</v>
      </c>
      <c r="FJ36" s="9" t="s">
        <v>868</v>
      </c>
      <c r="FK36" s="9" t="s">
        <v>1971</v>
      </c>
      <c r="FL36" s="9" t="s">
        <v>883</v>
      </c>
      <c r="FM36" s="9" t="s">
        <v>1971</v>
      </c>
      <c r="FN36" s="9" t="s">
        <v>869</v>
      </c>
      <c r="FO36" s="9" t="s">
        <v>867</v>
      </c>
      <c r="FP36" s="9" t="s">
        <v>868</v>
      </c>
      <c r="FQ36" s="9" t="s">
        <v>867</v>
      </c>
      <c r="FR36" s="9" t="s">
        <v>857</v>
      </c>
      <c r="FS36" s="9" t="s">
        <v>867</v>
      </c>
      <c r="FT36" s="9" t="s">
        <v>871</v>
      </c>
      <c r="FU36" s="9" t="s">
        <v>2635</v>
      </c>
      <c r="FV36" s="8">
        <v>1.0</v>
      </c>
      <c r="FW36" s="8">
        <v>0.0</v>
      </c>
      <c r="FX36" s="8">
        <v>0.0</v>
      </c>
      <c r="FY36" s="8">
        <v>1.0</v>
      </c>
      <c r="FZ36" s="9" t="s">
        <v>1972</v>
      </c>
      <c r="GA36" s="9" t="s">
        <v>874</v>
      </c>
      <c r="GB36" s="8">
        <v>1.0</v>
      </c>
      <c r="GC36" s="8">
        <v>0.0</v>
      </c>
      <c r="GD36" s="8">
        <v>0.0</v>
      </c>
      <c r="GE36" s="8">
        <v>0.0</v>
      </c>
      <c r="GF36" s="9"/>
      <c r="GG36" s="9" t="s">
        <v>961</v>
      </c>
      <c r="GH36" s="9" t="s">
        <v>857</v>
      </c>
      <c r="GI36" s="9" t="s">
        <v>876</v>
      </c>
      <c r="GJ36" s="8">
        <v>1.0</v>
      </c>
      <c r="GK36" s="8">
        <v>0.0</v>
      </c>
      <c r="GL36" s="8">
        <v>0.0</v>
      </c>
      <c r="GM36" s="8">
        <v>0.0</v>
      </c>
      <c r="GN36" s="9"/>
      <c r="GO36" s="8">
        <v>8.0</v>
      </c>
      <c r="GP36" s="9" t="s">
        <v>877</v>
      </c>
      <c r="GQ36" s="9" t="s">
        <v>1102</v>
      </c>
      <c r="GR36" s="8">
        <v>1.0</v>
      </c>
      <c r="GS36" s="8">
        <v>0.0</v>
      </c>
      <c r="GT36" s="8">
        <v>0.0</v>
      </c>
      <c r="GU36" s="8">
        <v>0.0</v>
      </c>
      <c r="GV36" s="8">
        <v>0.0</v>
      </c>
      <c r="GW36" s="8">
        <v>0.0</v>
      </c>
      <c r="GX36" s="8">
        <v>0.0</v>
      </c>
      <c r="GY36" s="9"/>
      <c r="GZ36" s="9" t="s">
        <v>857</v>
      </c>
      <c r="HA36" s="9"/>
      <c r="HB36" s="9"/>
      <c r="HC36" s="9"/>
      <c r="HD36" s="9"/>
      <c r="HE36" s="8">
        <v>12.0</v>
      </c>
      <c r="HF36" s="8">
        <v>76000.0</v>
      </c>
      <c r="HG36" s="8">
        <v>0.0</v>
      </c>
      <c r="HH36" s="35">
        <v>0.0</v>
      </c>
      <c r="HI36" s="9"/>
      <c r="HJ36" s="9"/>
      <c r="HK36" s="9"/>
      <c r="HL36" s="9"/>
      <c r="HM36" s="9"/>
      <c r="HN36" s="9"/>
      <c r="HO36" s="9"/>
      <c r="HP36" s="9"/>
      <c r="HQ36" s="9"/>
      <c r="HR36" s="9"/>
      <c r="HS36" s="9"/>
      <c r="HT36" s="9"/>
      <c r="HU36" s="9"/>
      <c r="HV36" s="9"/>
      <c r="HW36" s="9"/>
      <c r="HX36" s="9"/>
      <c r="HY36" s="9"/>
      <c r="HZ36" s="9"/>
      <c r="IA36" s="8">
        <v>12.0</v>
      </c>
      <c r="IB36" s="8">
        <v>92000.0</v>
      </c>
      <c r="IC36" s="9"/>
      <c r="ID36" s="9"/>
      <c r="IE36" s="9"/>
      <c r="IF36" s="9"/>
      <c r="IG36" s="9"/>
      <c r="IH36" s="9"/>
      <c r="II36" s="9"/>
      <c r="IJ36" s="9"/>
      <c r="IK36" s="9" t="s">
        <v>971</v>
      </c>
      <c r="IL36" s="9" t="s">
        <v>1366</v>
      </c>
      <c r="IM36" s="9" t="s">
        <v>857</v>
      </c>
      <c r="IN36" s="9" t="s">
        <v>881</v>
      </c>
      <c r="IO36" s="9" t="s">
        <v>945</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945</v>
      </c>
      <c r="KT36" s="9" t="s">
        <v>886</v>
      </c>
      <c r="KU36" s="9" t="s">
        <v>886</v>
      </c>
      <c r="KV36" s="9" t="s">
        <v>999</v>
      </c>
      <c r="KW36" s="8">
        <v>0.0</v>
      </c>
      <c r="KX36" s="8">
        <v>0.0</v>
      </c>
      <c r="KY36" s="8">
        <v>0.0</v>
      </c>
      <c r="KZ36" s="8">
        <v>1.0</v>
      </c>
      <c r="LA36" s="9" t="s">
        <v>884</v>
      </c>
      <c r="LB36" s="9" t="s">
        <v>1180</v>
      </c>
      <c r="LC36" s="8">
        <v>3.0</v>
      </c>
      <c r="LD36" s="8">
        <v>3.0</v>
      </c>
      <c r="LE36" s="8">
        <v>0.0</v>
      </c>
      <c r="LF36" s="8">
        <v>0.0</v>
      </c>
      <c r="LG36" s="9" t="s">
        <v>857</v>
      </c>
      <c r="LH36" s="8">
        <v>96000.0</v>
      </c>
      <c r="LI36" s="9"/>
      <c r="LJ36" s="9" t="s">
        <v>887</v>
      </c>
      <c r="LK36" s="8">
        <v>0.0</v>
      </c>
      <c r="LL36" s="8">
        <v>0.0</v>
      </c>
      <c r="LM36" s="8">
        <v>0.0</v>
      </c>
      <c r="LN36" s="8">
        <v>0.0</v>
      </c>
      <c r="LO36" s="8">
        <v>1.0</v>
      </c>
      <c r="LP36" s="8">
        <v>0.0</v>
      </c>
      <c r="LQ36" s="8">
        <v>0.0</v>
      </c>
      <c r="LR36" s="11"/>
      <c r="LS36" s="8">
        <v>60.0</v>
      </c>
      <c r="LT36" s="8">
        <v>0.0</v>
      </c>
      <c r="LU36" s="8">
        <v>0.0</v>
      </c>
      <c r="LV36" s="8">
        <v>60.0</v>
      </c>
      <c r="LW36" s="8">
        <v>0.0</v>
      </c>
      <c r="LX36" s="8">
        <v>0.0</v>
      </c>
      <c r="LY36" s="8">
        <v>60.0</v>
      </c>
      <c r="LZ36" s="8">
        <v>0.0</v>
      </c>
      <c r="MA36" s="8">
        <v>0.0</v>
      </c>
      <c r="MB36" s="9" t="s">
        <v>857</v>
      </c>
      <c r="MC36" s="8">
        <v>0.0</v>
      </c>
      <c r="MD36" s="8">
        <v>0.0</v>
      </c>
      <c r="ME36" s="8">
        <v>0.0</v>
      </c>
      <c r="MF36" s="8">
        <v>0.0</v>
      </c>
      <c r="MG36" s="8">
        <v>0.0</v>
      </c>
      <c r="MH36" s="8">
        <v>0.0</v>
      </c>
      <c r="MI36" s="9" t="s">
        <v>2636</v>
      </c>
      <c r="MJ36" s="8">
        <v>1.0</v>
      </c>
      <c r="MK36" s="8">
        <v>1.0</v>
      </c>
      <c r="ML36" s="8">
        <v>1.0</v>
      </c>
      <c r="MM36" s="8">
        <v>0.0</v>
      </c>
      <c r="MN36" s="8">
        <v>0.0</v>
      </c>
      <c r="MO36" s="8">
        <v>0.0</v>
      </c>
      <c r="MP36" s="9"/>
      <c r="MQ36" s="9"/>
      <c r="MR36" s="36" t="s">
        <v>946</v>
      </c>
      <c r="MS36" s="17" t="s">
        <v>2637</v>
      </c>
      <c r="MT36" s="9"/>
      <c r="MU36" s="9" t="s">
        <v>890</v>
      </c>
      <c r="MV36" s="9" t="s">
        <v>969</v>
      </c>
      <c r="MW36" s="8">
        <v>0.0</v>
      </c>
      <c r="MX36" s="8">
        <v>0.0</v>
      </c>
      <c r="MY36" s="8">
        <v>0.0</v>
      </c>
      <c r="MZ36" s="8">
        <v>1.0</v>
      </c>
      <c r="NA36" s="21" t="s">
        <v>2638</v>
      </c>
      <c r="NB36" s="8">
        <v>3.0</v>
      </c>
      <c r="NC36" s="9"/>
      <c r="ND36" s="9"/>
      <c r="NE36" s="9"/>
      <c r="NF36" s="9"/>
      <c r="NG36" s="9"/>
      <c r="NH36" s="9"/>
      <c r="NI36" s="9"/>
      <c r="NJ36" s="9"/>
      <c r="NK36" s="9"/>
      <c r="NL36" s="9" t="s">
        <v>857</v>
      </c>
      <c r="NM36" s="9" t="s">
        <v>1386</v>
      </c>
      <c r="NN36" s="17" t="s">
        <v>1975</v>
      </c>
      <c r="NO36" s="17" t="s">
        <v>895</v>
      </c>
      <c r="NP36" s="9"/>
      <c r="NQ36" s="9"/>
      <c r="NR36" s="9"/>
      <c r="NS36" s="9"/>
      <c r="NT36" s="9"/>
      <c r="NU36" s="9"/>
      <c r="NV36" s="9"/>
      <c r="NW36" s="9"/>
      <c r="NX36" s="9" t="s">
        <v>897</v>
      </c>
      <c r="NY36" s="8">
        <v>120.0</v>
      </c>
      <c r="NZ36" s="8">
        <v>0.0</v>
      </c>
      <c r="OA36" s="8">
        <v>0.0</v>
      </c>
      <c r="OB36" s="8">
        <v>0.0</v>
      </c>
      <c r="OC36" s="8">
        <v>60.0</v>
      </c>
      <c r="OD36" s="8">
        <v>0.0</v>
      </c>
      <c r="OE36" s="9" t="s">
        <v>898</v>
      </c>
      <c r="OF36" s="9" t="s">
        <v>2175</v>
      </c>
      <c r="OG36" s="9" t="s">
        <v>857</v>
      </c>
      <c r="OH36" s="8">
        <v>0.0</v>
      </c>
      <c r="OI36" s="8">
        <v>0.0</v>
      </c>
      <c r="OJ36" s="8">
        <v>0.0</v>
      </c>
      <c r="OK36" s="8">
        <v>0.0</v>
      </c>
      <c r="OL36" s="8">
        <v>0.0</v>
      </c>
      <c r="OM36" s="8">
        <v>0.0</v>
      </c>
      <c r="ON36" s="8">
        <v>12.0</v>
      </c>
      <c r="OO36" s="8">
        <v>0.0</v>
      </c>
      <c r="OP36" s="9" t="str">
        <f>VLOOKUP(AG36,'BUS 2'!$G$1:$CU$424,2,0)</f>
        <v>Ayam</v>
      </c>
      <c r="OQ36" s="8">
        <f>VLOOKUP(AG36,'BUS 2'!$G$1:$CU$424,3,0)</f>
        <v>0</v>
      </c>
      <c r="OR36" s="8">
        <f>VLOOKUP(AG36,'BUS 2'!$G$1:$CU$424,4,0)</f>
        <v>0</v>
      </c>
      <c r="OS36" s="8">
        <f>VLOOKUP(AG36,'BUS 2'!$G$1:$CU$424,5,0)</f>
        <v>0</v>
      </c>
      <c r="OT36" s="8">
        <f>VLOOKUP(AG36,'BUS 2'!$G$1:$CU$424,6,0)</f>
        <v>0</v>
      </c>
      <c r="OU36" s="8">
        <f>VLOOKUP(AG36,'BUS 2'!$G$1:$CU$424,7,0)</f>
        <v>0</v>
      </c>
      <c r="OV36" s="8">
        <f>VLOOKUP(AG36,'BUS 2'!$G$1:$CU$424,8,0)</f>
        <v>0</v>
      </c>
      <c r="OW36" s="8">
        <f>VLOOKUP(AG36,'BUS 2'!$G$1:$CU$424,9,0)</f>
        <v>1</v>
      </c>
      <c r="OX36" s="8">
        <f>VLOOKUP(AG36,'BUS 2'!$G$1:$CU$424,10,0)</f>
        <v>0</v>
      </c>
      <c r="OY36" s="8">
        <f>VLOOKUP(AG36,'BUS 2'!$G$1:$CU$424,11,0)</f>
        <v>0</v>
      </c>
      <c r="OZ36" s="8" t="str">
        <f>VLOOKUP(AG36,'BUS 2'!$G$1:$CU$424,12,0)</f>
        <v>Sapi pedaging Ayam</v>
      </c>
      <c r="PA36" s="8">
        <f>VLOOKUP(AG36,'BUS 2'!$G$1:$CU$424,13,0)</f>
        <v>1</v>
      </c>
      <c r="PB36" s="8">
        <f>VLOOKUP(AG36,'BUS 2'!$G$1:$CU$424,14,0)</f>
        <v>0</v>
      </c>
      <c r="PC36" s="8">
        <f>VLOOKUP(AG36,'BUS 2'!$G$1:$CU$424,15,0)</f>
        <v>0</v>
      </c>
      <c r="PD36" s="8">
        <f>VLOOKUP(AG36,'BUS 2'!$G$1:$CU$424,16,0)</f>
        <v>0</v>
      </c>
      <c r="PE36" s="8">
        <f>VLOOKUP(AG36,'BUS 2'!$G$1:$CU$424,17,0)</f>
        <v>0</v>
      </c>
      <c r="PF36" s="8">
        <f>VLOOKUP(AG36,'BUS 2'!$G$1:$CU$424,18,0)</f>
        <v>0</v>
      </c>
      <c r="PG36" s="8">
        <f>VLOOKUP(AG36,'BUS 2'!$G$1:$CU$424,19,0)</f>
        <v>1</v>
      </c>
      <c r="PH36" s="8">
        <f>VLOOKUP(AG36,'BUS 2'!$G$1:$CU$424,20,0)</f>
        <v>0</v>
      </c>
      <c r="PI36" s="8">
        <f>VLOOKUP(AG36,'BUS 2'!$G$1:$CU$424,21,0)</f>
        <v>0</v>
      </c>
      <c r="PJ36" s="8" t="str">
        <f>VLOOKUP(AG36,'BUS 2'!$G$1:$CU$424,22,0)</f>
        <v>Sapi pedaging Ayam</v>
      </c>
      <c r="PK36" s="8">
        <f>VLOOKUP(AG36,'BUS 2'!$G$1:$CU$424,23,0)</f>
        <v>1</v>
      </c>
      <c r="PL36" s="8">
        <f>VLOOKUP(AG36,'BUS 2'!$G$1:$CU$424,24,0)</f>
        <v>0</v>
      </c>
      <c r="PM36" s="8">
        <f>VLOOKUP(AG36,'BUS 2'!$G$1:$CU$424,25,0)</f>
        <v>0</v>
      </c>
      <c r="PN36" s="8">
        <f>VLOOKUP(AG36,'BUS 2'!$G$1:$CU$424,26,0)</f>
        <v>0</v>
      </c>
      <c r="PO36" s="8">
        <f>VLOOKUP(AG36,'BUS 2'!$G$1:$CU$424,27,0)</f>
        <v>0</v>
      </c>
      <c r="PP36" s="8">
        <f>VLOOKUP(AG36,'BUS 2'!$G$1:$CU$424,28,0)</f>
        <v>0</v>
      </c>
      <c r="PQ36" s="8">
        <f>VLOOKUP(AG36,'BUS 2'!$G$1:$CU$424,29,0)</f>
        <v>1</v>
      </c>
      <c r="PR36" s="8">
        <f>VLOOKUP(AG36,'BUS 2'!$G$1:$CU$424,30,0)</f>
        <v>0</v>
      </c>
      <c r="PS36" s="8">
        <f>VLOOKUP(AG36,'BUS 2'!$G$1:$CU$424,31,0)</f>
        <v>0</v>
      </c>
      <c r="PT36" s="9" t="s">
        <v>900</v>
      </c>
      <c r="PU36" s="8">
        <v>0.0</v>
      </c>
      <c r="PV36" s="8">
        <v>0.0</v>
      </c>
      <c r="PW36" s="8">
        <v>0.0</v>
      </c>
      <c r="PX36" s="8">
        <v>0.0</v>
      </c>
      <c r="PY36" s="8">
        <v>0.0</v>
      </c>
      <c r="PZ36" s="8">
        <v>1.0</v>
      </c>
      <c r="QA36" s="8">
        <v>0.0</v>
      </c>
      <c r="QB36" s="8">
        <v>0.0</v>
      </c>
      <c r="QC36" s="8">
        <v>0.0</v>
      </c>
      <c r="QD36" s="9"/>
      <c r="QE36" s="32"/>
      <c r="QF36" s="31"/>
      <c r="QG36" s="31"/>
      <c r="QH36" s="31"/>
      <c r="QI36" s="31"/>
      <c r="QJ36" s="31"/>
      <c r="QK36" s="32"/>
      <c r="QL36" s="32"/>
      <c r="QM36" s="32"/>
      <c r="QN36" s="32"/>
      <c r="QO36" s="32"/>
      <c r="QP36" s="32"/>
      <c r="QQ36" s="32"/>
      <c r="QR36" s="32"/>
      <c r="QS36" s="32"/>
      <c r="QT36" s="32"/>
      <c r="QU36" s="32"/>
      <c r="QV36" s="32"/>
      <c r="QW36" s="31"/>
      <c r="QX36" s="31"/>
      <c r="QY36" s="31"/>
      <c r="QZ36" s="31"/>
      <c r="RA36" s="31"/>
      <c r="RB36" s="32"/>
      <c r="RC36" s="32"/>
      <c r="RD36" s="32"/>
      <c r="RE36" s="32"/>
      <c r="RF36" s="32"/>
      <c r="RG36" s="9"/>
      <c r="RH36" s="31"/>
      <c r="RI36" s="31"/>
      <c r="RJ36" s="31"/>
      <c r="RK36" s="31"/>
      <c r="RL36" s="31"/>
      <c r="RM36" s="9"/>
      <c r="RN36" s="9"/>
      <c r="RO36" s="9"/>
      <c r="RP36" s="9"/>
      <c r="RQ36" s="9"/>
      <c r="RR36" s="9"/>
      <c r="RS36" s="31"/>
      <c r="RT36" s="31"/>
      <c r="RU36" s="31"/>
      <c r="RV36" s="31"/>
      <c r="RW36" s="31"/>
      <c r="RX36" s="9"/>
      <c r="RY36" s="9"/>
      <c r="RZ36" s="9"/>
      <c r="SA36" s="9"/>
      <c r="SB36" s="9"/>
      <c r="SC36" s="9" t="s">
        <v>900</v>
      </c>
      <c r="SD36" s="35">
        <v>0.0</v>
      </c>
      <c r="SE36" s="35">
        <v>0.0</v>
      </c>
      <c r="SF36" s="35">
        <v>0.0</v>
      </c>
      <c r="SG36" s="35">
        <v>0.0</v>
      </c>
      <c r="SH36" s="35">
        <v>0.0</v>
      </c>
      <c r="SI36" s="8">
        <v>1.0</v>
      </c>
      <c r="SJ36" s="8">
        <v>0.0</v>
      </c>
      <c r="SK36" s="8">
        <v>0.0</v>
      </c>
      <c r="SL36" s="8">
        <v>0.0</v>
      </c>
      <c r="SM36" s="9"/>
      <c r="SN36" s="9"/>
      <c r="SO36" s="31"/>
      <c r="SP36" s="31"/>
      <c r="SQ36" s="31"/>
      <c r="SR36" s="31"/>
      <c r="SS36" s="31"/>
      <c r="ST36" s="9"/>
      <c r="SU36" s="9"/>
      <c r="SV36" s="9"/>
      <c r="SW36" s="9"/>
      <c r="SX36" s="9"/>
      <c r="SY36" s="8" t="str">
        <f>VLOOKUP(AG36,'BUS 2'!$G$1:$CU$424,33,0)</f>
        <v/>
      </c>
      <c r="SZ36" s="9" t="str">
        <f>VLOOKUP(AG36,'BUS 2'!$G$1:$CU$424,34,0)</f>
        <v/>
      </c>
      <c r="TA36" s="9" t="str">
        <f>VLOOKUP(AG36,'BUS 2'!$G$1:$CU$424,35,0)</f>
        <v/>
      </c>
      <c r="TB36" s="9" t="str">
        <f>VLOOKUP(AG36,'BUS 2'!$G$1:$CU$424,36,0)</f>
        <v/>
      </c>
      <c r="TC36" s="9" t="str">
        <f>VLOOKUP(AG36,'BUS 2'!$G$1:$CU$424,37,0)</f>
        <v/>
      </c>
      <c r="TD36" s="9" t="str">
        <f>VLOOKUP(AG36,'BUS 2'!$G$1:$CU$424,38,0)</f>
        <v/>
      </c>
      <c r="TE36" s="9">
        <f>VLOOKUP(AG36,'BUS 2'!$G$1:$CU$424,39,0)</f>
        <v>12</v>
      </c>
      <c r="TF36" s="9" t="str">
        <f>VLOOKUP(AG36,'BUS 2'!$G$1:$CU$424,40,0)</f>
        <v/>
      </c>
      <c r="TG36" s="8">
        <f>VLOOKUP(AG36,'BUS 2'!$G$1:$CU$424,42,0)</f>
        <v>15</v>
      </c>
      <c r="TH36" s="8" t="str">
        <f>VLOOKUP(AG36,'BUS 2'!$G$1:$CU$424,43,0)</f>
        <v/>
      </c>
      <c r="TI36" s="8" t="str">
        <f>VLOOKUP(AG36,'BUS 2'!$G$1:$CU$424,44,0)</f>
        <v/>
      </c>
      <c r="TJ36" s="8" t="str">
        <f>VLOOKUP(AG36,'BUS 2'!$G$1:$CU$424,45,0)</f>
        <v/>
      </c>
      <c r="TK36" s="8" t="str">
        <f>VLOOKUP(AG36,'BUS 2'!$G$1:$CU$424,46,0)</f>
        <v/>
      </c>
      <c r="TL36" s="8" t="str">
        <f>VLOOKUP(AG36,'BUS 2'!$G$1:$CU$424,47,0)</f>
        <v/>
      </c>
      <c r="TM36" s="8">
        <f>VLOOKUP(AG36,'BUS 2'!$G$1:$CU$424,48,0)</f>
        <v>5</v>
      </c>
      <c r="TN36" s="8" t="str">
        <f>VLOOKUP(AG36,'BUS 2'!$G$1:$CU$424,49,0)</f>
        <v/>
      </c>
      <c r="TO36" s="8">
        <f>VLOOKUP(AG36,'BUS 2'!$G$1:$CU$424,50,0)</f>
        <v>3</v>
      </c>
      <c r="TP36" s="8">
        <f>VLOOKUP(AG36,'BUS 2'!$G$1:$CU$424,51,0)</f>
        <v>8</v>
      </c>
      <c r="TQ36" s="8">
        <f>VLOOKUP(AG36,'BUS 2'!$G$1:$CU$424,52,0)</f>
        <v>0</v>
      </c>
      <c r="TR36" s="8">
        <f>VLOOKUP(AG36,'BUS 2'!$G$1:$CU$424,53,0)</f>
        <v>4</v>
      </c>
      <c r="TS36" s="9" t="str">
        <f>VLOOKUP(AG36,'BUS 2'!$G$1:$CU$424,54,0)</f>
        <v/>
      </c>
      <c r="TT36" s="9" t="str">
        <f>VLOOKUP(AG36,'BUS 2'!$G$1:$CU$424,55,0)</f>
        <v/>
      </c>
      <c r="TU36" s="9" t="str">
        <f>VLOOKUP(AG36,'BUS 2'!$G$1:$CU$424,56,0)</f>
        <v/>
      </c>
      <c r="TV36" s="9" t="str">
        <f>VLOOKUP(AG36,'BUS 2'!$G$1:$CU$424,57,0)</f>
        <v/>
      </c>
      <c r="TW36" s="9" t="str">
        <f>VLOOKUP(AG36,'BUS 2'!$G$1:$CU$424,58,0)</f>
        <v/>
      </c>
      <c r="TX36" s="9" t="str">
        <f>VLOOKUP(AG36,'BUS 2'!$G$1:$CU$424,59,0)</f>
        <v/>
      </c>
      <c r="TY36" s="9" t="str">
        <f>VLOOKUP(AG36,'BUS 2'!$G$1:$CU$424,60,0)</f>
        <v/>
      </c>
      <c r="TZ36" s="9" t="str">
        <f>VLOOKUP(AG36,'BUS 2'!$G$1:$CU$424,61,0)</f>
        <v/>
      </c>
      <c r="UA36" s="9" t="str">
        <f>VLOOKUP(AG36,'BUS 2'!$G$1:$CU$424,62,0)</f>
        <v/>
      </c>
      <c r="UB36" s="9" t="str">
        <f>VLOOKUP(AG36,'BUS 2'!$G$1:$CU$424,63,0)</f>
        <v/>
      </c>
      <c r="UC36" s="9" t="str">
        <f>VLOOKUP(AG36,'BUS 2'!$G$1:$CU$424,64,0)</f>
        <v/>
      </c>
      <c r="UD36" s="9" t="str">
        <f>VLOOKUP(AG36,'BUS 2'!$G$1:$CU$424,65,0)</f>
        <v/>
      </c>
      <c r="UE36" s="9" t="str">
        <f>VLOOKUP(AG36,'BUS 2'!$G$1:$CU$424,66,0)</f>
        <v/>
      </c>
      <c r="UF36" s="9" t="str">
        <f>VLOOKUP(AG36,'BUS 2'!$G$1:$CU$424,67,0)</f>
        <v/>
      </c>
      <c r="UG36" s="9" t="str">
        <f>VLOOKUP(AG36,'BUS 2'!$G$1:$CU$424,68,0)</f>
        <v/>
      </c>
      <c r="UH36" s="9" t="str">
        <f>VLOOKUP(AG36,'BUS 2'!$G$1:$CU$424,69,0)</f>
        <v/>
      </c>
      <c r="UI36" s="9" t="str">
        <f>VLOOKUP(AG36,'BUS 2'!$G$1:$CU$424,70,0)</f>
        <v/>
      </c>
      <c r="UJ36" s="9" t="str">
        <f>VLOOKUP(AG36,'BUS 2'!$G$1:$CU$424,71,0)</f>
        <v/>
      </c>
      <c r="UK36" s="9" t="str">
        <f>VLOOKUP(AG36,'BUS 2'!$G$1:$CU$424,72,0)</f>
        <v/>
      </c>
      <c r="UL36" s="9" t="str">
        <f>VLOOKUP(AG36,'BUS 2'!$G$1:$CU$424,73,0)</f>
        <v/>
      </c>
      <c r="UM36" s="9">
        <f>VLOOKUP(AG36,'BUS 2'!$G$1:$CU$424,74,0)</f>
        <v>0</v>
      </c>
      <c r="UN36" s="9">
        <f>VLOOKUP(AG36,'BUS 2'!$G$1:$CU$424,75,0)</f>
        <v>0</v>
      </c>
      <c r="UO36" s="9">
        <f>VLOOKUP(AG36,'BUS 2'!$G$1:$CU$424,76,0)</f>
        <v>0</v>
      </c>
      <c r="UP36" s="9">
        <f>VLOOKUP(AG36,'BUS 2'!$G$1:$CU$424,77,0)</f>
        <v>5</v>
      </c>
      <c r="UQ36" s="9" t="str">
        <f>VLOOKUP(AG36,'BUS 2'!$G$1:$CU$424,78,0)</f>
        <v/>
      </c>
      <c r="UR36" s="9" t="str">
        <f>VLOOKUP(AG36,'BUS 2'!$G$1:$CU$424,79,0)</f>
        <v/>
      </c>
      <c r="US36" s="9" t="str">
        <f>VLOOKUP(AG36,'BUS 2'!$G$1:$CU$424,80,0)</f>
        <v/>
      </c>
      <c r="UT36" s="9" t="str">
        <f>VLOOKUP(AG36,'BUS 2'!$G$1:$CU$424,81,0)</f>
        <v/>
      </c>
      <c r="UU36" s="9"/>
      <c r="UV36" s="9"/>
      <c r="UW36" s="9"/>
      <c r="UX36" s="9"/>
      <c r="UY36" s="9"/>
      <c r="UZ36" s="9"/>
      <c r="VA36" s="9" t="s">
        <v>1976</v>
      </c>
      <c r="VB36" s="9"/>
      <c r="VC36" s="9"/>
      <c r="VD36" s="9"/>
      <c r="VE36" s="9"/>
      <c r="VF36" s="9"/>
      <c r="VG36" s="9"/>
      <c r="VH36" s="9"/>
      <c r="VI36" s="9" t="s">
        <v>1938</v>
      </c>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t="s">
        <v>951</v>
      </c>
      <c r="YO36" s="8">
        <v>0.0</v>
      </c>
      <c r="YP36" s="8">
        <v>0.0</v>
      </c>
      <c r="YQ36" s="8">
        <v>0.0</v>
      </c>
      <c r="YR36" s="8">
        <v>0.0</v>
      </c>
      <c r="YS36" s="8">
        <v>0.0</v>
      </c>
      <c r="YT36" s="8">
        <v>0.0</v>
      </c>
      <c r="YU36" s="8">
        <v>1.0</v>
      </c>
      <c r="YV36" s="8">
        <v>0.0</v>
      </c>
      <c r="YW36" s="8">
        <v>0.0</v>
      </c>
      <c r="YX36" s="8">
        <v>0.0</v>
      </c>
      <c r="YY36" s="8">
        <v>0.0</v>
      </c>
      <c r="YZ36" s="8">
        <v>0.0</v>
      </c>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8">
        <v>2.0</v>
      </c>
      <c r="AAC36" s="9"/>
      <c r="AAD36" s="9"/>
      <c r="AAE36" s="9"/>
      <c r="AAF36" s="9"/>
      <c r="AAG36" s="9"/>
      <c r="AAH36" s="9"/>
      <c r="AAI36" s="9"/>
      <c r="AAJ36" s="9" t="s">
        <v>905</v>
      </c>
      <c r="AAK36" s="9"/>
      <c r="AAL36" s="9" t="s">
        <v>857</v>
      </c>
      <c r="AAM36" s="9" t="s">
        <v>1033</v>
      </c>
      <c r="AAN36" s="8">
        <v>1.0</v>
      </c>
      <c r="AAO36" s="8">
        <v>1.0</v>
      </c>
      <c r="AAP36" s="8">
        <v>10.0</v>
      </c>
      <c r="AAQ36" s="8">
        <v>14.0</v>
      </c>
      <c r="AAR36" s="9" t="s">
        <v>857</v>
      </c>
      <c r="AAS36" s="9" t="s">
        <v>867</v>
      </c>
      <c r="AAT36" s="9" t="s">
        <v>995</v>
      </c>
      <c r="AAU36" s="8">
        <v>1.0</v>
      </c>
      <c r="AAV36" s="8">
        <v>0.0</v>
      </c>
      <c r="AAW36" s="8">
        <v>0.0</v>
      </c>
      <c r="AAX36" s="8">
        <v>0.0</v>
      </c>
      <c r="AAY36" s="8">
        <v>1.0</v>
      </c>
      <c r="AAZ36" s="8">
        <v>0.0</v>
      </c>
      <c r="ABA36" s="8">
        <v>0.0</v>
      </c>
      <c r="ABB36" s="9" t="s">
        <v>2571</v>
      </c>
      <c r="ABC36" s="8">
        <v>1.0</v>
      </c>
      <c r="ABD36" s="8">
        <v>0.0</v>
      </c>
      <c r="ABE36" s="8">
        <v>1.0</v>
      </c>
      <c r="ABF36" s="8">
        <v>0.0</v>
      </c>
      <c r="ABG36" s="8">
        <v>0.0</v>
      </c>
      <c r="ABH36" s="9"/>
      <c r="ABI36" s="9"/>
      <c r="ABJ36" s="9"/>
      <c r="ABK36" s="9"/>
      <c r="ABL36" s="9"/>
      <c r="ABM36" s="9"/>
      <c r="ABN36" s="9"/>
      <c r="ABO36" s="9"/>
      <c r="ABP36" s="9"/>
      <c r="ABQ36" s="9" t="s">
        <v>2042</v>
      </c>
      <c r="ABR36" s="9" t="s">
        <v>1240</v>
      </c>
      <c r="ABS36" s="8">
        <v>10000.0</v>
      </c>
      <c r="ABT36" s="9"/>
      <c r="ABU36" s="8">
        <v>10.0</v>
      </c>
      <c r="ABV36" s="8">
        <v>0.0</v>
      </c>
      <c r="ABW36" s="9" t="s">
        <v>1199</v>
      </c>
      <c r="ABX36" s="9"/>
      <c r="ABY36" s="8">
        <v>150.0</v>
      </c>
      <c r="ABZ36" s="8">
        <v>1000.0</v>
      </c>
      <c r="ACA36" s="8">
        <v>75.0</v>
      </c>
      <c r="ACB36" s="8">
        <v>2500.0</v>
      </c>
      <c r="ACC36" s="8">
        <v>5400.0</v>
      </c>
      <c r="ACD36" s="8">
        <v>4500.0</v>
      </c>
      <c r="ACE36" s="9" t="s">
        <v>857</v>
      </c>
      <c r="ACF36" s="9" t="s">
        <v>1183</v>
      </c>
      <c r="ACG36" s="9" t="s">
        <v>1183</v>
      </c>
      <c r="ACH36" s="9" t="s">
        <v>1183</v>
      </c>
      <c r="ACI36" s="9"/>
      <c r="ACJ36" s="9"/>
      <c r="ACK36" s="9" t="s">
        <v>969</v>
      </c>
      <c r="ACL36" s="8">
        <v>0.0</v>
      </c>
      <c r="ACM36" s="8">
        <v>0.0</v>
      </c>
      <c r="ACN36" s="8">
        <v>0.0</v>
      </c>
      <c r="ACO36" s="8">
        <v>0.0</v>
      </c>
      <c r="ACP36" s="8">
        <v>0.0</v>
      </c>
      <c r="ACQ36" s="8">
        <v>0.0</v>
      </c>
      <c r="ACR36" s="8">
        <v>1.0</v>
      </c>
      <c r="ACS36" s="9" t="s">
        <v>2594</v>
      </c>
      <c r="ACT36" s="9" t="s">
        <v>1945</v>
      </c>
      <c r="ACU36" s="9" t="s">
        <v>1390</v>
      </c>
      <c r="ACV36" s="9" t="s">
        <v>914</v>
      </c>
      <c r="ACW36" s="9" t="s">
        <v>915</v>
      </c>
      <c r="ACX36" s="9" t="s">
        <v>916</v>
      </c>
      <c r="ACY36" s="9" t="s">
        <v>1035</v>
      </c>
      <c r="ACZ36" s="8">
        <v>1.0</v>
      </c>
      <c r="ADA36" s="8">
        <v>1.0</v>
      </c>
      <c r="ADB36" s="8">
        <v>0.0</v>
      </c>
      <c r="ADC36" s="8">
        <v>0.0</v>
      </c>
      <c r="ADD36" s="9" t="s">
        <v>1187</v>
      </c>
      <c r="ADE36" s="9" t="s">
        <v>917</v>
      </c>
      <c r="ADF36" s="9" t="s">
        <v>917</v>
      </c>
      <c r="ADG36" s="9" t="s">
        <v>1187</v>
      </c>
      <c r="ADH36" s="9" t="s">
        <v>881</v>
      </c>
      <c r="ADI36" s="9"/>
      <c r="ADJ36" s="9" t="s">
        <v>918</v>
      </c>
      <c r="ADK36" s="9"/>
      <c r="ADL36" s="9"/>
      <c r="ADM36" s="9"/>
      <c r="ADN36" s="9"/>
      <c r="ADO36" s="9"/>
      <c r="ADP36" s="9"/>
      <c r="ADQ36" s="9"/>
      <c r="ADR36" s="9"/>
      <c r="ADS36" s="9"/>
      <c r="ADT36" s="9"/>
      <c r="ADU36" s="9" t="s">
        <v>919</v>
      </c>
      <c r="ADV36" s="8">
        <v>0.0</v>
      </c>
      <c r="ADW36" s="8">
        <v>0.0</v>
      </c>
      <c r="ADX36" s="8">
        <v>0.0</v>
      </c>
      <c r="ADY36" s="8">
        <v>0.0</v>
      </c>
      <c r="ADZ36" s="8">
        <v>1.0</v>
      </c>
      <c r="AEA36" s="8">
        <v>0.0</v>
      </c>
      <c r="AEB36" s="8">
        <v>0.0</v>
      </c>
      <c r="AEC36" s="8">
        <v>0.0</v>
      </c>
      <c r="AED36" s="9" t="s">
        <v>2180</v>
      </c>
      <c r="AEE36" s="9" t="s">
        <v>872</v>
      </c>
      <c r="AEF36" s="9"/>
      <c r="AEG36" s="9" t="s">
        <v>920</v>
      </c>
      <c r="AEH36" s="9"/>
      <c r="AEI36" s="9" t="s">
        <v>2639</v>
      </c>
      <c r="AEJ36" s="9" t="s">
        <v>871</v>
      </c>
      <c r="AEK36" s="9" t="s">
        <v>2640</v>
      </c>
      <c r="AEL36" s="8">
        <v>1.0</v>
      </c>
      <c r="AEM36" s="8">
        <v>0.0</v>
      </c>
      <c r="AEN36" s="8">
        <v>1.0</v>
      </c>
      <c r="AEO36" s="8">
        <v>0.0</v>
      </c>
      <c r="AEP36" s="8">
        <v>0.0</v>
      </c>
      <c r="AEQ36" s="8">
        <v>0.0</v>
      </c>
      <c r="AER36" s="8">
        <v>1.0</v>
      </c>
      <c r="AES36" s="8">
        <v>0.0</v>
      </c>
      <c r="AET36" s="8">
        <v>0.0</v>
      </c>
      <c r="AEU36" s="8">
        <v>0.0</v>
      </c>
      <c r="AEV36" s="8">
        <v>0.0</v>
      </c>
      <c r="AEW36" s="8">
        <v>0.0</v>
      </c>
      <c r="AEX36" s="9"/>
      <c r="AEY36" s="9" t="s">
        <v>923</v>
      </c>
      <c r="AEZ36" s="9"/>
      <c r="AFA36" s="9" t="s">
        <v>924</v>
      </c>
      <c r="AFB36" s="9"/>
      <c r="AFC36" s="9" t="s">
        <v>2641</v>
      </c>
      <c r="AFD36" s="16" t="s">
        <v>2642</v>
      </c>
      <c r="AFE36" s="9" t="s">
        <v>2643</v>
      </c>
      <c r="AFF36" s="16" t="s">
        <v>2644</v>
      </c>
      <c r="AFG36" s="9" t="s">
        <v>1991</v>
      </c>
      <c r="AFH36" s="9"/>
      <c r="AFI36" s="21" t="s">
        <v>2645</v>
      </c>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c r="ATZ36" s="9"/>
      <c r="AUA36" s="9"/>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c r="AVL36" s="9"/>
      <c r="AVM36" s="9"/>
      <c r="AVN36" s="9"/>
      <c r="AVO36" s="9"/>
      <c r="AVP36" s="9"/>
      <c r="AVQ36" s="9"/>
      <c r="AVR36" s="9"/>
      <c r="AVS36" s="9"/>
      <c r="AVT36" s="9"/>
      <c r="AVU36" s="9"/>
      <c r="AVV36" s="9"/>
      <c r="AVW36" s="9"/>
      <c r="AVX36" s="9"/>
      <c r="AVY36" s="9"/>
      <c r="AVZ36" s="9"/>
      <c r="AWA36" s="8">
        <v>6.7279799E8</v>
      </c>
      <c r="AWB36" s="9" t="s">
        <v>2646</v>
      </c>
      <c r="AWC36" s="6">
        <v>46069.0</v>
      </c>
      <c r="AWD36" s="9"/>
      <c r="AWE36" s="9"/>
      <c r="AWF36" s="9" t="s">
        <v>1954</v>
      </c>
      <c r="AWG36" s="9"/>
      <c r="AWH36" s="9" t="s">
        <v>1989</v>
      </c>
      <c r="AWI36" s="9"/>
      <c r="AWJ36" s="9" t="s">
        <v>2647</v>
      </c>
      <c r="AWK36" s="8">
        <v>278.0</v>
      </c>
      <c r="AWL36" s="9" t="s">
        <v>2634</v>
      </c>
      <c r="AWM36" s="8">
        <v>0.0</v>
      </c>
      <c r="AWN36" s="9" t="s">
        <v>1957</v>
      </c>
      <c r="AWO36" s="33" t="b">
        <v>1</v>
      </c>
      <c r="AWP36" s="33" t="b">
        <v>1</v>
      </c>
      <c r="AWQ36" s="33" t="b">
        <v>1</v>
      </c>
      <c r="AWR36" s="33" t="b">
        <v>1</v>
      </c>
      <c r="AWS36" s="33" t="b">
        <v>1</v>
      </c>
      <c r="AWT36" s="33" t="b">
        <v>1</v>
      </c>
      <c r="AWU36" s="9"/>
      <c r="AWV36" s="8">
        <v>12.0</v>
      </c>
      <c r="AWW36" s="9"/>
      <c r="AWX36" s="9"/>
      <c r="AWY36" s="9"/>
      <c r="AWZ36" s="9"/>
    </row>
    <row r="37">
      <c r="A37" s="22">
        <v>46060.0</v>
      </c>
      <c r="B37" s="22">
        <v>46069.0</v>
      </c>
      <c r="C37" s="30" t="s">
        <v>1958</v>
      </c>
      <c r="D37" s="30" t="s">
        <v>2648</v>
      </c>
      <c r="E37" s="24">
        <f>+6281999209779</f>
        <v>6281999209779</v>
      </c>
      <c r="F37" s="14" t="s">
        <v>2649</v>
      </c>
      <c r="G37" s="24">
        <v>-5.33064</v>
      </c>
      <c r="H37" s="24">
        <v>119.489684</v>
      </c>
      <c r="I37" s="24">
        <v>77.5</v>
      </c>
      <c r="J37" s="24">
        <v>24.89999962</v>
      </c>
      <c r="K37" s="24">
        <v>0.0</v>
      </c>
      <c r="L37" s="14" t="s">
        <v>2650</v>
      </c>
      <c r="M37" s="24">
        <v>-5.330634</v>
      </c>
      <c r="N37" s="24">
        <v>119.489686</v>
      </c>
      <c r="O37" s="24">
        <v>77.5</v>
      </c>
      <c r="P37" s="24">
        <v>22.83799934</v>
      </c>
      <c r="Q37" s="24">
        <v>0.0</v>
      </c>
      <c r="R37" s="14" t="s">
        <v>1923</v>
      </c>
      <c r="S37" s="24">
        <v>0.0</v>
      </c>
      <c r="T37" s="24">
        <v>0.0</v>
      </c>
      <c r="U37" s="24">
        <v>0.0</v>
      </c>
      <c r="V37" s="24">
        <v>0.0</v>
      </c>
      <c r="W37" s="24">
        <v>0.0</v>
      </c>
      <c r="X37" s="24">
        <v>0.0</v>
      </c>
      <c r="Y37" s="24">
        <v>0.0</v>
      </c>
      <c r="Z37" s="24">
        <v>0.0</v>
      </c>
      <c r="AA37" s="24">
        <v>0.0</v>
      </c>
      <c r="AB37" s="24">
        <v>1.0</v>
      </c>
      <c r="AC37" s="23" t="s">
        <v>2113</v>
      </c>
      <c r="AD37" s="23" t="s">
        <v>2651</v>
      </c>
      <c r="AE37" s="23" t="s">
        <v>2652</v>
      </c>
      <c r="AF37" s="14" t="s">
        <v>2522</v>
      </c>
      <c r="AG37" s="14" t="s">
        <v>2653</v>
      </c>
      <c r="AH37" s="24">
        <v>4.0</v>
      </c>
      <c r="AI37" s="14" t="s">
        <v>845</v>
      </c>
      <c r="AJ37" s="14" t="s">
        <v>934</v>
      </c>
      <c r="AK37" s="24">
        <v>47.0</v>
      </c>
      <c r="AL37" s="14" t="s">
        <v>847</v>
      </c>
      <c r="AM37" s="14" t="s">
        <v>848</v>
      </c>
      <c r="AN37" s="14" t="s">
        <v>986</v>
      </c>
      <c r="AO37" s="14" t="s">
        <v>850</v>
      </c>
      <c r="AP37" s="24">
        <v>1.0</v>
      </c>
      <c r="AQ37" s="24">
        <v>0.0</v>
      </c>
      <c r="AR37" s="24">
        <v>0.0</v>
      </c>
      <c r="AS37" s="24">
        <v>0.0</v>
      </c>
      <c r="AT37" s="24">
        <v>0.0</v>
      </c>
      <c r="AU37" s="24">
        <v>0.0</v>
      </c>
      <c r="AV37" s="24">
        <v>0.0</v>
      </c>
      <c r="AW37" s="24">
        <v>0.0</v>
      </c>
      <c r="AX37" s="14"/>
      <c r="AY37" s="14" t="s">
        <v>999</v>
      </c>
      <c r="AZ37" s="24">
        <v>0.0</v>
      </c>
      <c r="BA37" s="24">
        <v>0.0</v>
      </c>
      <c r="BB37" s="24">
        <v>0.0</v>
      </c>
      <c r="BC37" s="24">
        <v>0.0</v>
      </c>
      <c r="BD37" s="24">
        <v>0.0</v>
      </c>
      <c r="BE37" s="24">
        <v>0.0</v>
      </c>
      <c r="BF37" s="24">
        <v>0.0</v>
      </c>
      <c r="BG37" s="24">
        <v>1.0</v>
      </c>
      <c r="BH37" s="14"/>
      <c r="BI37" s="14" t="s">
        <v>936</v>
      </c>
      <c r="BJ37" s="24">
        <v>2.0</v>
      </c>
      <c r="BK37" s="24">
        <v>1.0</v>
      </c>
      <c r="BL37" s="24">
        <v>1.0</v>
      </c>
      <c r="BM37" s="24">
        <v>0.0</v>
      </c>
      <c r="BN37" s="14" t="s">
        <v>853</v>
      </c>
      <c r="BO37" s="14" t="s">
        <v>854</v>
      </c>
      <c r="BP37" s="24">
        <v>1.0</v>
      </c>
      <c r="BQ37" s="24">
        <v>0.0</v>
      </c>
      <c r="BR37" s="24">
        <v>0.0</v>
      </c>
      <c r="BS37" s="24">
        <v>0.0</v>
      </c>
      <c r="BT37" s="24">
        <v>0.0</v>
      </c>
      <c r="BU37" s="14"/>
      <c r="BV37" s="14" t="s">
        <v>1254</v>
      </c>
      <c r="BW37" s="24">
        <v>0.0</v>
      </c>
      <c r="BX37" s="24">
        <v>1.0</v>
      </c>
      <c r="BY37" s="24">
        <v>0.0</v>
      </c>
      <c r="BZ37" s="24">
        <v>0.0</v>
      </c>
      <c r="CA37" s="24">
        <v>0.0</v>
      </c>
      <c r="CB37" s="14"/>
      <c r="CC37" s="14" t="s">
        <v>1929</v>
      </c>
      <c r="CD37" s="24">
        <v>0.0</v>
      </c>
      <c r="CE37" s="24">
        <v>0.0</v>
      </c>
      <c r="CF37" s="24">
        <v>0.0</v>
      </c>
      <c r="CG37" s="24">
        <v>0.0</v>
      </c>
      <c r="CH37" s="24">
        <v>1.0</v>
      </c>
      <c r="CI37" s="24">
        <v>0.0</v>
      </c>
      <c r="CJ37" s="24">
        <v>0.0</v>
      </c>
      <c r="CK37" s="14"/>
      <c r="CL37" s="14" t="s">
        <v>857</v>
      </c>
      <c r="CM37" s="24">
        <v>2022.0</v>
      </c>
      <c r="CN37" s="14" t="s">
        <v>858</v>
      </c>
      <c r="CO37" s="14" t="s">
        <v>859</v>
      </c>
      <c r="CP37" s="14" t="s">
        <v>860</v>
      </c>
      <c r="CQ37" s="24">
        <v>0.0</v>
      </c>
      <c r="CR37" s="24">
        <v>0.0</v>
      </c>
      <c r="CS37" s="24">
        <v>0.0</v>
      </c>
      <c r="CT37" s="24">
        <v>0.0</v>
      </c>
      <c r="CU37" s="24">
        <v>1.0</v>
      </c>
      <c r="CV37" s="24">
        <v>0.0</v>
      </c>
      <c r="CW37" s="24">
        <v>0.0</v>
      </c>
      <c r="CX37" s="24">
        <v>0.0</v>
      </c>
      <c r="CY37" s="14" t="s">
        <v>1060</v>
      </c>
      <c r="CZ37" s="24">
        <v>1.0</v>
      </c>
      <c r="DA37" s="24">
        <v>1.0</v>
      </c>
      <c r="DB37" s="24">
        <v>0.0</v>
      </c>
      <c r="DC37" s="14"/>
      <c r="DD37" s="14" t="s">
        <v>860</v>
      </c>
      <c r="DE37" s="24">
        <v>1.0</v>
      </c>
      <c r="DF37" s="24">
        <v>0.0</v>
      </c>
      <c r="DG37" s="24">
        <v>0.0</v>
      </c>
      <c r="DH37" s="24">
        <v>0.0</v>
      </c>
      <c r="DI37" s="14"/>
      <c r="DJ37" s="14" t="s">
        <v>937</v>
      </c>
      <c r="DK37" s="24">
        <v>1.0</v>
      </c>
      <c r="DL37" s="24">
        <v>0.0</v>
      </c>
      <c r="DM37" s="24">
        <v>1.0</v>
      </c>
      <c r="DN37" s="24">
        <v>0.0</v>
      </c>
      <c r="DO37" s="14"/>
      <c r="DP37" s="14" t="s">
        <v>938</v>
      </c>
      <c r="DQ37" s="14" t="s">
        <v>2029</v>
      </c>
      <c r="DR37" s="13" t="s">
        <v>2030</v>
      </c>
      <c r="DS37" s="14"/>
      <c r="DT37" s="14" t="s">
        <v>2031</v>
      </c>
      <c r="DU37" s="24">
        <v>1.0</v>
      </c>
      <c r="DV37" s="24">
        <v>0.0</v>
      </c>
      <c r="DW37" s="24">
        <v>0.0</v>
      </c>
      <c r="DX37" s="24">
        <v>0.0</v>
      </c>
      <c r="DY37" s="24">
        <v>0.0</v>
      </c>
      <c r="DZ37" s="24">
        <v>0.0</v>
      </c>
      <c r="EA37" s="24">
        <v>0.0</v>
      </c>
      <c r="EB37" s="24">
        <v>0.0</v>
      </c>
      <c r="EC37" s="24">
        <v>0.0</v>
      </c>
      <c r="ED37" s="24">
        <v>0.0</v>
      </c>
      <c r="EE37" s="24">
        <v>0.0</v>
      </c>
      <c r="EF37" s="24">
        <v>0.0</v>
      </c>
      <c r="EG37" s="24">
        <v>0.0</v>
      </c>
      <c r="EH37" s="24">
        <v>0.0</v>
      </c>
      <c r="EI37" s="31" t="s">
        <v>862</v>
      </c>
      <c r="EJ37" s="24">
        <v>0.0</v>
      </c>
      <c r="EK37" s="24">
        <v>0.0</v>
      </c>
      <c r="EL37" s="24">
        <v>0.0</v>
      </c>
      <c r="EM37" s="24">
        <v>1.0</v>
      </c>
      <c r="EN37" s="24">
        <v>0.0</v>
      </c>
      <c r="EO37" s="14"/>
      <c r="EP37" s="14" t="s">
        <v>1403</v>
      </c>
      <c r="EQ37" s="14" t="s">
        <v>1380</v>
      </c>
      <c r="ER37" s="14" t="s">
        <v>1046</v>
      </c>
      <c r="ES37" s="24">
        <v>1.0</v>
      </c>
      <c r="ET37" s="24">
        <v>1.0</v>
      </c>
      <c r="EU37" s="24">
        <v>0.0</v>
      </c>
      <c r="EV37" s="24">
        <v>0.0</v>
      </c>
      <c r="EW37" s="14"/>
      <c r="EX37" s="14" t="s">
        <v>1013</v>
      </c>
      <c r="EY37" s="24">
        <v>1.0</v>
      </c>
      <c r="EZ37" s="24">
        <v>1.0</v>
      </c>
      <c r="FA37" s="24">
        <v>0.0</v>
      </c>
      <c r="FB37" s="14"/>
      <c r="FC37" s="14" t="s">
        <v>1072</v>
      </c>
      <c r="FD37" s="14" t="s">
        <v>2032</v>
      </c>
      <c r="FE37" s="14" t="s">
        <v>867</v>
      </c>
      <c r="FF37" s="14" t="s">
        <v>868</v>
      </c>
      <c r="FG37" s="14" t="s">
        <v>867</v>
      </c>
      <c r="FH37" s="14" t="s">
        <v>868</v>
      </c>
      <c r="FI37" s="14" t="s">
        <v>867</v>
      </c>
      <c r="FJ37" s="14" t="s">
        <v>868</v>
      </c>
      <c r="FK37" s="14" t="s">
        <v>867</v>
      </c>
      <c r="FL37" s="14" t="s">
        <v>870</v>
      </c>
      <c r="FM37" s="14" t="s">
        <v>867</v>
      </c>
      <c r="FN37" s="14" t="s">
        <v>870</v>
      </c>
      <c r="FO37" s="14" t="s">
        <v>867</v>
      </c>
      <c r="FP37" s="14" t="s">
        <v>870</v>
      </c>
      <c r="FQ37" s="14" t="s">
        <v>867</v>
      </c>
      <c r="FR37" s="14" t="s">
        <v>857</v>
      </c>
      <c r="FS37" s="14" t="s">
        <v>867</v>
      </c>
      <c r="FT37" s="14" t="s">
        <v>871</v>
      </c>
      <c r="FU37" s="14" t="s">
        <v>872</v>
      </c>
      <c r="FV37" s="24">
        <v>1.0</v>
      </c>
      <c r="FW37" s="24">
        <v>0.0</v>
      </c>
      <c r="FX37" s="24">
        <v>0.0</v>
      </c>
      <c r="FY37" s="24">
        <v>0.0</v>
      </c>
      <c r="FZ37" s="14" t="s">
        <v>1197</v>
      </c>
      <c r="GA37" s="14" t="s">
        <v>874</v>
      </c>
      <c r="GB37" s="24">
        <v>1.0</v>
      </c>
      <c r="GC37" s="24">
        <v>0.0</v>
      </c>
      <c r="GD37" s="24">
        <v>0.0</v>
      </c>
      <c r="GE37" s="24">
        <v>0.0</v>
      </c>
      <c r="GF37" s="14"/>
      <c r="GG37" s="14" t="s">
        <v>1232</v>
      </c>
      <c r="GH37" s="14" t="s">
        <v>857</v>
      </c>
      <c r="GI37" s="14" t="s">
        <v>1086</v>
      </c>
      <c r="GJ37" s="24">
        <v>1.0</v>
      </c>
      <c r="GK37" s="24">
        <v>1.0</v>
      </c>
      <c r="GL37" s="24">
        <v>0.0</v>
      </c>
      <c r="GM37" s="24">
        <v>0.0</v>
      </c>
      <c r="GN37" s="14"/>
      <c r="GO37" s="24">
        <v>8.0</v>
      </c>
      <c r="GP37" s="14" t="s">
        <v>1931</v>
      </c>
      <c r="GQ37" s="14" t="s">
        <v>1102</v>
      </c>
      <c r="GR37" s="24">
        <v>1.0</v>
      </c>
      <c r="GS37" s="24">
        <v>0.0</v>
      </c>
      <c r="GT37" s="24">
        <v>0.0</v>
      </c>
      <c r="GU37" s="24">
        <v>0.0</v>
      </c>
      <c r="GV37" s="24">
        <v>0.0</v>
      </c>
      <c r="GW37" s="24">
        <v>0.0</v>
      </c>
      <c r="GX37" s="24">
        <v>0.0</v>
      </c>
      <c r="GY37" s="14"/>
      <c r="GZ37" s="14" t="s">
        <v>881</v>
      </c>
      <c r="HA37" s="14"/>
      <c r="HB37" s="14"/>
      <c r="HC37" s="14"/>
      <c r="HD37" s="14"/>
      <c r="HE37" s="24">
        <v>9.0</v>
      </c>
      <c r="HF37" s="24">
        <v>66000.0</v>
      </c>
      <c r="HG37" s="24">
        <v>6.0</v>
      </c>
      <c r="HH37" s="24">
        <v>44000.0</v>
      </c>
      <c r="HI37" s="14"/>
      <c r="HJ37" s="14"/>
      <c r="HK37" s="14"/>
      <c r="HL37" s="14"/>
      <c r="HM37" s="14"/>
      <c r="HN37" s="14"/>
      <c r="HO37" s="14"/>
      <c r="HP37" s="14"/>
      <c r="HQ37" s="14"/>
      <c r="HR37" s="14"/>
      <c r="HS37" s="14"/>
      <c r="HT37" s="14"/>
      <c r="HU37" s="14"/>
      <c r="HV37" s="14"/>
      <c r="HW37" s="14"/>
      <c r="HX37" s="14"/>
      <c r="HY37" s="14"/>
      <c r="HZ37" s="14"/>
      <c r="IA37" s="24">
        <v>0.0</v>
      </c>
      <c r="IB37" s="14"/>
      <c r="IC37" s="14"/>
      <c r="ID37" s="14"/>
      <c r="IE37" s="14"/>
      <c r="IF37" s="14"/>
      <c r="IG37" s="14"/>
      <c r="IH37" s="14"/>
      <c r="II37" s="14"/>
      <c r="IJ37" s="14"/>
      <c r="IK37" s="14" t="s">
        <v>1932</v>
      </c>
      <c r="IL37" s="14" t="s">
        <v>880</v>
      </c>
      <c r="IM37" s="14" t="s">
        <v>857</v>
      </c>
      <c r="IN37" s="14" t="s">
        <v>881</v>
      </c>
      <c r="IO37" s="14" t="s">
        <v>945</v>
      </c>
      <c r="IP37" s="14"/>
      <c r="IQ37" s="14" t="s">
        <v>883</v>
      </c>
      <c r="IR37" s="14"/>
      <c r="IS37" s="14"/>
      <c r="IT37" s="14"/>
      <c r="IU37" s="14"/>
      <c r="IV37" s="14"/>
      <c r="IW37" s="14"/>
      <c r="IX37" s="14"/>
      <c r="IY37" s="14"/>
      <c r="IZ37" s="14" t="s">
        <v>883</v>
      </c>
      <c r="JA37" s="14"/>
      <c r="JB37" s="14"/>
      <c r="JC37" s="14"/>
      <c r="JD37" s="14"/>
      <c r="JE37" s="14"/>
      <c r="JF37" s="14"/>
      <c r="JG37" s="14"/>
      <c r="JH37" s="14"/>
      <c r="JI37" s="14" t="s">
        <v>883</v>
      </c>
      <c r="JJ37" s="14"/>
      <c r="JK37" s="14"/>
      <c r="JL37" s="14"/>
      <c r="JM37" s="14"/>
      <c r="JN37" s="14"/>
      <c r="JO37" s="14"/>
      <c r="JP37" s="14"/>
      <c r="JQ37" s="14"/>
      <c r="JR37" s="14" t="s">
        <v>883</v>
      </c>
      <c r="JS37" s="14"/>
      <c r="JT37" s="14"/>
      <c r="JU37" s="14"/>
      <c r="JV37" s="14"/>
      <c r="JW37" s="14"/>
      <c r="JX37" s="14"/>
      <c r="JY37" s="14"/>
      <c r="JZ37" s="14"/>
      <c r="KA37" s="14" t="s">
        <v>883</v>
      </c>
      <c r="KB37" s="14"/>
      <c r="KC37" s="14"/>
      <c r="KD37" s="14"/>
      <c r="KE37" s="14"/>
      <c r="KF37" s="14"/>
      <c r="KG37" s="14"/>
      <c r="KH37" s="14"/>
      <c r="KI37" s="14"/>
      <c r="KJ37" s="14" t="s">
        <v>883</v>
      </c>
      <c r="KK37" s="14"/>
      <c r="KL37" s="14"/>
      <c r="KM37" s="14"/>
      <c r="KN37" s="14"/>
      <c r="KO37" s="14"/>
      <c r="KP37" s="14"/>
      <c r="KQ37" s="14"/>
      <c r="KR37" s="14"/>
      <c r="KS37" s="14" t="s">
        <v>945</v>
      </c>
      <c r="KT37" s="14" t="s">
        <v>886</v>
      </c>
      <c r="KU37" s="14" t="s">
        <v>886</v>
      </c>
      <c r="KV37" s="14" t="s">
        <v>999</v>
      </c>
      <c r="KW37" s="24">
        <v>0.0</v>
      </c>
      <c r="KX37" s="24">
        <v>0.0</v>
      </c>
      <c r="KY37" s="24">
        <v>0.0</v>
      </c>
      <c r="KZ37" s="24">
        <v>1.0</v>
      </c>
      <c r="LA37" s="14" t="s">
        <v>945</v>
      </c>
      <c r="LB37" s="14" t="s">
        <v>1180</v>
      </c>
      <c r="LC37" s="24">
        <v>4.0</v>
      </c>
      <c r="LD37" s="24">
        <v>0.0</v>
      </c>
      <c r="LE37" s="24">
        <v>0.0</v>
      </c>
      <c r="LF37" s="24">
        <v>0.0</v>
      </c>
      <c r="LG37" s="14" t="s">
        <v>857</v>
      </c>
      <c r="LH37" s="24">
        <v>22000.0</v>
      </c>
      <c r="LI37" s="14"/>
      <c r="LJ37" s="14" t="s">
        <v>887</v>
      </c>
      <c r="LK37" s="24">
        <v>0.0</v>
      </c>
      <c r="LL37" s="24">
        <v>0.0</v>
      </c>
      <c r="LM37" s="24">
        <v>0.0</v>
      </c>
      <c r="LN37" s="24">
        <v>0.0</v>
      </c>
      <c r="LO37" s="24">
        <v>1.0</v>
      </c>
      <c r="LP37" s="24">
        <v>0.0</v>
      </c>
      <c r="LQ37" s="24">
        <v>0.0</v>
      </c>
      <c r="LR37" s="11"/>
      <c r="LS37" s="24">
        <v>5.0</v>
      </c>
      <c r="LT37" s="24">
        <v>0.0</v>
      </c>
      <c r="LU37" s="24">
        <v>0.0</v>
      </c>
      <c r="LV37" s="24">
        <v>5.0</v>
      </c>
      <c r="LW37" s="24">
        <v>0.0</v>
      </c>
      <c r="LX37" s="24">
        <v>0.0</v>
      </c>
      <c r="LY37" s="24">
        <v>10.0</v>
      </c>
      <c r="LZ37" s="24">
        <v>0.0</v>
      </c>
      <c r="MA37" s="24">
        <v>0.0</v>
      </c>
      <c r="MB37" s="14" t="s">
        <v>881</v>
      </c>
      <c r="MC37" s="24">
        <v>0.0</v>
      </c>
      <c r="MD37" s="24">
        <v>0.0</v>
      </c>
      <c r="ME37" s="24">
        <v>0.0</v>
      </c>
      <c r="MF37" s="24">
        <v>0.0</v>
      </c>
      <c r="MG37" s="24">
        <v>0.0</v>
      </c>
      <c r="MH37" s="24">
        <v>0.0</v>
      </c>
      <c r="MI37" s="14"/>
      <c r="MJ37" s="14"/>
      <c r="MK37" s="14"/>
      <c r="ML37" s="14"/>
      <c r="MM37" s="14"/>
      <c r="MN37" s="14"/>
      <c r="MO37" s="14"/>
      <c r="MP37" s="14"/>
      <c r="MQ37" s="14"/>
      <c r="MR37" s="17" t="s">
        <v>2035</v>
      </c>
      <c r="MS37" s="14"/>
      <c r="MT37" s="14" t="s">
        <v>2035</v>
      </c>
      <c r="MU37" s="14" t="s">
        <v>881</v>
      </c>
      <c r="MV37" s="14"/>
      <c r="MW37" s="14"/>
      <c r="MX37" s="14"/>
      <c r="MY37" s="14"/>
      <c r="MZ37" s="14"/>
      <c r="NA37" s="14"/>
      <c r="NB37" s="14"/>
      <c r="NC37" s="14"/>
      <c r="ND37" s="14"/>
      <c r="NE37" s="14"/>
      <c r="NF37" s="14"/>
      <c r="NG37" s="14"/>
      <c r="NH37" s="14"/>
      <c r="NI37" s="14"/>
      <c r="NJ37" s="14"/>
      <c r="NK37" s="14"/>
      <c r="NL37" s="14" t="s">
        <v>881</v>
      </c>
      <c r="NM37" s="14" t="s">
        <v>1386</v>
      </c>
      <c r="NN37" s="13" t="s">
        <v>1975</v>
      </c>
      <c r="NO37" s="13" t="s">
        <v>895</v>
      </c>
      <c r="NP37" s="14"/>
      <c r="NQ37" s="14"/>
      <c r="NR37" s="14"/>
      <c r="NS37" s="14"/>
      <c r="NT37" s="14"/>
      <c r="NU37" s="14"/>
      <c r="NV37" s="14"/>
      <c r="NW37" s="14"/>
      <c r="NX37" s="14" t="s">
        <v>897</v>
      </c>
      <c r="NY37" s="24">
        <v>180.0</v>
      </c>
      <c r="NZ37" s="24">
        <v>0.0</v>
      </c>
      <c r="OA37" s="24">
        <v>0.0</v>
      </c>
      <c r="OB37" s="24">
        <v>0.0</v>
      </c>
      <c r="OC37" s="24">
        <v>20.0</v>
      </c>
      <c r="OD37" s="24">
        <v>0.0</v>
      </c>
      <c r="OE37" s="14" t="s">
        <v>898</v>
      </c>
      <c r="OF37" s="14" t="s">
        <v>1388</v>
      </c>
      <c r="OG37" s="14" t="s">
        <v>857</v>
      </c>
      <c r="OH37" s="24">
        <v>0.0</v>
      </c>
      <c r="OI37" s="24">
        <v>0.0</v>
      </c>
      <c r="OJ37" s="24">
        <v>0.0</v>
      </c>
      <c r="OK37" s="24">
        <v>0.0</v>
      </c>
      <c r="OL37" s="24">
        <v>0.0</v>
      </c>
      <c r="OM37" s="24">
        <v>0.0</v>
      </c>
      <c r="ON37" s="24">
        <v>15.0</v>
      </c>
      <c r="OO37" s="24">
        <v>3.0</v>
      </c>
      <c r="OP37" s="9" t="str">
        <f>VLOOKUP(AG37,'BUS 2'!$G$1:$CU$424,2,0)</f>
        <v>Sapi pedaging Ayam Unggas lainnya</v>
      </c>
      <c r="OQ37" s="8">
        <f>VLOOKUP(AG37,'BUS 2'!$G$1:$CU$424,3,0)</f>
        <v>1</v>
      </c>
      <c r="OR37" s="8">
        <f>VLOOKUP(AG37,'BUS 2'!$G$1:$CU$424,4,0)</f>
        <v>0</v>
      </c>
      <c r="OS37" s="8">
        <f>VLOOKUP(AG37,'BUS 2'!$G$1:$CU$424,5,0)</f>
        <v>0</v>
      </c>
      <c r="OT37" s="8">
        <f>VLOOKUP(AG37,'BUS 2'!$G$1:$CU$424,6,0)</f>
        <v>0</v>
      </c>
      <c r="OU37" s="8">
        <f>VLOOKUP(AG37,'BUS 2'!$G$1:$CU$424,7,0)</f>
        <v>0</v>
      </c>
      <c r="OV37" s="8">
        <f>VLOOKUP(AG37,'BUS 2'!$G$1:$CU$424,8,0)</f>
        <v>0</v>
      </c>
      <c r="OW37" s="8">
        <f>VLOOKUP(AG37,'BUS 2'!$G$1:$CU$424,9,0)</f>
        <v>1</v>
      </c>
      <c r="OX37" s="8">
        <f>VLOOKUP(AG37,'BUS 2'!$G$1:$CU$424,10,0)</f>
        <v>1</v>
      </c>
      <c r="OY37" s="8">
        <f>VLOOKUP(AG37,'BUS 2'!$G$1:$CU$424,11,0)</f>
        <v>0</v>
      </c>
      <c r="OZ37" s="8" t="str">
        <f>VLOOKUP(AG37,'BUS 2'!$G$1:$CU$424,12,0)</f>
        <v>Sapi pedaging Ayam Unggas lainnya</v>
      </c>
      <c r="PA37" s="8">
        <f>VLOOKUP(AG37,'BUS 2'!$G$1:$CU$424,13,0)</f>
        <v>1</v>
      </c>
      <c r="PB37" s="8">
        <f>VLOOKUP(AG37,'BUS 2'!$G$1:$CU$424,14,0)</f>
        <v>0</v>
      </c>
      <c r="PC37" s="8">
        <f>VLOOKUP(AG37,'BUS 2'!$G$1:$CU$424,15,0)</f>
        <v>0</v>
      </c>
      <c r="PD37" s="8">
        <f>VLOOKUP(AG37,'BUS 2'!$G$1:$CU$424,16,0)</f>
        <v>0</v>
      </c>
      <c r="PE37" s="8">
        <f>VLOOKUP(AG37,'BUS 2'!$G$1:$CU$424,17,0)</f>
        <v>0</v>
      </c>
      <c r="PF37" s="8">
        <f>VLOOKUP(AG37,'BUS 2'!$G$1:$CU$424,18,0)</f>
        <v>0</v>
      </c>
      <c r="PG37" s="8">
        <f>VLOOKUP(AG37,'BUS 2'!$G$1:$CU$424,19,0)</f>
        <v>1</v>
      </c>
      <c r="PH37" s="8">
        <f>VLOOKUP(AG37,'BUS 2'!$G$1:$CU$424,20,0)</f>
        <v>1</v>
      </c>
      <c r="PI37" s="8">
        <f>VLOOKUP(AG37,'BUS 2'!$G$1:$CU$424,21,0)</f>
        <v>0</v>
      </c>
      <c r="PJ37" s="8" t="str">
        <f>VLOOKUP(AG37,'BUS 2'!$G$1:$CU$424,22,0)</f>
        <v>Sapi pedaging</v>
      </c>
      <c r="PK37" s="8">
        <f>VLOOKUP(AG37,'BUS 2'!$G$1:$CU$424,23,0)</f>
        <v>1</v>
      </c>
      <c r="PL37" s="8">
        <f>VLOOKUP(AG37,'BUS 2'!$G$1:$CU$424,24,0)</f>
        <v>0</v>
      </c>
      <c r="PM37" s="8">
        <f>VLOOKUP(AG37,'BUS 2'!$G$1:$CU$424,25,0)</f>
        <v>0</v>
      </c>
      <c r="PN37" s="8">
        <f>VLOOKUP(AG37,'BUS 2'!$G$1:$CU$424,26,0)</f>
        <v>0</v>
      </c>
      <c r="PO37" s="8">
        <f>VLOOKUP(AG37,'BUS 2'!$G$1:$CU$424,27,0)</f>
        <v>0</v>
      </c>
      <c r="PP37" s="8">
        <f>VLOOKUP(AG37,'BUS 2'!$G$1:$CU$424,28,0)</f>
        <v>0</v>
      </c>
      <c r="PQ37" s="8">
        <f>VLOOKUP(AG37,'BUS 2'!$G$1:$CU$424,29,0)</f>
        <v>0</v>
      </c>
      <c r="PR37" s="8">
        <f>VLOOKUP(AG37,'BUS 2'!$G$1:$CU$424,30,0)</f>
        <v>0</v>
      </c>
      <c r="PS37" s="8">
        <f>VLOOKUP(AG37,'BUS 2'!$G$1:$CU$424,31,0)</f>
        <v>0</v>
      </c>
      <c r="PT37" s="14" t="s">
        <v>2070</v>
      </c>
      <c r="PU37" s="24">
        <v>0.0</v>
      </c>
      <c r="PV37" s="24">
        <v>0.0</v>
      </c>
      <c r="PW37" s="24">
        <v>0.0</v>
      </c>
      <c r="PX37" s="24">
        <v>0.0</v>
      </c>
      <c r="PY37" s="24">
        <v>0.0</v>
      </c>
      <c r="PZ37" s="24">
        <v>0.0</v>
      </c>
      <c r="QA37" s="24">
        <v>0.0</v>
      </c>
      <c r="QB37" s="24">
        <v>0.0</v>
      </c>
      <c r="QC37" s="24">
        <v>1.0</v>
      </c>
      <c r="QD37" s="21" t="s">
        <v>2071</v>
      </c>
      <c r="QE37" s="32"/>
      <c r="QF37" s="31"/>
      <c r="QG37" s="31"/>
      <c r="QH37" s="31"/>
      <c r="QI37" s="31"/>
      <c r="QJ37" s="31"/>
      <c r="QK37" s="32"/>
      <c r="QL37" s="32"/>
      <c r="QM37" s="32"/>
      <c r="QN37" s="32"/>
      <c r="QO37" s="32"/>
      <c r="QP37" s="32"/>
      <c r="QQ37" s="32"/>
      <c r="QR37" s="32"/>
      <c r="QS37" s="32"/>
      <c r="QT37" s="32"/>
      <c r="QU37" s="32"/>
      <c r="QV37" s="32"/>
      <c r="QW37" s="31"/>
      <c r="QX37" s="31"/>
      <c r="QY37" s="31"/>
      <c r="QZ37" s="31"/>
      <c r="RA37" s="31"/>
      <c r="RB37" s="32"/>
      <c r="RC37" s="32"/>
      <c r="RD37" s="32"/>
      <c r="RE37" s="32"/>
      <c r="RF37" s="32"/>
      <c r="RG37" s="14"/>
      <c r="RH37" s="31"/>
      <c r="RI37" s="31"/>
      <c r="RJ37" s="31"/>
      <c r="RK37" s="31"/>
      <c r="RL37" s="31"/>
      <c r="RM37" s="14"/>
      <c r="RN37" s="14"/>
      <c r="RO37" s="14"/>
      <c r="RP37" s="14"/>
      <c r="RQ37" s="14"/>
      <c r="RR37" s="14"/>
      <c r="RS37" s="31"/>
      <c r="RT37" s="31"/>
      <c r="RU37" s="31"/>
      <c r="RV37" s="31"/>
      <c r="RW37" s="31"/>
      <c r="RX37" s="14"/>
      <c r="RY37" s="14"/>
      <c r="RZ37" s="14"/>
      <c r="SA37" s="14"/>
      <c r="SB37" s="14"/>
      <c r="SC37" s="14" t="s">
        <v>900</v>
      </c>
      <c r="SD37" s="35">
        <v>0.0</v>
      </c>
      <c r="SE37" s="35">
        <v>0.0</v>
      </c>
      <c r="SF37" s="35">
        <v>0.0</v>
      </c>
      <c r="SG37" s="35">
        <v>0.0</v>
      </c>
      <c r="SH37" s="35">
        <v>0.0</v>
      </c>
      <c r="SI37" s="24">
        <v>1.0</v>
      </c>
      <c r="SJ37" s="24">
        <v>0.0</v>
      </c>
      <c r="SK37" s="24">
        <v>0.0</v>
      </c>
      <c r="SL37" s="24">
        <v>0.0</v>
      </c>
      <c r="SM37" s="14"/>
      <c r="SN37" s="14" t="s">
        <v>900</v>
      </c>
      <c r="SO37" s="35">
        <v>0.0</v>
      </c>
      <c r="SP37" s="35">
        <v>0.0</v>
      </c>
      <c r="SQ37" s="35">
        <v>0.0</v>
      </c>
      <c r="SR37" s="35">
        <v>0.0</v>
      </c>
      <c r="SS37" s="35">
        <v>0.0</v>
      </c>
      <c r="ST37" s="24">
        <v>1.0</v>
      </c>
      <c r="SU37" s="24">
        <v>0.0</v>
      </c>
      <c r="SV37" s="24">
        <v>0.0</v>
      </c>
      <c r="SW37" s="24">
        <v>0.0</v>
      </c>
      <c r="SX37" s="14"/>
      <c r="SY37" s="8">
        <f>VLOOKUP(AG37,'BUS 2'!$G$1:$CU$424,33,0)</f>
        <v>7</v>
      </c>
      <c r="SZ37" s="9" t="str">
        <f>VLOOKUP(AG37,'BUS 2'!$G$1:$CU$424,34,0)</f>
        <v/>
      </c>
      <c r="TA37" s="9" t="str">
        <f>VLOOKUP(AG37,'BUS 2'!$G$1:$CU$424,35,0)</f>
        <v/>
      </c>
      <c r="TB37" s="9" t="str">
        <f>VLOOKUP(AG37,'BUS 2'!$G$1:$CU$424,36,0)</f>
        <v/>
      </c>
      <c r="TC37" s="9" t="str">
        <f>VLOOKUP(AG37,'BUS 2'!$G$1:$CU$424,37,0)</f>
        <v/>
      </c>
      <c r="TD37" s="9" t="str">
        <f>VLOOKUP(AG37,'BUS 2'!$G$1:$CU$424,38,0)</f>
        <v/>
      </c>
      <c r="TE37" s="9">
        <f>VLOOKUP(AG37,'BUS 2'!$G$1:$CU$424,39,0)</f>
        <v>2</v>
      </c>
      <c r="TF37" s="9">
        <f>VLOOKUP(AG37,'BUS 2'!$G$1:$CU$424,40,0)</f>
        <v>1</v>
      </c>
      <c r="TG37" s="8">
        <f>VLOOKUP(AG37,'BUS 2'!$G$1:$CU$424,42,0)</f>
        <v>4</v>
      </c>
      <c r="TH37" s="8" t="str">
        <f>VLOOKUP(AG37,'BUS 2'!$G$1:$CU$424,43,0)</f>
        <v/>
      </c>
      <c r="TI37" s="8" t="str">
        <f>VLOOKUP(AG37,'BUS 2'!$G$1:$CU$424,44,0)</f>
        <v/>
      </c>
      <c r="TJ37" s="8" t="str">
        <f>VLOOKUP(AG37,'BUS 2'!$G$1:$CU$424,45,0)</f>
        <v/>
      </c>
      <c r="TK37" s="8" t="str">
        <f>VLOOKUP(AG37,'BUS 2'!$G$1:$CU$424,46,0)</f>
        <v/>
      </c>
      <c r="TL37" s="8" t="str">
        <f>VLOOKUP(AG37,'BUS 2'!$G$1:$CU$424,47,0)</f>
        <v/>
      </c>
      <c r="TM37" s="8">
        <f>VLOOKUP(AG37,'BUS 2'!$G$1:$CU$424,48,0)</f>
        <v>20</v>
      </c>
      <c r="TN37" s="8">
        <f>VLOOKUP(AG37,'BUS 2'!$G$1:$CU$424,49,0)</f>
        <v>5</v>
      </c>
      <c r="TO37" s="8">
        <f>VLOOKUP(AG37,'BUS 2'!$G$1:$CU$424,50,0)</f>
        <v>6</v>
      </c>
      <c r="TP37" s="8">
        <f>VLOOKUP(AG37,'BUS 2'!$G$1:$CU$424,51,0)</f>
        <v>0</v>
      </c>
      <c r="TQ37" s="8">
        <f>VLOOKUP(AG37,'BUS 2'!$G$1:$CU$424,52,0)</f>
        <v>0</v>
      </c>
      <c r="TR37" s="8">
        <f>VLOOKUP(AG37,'BUS 2'!$G$1:$CU$424,53,0)</f>
        <v>0</v>
      </c>
      <c r="TS37" s="9" t="str">
        <f>VLOOKUP(AG37,'BUS 2'!$G$1:$CU$424,54,0)</f>
        <v/>
      </c>
      <c r="TT37" s="9" t="str">
        <f>VLOOKUP(AG37,'BUS 2'!$G$1:$CU$424,55,0)</f>
        <v/>
      </c>
      <c r="TU37" s="9" t="str">
        <f>VLOOKUP(AG37,'BUS 2'!$G$1:$CU$424,56,0)</f>
        <v/>
      </c>
      <c r="TV37" s="9" t="str">
        <f>VLOOKUP(AG37,'BUS 2'!$G$1:$CU$424,57,0)</f>
        <v/>
      </c>
      <c r="TW37" s="9" t="str">
        <f>VLOOKUP(AG37,'BUS 2'!$G$1:$CU$424,58,0)</f>
        <v/>
      </c>
      <c r="TX37" s="9" t="str">
        <f>VLOOKUP(AG37,'BUS 2'!$G$1:$CU$424,59,0)</f>
        <v/>
      </c>
      <c r="TY37" s="9" t="str">
        <f>VLOOKUP(AG37,'BUS 2'!$G$1:$CU$424,60,0)</f>
        <v/>
      </c>
      <c r="TZ37" s="9" t="str">
        <f>VLOOKUP(AG37,'BUS 2'!$G$1:$CU$424,61,0)</f>
        <v/>
      </c>
      <c r="UA37" s="9" t="str">
        <f>VLOOKUP(AG37,'BUS 2'!$G$1:$CU$424,62,0)</f>
        <v/>
      </c>
      <c r="UB37" s="9" t="str">
        <f>VLOOKUP(AG37,'BUS 2'!$G$1:$CU$424,63,0)</f>
        <v/>
      </c>
      <c r="UC37" s="9" t="str">
        <f>VLOOKUP(AG37,'BUS 2'!$G$1:$CU$424,64,0)</f>
        <v/>
      </c>
      <c r="UD37" s="9" t="str">
        <f>VLOOKUP(AG37,'BUS 2'!$G$1:$CU$424,65,0)</f>
        <v/>
      </c>
      <c r="UE37" s="9" t="str">
        <f>VLOOKUP(AG37,'BUS 2'!$G$1:$CU$424,66,0)</f>
        <v/>
      </c>
      <c r="UF37" s="9" t="str">
        <f>VLOOKUP(AG37,'BUS 2'!$G$1:$CU$424,67,0)</f>
        <v/>
      </c>
      <c r="UG37" s="9" t="str">
        <f>VLOOKUP(AG37,'BUS 2'!$G$1:$CU$424,68,0)</f>
        <v/>
      </c>
      <c r="UH37" s="9" t="str">
        <f>VLOOKUP(AG37,'BUS 2'!$G$1:$CU$424,69,0)</f>
        <v/>
      </c>
      <c r="UI37" s="9" t="str">
        <f>VLOOKUP(AG37,'BUS 2'!$G$1:$CU$424,70,0)</f>
        <v/>
      </c>
      <c r="UJ37" s="9" t="str">
        <f>VLOOKUP(AG37,'BUS 2'!$G$1:$CU$424,71,0)</f>
        <v/>
      </c>
      <c r="UK37" s="9" t="str">
        <f>VLOOKUP(AG37,'BUS 2'!$G$1:$CU$424,72,0)</f>
        <v/>
      </c>
      <c r="UL37" s="9" t="str">
        <f>VLOOKUP(AG37,'BUS 2'!$G$1:$CU$424,73,0)</f>
        <v/>
      </c>
      <c r="UM37" s="9" t="str">
        <f>VLOOKUP(AG37,'BUS 2'!$G$1:$CU$424,74,0)</f>
        <v/>
      </c>
      <c r="UN37" s="9" t="str">
        <f>VLOOKUP(AG37,'BUS 2'!$G$1:$CU$424,75,0)</f>
        <v/>
      </c>
      <c r="UO37" s="9" t="str">
        <f>VLOOKUP(AG37,'BUS 2'!$G$1:$CU$424,76,0)</f>
        <v/>
      </c>
      <c r="UP37" s="9" t="str">
        <f>VLOOKUP(AG37,'BUS 2'!$G$1:$CU$424,77,0)</f>
        <v/>
      </c>
      <c r="UQ37" s="9" t="str">
        <f>VLOOKUP(AG37,'BUS 2'!$G$1:$CU$424,78,0)</f>
        <v/>
      </c>
      <c r="UR37" s="9" t="str">
        <f>VLOOKUP(AG37,'BUS 2'!$G$1:$CU$424,79,0)</f>
        <v/>
      </c>
      <c r="US37" s="9" t="str">
        <f>VLOOKUP(AG37,'BUS 2'!$G$1:$CU$424,80,0)</f>
        <v/>
      </c>
      <c r="UT37" s="9" t="str">
        <f>VLOOKUP(AG37,'BUS 2'!$G$1:$CU$424,81,0)</f>
        <v/>
      </c>
      <c r="UU37" s="14"/>
      <c r="UV37" s="14"/>
      <c r="UW37" s="14"/>
      <c r="UX37" s="14"/>
      <c r="UY37" s="14"/>
      <c r="UZ37" s="14"/>
      <c r="VA37" s="14" t="s">
        <v>1976</v>
      </c>
      <c r="VB37" s="14" t="s">
        <v>1976</v>
      </c>
      <c r="VC37" s="14"/>
      <c r="VD37" s="14"/>
      <c r="VE37" s="14"/>
      <c r="VF37" s="14"/>
      <c r="VG37" s="14"/>
      <c r="VH37" s="14"/>
      <c r="VI37" s="14" t="s">
        <v>1938</v>
      </c>
      <c r="VJ37" s="14" t="s">
        <v>1938</v>
      </c>
      <c r="VK37" s="14"/>
      <c r="VL37" s="14"/>
      <c r="VM37" s="14"/>
      <c r="VN37" s="14"/>
      <c r="VO37" s="14"/>
      <c r="VP37" s="14"/>
      <c r="VQ37" s="14"/>
      <c r="VR37" s="14"/>
      <c r="VS37" s="14"/>
      <c r="VT37" s="14"/>
      <c r="VU37" s="14"/>
      <c r="VV37" s="14"/>
      <c r="VW37" s="14"/>
      <c r="VX37" s="14"/>
      <c r="VY37" s="14"/>
      <c r="VZ37" s="14"/>
      <c r="WA37" s="14"/>
      <c r="WB37" s="14"/>
      <c r="WC37" s="14"/>
      <c r="WD37" s="14"/>
      <c r="WE37" s="14"/>
      <c r="WF37" s="14"/>
      <c r="WG37" s="14"/>
      <c r="WH37" s="14"/>
      <c r="WI37" s="14"/>
      <c r="WJ37" s="14"/>
      <c r="WK37" s="14"/>
      <c r="WL37" s="14"/>
      <c r="WM37" s="14"/>
      <c r="WN37" s="14"/>
      <c r="WO37" s="14"/>
      <c r="WP37" s="14"/>
      <c r="WQ37" s="14"/>
      <c r="WR37" s="14"/>
      <c r="WS37" s="14"/>
      <c r="WT37" s="14"/>
      <c r="WU37" s="14"/>
      <c r="WV37" s="14"/>
      <c r="WW37" s="14"/>
      <c r="WX37" s="14"/>
      <c r="WY37" s="14"/>
      <c r="WZ37" s="14"/>
      <c r="XA37" s="14"/>
      <c r="XB37" s="14"/>
      <c r="XC37" s="14"/>
      <c r="XD37" s="14"/>
      <c r="XE37" s="14"/>
      <c r="XF37" s="14"/>
      <c r="XG37" s="14"/>
      <c r="XH37" s="14"/>
      <c r="XI37" s="14"/>
      <c r="XJ37" s="14"/>
      <c r="XK37" s="14"/>
      <c r="XL37" s="14"/>
      <c r="XM37" s="14"/>
      <c r="XN37" s="14"/>
      <c r="XO37" s="14"/>
      <c r="XP37" s="14"/>
      <c r="XQ37" s="14"/>
      <c r="XR37" s="14"/>
      <c r="XS37" s="14"/>
      <c r="XT37" s="14"/>
      <c r="XU37" s="14"/>
      <c r="XV37" s="14"/>
      <c r="XW37" s="14"/>
      <c r="XX37" s="14"/>
      <c r="XY37" s="14"/>
      <c r="XZ37" s="14"/>
      <c r="YA37" s="14"/>
      <c r="YB37" s="14"/>
      <c r="YC37" s="14"/>
      <c r="YD37" s="14"/>
      <c r="YE37" s="14"/>
      <c r="YF37" s="14"/>
      <c r="YG37" s="14"/>
      <c r="YH37" s="14"/>
      <c r="YI37" s="14"/>
      <c r="YJ37" s="14"/>
      <c r="YK37" s="14"/>
      <c r="YL37" s="14"/>
      <c r="YM37" s="14"/>
      <c r="YN37" s="14" t="s">
        <v>1941</v>
      </c>
      <c r="YO37" s="24">
        <v>0.0</v>
      </c>
      <c r="YP37" s="24">
        <v>0.0</v>
      </c>
      <c r="YQ37" s="24">
        <v>0.0</v>
      </c>
      <c r="YR37" s="24">
        <v>0.0</v>
      </c>
      <c r="YS37" s="24">
        <v>0.0</v>
      </c>
      <c r="YT37" s="24">
        <v>0.0</v>
      </c>
      <c r="YU37" s="24">
        <v>0.0</v>
      </c>
      <c r="YV37" s="24">
        <v>0.0</v>
      </c>
      <c r="YW37" s="24">
        <v>0.0</v>
      </c>
      <c r="YX37" s="24">
        <v>0.0</v>
      </c>
      <c r="YY37" s="24">
        <v>0.0</v>
      </c>
      <c r="YZ37" s="24">
        <v>1.0</v>
      </c>
      <c r="ZA37" s="14" t="s">
        <v>1941</v>
      </c>
      <c r="ZB37" s="24">
        <v>0.0</v>
      </c>
      <c r="ZC37" s="24">
        <v>0.0</v>
      </c>
      <c r="ZD37" s="24">
        <v>0.0</v>
      </c>
      <c r="ZE37" s="24">
        <v>0.0</v>
      </c>
      <c r="ZF37" s="24">
        <v>0.0</v>
      </c>
      <c r="ZG37" s="24">
        <v>0.0</v>
      </c>
      <c r="ZH37" s="24">
        <v>0.0</v>
      </c>
      <c r="ZI37" s="24">
        <v>0.0</v>
      </c>
      <c r="ZJ37" s="24">
        <v>0.0</v>
      </c>
      <c r="ZK37" s="24">
        <v>0.0</v>
      </c>
      <c r="ZL37" s="24">
        <v>0.0</v>
      </c>
      <c r="ZM37" s="24">
        <v>1.0</v>
      </c>
      <c r="ZN37" s="14"/>
      <c r="ZO37" s="14"/>
      <c r="ZP37" s="14"/>
      <c r="ZQ37" s="14"/>
      <c r="ZR37" s="14"/>
      <c r="ZS37" s="14"/>
      <c r="ZT37" s="14"/>
      <c r="ZU37" s="14"/>
      <c r="ZV37" s="14"/>
      <c r="ZW37" s="14"/>
      <c r="ZX37" s="14"/>
      <c r="ZY37" s="14"/>
      <c r="ZZ37" s="14"/>
      <c r="AAA37" s="14"/>
      <c r="AAB37" s="24">
        <v>2.0</v>
      </c>
      <c r="AAC37" s="24">
        <v>2.0</v>
      </c>
      <c r="AAD37" s="14"/>
      <c r="AAE37" s="14"/>
      <c r="AAF37" s="14"/>
      <c r="AAG37" s="14"/>
      <c r="AAH37" s="14"/>
      <c r="AAI37" s="14"/>
      <c r="AAJ37" s="14" t="s">
        <v>905</v>
      </c>
      <c r="AAK37" s="14" t="s">
        <v>905</v>
      </c>
      <c r="AAL37" s="14" t="s">
        <v>857</v>
      </c>
      <c r="AAM37" s="14" t="s">
        <v>1033</v>
      </c>
      <c r="AAN37" s="24">
        <v>1.0</v>
      </c>
      <c r="AAO37" s="24">
        <v>1.0</v>
      </c>
      <c r="AAP37" s="24">
        <v>25.0</v>
      </c>
      <c r="AAQ37" s="24">
        <v>25.0</v>
      </c>
      <c r="AAR37" s="14" t="s">
        <v>857</v>
      </c>
      <c r="AAS37" s="14" t="s">
        <v>867</v>
      </c>
      <c r="AAT37" s="14" t="s">
        <v>1074</v>
      </c>
      <c r="AAU37" s="24">
        <v>1.0</v>
      </c>
      <c r="AAV37" s="24">
        <v>0.0</v>
      </c>
      <c r="AAW37" s="24">
        <v>0.0</v>
      </c>
      <c r="AAX37" s="24">
        <v>1.0</v>
      </c>
      <c r="AAY37" s="24">
        <v>1.0</v>
      </c>
      <c r="AAZ37" s="24">
        <v>0.0</v>
      </c>
      <c r="ABA37" s="24">
        <v>0.0</v>
      </c>
      <c r="ABB37" s="14" t="s">
        <v>2072</v>
      </c>
      <c r="ABC37" s="24">
        <v>1.0</v>
      </c>
      <c r="ABD37" s="24">
        <v>1.0</v>
      </c>
      <c r="ABE37" s="24">
        <v>1.0</v>
      </c>
      <c r="ABF37" s="24">
        <v>1.0</v>
      </c>
      <c r="ABG37" s="24">
        <v>0.0</v>
      </c>
      <c r="ABH37" s="14"/>
      <c r="ABI37" s="14"/>
      <c r="ABJ37" s="14"/>
      <c r="ABK37" s="14"/>
      <c r="ABL37" s="14"/>
      <c r="ABM37" s="14"/>
      <c r="ABN37" s="14"/>
      <c r="ABO37" s="14"/>
      <c r="ABP37" s="14"/>
      <c r="ABQ37" s="14" t="s">
        <v>2654</v>
      </c>
      <c r="ABR37" s="14" t="s">
        <v>909</v>
      </c>
      <c r="ABS37" s="24">
        <v>1200.0</v>
      </c>
      <c r="ABT37" s="24">
        <v>1400.0</v>
      </c>
      <c r="ABU37" s="24">
        <v>2.0</v>
      </c>
      <c r="ABV37" s="24">
        <v>0.0</v>
      </c>
      <c r="ABW37" s="14" t="s">
        <v>1199</v>
      </c>
      <c r="ABX37" s="14"/>
      <c r="ABY37" s="24">
        <v>25.0</v>
      </c>
      <c r="ABZ37" s="24">
        <v>62500.0</v>
      </c>
      <c r="ACA37" s="24">
        <v>0.0</v>
      </c>
      <c r="ACB37" s="24">
        <v>0.0</v>
      </c>
      <c r="ACC37" s="24">
        <v>100.0</v>
      </c>
      <c r="ACD37" s="24">
        <v>100.0</v>
      </c>
      <c r="ACE37" s="14" t="s">
        <v>857</v>
      </c>
      <c r="ACF37" s="14" t="s">
        <v>911</v>
      </c>
      <c r="ACG37" s="14" t="s">
        <v>1183</v>
      </c>
      <c r="ACH37" s="14" t="s">
        <v>1183</v>
      </c>
      <c r="ACI37" s="14"/>
      <c r="ACJ37" s="14"/>
      <c r="ACK37" s="14" t="s">
        <v>969</v>
      </c>
      <c r="ACL37" s="24">
        <v>0.0</v>
      </c>
      <c r="ACM37" s="24">
        <v>0.0</v>
      </c>
      <c r="ACN37" s="24">
        <v>0.0</v>
      </c>
      <c r="ACO37" s="24">
        <v>0.0</v>
      </c>
      <c r="ACP37" s="24">
        <v>0.0</v>
      </c>
      <c r="ACQ37" s="24">
        <v>0.0</v>
      </c>
      <c r="ACR37" s="24">
        <v>1.0</v>
      </c>
      <c r="ACS37" s="14" t="s">
        <v>2655</v>
      </c>
      <c r="ACT37" s="14" t="s">
        <v>1945</v>
      </c>
      <c r="ACU37" s="14" t="s">
        <v>1050</v>
      </c>
      <c r="ACV37" s="14" t="s">
        <v>914</v>
      </c>
      <c r="ACW37" s="14" t="s">
        <v>915</v>
      </c>
      <c r="ACX37" s="14" t="s">
        <v>916</v>
      </c>
      <c r="ACY37" s="14" t="s">
        <v>1035</v>
      </c>
      <c r="ACZ37" s="24">
        <v>1.0</v>
      </c>
      <c r="ADA37" s="24">
        <v>1.0</v>
      </c>
      <c r="ADB37" s="24">
        <v>0.0</v>
      </c>
      <c r="ADC37" s="24">
        <v>0.0</v>
      </c>
      <c r="ADD37" s="14" t="s">
        <v>917</v>
      </c>
      <c r="ADE37" s="14" t="s">
        <v>917</v>
      </c>
      <c r="ADF37" s="14" t="s">
        <v>917</v>
      </c>
      <c r="ADG37" s="14" t="s">
        <v>917</v>
      </c>
      <c r="ADH37" s="14" t="s">
        <v>881</v>
      </c>
      <c r="ADI37" s="14"/>
      <c r="ADJ37" s="14" t="s">
        <v>917</v>
      </c>
      <c r="ADK37" s="14"/>
      <c r="ADL37" s="14"/>
      <c r="ADM37" s="14"/>
      <c r="ADN37" s="14"/>
      <c r="ADO37" s="14"/>
      <c r="ADP37" s="14"/>
      <c r="ADQ37" s="14"/>
      <c r="ADR37" s="14"/>
      <c r="ADS37" s="14"/>
      <c r="ADT37" s="14"/>
      <c r="ADU37" s="14" t="s">
        <v>919</v>
      </c>
      <c r="ADV37" s="24">
        <v>0.0</v>
      </c>
      <c r="ADW37" s="24">
        <v>0.0</v>
      </c>
      <c r="ADX37" s="24">
        <v>0.0</v>
      </c>
      <c r="ADY37" s="24">
        <v>0.0</v>
      </c>
      <c r="ADZ37" s="24">
        <v>1.0</v>
      </c>
      <c r="AEA37" s="24">
        <v>0.0</v>
      </c>
      <c r="AEB37" s="24">
        <v>0.0</v>
      </c>
      <c r="AEC37" s="24">
        <v>0.0</v>
      </c>
      <c r="AED37" s="14" t="s">
        <v>2124</v>
      </c>
      <c r="AEE37" s="14" t="s">
        <v>872</v>
      </c>
      <c r="AEF37" s="14"/>
      <c r="AEG37" s="14" t="s">
        <v>920</v>
      </c>
      <c r="AEH37" s="14"/>
      <c r="AEI37" s="14" t="s">
        <v>1945</v>
      </c>
      <c r="AEJ37" s="14" t="s">
        <v>871</v>
      </c>
      <c r="AEK37" s="14" t="s">
        <v>2656</v>
      </c>
      <c r="AEL37" s="24">
        <v>1.0</v>
      </c>
      <c r="AEM37" s="24">
        <v>1.0</v>
      </c>
      <c r="AEN37" s="24">
        <v>1.0</v>
      </c>
      <c r="AEO37" s="24">
        <v>0.0</v>
      </c>
      <c r="AEP37" s="24">
        <v>1.0</v>
      </c>
      <c r="AEQ37" s="24">
        <v>0.0</v>
      </c>
      <c r="AER37" s="24">
        <v>1.0</v>
      </c>
      <c r="AES37" s="24">
        <v>1.0</v>
      </c>
      <c r="AET37" s="24">
        <v>0.0</v>
      </c>
      <c r="AEU37" s="24">
        <v>0.0</v>
      </c>
      <c r="AEV37" s="24">
        <v>0.0</v>
      </c>
      <c r="AEW37" s="24">
        <v>0.0</v>
      </c>
      <c r="AEX37" s="14"/>
      <c r="AEY37" s="14" t="s">
        <v>2575</v>
      </c>
      <c r="AEZ37" s="14"/>
      <c r="AFA37" s="14" t="s">
        <v>2077</v>
      </c>
      <c r="AFB37" s="14"/>
      <c r="AFC37" s="14" t="s">
        <v>2657</v>
      </c>
      <c r="AFD37" s="25" t="s">
        <v>2658</v>
      </c>
      <c r="AFE37" s="14" t="s">
        <v>2659</v>
      </c>
      <c r="AFF37" s="25" t="s">
        <v>2660</v>
      </c>
      <c r="AFG37" s="14" t="s">
        <v>1986</v>
      </c>
      <c r="AFH37" s="14"/>
      <c r="AFI37" s="14" t="s">
        <v>2661</v>
      </c>
      <c r="AFJ37" s="14"/>
      <c r="AFK37" s="14"/>
      <c r="AFL37" s="14"/>
      <c r="AFM37" s="14"/>
      <c r="AFN37" s="14"/>
      <c r="AFO37" s="14"/>
      <c r="AFP37" s="14"/>
      <c r="AFQ37" s="14"/>
      <c r="AFR37" s="14"/>
      <c r="AFS37" s="14"/>
      <c r="AFT37" s="14"/>
      <c r="AFU37" s="14"/>
      <c r="AFV37" s="14"/>
      <c r="AFW37" s="14"/>
      <c r="AFX37" s="14"/>
      <c r="AFY37" s="14"/>
      <c r="AFZ37" s="14"/>
      <c r="AGA37" s="14"/>
      <c r="AGB37" s="14"/>
      <c r="AGC37" s="14"/>
      <c r="AGD37" s="14"/>
      <c r="AGE37" s="14"/>
      <c r="AGF37" s="14"/>
      <c r="AGG37" s="14"/>
      <c r="AGH37" s="14"/>
      <c r="AGI37" s="14"/>
      <c r="AGJ37" s="14"/>
      <c r="AGK37" s="14"/>
      <c r="AGL37" s="14"/>
      <c r="AGM37" s="14"/>
      <c r="AGN37" s="14"/>
      <c r="AGO37" s="14"/>
      <c r="AGP37" s="14"/>
      <c r="AGQ37" s="14"/>
      <c r="AGR37" s="14"/>
      <c r="AGS37" s="14"/>
      <c r="AGT37" s="14"/>
      <c r="AGU37" s="14"/>
      <c r="AGV37" s="14"/>
      <c r="AGW37" s="14"/>
      <c r="AGX37" s="14"/>
      <c r="AGY37" s="14"/>
      <c r="AGZ37" s="14"/>
      <c r="AHA37" s="14"/>
      <c r="AHB37" s="14"/>
      <c r="AHC37" s="14"/>
      <c r="AHD37" s="14"/>
      <c r="AHE37" s="14"/>
      <c r="AHF37" s="14"/>
      <c r="AHG37" s="14"/>
      <c r="AHH37" s="14"/>
      <c r="AHI37" s="14"/>
      <c r="AHJ37" s="14"/>
      <c r="AHK37" s="14"/>
      <c r="AHL37" s="14"/>
      <c r="AHM37" s="14"/>
      <c r="AHN37" s="14"/>
      <c r="AHO37" s="14"/>
      <c r="AHP37" s="14"/>
      <c r="AHQ37" s="14"/>
      <c r="AHR37" s="14"/>
      <c r="AHS37" s="14"/>
      <c r="AHT37" s="14"/>
      <c r="AHU37" s="14"/>
      <c r="AHV37" s="14"/>
      <c r="AHW37" s="14"/>
      <c r="AHX37" s="14"/>
      <c r="AHY37" s="14"/>
      <c r="AHZ37" s="14"/>
      <c r="AIA37" s="14"/>
      <c r="AIB37" s="14"/>
      <c r="AIC37" s="14"/>
      <c r="AID37" s="14"/>
      <c r="AIE37" s="14"/>
      <c r="AIF37" s="14"/>
      <c r="AIG37" s="14"/>
      <c r="AIH37" s="14"/>
      <c r="AII37" s="14"/>
      <c r="AIJ37" s="14"/>
      <c r="AIK37" s="14"/>
      <c r="AIL37" s="14"/>
      <c r="AIM37" s="14"/>
      <c r="AIN37" s="14"/>
      <c r="AIO37" s="14"/>
      <c r="AIP37" s="14"/>
      <c r="AIQ37" s="14"/>
      <c r="AIR37" s="14"/>
      <c r="AIS37" s="14"/>
      <c r="AIT37" s="14"/>
      <c r="AIU37" s="14"/>
      <c r="AIV37" s="14"/>
      <c r="AIW37" s="14"/>
      <c r="AIX37" s="14"/>
      <c r="AIY37" s="14"/>
      <c r="AIZ37" s="14"/>
      <c r="AJA37" s="14"/>
      <c r="AJB37" s="14"/>
      <c r="AJC37" s="14"/>
      <c r="AJD37" s="14"/>
      <c r="AJE37" s="14"/>
      <c r="AJF37" s="14"/>
      <c r="AJG37" s="14"/>
      <c r="AJH37" s="14"/>
      <c r="AJI37" s="14"/>
      <c r="AJJ37" s="14"/>
      <c r="AJK37" s="14"/>
      <c r="AJL37" s="14"/>
      <c r="AJM37" s="14"/>
      <c r="AJN37" s="14"/>
      <c r="AJO37" s="14"/>
      <c r="AJP37" s="14"/>
      <c r="AJQ37" s="14"/>
      <c r="AJR37" s="14"/>
      <c r="AJS37" s="14"/>
      <c r="AJT37" s="14"/>
      <c r="AJU37" s="14"/>
      <c r="AJV37" s="14"/>
      <c r="AJW37" s="14"/>
      <c r="AJX37" s="14"/>
      <c r="AJY37" s="14"/>
      <c r="AJZ37" s="14"/>
      <c r="AKA37" s="14"/>
      <c r="AKB37" s="14"/>
      <c r="AKC37" s="14"/>
      <c r="AKD37" s="14"/>
      <c r="AKE37" s="14"/>
      <c r="AKF37" s="14"/>
      <c r="AKG37" s="14"/>
      <c r="AKH37" s="14"/>
      <c r="AKI37" s="14"/>
      <c r="AKJ37" s="14"/>
      <c r="AKK37" s="14"/>
      <c r="AKL37" s="14"/>
      <c r="AKM37" s="14"/>
      <c r="AKN37" s="14"/>
      <c r="AKO37" s="14"/>
      <c r="AKP37" s="14"/>
      <c r="AKQ37" s="14"/>
      <c r="AKR37" s="14"/>
      <c r="AKS37" s="14"/>
      <c r="AKT37" s="14"/>
      <c r="AKU37" s="14"/>
      <c r="AKV37" s="14"/>
      <c r="AKW37" s="14"/>
      <c r="AKX37" s="14"/>
      <c r="AKY37" s="14"/>
      <c r="AKZ37" s="14"/>
      <c r="ALA37" s="14"/>
      <c r="ALB37" s="14"/>
      <c r="ALC37" s="14"/>
      <c r="ALD37" s="14"/>
      <c r="ALE37" s="14"/>
      <c r="ALF37" s="14"/>
      <c r="ALG37" s="14"/>
      <c r="ALH37" s="14"/>
      <c r="ALI37" s="14"/>
      <c r="ALJ37" s="14"/>
      <c r="ALK37" s="14"/>
      <c r="ALL37" s="14"/>
      <c r="ALM37" s="14"/>
      <c r="ALN37" s="14"/>
      <c r="ALO37" s="14"/>
      <c r="ALP37" s="14"/>
      <c r="ALQ37" s="14"/>
      <c r="ALR37" s="14"/>
      <c r="ALS37" s="14"/>
      <c r="ALT37" s="14"/>
      <c r="ALU37" s="14"/>
      <c r="ALV37" s="14"/>
      <c r="ALW37" s="14"/>
      <c r="ALX37" s="14"/>
      <c r="ALY37" s="14"/>
      <c r="ALZ37" s="14"/>
      <c r="AMA37" s="14"/>
      <c r="AMB37" s="14"/>
      <c r="AMC37" s="14"/>
      <c r="AMD37" s="14"/>
      <c r="AME37" s="14"/>
      <c r="AMF37" s="14"/>
      <c r="AMG37" s="14"/>
      <c r="AMH37" s="14"/>
      <c r="AMI37" s="14"/>
      <c r="AMJ37" s="14"/>
      <c r="AMK37" s="14"/>
      <c r="AML37" s="14"/>
      <c r="AMM37" s="14"/>
      <c r="AMN37" s="14"/>
      <c r="AMO37" s="14"/>
      <c r="AMP37" s="14"/>
      <c r="AMQ37" s="14"/>
      <c r="AMR37" s="14"/>
      <c r="AMS37" s="14"/>
      <c r="AMT37" s="14"/>
      <c r="AMU37" s="14"/>
      <c r="AMV37" s="14"/>
      <c r="AMW37" s="14"/>
      <c r="AMX37" s="14"/>
      <c r="AMY37" s="14"/>
      <c r="AMZ37" s="14"/>
      <c r="ANA37" s="14"/>
      <c r="ANB37" s="14"/>
      <c r="ANC37" s="14"/>
      <c r="AND37" s="14"/>
      <c r="ANE37" s="14"/>
      <c r="ANF37" s="14"/>
      <c r="ANG37" s="14"/>
      <c r="ANH37" s="14"/>
      <c r="ANI37" s="14"/>
      <c r="ANJ37" s="14"/>
      <c r="ANK37" s="14"/>
      <c r="ANL37" s="14"/>
      <c r="ANM37" s="14"/>
      <c r="ANN37" s="14"/>
      <c r="ANO37" s="14"/>
      <c r="ANP37" s="14"/>
      <c r="ANQ37" s="14"/>
      <c r="ANR37" s="14"/>
      <c r="ANS37" s="14"/>
      <c r="ANT37" s="14"/>
      <c r="ANU37" s="14"/>
      <c r="ANV37" s="14"/>
      <c r="ANW37" s="14"/>
      <c r="ANX37" s="14"/>
      <c r="ANY37" s="14"/>
      <c r="ANZ37" s="14"/>
      <c r="AOA37" s="14"/>
      <c r="AOB37" s="14"/>
      <c r="AOC37" s="14"/>
      <c r="AOD37" s="14"/>
      <c r="AOE37" s="14"/>
      <c r="AOF37" s="14"/>
      <c r="AOG37" s="14"/>
      <c r="AOH37" s="14"/>
      <c r="AOI37" s="14"/>
      <c r="AOJ37" s="14"/>
      <c r="AOK37" s="14"/>
      <c r="AOL37" s="14"/>
      <c r="AOM37" s="14"/>
      <c r="AON37" s="14"/>
      <c r="AOO37" s="14"/>
      <c r="AOP37" s="14"/>
      <c r="AOQ37" s="14"/>
      <c r="AOR37" s="14"/>
      <c r="AOS37" s="14"/>
      <c r="AOT37" s="14"/>
      <c r="AOU37" s="14"/>
      <c r="AOV37" s="14"/>
      <c r="AOW37" s="14"/>
      <c r="AOX37" s="14"/>
      <c r="AOY37" s="14"/>
      <c r="AOZ37" s="14"/>
      <c r="APA37" s="14"/>
      <c r="APB37" s="14"/>
      <c r="APC37" s="14"/>
      <c r="APD37" s="14"/>
      <c r="APE37" s="14"/>
      <c r="APF37" s="14"/>
      <c r="APG37" s="14"/>
      <c r="APH37" s="14"/>
      <c r="API37" s="14"/>
      <c r="APJ37" s="14"/>
      <c r="APK37" s="14"/>
      <c r="APL37" s="14"/>
      <c r="APM37" s="14"/>
      <c r="APN37" s="14"/>
      <c r="APO37" s="14"/>
      <c r="APP37" s="14"/>
      <c r="APQ37" s="14"/>
      <c r="APR37" s="14"/>
      <c r="APS37" s="14"/>
      <c r="APT37" s="14"/>
      <c r="APU37" s="14"/>
      <c r="APV37" s="14"/>
      <c r="APW37" s="14"/>
      <c r="APX37" s="14"/>
      <c r="APY37" s="14"/>
      <c r="APZ37" s="14"/>
      <c r="AQA37" s="14"/>
      <c r="AQB37" s="14"/>
      <c r="AQC37" s="14"/>
      <c r="AQD37" s="14"/>
      <c r="AQE37" s="14"/>
      <c r="AQF37" s="14"/>
      <c r="AQG37" s="14"/>
      <c r="AQH37" s="14"/>
      <c r="AQI37" s="14"/>
      <c r="AQJ37" s="14"/>
      <c r="AQK37" s="14"/>
      <c r="AQL37" s="14"/>
      <c r="AQM37" s="14"/>
      <c r="AQN37" s="14"/>
      <c r="AQO37" s="14"/>
      <c r="AQP37" s="14"/>
      <c r="AQQ37" s="14"/>
      <c r="AQR37" s="14"/>
      <c r="AQS37" s="14"/>
      <c r="AQT37" s="14"/>
      <c r="AQU37" s="14"/>
      <c r="AQV37" s="14"/>
      <c r="AQW37" s="14"/>
      <c r="AQX37" s="14"/>
      <c r="AQY37" s="14"/>
      <c r="AQZ37" s="14"/>
      <c r="ARA37" s="14"/>
      <c r="ARB37" s="14"/>
      <c r="ARC37" s="14"/>
      <c r="ARD37" s="14"/>
      <c r="ARE37" s="14"/>
      <c r="ARF37" s="14"/>
      <c r="ARG37" s="14"/>
      <c r="ARH37" s="14"/>
      <c r="ARI37" s="14"/>
      <c r="ARJ37" s="14"/>
      <c r="ARK37" s="14"/>
      <c r="ARL37" s="14"/>
      <c r="ARM37" s="14"/>
      <c r="ARN37" s="14"/>
      <c r="ARO37" s="14"/>
      <c r="ARP37" s="14"/>
      <c r="ARQ37" s="14"/>
      <c r="ARR37" s="14"/>
      <c r="ARS37" s="14"/>
      <c r="ART37" s="14"/>
      <c r="ARU37" s="14"/>
      <c r="ARV37" s="14"/>
      <c r="ARW37" s="14"/>
      <c r="ARX37" s="14"/>
      <c r="ARY37" s="14"/>
      <c r="ARZ37" s="14"/>
      <c r="ASA37" s="14"/>
      <c r="ASB37" s="14"/>
      <c r="ASC37" s="14"/>
      <c r="ASD37" s="14"/>
      <c r="ASE37" s="14"/>
      <c r="ASF37" s="14"/>
      <c r="ASG37" s="14"/>
      <c r="ASH37" s="14"/>
      <c r="ASI37" s="14"/>
      <c r="ASJ37" s="14"/>
      <c r="ASK37" s="14"/>
      <c r="ASL37" s="14"/>
      <c r="ASM37" s="14"/>
      <c r="ASN37" s="14"/>
      <c r="ASO37" s="14"/>
      <c r="ASP37" s="14"/>
      <c r="ASQ37" s="14"/>
      <c r="ASR37" s="14"/>
      <c r="ASS37" s="14"/>
      <c r="AST37" s="14"/>
      <c r="ASU37" s="14"/>
      <c r="ASV37" s="14"/>
      <c r="ASW37" s="14"/>
      <c r="ASX37" s="14"/>
      <c r="ASY37" s="14"/>
      <c r="ASZ37" s="14"/>
      <c r="ATA37" s="14"/>
      <c r="ATB37" s="14"/>
      <c r="ATC37" s="14"/>
      <c r="ATD37" s="14"/>
      <c r="ATE37" s="14"/>
      <c r="ATF37" s="14"/>
      <c r="ATG37" s="14"/>
      <c r="ATH37" s="14"/>
      <c r="ATI37" s="14"/>
      <c r="ATJ37" s="14"/>
      <c r="ATK37" s="14"/>
      <c r="ATL37" s="14"/>
      <c r="ATM37" s="14"/>
      <c r="ATN37" s="14"/>
      <c r="ATO37" s="14"/>
      <c r="ATP37" s="14"/>
      <c r="ATQ37" s="14"/>
      <c r="ATR37" s="14"/>
      <c r="ATS37" s="14"/>
      <c r="ATT37" s="14"/>
      <c r="ATU37" s="14"/>
      <c r="ATV37" s="14"/>
      <c r="ATW37" s="14"/>
      <c r="ATX37" s="14"/>
      <c r="ATY37" s="14"/>
      <c r="ATZ37" s="14"/>
      <c r="AUA37" s="14"/>
      <c r="AUB37" s="14"/>
      <c r="AUC37" s="14"/>
      <c r="AUD37" s="14"/>
      <c r="AUE37" s="14"/>
      <c r="AUF37" s="14"/>
      <c r="AUG37" s="14"/>
      <c r="AUH37" s="14"/>
      <c r="AUI37" s="14"/>
      <c r="AUJ37" s="14"/>
      <c r="AUK37" s="14"/>
      <c r="AUL37" s="14"/>
      <c r="AUM37" s="14"/>
      <c r="AUN37" s="14"/>
      <c r="AUO37" s="14"/>
      <c r="AUP37" s="14"/>
      <c r="AUQ37" s="14"/>
      <c r="AUR37" s="14"/>
      <c r="AUS37" s="14"/>
      <c r="AUT37" s="14"/>
      <c r="AUU37" s="14"/>
      <c r="AUV37" s="14"/>
      <c r="AUW37" s="14"/>
      <c r="AUX37" s="14"/>
      <c r="AUY37" s="14"/>
      <c r="AUZ37" s="14"/>
      <c r="AVA37" s="14"/>
      <c r="AVB37" s="14"/>
      <c r="AVC37" s="14"/>
      <c r="AVD37" s="14"/>
      <c r="AVE37" s="14"/>
      <c r="AVF37" s="14"/>
      <c r="AVG37" s="14"/>
      <c r="AVH37" s="14"/>
      <c r="AVI37" s="14"/>
      <c r="AVJ37" s="14"/>
      <c r="AVK37" s="14"/>
      <c r="AVL37" s="14"/>
      <c r="AVM37" s="14"/>
      <c r="AVN37" s="14"/>
      <c r="AVO37" s="14"/>
      <c r="AVP37" s="14"/>
      <c r="AVQ37" s="14"/>
      <c r="AVR37" s="14"/>
      <c r="AVS37" s="14"/>
      <c r="AVT37" s="14"/>
      <c r="AVU37" s="14"/>
      <c r="AVV37" s="14"/>
      <c r="AVW37" s="14"/>
      <c r="AVX37" s="14"/>
      <c r="AVY37" s="14"/>
      <c r="AVZ37" s="14"/>
      <c r="AWA37" s="24">
        <v>6.72852898E8</v>
      </c>
      <c r="AWB37" s="14" t="s">
        <v>2662</v>
      </c>
      <c r="AWC37" s="22">
        <v>46069.0</v>
      </c>
      <c r="AWD37" s="14"/>
      <c r="AWE37" s="14"/>
      <c r="AWF37" s="14" t="s">
        <v>1954</v>
      </c>
      <c r="AWG37" s="14"/>
      <c r="AWH37" s="14" t="s">
        <v>1989</v>
      </c>
      <c r="AWI37" s="14"/>
      <c r="AWJ37" s="14" t="s">
        <v>2663</v>
      </c>
      <c r="AWK37" s="24">
        <v>281.0</v>
      </c>
      <c r="AWL37" s="14" t="s">
        <v>2653</v>
      </c>
      <c r="AWM37" s="24">
        <v>0.0</v>
      </c>
      <c r="AWN37" s="14" t="s">
        <v>1957</v>
      </c>
      <c r="AWO37" s="41" t="b">
        <v>1</v>
      </c>
      <c r="AWP37" s="41" t="b">
        <v>1</v>
      </c>
      <c r="AWQ37" s="41" t="b">
        <v>1</v>
      </c>
      <c r="AWR37" s="41" t="b">
        <v>1</v>
      </c>
      <c r="AWS37" s="41" t="b">
        <v>1</v>
      </c>
      <c r="AWT37" s="41" t="b">
        <v>1</v>
      </c>
      <c r="AWU37" s="14"/>
      <c r="AWV37" s="24">
        <v>3.0</v>
      </c>
      <c r="AWW37" s="14"/>
      <c r="AWX37" s="14"/>
      <c r="AWY37" s="14"/>
      <c r="AWZ37" s="14"/>
    </row>
    <row r="38">
      <c r="A38" s="6">
        <v>46069.0</v>
      </c>
      <c r="B38" s="6">
        <v>46069.0</v>
      </c>
      <c r="C38" s="30" t="s">
        <v>1991</v>
      </c>
      <c r="D38" s="30" t="s">
        <v>2664</v>
      </c>
      <c r="E38" s="8">
        <f>+620</f>
        <v>620</v>
      </c>
      <c r="F38" s="9" t="s">
        <v>2665</v>
      </c>
      <c r="G38" s="8">
        <v>-5.369417</v>
      </c>
      <c r="H38" s="8">
        <v>119.517248</v>
      </c>
      <c r="I38" s="8">
        <v>87.87768555</v>
      </c>
      <c r="J38" s="8">
        <v>7.643000126</v>
      </c>
      <c r="K38" s="8">
        <v>0.0</v>
      </c>
      <c r="L38" s="9" t="s">
        <v>2666</v>
      </c>
      <c r="M38" s="8">
        <v>-5.369643</v>
      </c>
      <c r="N38" s="8">
        <v>119.51692</v>
      </c>
      <c r="O38" s="8">
        <v>93.04162598</v>
      </c>
      <c r="P38" s="8">
        <v>4.228000164</v>
      </c>
      <c r="Q38" s="8">
        <v>0.0</v>
      </c>
      <c r="R38" s="9" t="s">
        <v>1923</v>
      </c>
      <c r="S38" s="8">
        <v>0.0</v>
      </c>
      <c r="T38" s="8">
        <v>0.0</v>
      </c>
      <c r="U38" s="8">
        <v>0.0</v>
      </c>
      <c r="V38" s="8">
        <v>0.0</v>
      </c>
      <c r="W38" s="8">
        <v>0.0</v>
      </c>
      <c r="X38" s="8">
        <v>0.0</v>
      </c>
      <c r="Y38" s="8">
        <v>0.0</v>
      </c>
      <c r="Z38" s="8">
        <v>0.0</v>
      </c>
      <c r="AA38" s="8">
        <v>0.0</v>
      </c>
      <c r="AB38" s="8">
        <v>1.0</v>
      </c>
      <c r="AC38" s="7" t="s">
        <v>2113</v>
      </c>
      <c r="AD38" s="7" t="s">
        <v>2566</v>
      </c>
      <c r="AE38" s="7" t="s">
        <v>2667</v>
      </c>
      <c r="AF38" s="9" t="s">
        <v>2568</v>
      </c>
      <c r="AG38" s="9" t="s">
        <v>2668</v>
      </c>
      <c r="AH38" s="8">
        <v>11.0</v>
      </c>
      <c r="AI38" s="9" t="s">
        <v>933</v>
      </c>
      <c r="AJ38" s="9" t="s">
        <v>934</v>
      </c>
      <c r="AK38" s="35">
        <v>64.0</v>
      </c>
      <c r="AL38" s="9" t="s">
        <v>847</v>
      </c>
      <c r="AM38" s="9" t="s">
        <v>848</v>
      </c>
      <c r="AN38" s="9" t="s">
        <v>986</v>
      </c>
      <c r="AO38" s="9" t="s">
        <v>850</v>
      </c>
      <c r="AP38" s="8">
        <v>1.0</v>
      </c>
      <c r="AQ38" s="8">
        <v>0.0</v>
      </c>
      <c r="AR38" s="8">
        <v>0.0</v>
      </c>
      <c r="AS38" s="8">
        <v>0.0</v>
      </c>
      <c r="AT38" s="8">
        <v>0.0</v>
      </c>
      <c r="AU38" s="8">
        <v>0.0</v>
      </c>
      <c r="AV38" s="8">
        <v>0.0</v>
      </c>
      <c r="AW38" s="8">
        <v>0.0</v>
      </c>
      <c r="AX38" s="9"/>
      <c r="AY38" s="9" t="s">
        <v>999</v>
      </c>
      <c r="AZ38" s="8">
        <v>0.0</v>
      </c>
      <c r="BA38" s="8">
        <v>0.0</v>
      </c>
      <c r="BB38" s="8">
        <v>0.0</v>
      </c>
      <c r="BC38" s="8">
        <v>0.0</v>
      </c>
      <c r="BD38" s="8">
        <v>0.0</v>
      </c>
      <c r="BE38" s="8">
        <v>0.0</v>
      </c>
      <c r="BF38" s="8">
        <v>0.0</v>
      </c>
      <c r="BG38" s="8">
        <v>1.0</v>
      </c>
      <c r="BH38" s="11"/>
      <c r="BI38" s="9" t="s">
        <v>2118</v>
      </c>
      <c r="BJ38" s="8">
        <v>1.0</v>
      </c>
      <c r="BK38" s="8">
        <v>1.0</v>
      </c>
      <c r="BL38" s="8">
        <v>0.0</v>
      </c>
      <c r="BM38" s="8">
        <v>0.0</v>
      </c>
      <c r="BN38" s="9" t="s">
        <v>853</v>
      </c>
      <c r="BO38" s="9" t="s">
        <v>2000</v>
      </c>
      <c r="BP38" s="8">
        <v>0.0</v>
      </c>
      <c r="BQ38" s="8">
        <v>1.0</v>
      </c>
      <c r="BR38" s="8">
        <v>0.0</v>
      </c>
      <c r="BS38" s="8">
        <v>0.0</v>
      </c>
      <c r="BT38" s="8">
        <v>0.0</v>
      </c>
      <c r="BU38" s="9"/>
      <c r="BV38" s="9" t="s">
        <v>2065</v>
      </c>
      <c r="BW38" s="8">
        <v>1.0</v>
      </c>
      <c r="BX38" s="8">
        <v>0.0</v>
      </c>
      <c r="BY38" s="8">
        <v>0.0</v>
      </c>
      <c r="BZ38" s="8">
        <v>0.0</v>
      </c>
      <c r="CA38" s="8">
        <v>0.0</v>
      </c>
      <c r="CB38" s="9"/>
      <c r="CC38" s="9" t="s">
        <v>1929</v>
      </c>
      <c r="CD38" s="8">
        <v>0.0</v>
      </c>
      <c r="CE38" s="8">
        <v>0.0</v>
      </c>
      <c r="CF38" s="8">
        <v>0.0</v>
      </c>
      <c r="CG38" s="8">
        <v>0.0</v>
      </c>
      <c r="CH38" s="8">
        <v>1.0</v>
      </c>
      <c r="CI38" s="8">
        <v>0.0</v>
      </c>
      <c r="CJ38" s="8">
        <v>0.0</v>
      </c>
      <c r="CK38" s="9"/>
      <c r="CL38" s="9" t="s">
        <v>857</v>
      </c>
      <c r="CM38" s="8">
        <v>2014.0</v>
      </c>
      <c r="CN38" s="9" t="s">
        <v>858</v>
      </c>
      <c r="CO38" s="9" t="s">
        <v>1968</v>
      </c>
      <c r="CP38" s="9" t="s">
        <v>860</v>
      </c>
      <c r="CQ38" s="8">
        <v>0.0</v>
      </c>
      <c r="CR38" s="8">
        <v>0.0</v>
      </c>
      <c r="CS38" s="8">
        <v>0.0</v>
      </c>
      <c r="CT38" s="8">
        <v>0.0</v>
      </c>
      <c r="CU38" s="8">
        <v>1.0</v>
      </c>
      <c r="CV38" s="8">
        <v>0.0</v>
      </c>
      <c r="CW38" s="8">
        <v>0.0</v>
      </c>
      <c r="CX38" s="8">
        <v>0.0</v>
      </c>
      <c r="CY38" s="9" t="s">
        <v>1060</v>
      </c>
      <c r="CZ38" s="8">
        <v>1.0</v>
      </c>
      <c r="DA38" s="8">
        <v>1.0</v>
      </c>
      <c r="DB38" s="8">
        <v>0.0</v>
      </c>
      <c r="DC38" s="9"/>
      <c r="DD38" s="9" t="s">
        <v>860</v>
      </c>
      <c r="DE38" s="8">
        <v>1.0</v>
      </c>
      <c r="DF38" s="8">
        <v>0.0</v>
      </c>
      <c r="DG38" s="8">
        <v>0.0</v>
      </c>
      <c r="DH38" s="8">
        <v>0.0</v>
      </c>
      <c r="DI38" s="9"/>
      <c r="DJ38" s="9" t="s">
        <v>937</v>
      </c>
      <c r="DK38" s="8">
        <v>1.0</v>
      </c>
      <c r="DL38" s="8">
        <v>0.0</v>
      </c>
      <c r="DM38" s="8">
        <v>1.0</v>
      </c>
      <c r="DN38" s="8">
        <v>0.0</v>
      </c>
      <c r="DO38" s="9"/>
      <c r="DP38" s="9" t="s">
        <v>938</v>
      </c>
      <c r="DQ38" s="9" t="s">
        <v>939</v>
      </c>
      <c r="DR38" s="17" t="s">
        <v>2030</v>
      </c>
      <c r="DS38" s="9"/>
      <c r="DT38" s="9" t="s">
        <v>2669</v>
      </c>
      <c r="DU38" s="8">
        <v>1.0</v>
      </c>
      <c r="DV38" s="8">
        <v>1.0</v>
      </c>
      <c r="DW38" s="8">
        <v>0.0</v>
      </c>
      <c r="DX38" s="8">
        <v>0.0</v>
      </c>
      <c r="DY38" s="8">
        <v>0.0</v>
      </c>
      <c r="DZ38" s="8">
        <v>0.0</v>
      </c>
      <c r="EA38" s="8">
        <v>0.0</v>
      </c>
      <c r="EB38" s="8">
        <v>0.0</v>
      </c>
      <c r="EC38" s="8">
        <v>0.0</v>
      </c>
      <c r="ED38" s="8">
        <v>0.0</v>
      </c>
      <c r="EE38" s="8">
        <v>0.0</v>
      </c>
      <c r="EF38" s="8">
        <v>0.0</v>
      </c>
      <c r="EG38" s="8">
        <v>0.0</v>
      </c>
      <c r="EH38" s="8">
        <v>0.0</v>
      </c>
      <c r="EI38" s="9" t="s">
        <v>862</v>
      </c>
      <c r="EJ38" s="8">
        <v>0.0</v>
      </c>
      <c r="EK38" s="8">
        <v>0.0</v>
      </c>
      <c r="EL38" s="8">
        <v>0.0</v>
      </c>
      <c r="EM38" s="8">
        <v>1.0</v>
      </c>
      <c r="EN38" s="8">
        <v>0.0</v>
      </c>
      <c r="EO38" s="9"/>
      <c r="EP38" s="9" t="s">
        <v>863</v>
      </c>
      <c r="EQ38" s="9" t="s">
        <v>864</v>
      </c>
      <c r="ER38" s="9" t="s">
        <v>861</v>
      </c>
      <c r="ES38" s="8">
        <v>1.0</v>
      </c>
      <c r="ET38" s="8">
        <v>0.0</v>
      </c>
      <c r="EU38" s="8">
        <v>0.0</v>
      </c>
      <c r="EV38" s="8">
        <v>0.0</v>
      </c>
      <c r="EW38" s="9"/>
      <c r="EX38" s="9" t="s">
        <v>865</v>
      </c>
      <c r="EY38" s="8">
        <v>1.0</v>
      </c>
      <c r="EZ38" s="8">
        <v>0.0</v>
      </c>
      <c r="FA38" s="8">
        <v>0.0</v>
      </c>
      <c r="FB38" s="9"/>
      <c r="FC38" s="9" t="s">
        <v>866</v>
      </c>
      <c r="FD38" s="9" t="s">
        <v>2670</v>
      </c>
      <c r="FE38" s="9" t="s">
        <v>867</v>
      </c>
      <c r="FF38" s="9" t="s">
        <v>869</v>
      </c>
      <c r="FG38" s="9" t="s">
        <v>867</v>
      </c>
      <c r="FH38" s="9" t="s">
        <v>870</v>
      </c>
      <c r="FI38" s="9" t="s">
        <v>867</v>
      </c>
      <c r="FJ38" s="9" t="s">
        <v>868</v>
      </c>
      <c r="FK38" s="9" t="s">
        <v>867</v>
      </c>
      <c r="FL38" s="9" t="s">
        <v>870</v>
      </c>
      <c r="FM38" s="9" t="s">
        <v>867</v>
      </c>
      <c r="FN38" s="9" t="s">
        <v>870</v>
      </c>
      <c r="FO38" s="9" t="s">
        <v>867</v>
      </c>
      <c r="FP38" s="9" t="s">
        <v>870</v>
      </c>
      <c r="FQ38" s="9" t="s">
        <v>867</v>
      </c>
      <c r="FR38" s="9" t="s">
        <v>857</v>
      </c>
      <c r="FS38" s="9" t="s">
        <v>867</v>
      </c>
      <c r="FT38" s="9" t="s">
        <v>871</v>
      </c>
      <c r="FU38" s="9" t="s">
        <v>872</v>
      </c>
      <c r="FV38" s="8">
        <v>1.0</v>
      </c>
      <c r="FW38" s="8">
        <v>0.0</v>
      </c>
      <c r="FX38" s="8">
        <v>0.0</v>
      </c>
      <c r="FY38" s="8">
        <v>0.0</v>
      </c>
      <c r="FZ38" s="9" t="s">
        <v>1972</v>
      </c>
      <c r="GA38" s="9" t="s">
        <v>874</v>
      </c>
      <c r="GB38" s="8">
        <v>1.0</v>
      </c>
      <c r="GC38" s="8">
        <v>0.0</v>
      </c>
      <c r="GD38" s="8">
        <v>0.0</v>
      </c>
      <c r="GE38" s="8">
        <v>0.0</v>
      </c>
      <c r="GF38" s="9"/>
      <c r="GG38" s="9" t="s">
        <v>2033</v>
      </c>
      <c r="GH38" s="9" t="s">
        <v>857</v>
      </c>
      <c r="GI38" s="9" t="s">
        <v>1086</v>
      </c>
      <c r="GJ38" s="8">
        <v>1.0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881</v>
      </c>
      <c r="HA38" s="8">
        <v>5.0</v>
      </c>
      <c r="HB38" s="8">
        <v>0.0</v>
      </c>
      <c r="HC38" s="10">
        <v>0.0</v>
      </c>
      <c r="HD38" s="10">
        <v>0.0</v>
      </c>
      <c r="HE38" s="8">
        <v>6.0</v>
      </c>
      <c r="HF38" s="8">
        <v>38000.0</v>
      </c>
      <c r="HG38" s="8">
        <v>0.0</v>
      </c>
      <c r="HH38" s="35">
        <v>0.0</v>
      </c>
      <c r="HI38" s="9"/>
      <c r="HJ38" s="9"/>
      <c r="HK38" s="9"/>
      <c r="HL38" s="9"/>
      <c r="HM38" s="9"/>
      <c r="HN38" s="9"/>
      <c r="HO38" s="9"/>
      <c r="HP38" s="9"/>
      <c r="HQ38" s="9"/>
      <c r="HR38" s="9"/>
      <c r="HS38" s="9"/>
      <c r="HT38" s="9"/>
      <c r="HU38" s="9"/>
      <c r="HV38" s="9"/>
      <c r="HW38" s="9"/>
      <c r="HX38" s="9"/>
      <c r="HY38" s="8">
        <v>4.0</v>
      </c>
      <c r="HZ38" s="39">
        <v>0.0</v>
      </c>
      <c r="IA38" s="8">
        <v>6.0</v>
      </c>
      <c r="IB38" s="9"/>
      <c r="IC38" s="9"/>
      <c r="ID38" s="9"/>
      <c r="IE38" s="9"/>
      <c r="IF38" s="9"/>
      <c r="IG38" s="9"/>
      <c r="IH38" s="9"/>
      <c r="II38" s="9"/>
      <c r="IJ38" s="9"/>
      <c r="IK38" s="9" t="s">
        <v>971</v>
      </c>
      <c r="IL38" s="9" t="s">
        <v>1366</v>
      </c>
      <c r="IM38" s="9" t="s">
        <v>857</v>
      </c>
      <c r="IN38" s="9" t="s">
        <v>881</v>
      </c>
      <c r="IO38" s="9" t="s">
        <v>882</v>
      </c>
      <c r="IP38" s="9"/>
      <c r="IQ38" s="9" t="s">
        <v>1356</v>
      </c>
      <c r="IR38" s="9" t="s">
        <v>1014</v>
      </c>
      <c r="IS38" s="8">
        <v>0.0</v>
      </c>
      <c r="IT38" s="8">
        <v>1.0</v>
      </c>
      <c r="IU38" s="8">
        <v>0.0</v>
      </c>
      <c r="IV38" s="9" t="s">
        <v>1014</v>
      </c>
      <c r="IW38" s="8">
        <v>0.0</v>
      </c>
      <c r="IX38" s="8">
        <v>1.0</v>
      </c>
      <c r="IY38" s="8">
        <v>0.0</v>
      </c>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945</v>
      </c>
      <c r="KT38" s="9" t="s">
        <v>886</v>
      </c>
      <c r="KU38" s="9" t="s">
        <v>886</v>
      </c>
      <c r="KV38" s="9" t="s">
        <v>1014</v>
      </c>
      <c r="KW38" s="8">
        <v>0.0</v>
      </c>
      <c r="KX38" s="8">
        <v>1.0</v>
      </c>
      <c r="KY38" s="8">
        <v>0.0</v>
      </c>
      <c r="KZ38" s="8">
        <v>0.0</v>
      </c>
      <c r="LA38" s="9" t="s">
        <v>945</v>
      </c>
      <c r="LB38" s="9" t="s">
        <v>1180</v>
      </c>
      <c r="LC38" s="8">
        <v>8.0</v>
      </c>
      <c r="LD38" s="8">
        <v>3.0</v>
      </c>
      <c r="LE38" s="8">
        <v>0.0</v>
      </c>
      <c r="LF38" s="8">
        <v>0.0</v>
      </c>
      <c r="LG38" s="9" t="s">
        <v>857</v>
      </c>
      <c r="LH38" s="8">
        <v>46000.0</v>
      </c>
      <c r="LI38" s="9"/>
      <c r="LJ38" s="9" t="s">
        <v>887</v>
      </c>
      <c r="LK38" s="8">
        <v>0.0</v>
      </c>
      <c r="LL38" s="8">
        <v>0.0</v>
      </c>
      <c r="LM38" s="8">
        <v>0.0</v>
      </c>
      <c r="LN38" s="8">
        <v>0.0</v>
      </c>
      <c r="LO38" s="8">
        <v>1.0</v>
      </c>
      <c r="LP38" s="8">
        <v>0.0</v>
      </c>
      <c r="LQ38" s="8">
        <v>0.0</v>
      </c>
      <c r="LR38" s="11"/>
      <c r="LS38" s="8">
        <v>60.0</v>
      </c>
      <c r="LT38" s="8">
        <v>0.0</v>
      </c>
      <c r="LU38" s="8">
        <v>0.0</v>
      </c>
      <c r="LV38" s="8">
        <v>30.0</v>
      </c>
      <c r="LW38" s="8">
        <v>0.0</v>
      </c>
      <c r="LX38" s="8">
        <v>0.0</v>
      </c>
      <c r="LY38" s="8">
        <v>30.0</v>
      </c>
      <c r="LZ38" s="8">
        <v>0.0</v>
      </c>
      <c r="MA38" s="8">
        <v>0.0</v>
      </c>
      <c r="MB38" s="9" t="s">
        <v>881</v>
      </c>
      <c r="MC38" s="8">
        <v>60.0</v>
      </c>
      <c r="MD38" s="8">
        <v>30.0</v>
      </c>
      <c r="ME38" s="8">
        <v>0.0</v>
      </c>
      <c r="MF38" s="8">
        <v>0.0</v>
      </c>
      <c r="MG38" s="8">
        <v>0.0</v>
      </c>
      <c r="MH38" s="8">
        <v>0.0</v>
      </c>
      <c r="MI38" s="9"/>
      <c r="MJ38" s="9"/>
      <c r="MK38" s="9"/>
      <c r="ML38" s="9"/>
      <c r="MM38" s="9"/>
      <c r="MN38" s="9"/>
      <c r="MO38" s="9"/>
      <c r="MP38" s="9"/>
      <c r="MQ38" s="9"/>
      <c r="MR38" s="17" t="s">
        <v>2035</v>
      </c>
      <c r="MS38" s="9"/>
      <c r="MT38" s="9" t="s">
        <v>2035</v>
      </c>
      <c r="MU38" s="9" t="s">
        <v>881</v>
      </c>
      <c r="MV38" s="9"/>
      <c r="MW38" s="9"/>
      <c r="MX38" s="9"/>
      <c r="MY38" s="9"/>
      <c r="MZ38" s="9"/>
      <c r="NA38" s="9"/>
      <c r="NB38" s="9"/>
      <c r="NC38" s="9"/>
      <c r="ND38" s="9"/>
      <c r="NE38" s="9"/>
      <c r="NF38" s="9"/>
      <c r="NG38" s="9"/>
      <c r="NH38" s="9"/>
      <c r="NI38" s="9"/>
      <c r="NJ38" s="9"/>
      <c r="NK38" s="9"/>
      <c r="NL38" s="9" t="s">
        <v>881</v>
      </c>
      <c r="NM38" s="9" t="s">
        <v>1386</v>
      </c>
      <c r="NN38" s="17" t="s">
        <v>1975</v>
      </c>
      <c r="NO38" s="17" t="s">
        <v>895</v>
      </c>
      <c r="NP38" s="9"/>
      <c r="NQ38" s="9"/>
      <c r="NR38" s="9"/>
      <c r="NS38" s="9"/>
      <c r="NT38" s="9"/>
      <c r="NU38" s="9"/>
      <c r="NV38" s="9"/>
      <c r="NW38" s="9"/>
      <c r="NX38" s="9" t="s">
        <v>897</v>
      </c>
      <c r="NY38" s="8">
        <v>60.0</v>
      </c>
      <c r="NZ38" s="8">
        <v>0.0</v>
      </c>
      <c r="OA38" s="8">
        <v>0.0</v>
      </c>
      <c r="OB38" s="8">
        <v>0.0</v>
      </c>
      <c r="OC38" s="8">
        <v>30.0</v>
      </c>
      <c r="OD38" s="8">
        <v>0.0</v>
      </c>
      <c r="OE38" s="9" t="s">
        <v>1180</v>
      </c>
      <c r="OF38" s="9" t="s">
        <v>899</v>
      </c>
      <c r="OG38" s="9" t="s">
        <v>857</v>
      </c>
      <c r="OH38" s="8">
        <v>6.0</v>
      </c>
      <c r="OI38" s="8">
        <v>0.0</v>
      </c>
      <c r="OJ38" s="8">
        <v>0.0</v>
      </c>
      <c r="OK38" s="8">
        <v>0.0</v>
      </c>
      <c r="OL38" s="8">
        <v>0.0</v>
      </c>
      <c r="OM38" s="8">
        <v>0.0</v>
      </c>
      <c r="ON38" s="8">
        <v>0.0</v>
      </c>
      <c r="OO38" s="8">
        <v>30.0</v>
      </c>
      <c r="OP38" s="9" t="str">
        <f>VLOOKUP(AG38,'BUS 2'!$G$1:$CU$424,2,0)</f>
        <v>Sapi pedaging Unggas lainnya</v>
      </c>
      <c r="OQ38" s="8">
        <f>VLOOKUP(AG38,'BUS 2'!$G$1:$CU$424,3,0)</f>
        <v>1</v>
      </c>
      <c r="OR38" s="8">
        <f>VLOOKUP(AG38,'BUS 2'!$G$1:$CU$424,4,0)</f>
        <v>0</v>
      </c>
      <c r="OS38" s="8">
        <f>VLOOKUP(AG38,'BUS 2'!$G$1:$CU$424,5,0)</f>
        <v>0</v>
      </c>
      <c r="OT38" s="8">
        <f>VLOOKUP(AG38,'BUS 2'!$G$1:$CU$424,6,0)</f>
        <v>0</v>
      </c>
      <c r="OU38" s="8">
        <f>VLOOKUP(AG38,'BUS 2'!$G$1:$CU$424,7,0)</f>
        <v>0</v>
      </c>
      <c r="OV38" s="8">
        <f>VLOOKUP(AG38,'BUS 2'!$G$1:$CU$424,8,0)</f>
        <v>0</v>
      </c>
      <c r="OW38" s="8">
        <f>VLOOKUP(AG38,'BUS 2'!$G$1:$CU$424,9,0)</f>
        <v>0</v>
      </c>
      <c r="OX38" s="8">
        <f>VLOOKUP(AG38,'BUS 2'!$G$1:$CU$424,10,0)</f>
        <v>1</v>
      </c>
      <c r="OY38" s="8">
        <f>VLOOKUP(AG38,'BUS 2'!$G$1:$CU$424,11,0)</f>
        <v>0</v>
      </c>
      <c r="OZ38" s="8" t="str">
        <f>VLOOKUP(AG38,'BUS 2'!$G$1:$CU$424,12,0)</f>
        <v>Sapi pedaging Unggas lainnya</v>
      </c>
      <c r="PA38" s="8">
        <f>VLOOKUP(AG38,'BUS 2'!$G$1:$CU$424,13,0)</f>
        <v>1</v>
      </c>
      <c r="PB38" s="8">
        <f>VLOOKUP(AG38,'BUS 2'!$G$1:$CU$424,14,0)</f>
        <v>0</v>
      </c>
      <c r="PC38" s="8">
        <f>VLOOKUP(AG38,'BUS 2'!$G$1:$CU$424,15,0)</f>
        <v>0</v>
      </c>
      <c r="PD38" s="8">
        <f>VLOOKUP(AG38,'BUS 2'!$G$1:$CU$424,16,0)</f>
        <v>0</v>
      </c>
      <c r="PE38" s="8">
        <f>VLOOKUP(AG38,'BUS 2'!$G$1:$CU$424,17,0)</f>
        <v>0</v>
      </c>
      <c r="PF38" s="8">
        <f>VLOOKUP(AG38,'BUS 2'!$G$1:$CU$424,18,0)</f>
        <v>0</v>
      </c>
      <c r="PG38" s="8">
        <f>VLOOKUP(AG38,'BUS 2'!$G$1:$CU$424,19,0)</f>
        <v>0</v>
      </c>
      <c r="PH38" s="8">
        <f>VLOOKUP(AG38,'BUS 2'!$G$1:$CU$424,20,0)</f>
        <v>1</v>
      </c>
      <c r="PI38" s="8">
        <f>VLOOKUP(AG38,'BUS 2'!$G$1:$CU$424,21,0)</f>
        <v>0</v>
      </c>
      <c r="PJ38" s="8" t="str">
        <f>VLOOKUP(AG38,'BUS 2'!$G$1:$CU$424,22,0)</f>
        <v>Sapi pedaging Unggas lainnya</v>
      </c>
      <c r="PK38" s="8">
        <f>VLOOKUP(AG38,'BUS 2'!$G$1:$CU$424,23,0)</f>
        <v>1</v>
      </c>
      <c r="PL38" s="8">
        <f>VLOOKUP(AG38,'BUS 2'!$G$1:$CU$424,24,0)</f>
        <v>0</v>
      </c>
      <c r="PM38" s="8">
        <f>VLOOKUP(AG38,'BUS 2'!$G$1:$CU$424,25,0)</f>
        <v>0</v>
      </c>
      <c r="PN38" s="8">
        <f>VLOOKUP(AG38,'BUS 2'!$G$1:$CU$424,26,0)</f>
        <v>0</v>
      </c>
      <c r="PO38" s="8">
        <f>VLOOKUP(AG38,'BUS 2'!$G$1:$CU$424,27,0)</f>
        <v>0</v>
      </c>
      <c r="PP38" s="8">
        <f>VLOOKUP(AG38,'BUS 2'!$G$1:$CU$424,28,0)</f>
        <v>0</v>
      </c>
      <c r="PQ38" s="8">
        <f>VLOOKUP(AG38,'BUS 2'!$G$1:$CU$424,29,0)</f>
        <v>0</v>
      </c>
      <c r="PR38" s="8">
        <f>VLOOKUP(AG38,'BUS 2'!$G$1:$CU$424,30,0)</f>
        <v>1</v>
      </c>
      <c r="PS38" s="8">
        <f>VLOOKUP(AG38,'BUS 2'!$G$1:$CU$424,31,0)</f>
        <v>0</v>
      </c>
      <c r="PT38" s="9" t="s">
        <v>900</v>
      </c>
      <c r="PU38" s="8">
        <v>0.0</v>
      </c>
      <c r="PV38" s="8">
        <v>0.0</v>
      </c>
      <c r="PW38" s="8">
        <v>0.0</v>
      </c>
      <c r="PX38" s="8">
        <v>0.0</v>
      </c>
      <c r="PY38" s="8">
        <v>0.0</v>
      </c>
      <c r="PZ38" s="8">
        <v>1.0</v>
      </c>
      <c r="QA38" s="8">
        <v>0.0</v>
      </c>
      <c r="QB38" s="8">
        <v>0.0</v>
      </c>
      <c r="QC38" s="8">
        <v>0.0</v>
      </c>
      <c r="QD38" s="9"/>
      <c r="QE38" s="32"/>
      <c r="QF38" s="31"/>
      <c r="QG38" s="31"/>
      <c r="QH38" s="31"/>
      <c r="QI38" s="31"/>
      <c r="QJ38" s="31"/>
      <c r="QK38" s="32"/>
      <c r="QL38" s="32"/>
      <c r="QM38" s="32"/>
      <c r="QN38" s="32"/>
      <c r="QO38" s="32"/>
      <c r="QP38" s="32"/>
      <c r="QQ38" s="32"/>
      <c r="QR38" s="32"/>
      <c r="QS38" s="32"/>
      <c r="QT38" s="32"/>
      <c r="QU38" s="32"/>
      <c r="QV38" s="32"/>
      <c r="QW38" s="31"/>
      <c r="QX38" s="31"/>
      <c r="QY38" s="31"/>
      <c r="QZ38" s="31"/>
      <c r="RA38" s="31"/>
      <c r="RB38" s="32"/>
      <c r="RC38" s="32"/>
      <c r="RD38" s="32"/>
      <c r="RE38" s="32"/>
      <c r="RF38" s="32"/>
      <c r="RG38" s="9"/>
      <c r="RH38" s="31"/>
      <c r="RI38" s="31"/>
      <c r="RJ38" s="31"/>
      <c r="RK38" s="31"/>
      <c r="RL38" s="31"/>
      <c r="RM38" s="9"/>
      <c r="RN38" s="9"/>
      <c r="RO38" s="9"/>
      <c r="RP38" s="9"/>
      <c r="RQ38" s="9"/>
      <c r="RR38" s="9"/>
      <c r="RS38" s="31"/>
      <c r="RT38" s="31"/>
      <c r="RU38" s="31"/>
      <c r="RV38" s="31"/>
      <c r="RW38" s="31"/>
      <c r="RX38" s="9"/>
      <c r="RY38" s="9"/>
      <c r="RZ38" s="9"/>
      <c r="SA38" s="9"/>
      <c r="SB38" s="9"/>
      <c r="SC38" s="9"/>
      <c r="SD38" s="31"/>
      <c r="SE38" s="31"/>
      <c r="SF38" s="31"/>
      <c r="SG38" s="31"/>
      <c r="SH38" s="31"/>
      <c r="SI38" s="9"/>
      <c r="SJ38" s="9"/>
      <c r="SK38" s="9"/>
      <c r="SL38" s="9"/>
      <c r="SM38" s="9"/>
      <c r="SN38" s="9" t="s">
        <v>900</v>
      </c>
      <c r="SO38" s="35">
        <v>0.0</v>
      </c>
      <c r="SP38" s="35">
        <v>0.0</v>
      </c>
      <c r="SQ38" s="35">
        <v>0.0</v>
      </c>
      <c r="SR38" s="35">
        <v>0.0</v>
      </c>
      <c r="SS38" s="35">
        <v>0.0</v>
      </c>
      <c r="ST38" s="8">
        <v>1.0</v>
      </c>
      <c r="SU38" s="8">
        <v>0.0</v>
      </c>
      <c r="SV38" s="8">
        <v>0.0</v>
      </c>
      <c r="SW38" s="8">
        <v>0.0</v>
      </c>
      <c r="SX38" s="9"/>
      <c r="SY38" s="8">
        <f>VLOOKUP(AG38,'BUS 2'!$G$1:$CU$424,33,0)</f>
        <v>6</v>
      </c>
      <c r="SZ38" s="9" t="str">
        <f>VLOOKUP(AG38,'BUS 2'!$G$1:$CU$424,34,0)</f>
        <v/>
      </c>
      <c r="TA38" s="9" t="str">
        <f>VLOOKUP(AG38,'BUS 2'!$G$1:$CU$424,35,0)</f>
        <v/>
      </c>
      <c r="TB38" s="9" t="str">
        <f>VLOOKUP(AG38,'BUS 2'!$G$1:$CU$424,36,0)</f>
        <v/>
      </c>
      <c r="TC38" s="9" t="str">
        <f>VLOOKUP(AG38,'BUS 2'!$G$1:$CU$424,37,0)</f>
        <v/>
      </c>
      <c r="TD38" s="9" t="str">
        <f>VLOOKUP(AG38,'BUS 2'!$G$1:$CU$424,38,0)</f>
        <v/>
      </c>
      <c r="TE38" s="9" t="str">
        <f>VLOOKUP(AG38,'BUS 2'!$G$1:$CU$424,39,0)</f>
        <v/>
      </c>
      <c r="TF38" s="9">
        <f>VLOOKUP(AG38,'BUS 2'!$G$1:$CU$424,40,0)</f>
        <v>4</v>
      </c>
      <c r="TG38" s="8">
        <f>VLOOKUP(AG38,'BUS 2'!$G$1:$CU$424,42,0)</f>
        <v>6</v>
      </c>
      <c r="TH38" s="8" t="str">
        <f>VLOOKUP(AG38,'BUS 2'!$G$1:$CU$424,43,0)</f>
        <v/>
      </c>
      <c r="TI38" s="8" t="str">
        <f>VLOOKUP(AG38,'BUS 2'!$G$1:$CU$424,44,0)</f>
        <v/>
      </c>
      <c r="TJ38" s="8" t="str">
        <f>VLOOKUP(AG38,'BUS 2'!$G$1:$CU$424,45,0)</f>
        <v/>
      </c>
      <c r="TK38" s="8" t="str">
        <f>VLOOKUP(AG38,'BUS 2'!$G$1:$CU$424,46,0)</f>
        <v/>
      </c>
      <c r="TL38" s="8" t="str">
        <f>VLOOKUP(AG38,'BUS 2'!$G$1:$CU$424,47,0)</f>
        <v/>
      </c>
      <c r="TM38" s="8" t="str">
        <f>VLOOKUP(AG38,'BUS 2'!$G$1:$CU$424,48,0)</f>
        <v/>
      </c>
      <c r="TN38" s="8">
        <f>VLOOKUP(AG38,'BUS 2'!$G$1:$CU$424,49,0)</f>
        <v>30</v>
      </c>
      <c r="TO38" s="8">
        <f>VLOOKUP(AG38,'BUS 2'!$G$1:$CU$424,50,0)</f>
        <v>0</v>
      </c>
      <c r="TP38" s="8">
        <f>VLOOKUP(AG38,'BUS 2'!$G$1:$CU$424,51,0)</f>
        <v>0</v>
      </c>
      <c r="TQ38" s="8">
        <f>VLOOKUP(AG38,'BUS 2'!$G$1:$CU$424,52,0)</f>
        <v>0</v>
      </c>
      <c r="TR38" s="8">
        <f>VLOOKUP(AG38,'BUS 2'!$G$1:$CU$424,53,0)</f>
        <v>0</v>
      </c>
      <c r="TS38" s="9" t="str">
        <f>VLOOKUP(AG38,'BUS 2'!$G$1:$CU$424,54,0)</f>
        <v/>
      </c>
      <c r="TT38" s="9" t="str">
        <f>VLOOKUP(AG38,'BUS 2'!$G$1:$CU$424,55,0)</f>
        <v/>
      </c>
      <c r="TU38" s="9" t="str">
        <f>VLOOKUP(AG38,'BUS 2'!$G$1:$CU$424,56,0)</f>
        <v/>
      </c>
      <c r="TV38" s="9" t="str">
        <f>VLOOKUP(AG38,'BUS 2'!$G$1:$CU$424,57,0)</f>
        <v/>
      </c>
      <c r="TW38" s="9" t="str">
        <f>VLOOKUP(AG38,'BUS 2'!$G$1:$CU$424,58,0)</f>
        <v/>
      </c>
      <c r="TX38" s="9" t="str">
        <f>VLOOKUP(AG38,'BUS 2'!$G$1:$CU$424,59,0)</f>
        <v/>
      </c>
      <c r="TY38" s="9" t="str">
        <f>VLOOKUP(AG38,'BUS 2'!$G$1:$CU$424,60,0)</f>
        <v/>
      </c>
      <c r="TZ38" s="9" t="str">
        <f>VLOOKUP(AG38,'BUS 2'!$G$1:$CU$424,61,0)</f>
        <v/>
      </c>
      <c r="UA38" s="9" t="str">
        <f>VLOOKUP(AG38,'BUS 2'!$G$1:$CU$424,62,0)</f>
        <v/>
      </c>
      <c r="UB38" s="9" t="str">
        <f>VLOOKUP(AG38,'BUS 2'!$G$1:$CU$424,63,0)</f>
        <v/>
      </c>
      <c r="UC38" s="9" t="str">
        <f>VLOOKUP(AG38,'BUS 2'!$G$1:$CU$424,64,0)</f>
        <v/>
      </c>
      <c r="UD38" s="9" t="str">
        <f>VLOOKUP(AG38,'BUS 2'!$G$1:$CU$424,65,0)</f>
        <v/>
      </c>
      <c r="UE38" s="9" t="str">
        <f>VLOOKUP(AG38,'BUS 2'!$G$1:$CU$424,66,0)</f>
        <v/>
      </c>
      <c r="UF38" s="9" t="str">
        <f>VLOOKUP(AG38,'BUS 2'!$G$1:$CU$424,67,0)</f>
        <v/>
      </c>
      <c r="UG38" s="9" t="str">
        <f>VLOOKUP(AG38,'BUS 2'!$G$1:$CU$424,68,0)</f>
        <v/>
      </c>
      <c r="UH38" s="9" t="str">
        <f>VLOOKUP(AG38,'BUS 2'!$G$1:$CU$424,69,0)</f>
        <v/>
      </c>
      <c r="UI38" s="9" t="str">
        <f>VLOOKUP(AG38,'BUS 2'!$G$1:$CU$424,70,0)</f>
        <v/>
      </c>
      <c r="UJ38" s="9" t="str">
        <f>VLOOKUP(AG38,'BUS 2'!$G$1:$CU$424,71,0)</f>
        <v/>
      </c>
      <c r="UK38" s="9" t="str">
        <f>VLOOKUP(AG38,'BUS 2'!$G$1:$CU$424,72,0)</f>
        <v/>
      </c>
      <c r="UL38" s="9" t="str">
        <f>VLOOKUP(AG38,'BUS 2'!$G$1:$CU$424,73,0)</f>
        <v/>
      </c>
      <c r="UM38" s="9" t="str">
        <f>VLOOKUP(AG38,'BUS 2'!$G$1:$CU$424,74,0)</f>
        <v/>
      </c>
      <c r="UN38" s="9" t="str">
        <f>VLOOKUP(AG38,'BUS 2'!$G$1:$CU$424,75,0)</f>
        <v/>
      </c>
      <c r="UO38" s="9" t="str">
        <f>VLOOKUP(AG38,'BUS 2'!$G$1:$CU$424,76,0)</f>
        <v/>
      </c>
      <c r="UP38" s="9" t="str">
        <f>VLOOKUP(AG38,'BUS 2'!$G$1:$CU$424,77,0)</f>
        <v/>
      </c>
      <c r="UQ38" s="9">
        <f>VLOOKUP(AG38,'BUS 2'!$G$1:$CU$424,78,0)</f>
        <v>0</v>
      </c>
      <c r="UR38" s="9">
        <f>VLOOKUP(AG38,'BUS 2'!$G$1:$CU$424,79,0)</f>
        <v>0</v>
      </c>
      <c r="US38" s="9">
        <f>VLOOKUP(AG38,'BUS 2'!$G$1:$CU$424,80,0)</f>
        <v>0</v>
      </c>
      <c r="UT38" s="9">
        <f>VLOOKUP(AG38,'BUS 2'!$G$1:$CU$424,81,0)</f>
        <v>0</v>
      </c>
      <c r="UU38" s="9" t="s">
        <v>901</v>
      </c>
      <c r="UV38" s="9"/>
      <c r="UW38" s="9"/>
      <c r="UX38" s="9"/>
      <c r="UY38" s="9"/>
      <c r="UZ38" s="9"/>
      <c r="VA38" s="9"/>
      <c r="VB38" s="9" t="s">
        <v>901</v>
      </c>
      <c r="VC38" s="9" t="s">
        <v>1938</v>
      </c>
      <c r="VD38" s="9"/>
      <c r="VE38" s="9"/>
      <c r="VF38" s="9"/>
      <c r="VG38" s="9"/>
      <c r="VH38" s="9"/>
      <c r="VI38" s="9"/>
      <c r="VJ38" s="9" t="s">
        <v>1938</v>
      </c>
      <c r="VK38" s="9" t="s">
        <v>903</v>
      </c>
      <c r="VL38" s="9"/>
      <c r="VM38" s="9"/>
      <c r="VN38" s="9"/>
      <c r="VO38" s="9"/>
      <c r="VP38" s="9"/>
      <c r="VQ38" s="9"/>
      <c r="VR38" s="9" t="s">
        <v>2040</v>
      </c>
      <c r="VS38" s="9" t="s">
        <v>1265</v>
      </c>
      <c r="VT38" s="8">
        <v>0.0</v>
      </c>
      <c r="VU38" s="8">
        <v>0.0</v>
      </c>
      <c r="VV38" s="8">
        <v>0.0</v>
      </c>
      <c r="VW38" s="8">
        <v>0.0</v>
      </c>
      <c r="VX38" s="8">
        <v>0.0</v>
      </c>
      <c r="VY38" s="8">
        <v>0.0</v>
      </c>
      <c r="VZ38" s="8">
        <v>1.0</v>
      </c>
      <c r="WA38" s="8">
        <v>0.0</v>
      </c>
      <c r="WB38" s="8">
        <v>1.0</v>
      </c>
      <c r="WC38" s="8">
        <v>1.0</v>
      </c>
      <c r="WD38" s="8">
        <v>0.0</v>
      </c>
      <c r="WE38" s="8">
        <v>0.0</v>
      </c>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t="s">
        <v>1941</v>
      </c>
      <c r="ZB38" s="8">
        <v>0.0</v>
      </c>
      <c r="ZC38" s="8">
        <v>0.0</v>
      </c>
      <c r="ZD38" s="8">
        <v>0.0</v>
      </c>
      <c r="ZE38" s="8">
        <v>0.0</v>
      </c>
      <c r="ZF38" s="8">
        <v>0.0</v>
      </c>
      <c r="ZG38" s="8">
        <v>0.0</v>
      </c>
      <c r="ZH38" s="8">
        <v>0.0</v>
      </c>
      <c r="ZI38" s="8">
        <v>0.0</v>
      </c>
      <c r="ZJ38" s="8">
        <v>0.0</v>
      </c>
      <c r="ZK38" s="8">
        <v>0.0</v>
      </c>
      <c r="ZL38" s="8">
        <v>0.0</v>
      </c>
      <c r="ZM38" s="8">
        <v>1.0</v>
      </c>
      <c r="ZN38" s="8">
        <v>100.0</v>
      </c>
      <c r="ZO38" s="9"/>
      <c r="ZP38" s="9"/>
      <c r="ZQ38" s="9"/>
      <c r="ZR38" s="9"/>
      <c r="ZS38" s="9"/>
      <c r="ZT38" s="9"/>
      <c r="ZU38" s="9"/>
      <c r="ZV38" s="8">
        <v>2.0</v>
      </c>
      <c r="ZW38" s="9"/>
      <c r="ZX38" s="9"/>
      <c r="ZY38" s="9"/>
      <c r="ZZ38" s="9"/>
      <c r="AAA38" s="9"/>
      <c r="AAB38" s="9"/>
      <c r="AAC38" s="8">
        <v>1.0</v>
      </c>
      <c r="AAD38" s="9" t="s">
        <v>1186</v>
      </c>
      <c r="AAE38" s="9"/>
      <c r="AAF38" s="9"/>
      <c r="AAG38" s="9"/>
      <c r="AAH38" s="9"/>
      <c r="AAI38" s="9"/>
      <c r="AAJ38" s="9"/>
      <c r="AAK38" s="9" t="s">
        <v>905</v>
      </c>
      <c r="AAL38" s="9" t="s">
        <v>857</v>
      </c>
      <c r="AAM38" s="9" t="s">
        <v>1033</v>
      </c>
      <c r="AAN38" s="8">
        <v>1.0</v>
      </c>
      <c r="AAO38" s="8">
        <v>1.0</v>
      </c>
      <c r="AAP38" s="8">
        <v>40.0</v>
      </c>
      <c r="AAQ38" s="8">
        <v>16.0</v>
      </c>
      <c r="AAR38" s="9" t="s">
        <v>881</v>
      </c>
      <c r="AAS38" s="9" t="s">
        <v>867</v>
      </c>
      <c r="AAT38" s="9" t="s">
        <v>1074</v>
      </c>
      <c r="AAU38" s="8">
        <v>1.0</v>
      </c>
      <c r="AAV38" s="8">
        <v>0.0</v>
      </c>
      <c r="AAW38" s="8">
        <v>0.0</v>
      </c>
      <c r="AAX38" s="8">
        <v>1.0</v>
      </c>
      <c r="AAY38" s="8">
        <v>1.0</v>
      </c>
      <c r="AAZ38" s="8">
        <v>0.0</v>
      </c>
      <c r="ABA38" s="8">
        <v>0.0</v>
      </c>
      <c r="ABB38" s="9" t="s">
        <v>2571</v>
      </c>
      <c r="ABC38" s="8">
        <v>1.0</v>
      </c>
      <c r="ABD38" s="8">
        <v>0.0</v>
      </c>
      <c r="ABE38" s="8">
        <v>1.0</v>
      </c>
      <c r="ABF38" s="8">
        <v>0.0</v>
      </c>
      <c r="ABG38" s="8">
        <v>0.0</v>
      </c>
      <c r="ABH38" s="9"/>
      <c r="ABI38" s="9"/>
      <c r="ABJ38" s="9"/>
      <c r="ABK38" s="9"/>
      <c r="ABL38" s="9"/>
      <c r="ABM38" s="9"/>
      <c r="ABN38" s="9"/>
      <c r="ABO38" s="9"/>
      <c r="ABP38" s="9"/>
      <c r="ABQ38" s="9" t="s">
        <v>2671</v>
      </c>
      <c r="ABR38" s="9" t="s">
        <v>954</v>
      </c>
      <c r="ABS38" s="8">
        <v>5000.0</v>
      </c>
      <c r="ABT38" s="8">
        <v>1000.0</v>
      </c>
      <c r="ABU38" s="8">
        <v>2.0</v>
      </c>
      <c r="ABV38" s="8">
        <v>5.0</v>
      </c>
      <c r="ABW38" s="9" t="s">
        <v>1199</v>
      </c>
      <c r="ABX38" s="9"/>
      <c r="ABY38" s="8">
        <v>700.0</v>
      </c>
      <c r="ABZ38" s="8">
        <v>1500.0</v>
      </c>
      <c r="ACA38" s="8">
        <v>500.0</v>
      </c>
      <c r="ACB38" s="8">
        <v>1800.0</v>
      </c>
      <c r="ACC38" s="8">
        <v>63500.0</v>
      </c>
      <c r="ACD38" s="8">
        <v>63500.0</v>
      </c>
      <c r="ACE38" s="9" t="s">
        <v>857</v>
      </c>
      <c r="ACF38" s="9" t="s">
        <v>911</v>
      </c>
      <c r="ACG38" s="9" t="s">
        <v>911</v>
      </c>
      <c r="ACH38" s="9" t="s">
        <v>945</v>
      </c>
      <c r="ACI38" s="9"/>
      <c r="ACJ38" s="9"/>
      <c r="ACK38" s="9" t="s">
        <v>969</v>
      </c>
      <c r="ACL38" s="8">
        <v>0.0</v>
      </c>
      <c r="ACM38" s="8">
        <v>0.0</v>
      </c>
      <c r="ACN38" s="8">
        <v>0.0</v>
      </c>
      <c r="ACO38" s="8">
        <v>0.0</v>
      </c>
      <c r="ACP38" s="8">
        <v>0.0</v>
      </c>
      <c r="ACQ38" s="8">
        <v>0.0</v>
      </c>
      <c r="ACR38" s="8">
        <v>1.0</v>
      </c>
      <c r="ACS38" s="9" t="s">
        <v>2672</v>
      </c>
      <c r="ACT38" s="9" t="s">
        <v>1945</v>
      </c>
      <c r="ACU38" s="9" t="s">
        <v>913</v>
      </c>
      <c r="ACV38" s="9" t="s">
        <v>914</v>
      </c>
      <c r="ACW38" s="9" t="s">
        <v>915</v>
      </c>
      <c r="ACX38" s="9" t="s">
        <v>958</v>
      </c>
      <c r="ACY38" s="9" t="s">
        <v>1035</v>
      </c>
      <c r="ACZ38" s="8">
        <v>1.0</v>
      </c>
      <c r="ADA38" s="8">
        <v>1.0</v>
      </c>
      <c r="ADB38" s="8">
        <v>0.0</v>
      </c>
      <c r="ADC38" s="8">
        <v>0.0</v>
      </c>
      <c r="ADD38" s="9" t="s">
        <v>917</v>
      </c>
      <c r="ADE38" s="9" t="s">
        <v>917</v>
      </c>
      <c r="ADF38" s="9" t="s">
        <v>917</v>
      </c>
      <c r="ADG38" s="9" t="s">
        <v>917</v>
      </c>
      <c r="ADH38" s="9" t="s">
        <v>881</v>
      </c>
      <c r="ADI38" s="9"/>
      <c r="ADJ38" s="9" t="s">
        <v>917</v>
      </c>
      <c r="ADK38" s="9"/>
      <c r="ADL38" s="9"/>
      <c r="ADM38" s="9"/>
      <c r="ADN38" s="9"/>
      <c r="ADO38" s="9"/>
      <c r="ADP38" s="9"/>
      <c r="ADQ38" s="9"/>
      <c r="ADR38" s="9"/>
      <c r="ADS38" s="9"/>
      <c r="ADT38" s="9"/>
      <c r="ADU38" s="9" t="s">
        <v>2046</v>
      </c>
      <c r="ADV38" s="8">
        <v>0.0</v>
      </c>
      <c r="ADW38" s="8">
        <v>0.0</v>
      </c>
      <c r="ADX38" s="8">
        <v>0.0</v>
      </c>
      <c r="ADY38" s="8">
        <v>0.0</v>
      </c>
      <c r="ADZ38" s="8">
        <v>0.0</v>
      </c>
      <c r="AEA38" s="8">
        <v>1.0</v>
      </c>
      <c r="AEB38" s="8">
        <v>0.0</v>
      </c>
      <c r="AEC38" s="8">
        <v>0.0</v>
      </c>
      <c r="AED38" s="9" t="s">
        <v>2046</v>
      </c>
      <c r="AEE38" s="9" t="s">
        <v>872</v>
      </c>
      <c r="AEF38" s="9"/>
      <c r="AEG38" s="9" t="s">
        <v>920</v>
      </c>
      <c r="AEH38" s="9"/>
      <c r="AEI38" s="9" t="s">
        <v>2673</v>
      </c>
      <c r="AEJ38" s="9" t="s">
        <v>871</v>
      </c>
      <c r="AEK38" s="9" t="s">
        <v>2674</v>
      </c>
      <c r="AEL38" s="8">
        <v>1.0</v>
      </c>
      <c r="AEM38" s="8">
        <v>1.0</v>
      </c>
      <c r="AEN38" s="8">
        <v>0.0</v>
      </c>
      <c r="AEO38" s="8">
        <v>0.0</v>
      </c>
      <c r="AEP38" s="8">
        <v>0.0</v>
      </c>
      <c r="AEQ38" s="8">
        <v>0.0</v>
      </c>
      <c r="AER38" s="8">
        <v>1.0</v>
      </c>
      <c r="AES38" s="8">
        <v>0.0</v>
      </c>
      <c r="AET38" s="8">
        <v>1.0</v>
      </c>
      <c r="AEU38" s="8">
        <v>0.0</v>
      </c>
      <c r="AEV38" s="8">
        <v>0.0</v>
      </c>
      <c r="AEW38" s="8">
        <v>0.0</v>
      </c>
      <c r="AEX38" s="9"/>
      <c r="AEY38" s="9" t="s">
        <v>1981</v>
      </c>
      <c r="AEZ38" s="9"/>
      <c r="AFA38" s="9" t="s">
        <v>924</v>
      </c>
      <c r="AFB38" s="9"/>
      <c r="AFC38" s="9" t="s">
        <v>2675</v>
      </c>
      <c r="AFD38" s="16" t="s">
        <v>2676</v>
      </c>
      <c r="AFE38" s="9" t="s">
        <v>2677</v>
      </c>
      <c r="AFF38" s="16" t="s">
        <v>2678</v>
      </c>
      <c r="AFG38" s="9" t="s">
        <v>1991</v>
      </c>
      <c r="AFH38" s="9"/>
      <c r="AFI38" s="21"/>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8">
        <v>6.72868714E8</v>
      </c>
      <c r="AWB38" s="9" t="s">
        <v>2679</v>
      </c>
      <c r="AWC38" s="6">
        <v>46069.0</v>
      </c>
      <c r="AWD38" s="9"/>
      <c r="AWE38" s="9"/>
      <c r="AWF38" s="9" t="s">
        <v>1954</v>
      </c>
      <c r="AWG38" s="9"/>
      <c r="AWH38" s="9" t="s">
        <v>1989</v>
      </c>
      <c r="AWI38" s="9"/>
      <c r="AWJ38" s="9" t="s">
        <v>2680</v>
      </c>
      <c r="AWK38" s="8">
        <v>282.0</v>
      </c>
      <c r="AWL38" s="9" t="s">
        <v>2668</v>
      </c>
      <c r="AWM38" s="8">
        <v>0.0</v>
      </c>
      <c r="AWN38" s="9" t="s">
        <v>1957</v>
      </c>
      <c r="AWO38" s="37" t="b">
        <v>0</v>
      </c>
      <c r="AWP38" s="33" t="b">
        <v>1</v>
      </c>
      <c r="AWQ38" s="33" t="b">
        <v>1</v>
      </c>
      <c r="AWR38" s="33" t="b">
        <v>1</v>
      </c>
      <c r="AWS38" s="33" t="b">
        <v>1</v>
      </c>
      <c r="AWT38" s="33" t="b">
        <v>1</v>
      </c>
      <c r="AWU38" s="8">
        <v>4.0</v>
      </c>
      <c r="AWV38" s="8">
        <v>6.0</v>
      </c>
      <c r="AWW38" s="9"/>
      <c r="AWX38" s="9"/>
      <c r="AWY38" s="9"/>
      <c r="AWZ38" s="9"/>
    </row>
    <row r="39">
      <c r="A39" s="6">
        <v>46061.0</v>
      </c>
      <c r="B39" s="6">
        <v>46069.0</v>
      </c>
      <c r="C39" s="30" t="s">
        <v>1958</v>
      </c>
      <c r="D39" s="30" t="s">
        <v>2681</v>
      </c>
      <c r="E39" s="8">
        <f>+62882019513308</f>
        <v>62882019513308</v>
      </c>
      <c r="F39" s="9" t="s">
        <v>2682</v>
      </c>
      <c r="G39" s="8">
        <v>-5.397075</v>
      </c>
      <c r="H39" s="8">
        <v>119.429221</v>
      </c>
      <c r="I39" s="8">
        <v>66.34182533</v>
      </c>
      <c r="J39" s="8">
        <v>13.07999992</v>
      </c>
      <c r="K39" s="8">
        <v>0.0</v>
      </c>
      <c r="L39" s="9" t="s">
        <v>2683</v>
      </c>
      <c r="M39" s="8">
        <v>-5.397051</v>
      </c>
      <c r="N39" s="8">
        <v>119.429184</v>
      </c>
      <c r="O39" s="8">
        <v>65.97134741</v>
      </c>
      <c r="P39" s="8">
        <v>4.789000034</v>
      </c>
      <c r="Q39" s="8">
        <v>0.0</v>
      </c>
      <c r="R39" s="9" t="s">
        <v>1923</v>
      </c>
      <c r="S39" s="8">
        <v>0.0</v>
      </c>
      <c r="T39" s="8">
        <v>0.0</v>
      </c>
      <c r="U39" s="8">
        <v>0.0</v>
      </c>
      <c r="V39" s="8">
        <v>0.0</v>
      </c>
      <c r="W39" s="8">
        <v>0.0</v>
      </c>
      <c r="X39" s="8">
        <v>0.0</v>
      </c>
      <c r="Y39" s="8">
        <v>0.0</v>
      </c>
      <c r="Z39" s="8">
        <v>0.0</v>
      </c>
      <c r="AA39" s="8">
        <v>0.0</v>
      </c>
      <c r="AB39" s="8">
        <v>1.0</v>
      </c>
      <c r="AC39" s="7" t="s">
        <v>2113</v>
      </c>
      <c r="AD39" s="7" t="s">
        <v>2227</v>
      </c>
      <c r="AE39" s="7" t="s">
        <v>2228</v>
      </c>
      <c r="AF39" s="9" t="s">
        <v>2303</v>
      </c>
      <c r="AG39" s="9" t="s">
        <v>2684</v>
      </c>
      <c r="AH39" s="8">
        <v>11.0</v>
      </c>
      <c r="AI39" s="9" t="s">
        <v>933</v>
      </c>
      <c r="AJ39" s="9" t="s">
        <v>934</v>
      </c>
      <c r="AK39" s="8">
        <v>52.0</v>
      </c>
      <c r="AL39" s="9" t="s">
        <v>847</v>
      </c>
      <c r="AM39" s="9" t="s">
        <v>848</v>
      </c>
      <c r="AN39" s="9" t="s">
        <v>986</v>
      </c>
      <c r="AO39" s="9" t="s">
        <v>850</v>
      </c>
      <c r="AP39" s="8">
        <v>1.0</v>
      </c>
      <c r="AQ39" s="8">
        <v>0.0</v>
      </c>
      <c r="AR39" s="8">
        <v>0.0</v>
      </c>
      <c r="AS39" s="8">
        <v>0.0</v>
      </c>
      <c r="AT39" s="8">
        <v>0.0</v>
      </c>
      <c r="AU39" s="8">
        <v>0.0</v>
      </c>
      <c r="AV39" s="8">
        <v>0.0</v>
      </c>
      <c r="AW39" s="8">
        <v>0.0</v>
      </c>
      <c r="AX39" s="9"/>
      <c r="AY39" s="9" t="s">
        <v>999</v>
      </c>
      <c r="AZ39" s="8">
        <v>0.0</v>
      </c>
      <c r="BA39" s="8">
        <v>0.0</v>
      </c>
      <c r="BB39" s="8">
        <v>0.0</v>
      </c>
      <c r="BC39" s="8">
        <v>0.0</v>
      </c>
      <c r="BD39" s="8">
        <v>0.0</v>
      </c>
      <c r="BE39" s="8">
        <v>0.0</v>
      </c>
      <c r="BF39" s="8">
        <v>0.0</v>
      </c>
      <c r="BG39" s="8">
        <v>1.0</v>
      </c>
      <c r="BH39" s="11"/>
      <c r="BI39" s="9" t="s">
        <v>1101</v>
      </c>
      <c r="BJ39" s="8">
        <v>1.0</v>
      </c>
      <c r="BK39" s="8">
        <v>2.0</v>
      </c>
      <c r="BL39" s="8">
        <v>2.0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1929</v>
      </c>
      <c r="CD39" s="8">
        <v>0.0</v>
      </c>
      <c r="CE39" s="8">
        <v>0.0</v>
      </c>
      <c r="CF39" s="8">
        <v>0.0</v>
      </c>
      <c r="CG39" s="8">
        <v>0.0</v>
      </c>
      <c r="CH39" s="8">
        <v>1.0</v>
      </c>
      <c r="CI39" s="8">
        <v>0.0</v>
      </c>
      <c r="CJ39" s="8">
        <v>0.0</v>
      </c>
      <c r="CK39" s="9"/>
      <c r="CL39" s="9" t="s">
        <v>857</v>
      </c>
      <c r="CM39" s="8">
        <v>2014.0</v>
      </c>
      <c r="CN39" s="9" t="s">
        <v>858</v>
      </c>
      <c r="CO39" s="9" t="s">
        <v>1968</v>
      </c>
      <c r="CP39" s="9" t="s">
        <v>969</v>
      </c>
      <c r="CQ39" s="8">
        <v>0.0</v>
      </c>
      <c r="CR39" s="8">
        <v>0.0</v>
      </c>
      <c r="CS39" s="8">
        <v>0.0</v>
      </c>
      <c r="CT39" s="8">
        <v>0.0</v>
      </c>
      <c r="CU39" s="8">
        <v>0.0</v>
      </c>
      <c r="CV39" s="8">
        <v>0.0</v>
      </c>
      <c r="CW39" s="8">
        <v>0.0</v>
      </c>
      <c r="CX39" s="8">
        <v>1.0</v>
      </c>
      <c r="CY39" s="9" t="s">
        <v>860</v>
      </c>
      <c r="CZ39" s="8">
        <v>1.0</v>
      </c>
      <c r="DA39" s="8">
        <v>0.0</v>
      </c>
      <c r="DB39" s="8">
        <v>0.0</v>
      </c>
      <c r="DC39" s="9"/>
      <c r="DD39" s="9" t="s">
        <v>860</v>
      </c>
      <c r="DE39" s="8">
        <v>1.0</v>
      </c>
      <c r="DF39" s="8">
        <v>0.0</v>
      </c>
      <c r="DG39" s="8">
        <v>0.0</v>
      </c>
      <c r="DH39" s="8">
        <v>0.0</v>
      </c>
      <c r="DI39" s="9"/>
      <c r="DJ39" s="9" t="s">
        <v>937</v>
      </c>
      <c r="DK39" s="8">
        <v>1.0</v>
      </c>
      <c r="DL39" s="8">
        <v>0.0</v>
      </c>
      <c r="DM39" s="8">
        <v>1.0</v>
      </c>
      <c r="DN39" s="8">
        <v>0.0</v>
      </c>
      <c r="DO39" s="9"/>
      <c r="DP39" s="9" t="s">
        <v>938</v>
      </c>
      <c r="DQ39" s="9" t="s">
        <v>939</v>
      </c>
      <c r="DR39" s="17" t="s">
        <v>987</v>
      </c>
      <c r="DS39" s="9"/>
      <c r="DT39" s="9"/>
      <c r="DU39" s="9"/>
      <c r="DV39" s="9"/>
      <c r="DW39" s="9"/>
      <c r="DX39" s="9"/>
      <c r="DY39" s="9"/>
      <c r="DZ39" s="9"/>
      <c r="EA39" s="9"/>
      <c r="EB39" s="9"/>
      <c r="EC39" s="9"/>
      <c r="ED39" s="9"/>
      <c r="EE39" s="9"/>
      <c r="EF39" s="9"/>
      <c r="EG39" s="9"/>
      <c r="EH39" s="9"/>
      <c r="EI39" s="31" t="s">
        <v>862</v>
      </c>
      <c r="EJ39" s="8">
        <v>0.0</v>
      </c>
      <c r="EK39" s="8">
        <v>0.0</v>
      </c>
      <c r="EL39" s="8">
        <v>0.0</v>
      </c>
      <c r="EM39" s="8">
        <v>1.0</v>
      </c>
      <c r="EN39" s="8">
        <v>0.0</v>
      </c>
      <c r="EO39" s="9"/>
      <c r="EP39" s="9" t="s">
        <v>863</v>
      </c>
      <c r="EQ39" s="9" t="s">
        <v>1380</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870</v>
      </c>
      <c r="FI39" s="9" t="s">
        <v>867</v>
      </c>
      <c r="FJ39" s="9" t="s">
        <v>868</v>
      </c>
      <c r="FK39" s="9" t="s">
        <v>867</v>
      </c>
      <c r="FL39" s="9" t="s">
        <v>883</v>
      </c>
      <c r="FM39" s="9" t="s">
        <v>867</v>
      </c>
      <c r="FN39" s="9" t="s">
        <v>943</v>
      </c>
      <c r="FO39" s="9" t="s">
        <v>867</v>
      </c>
      <c r="FP39" s="9" t="s">
        <v>883</v>
      </c>
      <c r="FQ39" s="9" t="s">
        <v>867</v>
      </c>
      <c r="FR39" s="9" t="s">
        <v>857</v>
      </c>
      <c r="FS39" s="9" t="s">
        <v>867</v>
      </c>
      <c r="FT39" s="9" t="s">
        <v>2173</v>
      </c>
      <c r="FU39" s="9" t="s">
        <v>872</v>
      </c>
      <c r="FV39" s="8">
        <v>1.0</v>
      </c>
      <c r="FW39" s="8">
        <v>0.0</v>
      </c>
      <c r="FX39" s="8">
        <v>0.0</v>
      </c>
      <c r="FY39" s="8">
        <v>0.0</v>
      </c>
      <c r="FZ39" s="9" t="s">
        <v>944</v>
      </c>
      <c r="GA39" s="9" t="s">
        <v>874</v>
      </c>
      <c r="GB39" s="8">
        <v>1.0</v>
      </c>
      <c r="GC39" s="8">
        <v>0.0</v>
      </c>
      <c r="GD39" s="8">
        <v>0.0</v>
      </c>
      <c r="GE39" s="8">
        <v>0.0</v>
      </c>
      <c r="GF39" s="9"/>
      <c r="GG39" s="9" t="s">
        <v>2033</v>
      </c>
      <c r="GH39" s="9" t="s">
        <v>881</v>
      </c>
      <c r="GI39" s="9"/>
      <c r="GJ39" s="9"/>
      <c r="GK39" s="9"/>
      <c r="GL39" s="9"/>
      <c r="GM39" s="9"/>
      <c r="GN39" s="9"/>
      <c r="GO39" s="9"/>
      <c r="GP39" s="34" t="s">
        <v>877</v>
      </c>
      <c r="GQ39" s="9" t="s">
        <v>1102</v>
      </c>
      <c r="GR39" s="8">
        <v>1.0</v>
      </c>
      <c r="GS39" s="8">
        <v>0.0</v>
      </c>
      <c r="GT39" s="8">
        <v>0.0</v>
      </c>
      <c r="GU39" s="8">
        <v>0.0</v>
      </c>
      <c r="GV39" s="8">
        <v>0.0</v>
      </c>
      <c r="GW39" s="8">
        <v>0.0</v>
      </c>
      <c r="GX39" s="8">
        <v>0.0</v>
      </c>
      <c r="GY39" s="9"/>
      <c r="GZ39" s="9" t="s">
        <v>881</v>
      </c>
      <c r="HA39" s="9"/>
      <c r="HB39" s="9"/>
      <c r="HC39" s="9"/>
      <c r="HD39" s="9"/>
      <c r="HE39" s="8">
        <v>3.0</v>
      </c>
      <c r="HF39" s="8">
        <v>20000.0</v>
      </c>
      <c r="HG39" s="8">
        <v>0.0</v>
      </c>
      <c r="HH39" s="35">
        <v>0.0</v>
      </c>
      <c r="HI39" s="9"/>
      <c r="HJ39" s="9"/>
      <c r="HK39" s="9"/>
      <c r="HL39" s="9"/>
      <c r="HM39" s="9"/>
      <c r="HN39" s="9"/>
      <c r="HO39" s="9"/>
      <c r="HP39" s="9"/>
      <c r="HQ39" s="9"/>
      <c r="HR39" s="9"/>
      <c r="HS39" s="9"/>
      <c r="HT39" s="9"/>
      <c r="HU39" s="9"/>
      <c r="HV39" s="9"/>
      <c r="HW39" s="9"/>
      <c r="HX39" s="9"/>
      <c r="HY39" s="9"/>
      <c r="HZ39" s="9"/>
      <c r="IA39" s="8">
        <v>3.0</v>
      </c>
      <c r="IB39" s="9"/>
      <c r="IC39" s="9"/>
      <c r="ID39" s="9"/>
      <c r="IE39" s="9"/>
      <c r="IF39" s="9"/>
      <c r="IG39" s="9"/>
      <c r="IH39" s="9"/>
      <c r="II39" s="9"/>
      <c r="IJ39" s="9"/>
      <c r="IK39" s="9" t="s">
        <v>971</v>
      </c>
      <c r="IL39" s="9" t="s">
        <v>880</v>
      </c>
      <c r="IM39" s="9" t="s">
        <v>857</v>
      </c>
      <c r="IN39" s="9" t="s">
        <v>881</v>
      </c>
      <c r="IO39" s="9" t="s">
        <v>882</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945</v>
      </c>
      <c r="KT39" s="9" t="s">
        <v>886</v>
      </c>
      <c r="KU39" s="9" t="s">
        <v>886</v>
      </c>
      <c r="KV39" s="9" t="s">
        <v>999</v>
      </c>
      <c r="KW39" s="8">
        <v>0.0</v>
      </c>
      <c r="KX39" s="8">
        <v>0.0</v>
      </c>
      <c r="KY39" s="8">
        <v>0.0</v>
      </c>
      <c r="KZ39" s="8">
        <v>1.0</v>
      </c>
      <c r="LA39" s="9" t="s">
        <v>1180</v>
      </c>
      <c r="LB39" s="9" t="s">
        <v>1180</v>
      </c>
      <c r="LC39" s="8">
        <v>4.0</v>
      </c>
      <c r="LD39" s="8">
        <v>0.0</v>
      </c>
      <c r="LE39" s="8">
        <v>0.0</v>
      </c>
      <c r="LF39" s="8">
        <v>0.0</v>
      </c>
      <c r="LG39" s="9" t="s">
        <v>857</v>
      </c>
      <c r="LH39" s="8">
        <v>20000.0</v>
      </c>
      <c r="LI39" s="9"/>
      <c r="LJ39" s="9" t="s">
        <v>887</v>
      </c>
      <c r="LK39" s="8">
        <v>0.0</v>
      </c>
      <c r="LL39" s="8">
        <v>0.0</v>
      </c>
      <c r="LM39" s="8">
        <v>0.0</v>
      </c>
      <c r="LN39" s="8">
        <v>0.0</v>
      </c>
      <c r="LO39" s="8">
        <v>1.0</v>
      </c>
      <c r="LP39" s="8">
        <v>0.0</v>
      </c>
      <c r="LQ39" s="8">
        <v>0.0</v>
      </c>
      <c r="LR39" s="11"/>
      <c r="LS39" s="8">
        <v>10.0</v>
      </c>
      <c r="LT39" s="8">
        <v>0.0</v>
      </c>
      <c r="LU39" s="8">
        <v>0.0</v>
      </c>
      <c r="LV39" s="8">
        <v>10.0</v>
      </c>
      <c r="LW39" s="8">
        <v>0.0</v>
      </c>
      <c r="LX39" s="8">
        <v>0.0</v>
      </c>
      <c r="LY39" s="8">
        <v>20.0</v>
      </c>
      <c r="LZ39" s="8">
        <v>0.0</v>
      </c>
      <c r="MA39" s="8">
        <v>0.0</v>
      </c>
      <c r="MB39" s="9" t="s">
        <v>881</v>
      </c>
      <c r="MC39" s="8">
        <v>0.0</v>
      </c>
      <c r="MD39" s="8">
        <v>0.0</v>
      </c>
      <c r="ME39" s="8">
        <v>0.0</v>
      </c>
      <c r="MF39" s="8">
        <v>0.0</v>
      </c>
      <c r="MG39" s="8">
        <v>0.0</v>
      </c>
      <c r="MH39" s="8">
        <v>0.0</v>
      </c>
      <c r="MI39" s="9"/>
      <c r="MJ39" s="9"/>
      <c r="MK39" s="9"/>
      <c r="ML39" s="9"/>
      <c r="MM39" s="9"/>
      <c r="MN39" s="9"/>
      <c r="MO39" s="9"/>
      <c r="MP39" s="9"/>
      <c r="MQ39" s="9"/>
      <c r="MR39" s="17" t="s">
        <v>2035</v>
      </c>
      <c r="MS39" s="9"/>
      <c r="MT39" s="9" t="s">
        <v>2035</v>
      </c>
      <c r="MU39" s="9" t="s">
        <v>881</v>
      </c>
      <c r="MV39" s="9"/>
      <c r="MW39" s="9"/>
      <c r="MX39" s="9"/>
      <c r="MY39" s="9"/>
      <c r="MZ39" s="9"/>
      <c r="NA39" s="9"/>
      <c r="NB39" s="9"/>
      <c r="NC39" s="9"/>
      <c r="ND39" s="9"/>
      <c r="NE39" s="9"/>
      <c r="NF39" s="9"/>
      <c r="NG39" s="9"/>
      <c r="NH39" s="9"/>
      <c r="NI39" s="9"/>
      <c r="NJ39" s="9"/>
      <c r="NK39" s="9"/>
      <c r="NL39" s="9" t="s">
        <v>881</v>
      </c>
      <c r="NM39" s="9" t="s">
        <v>893</v>
      </c>
      <c r="NN39" s="17" t="s">
        <v>1387</v>
      </c>
      <c r="NO39" s="17" t="s">
        <v>994</v>
      </c>
      <c r="NP39" s="9"/>
      <c r="NQ39" s="9"/>
      <c r="NR39" s="9"/>
      <c r="NS39" s="9"/>
      <c r="NT39" s="9"/>
      <c r="NU39" s="9"/>
      <c r="NV39" s="17" t="s">
        <v>896</v>
      </c>
      <c r="NW39" s="9"/>
      <c r="NX39" s="9" t="s">
        <v>914</v>
      </c>
      <c r="NY39" s="8">
        <v>180.0</v>
      </c>
      <c r="NZ39" s="8">
        <v>0.0</v>
      </c>
      <c r="OA39" s="8">
        <v>0.0</v>
      </c>
      <c r="OB39" s="8">
        <v>0.0</v>
      </c>
      <c r="OC39" s="8">
        <v>50.0</v>
      </c>
      <c r="OD39" s="8">
        <v>0.0</v>
      </c>
      <c r="OE39" s="9" t="s">
        <v>945</v>
      </c>
      <c r="OF39" s="9" t="s">
        <v>1184</v>
      </c>
      <c r="OG39" s="9" t="s">
        <v>857</v>
      </c>
      <c r="OH39" s="8">
        <v>0.0</v>
      </c>
      <c r="OI39" s="8">
        <v>0.0</v>
      </c>
      <c r="OJ39" s="8">
        <v>0.0</v>
      </c>
      <c r="OK39" s="8">
        <v>0.0</v>
      </c>
      <c r="OL39" s="8">
        <v>0.0</v>
      </c>
      <c r="OM39" s="8">
        <v>0.0</v>
      </c>
      <c r="ON39" s="8">
        <v>10.0</v>
      </c>
      <c r="OO39" s="8">
        <v>0.0</v>
      </c>
      <c r="OP39" s="9" t="str">
        <f>VLOOKUP(AG39,'BUS 2'!$G$1:$CU$424,2,0)</f>
        <v>Sapi pedaging Ayam</v>
      </c>
      <c r="OQ39" s="8">
        <f>VLOOKUP(AG39,'BUS 2'!$G$1:$CU$424,3,0)</f>
        <v>1</v>
      </c>
      <c r="OR39" s="8">
        <f>VLOOKUP(AG39,'BUS 2'!$G$1:$CU$424,4,0)</f>
        <v>0</v>
      </c>
      <c r="OS39" s="8">
        <f>VLOOKUP(AG39,'BUS 2'!$G$1:$CU$424,5,0)</f>
        <v>0</v>
      </c>
      <c r="OT39" s="8">
        <f>VLOOKUP(AG39,'BUS 2'!$G$1:$CU$424,6,0)</f>
        <v>0</v>
      </c>
      <c r="OU39" s="8">
        <f>VLOOKUP(AG39,'BUS 2'!$G$1:$CU$424,7,0)</f>
        <v>0</v>
      </c>
      <c r="OV39" s="8">
        <f>VLOOKUP(AG39,'BUS 2'!$G$1:$CU$424,8,0)</f>
        <v>0</v>
      </c>
      <c r="OW39" s="8">
        <f>VLOOKUP(AG39,'BUS 2'!$G$1:$CU$424,9,0)</f>
        <v>1</v>
      </c>
      <c r="OX39" s="8">
        <f>VLOOKUP(AG39,'BUS 2'!$G$1:$CU$424,10,0)</f>
        <v>0</v>
      </c>
      <c r="OY39" s="8">
        <f>VLOOKUP(AG39,'BUS 2'!$G$1:$CU$424,11,0)</f>
        <v>0</v>
      </c>
      <c r="OZ39" s="8" t="str">
        <f>VLOOKUP(AG39,'BUS 2'!$G$1:$CU$424,12,0)</f>
        <v>Sapi pedaging Ayam</v>
      </c>
      <c r="PA39" s="8">
        <f>VLOOKUP(AG39,'BUS 2'!$G$1:$CU$424,13,0)</f>
        <v>1</v>
      </c>
      <c r="PB39" s="8">
        <f>VLOOKUP(AG39,'BUS 2'!$G$1:$CU$424,14,0)</f>
        <v>0</v>
      </c>
      <c r="PC39" s="8">
        <f>VLOOKUP(AG39,'BUS 2'!$G$1:$CU$424,15,0)</f>
        <v>0</v>
      </c>
      <c r="PD39" s="8">
        <f>VLOOKUP(AG39,'BUS 2'!$G$1:$CU$424,16,0)</f>
        <v>0</v>
      </c>
      <c r="PE39" s="8">
        <f>VLOOKUP(AG39,'BUS 2'!$G$1:$CU$424,17,0)</f>
        <v>0</v>
      </c>
      <c r="PF39" s="8">
        <f>VLOOKUP(AG39,'BUS 2'!$G$1:$CU$424,18,0)</f>
        <v>0</v>
      </c>
      <c r="PG39" s="8">
        <f>VLOOKUP(AG39,'BUS 2'!$G$1:$CU$424,19,0)</f>
        <v>1</v>
      </c>
      <c r="PH39" s="8">
        <f>VLOOKUP(AG39,'BUS 2'!$G$1:$CU$424,20,0)</f>
        <v>0</v>
      </c>
      <c r="PI39" s="8">
        <f>VLOOKUP(AG39,'BUS 2'!$G$1:$CU$424,21,0)</f>
        <v>0</v>
      </c>
      <c r="PJ39" s="8" t="str">
        <f>VLOOKUP(AG39,'BUS 2'!$G$1:$CU$424,22,0)</f>
        <v>Unggas lainnya</v>
      </c>
      <c r="PK39" s="8">
        <f>VLOOKUP(AG39,'BUS 2'!$G$1:$CU$424,23,0)</f>
        <v>0</v>
      </c>
      <c r="PL39" s="8">
        <f>VLOOKUP(AG39,'BUS 2'!$G$1:$CU$424,24,0)</f>
        <v>0</v>
      </c>
      <c r="PM39" s="8">
        <f>VLOOKUP(AG39,'BUS 2'!$G$1:$CU$424,25,0)</f>
        <v>0</v>
      </c>
      <c r="PN39" s="8">
        <f>VLOOKUP(AG39,'BUS 2'!$G$1:$CU$424,26,0)</f>
        <v>0</v>
      </c>
      <c r="PO39" s="8">
        <f>VLOOKUP(AG39,'BUS 2'!$G$1:$CU$424,27,0)</f>
        <v>0</v>
      </c>
      <c r="PP39" s="8">
        <f>VLOOKUP(AG39,'BUS 2'!$G$1:$CU$424,28,0)</f>
        <v>0</v>
      </c>
      <c r="PQ39" s="8">
        <f>VLOOKUP(AG39,'BUS 2'!$G$1:$CU$424,29,0)</f>
        <v>0</v>
      </c>
      <c r="PR39" s="8">
        <f>VLOOKUP(AG39,'BUS 2'!$G$1:$CU$424,30,0)</f>
        <v>1</v>
      </c>
      <c r="PS39" s="8">
        <f>VLOOKUP(AG39,'BUS 2'!$G$1:$CU$424,31,0)</f>
        <v>0</v>
      </c>
      <c r="PT39" s="9" t="s">
        <v>900</v>
      </c>
      <c r="PU39" s="8">
        <v>0.0</v>
      </c>
      <c r="PV39" s="8">
        <v>0.0</v>
      </c>
      <c r="PW39" s="8">
        <v>0.0</v>
      </c>
      <c r="PX39" s="8">
        <v>0.0</v>
      </c>
      <c r="PY39" s="8">
        <v>0.0</v>
      </c>
      <c r="PZ39" s="8">
        <v>1.0</v>
      </c>
      <c r="QA39" s="8">
        <v>0.0</v>
      </c>
      <c r="QB39" s="8">
        <v>0.0</v>
      </c>
      <c r="QC39" s="8">
        <v>0.0</v>
      </c>
      <c r="QD39" s="9"/>
      <c r="QE39" s="32"/>
      <c r="QF39" s="31"/>
      <c r="QG39" s="31"/>
      <c r="QH39" s="31"/>
      <c r="QI39" s="31"/>
      <c r="QJ39" s="31"/>
      <c r="QK39" s="32"/>
      <c r="QL39" s="32"/>
      <c r="QM39" s="32"/>
      <c r="QN39" s="32"/>
      <c r="QO39" s="32"/>
      <c r="QP39" s="32"/>
      <c r="QQ39" s="32"/>
      <c r="QR39" s="32"/>
      <c r="QS39" s="32"/>
      <c r="QT39" s="32"/>
      <c r="QU39" s="32"/>
      <c r="QV39" s="32"/>
      <c r="QW39" s="31"/>
      <c r="QX39" s="31"/>
      <c r="QY39" s="31"/>
      <c r="QZ39" s="31"/>
      <c r="RA39" s="31"/>
      <c r="RB39" s="32"/>
      <c r="RC39" s="32"/>
      <c r="RD39" s="32"/>
      <c r="RE39" s="32"/>
      <c r="RF39" s="32"/>
      <c r="RG39" s="9"/>
      <c r="RH39" s="31"/>
      <c r="RI39" s="31"/>
      <c r="RJ39" s="31"/>
      <c r="RK39" s="31"/>
      <c r="RL39" s="31"/>
      <c r="RM39" s="9"/>
      <c r="RN39" s="9"/>
      <c r="RO39" s="9"/>
      <c r="RP39" s="9"/>
      <c r="RQ39" s="9"/>
      <c r="RR39" s="9"/>
      <c r="RS39" s="31"/>
      <c r="RT39" s="31"/>
      <c r="RU39" s="31"/>
      <c r="RV39" s="31"/>
      <c r="RW39" s="31"/>
      <c r="RX39" s="9"/>
      <c r="RY39" s="9"/>
      <c r="RZ39" s="9"/>
      <c r="SA39" s="9"/>
      <c r="SB39" s="9"/>
      <c r="SC39" s="9" t="s">
        <v>900</v>
      </c>
      <c r="SD39" s="35">
        <v>0.0</v>
      </c>
      <c r="SE39" s="35">
        <v>0.0</v>
      </c>
      <c r="SF39" s="35">
        <v>0.0</v>
      </c>
      <c r="SG39" s="35">
        <v>0.0</v>
      </c>
      <c r="SH39" s="35">
        <v>0.0</v>
      </c>
      <c r="SI39" s="8">
        <v>1.0</v>
      </c>
      <c r="SJ39" s="8">
        <v>0.0</v>
      </c>
      <c r="SK39" s="8">
        <v>0.0</v>
      </c>
      <c r="SL39" s="8">
        <v>0.0</v>
      </c>
      <c r="SM39" s="9"/>
      <c r="SN39" s="9"/>
      <c r="SO39" s="31"/>
      <c r="SP39" s="31"/>
      <c r="SQ39" s="31"/>
      <c r="SR39" s="31"/>
      <c r="SS39" s="31"/>
      <c r="ST39" s="9"/>
      <c r="SU39" s="9"/>
      <c r="SV39" s="9"/>
      <c r="SW39" s="9"/>
      <c r="SX39" s="9"/>
      <c r="SY39" s="8">
        <f>VLOOKUP(AG39,'BUS 2'!$G$1:$CU$424,33,0)</f>
        <v>2</v>
      </c>
      <c r="SZ39" s="9" t="str">
        <f>VLOOKUP(AG39,'BUS 2'!$G$1:$CU$424,34,0)</f>
        <v/>
      </c>
      <c r="TA39" s="9" t="str">
        <f>VLOOKUP(AG39,'BUS 2'!$G$1:$CU$424,35,0)</f>
        <v/>
      </c>
      <c r="TB39" s="9" t="str">
        <f>VLOOKUP(AG39,'BUS 2'!$G$1:$CU$424,36,0)</f>
        <v/>
      </c>
      <c r="TC39" s="9" t="str">
        <f>VLOOKUP(AG39,'BUS 2'!$G$1:$CU$424,37,0)</f>
        <v/>
      </c>
      <c r="TD39" s="9" t="str">
        <f>VLOOKUP(AG39,'BUS 2'!$G$1:$CU$424,38,0)</f>
        <v/>
      </c>
      <c r="TE39" s="9">
        <f>VLOOKUP(AG39,'BUS 2'!$G$1:$CU$424,39,0)</f>
        <v>30</v>
      </c>
      <c r="TF39" s="9" t="str">
        <f>VLOOKUP(AG39,'BUS 2'!$G$1:$CU$424,40,0)</f>
        <v/>
      </c>
      <c r="TG39" s="8">
        <f>VLOOKUP(AG39,'BUS 2'!$G$1:$CU$424,42,0)</f>
        <v>2</v>
      </c>
      <c r="TH39" s="8" t="str">
        <f>VLOOKUP(AG39,'BUS 2'!$G$1:$CU$424,43,0)</f>
        <v/>
      </c>
      <c r="TI39" s="8" t="str">
        <f>VLOOKUP(AG39,'BUS 2'!$G$1:$CU$424,44,0)</f>
        <v/>
      </c>
      <c r="TJ39" s="8" t="str">
        <f>VLOOKUP(AG39,'BUS 2'!$G$1:$CU$424,45,0)</f>
        <v/>
      </c>
      <c r="TK39" s="8" t="str">
        <f>VLOOKUP(AG39,'BUS 2'!$G$1:$CU$424,46,0)</f>
        <v/>
      </c>
      <c r="TL39" s="8" t="str">
        <f>VLOOKUP(AG39,'BUS 2'!$G$1:$CU$424,47,0)</f>
        <v/>
      </c>
      <c r="TM39" s="8">
        <f>VLOOKUP(AG39,'BUS 2'!$G$1:$CU$424,48,0)</f>
        <v>20</v>
      </c>
      <c r="TN39" s="8" t="str">
        <f>VLOOKUP(AG39,'BUS 2'!$G$1:$CU$424,49,0)</f>
        <v/>
      </c>
      <c r="TO39" s="8" t="str">
        <f>VLOOKUP(AG39,'BUS 2'!$G$1:$CU$424,50,0)</f>
        <v/>
      </c>
      <c r="TP39" s="8" t="str">
        <f>VLOOKUP(AG39,'BUS 2'!$G$1:$CU$424,51,0)</f>
        <v/>
      </c>
      <c r="TQ39" s="8" t="str">
        <f>VLOOKUP(AG39,'BUS 2'!$G$1:$CU$424,52,0)</f>
        <v/>
      </c>
      <c r="TR39" s="8" t="str">
        <f>VLOOKUP(AG39,'BUS 2'!$G$1:$CU$424,53,0)</f>
        <v/>
      </c>
      <c r="TS39" s="9" t="str">
        <f>VLOOKUP(AG39,'BUS 2'!$G$1:$CU$424,54,0)</f>
        <v/>
      </c>
      <c r="TT39" s="9" t="str">
        <f>VLOOKUP(AG39,'BUS 2'!$G$1:$CU$424,55,0)</f>
        <v/>
      </c>
      <c r="TU39" s="9" t="str">
        <f>VLOOKUP(AG39,'BUS 2'!$G$1:$CU$424,56,0)</f>
        <v/>
      </c>
      <c r="TV39" s="9" t="str">
        <f>VLOOKUP(AG39,'BUS 2'!$G$1:$CU$424,57,0)</f>
        <v/>
      </c>
      <c r="TW39" s="9" t="str">
        <f>VLOOKUP(AG39,'BUS 2'!$G$1:$CU$424,58,0)</f>
        <v/>
      </c>
      <c r="TX39" s="9" t="str">
        <f>VLOOKUP(AG39,'BUS 2'!$G$1:$CU$424,59,0)</f>
        <v/>
      </c>
      <c r="TY39" s="9" t="str">
        <f>VLOOKUP(AG39,'BUS 2'!$G$1:$CU$424,60,0)</f>
        <v/>
      </c>
      <c r="TZ39" s="9" t="str">
        <f>VLOOKUP(AG39,'BUS 2'!$G$1:$CU$424,61,0)</f>
        <v/>
      </c>
      <c r="UA39" s="9" t="str">
        <f>VLOOKUP(AG39,'BUS 2'!$G$1:$CU$424,62,0)</f>
        <v/>
      </c>
      <c r="UB39" s="9" t="str">
        <f>VLOOKUP(AG39,'BUS 2'!$G$1:$CU$424,63,0)</f>
        <v/>
      </c>
      <c r="UC39" s="9" t="str">
        <f>VLOOKUP(AG39,'BUS 2'!$G$1:$CU$424,64,0)</f>
        <v/>
      </c>
      <c r="UD39" s="9" t="str">
        <f>VLOOKUP(AG39,'BUS 2'!$G$1:$CU$424,65,0)</f>
        <v/>
      </c>
      <c r="UE39" s="9" t="str">
        <f>VLOOKUP(AG39,'BUS 2'!$G$1:$CU$424,66,0)</f>
        <v/>
      </c>
      <c r="UF39" s="9" t="str">
        <f>VLOOKUP(AG39,'BUS 2'!$G$1:$CU$424,67,0)</f>
        <v/>
      </c>
      <c r="UG39" s="9" t="str">
        <f>VLOOKUP(AG39,'BUS 2'!$G$1:$CU$424,68,0)</f>
        <v/>
      </c>
      <c r="UH39" s="9" t="str">
        <f>VLOOKUP(AG39,'BUS 2'!$G$1:$CU$424,69,0)</f>
        <v/>
      </c>
      <c r="UI39" s="9" t="str">
        <f>VLOOKUP(AG39,'BUS 2'!$G$1:$CU$424,70,0)</f>
        <v/>
      </c>
      <c r="UJ39" s="9" t="str">
        <f>VLOOKUP(AG39,'BUS 2'!$G$1:$CU$424,71,0)</f>
        <v/>
      </c>
      <c r="UK39" s="9" t="str">
        <f>VLOOKUP(AG39,'BUS 2'!$G$1:$CU$424,72,0)</f>
        <v/>
      </c>
      <c r="UL39" s="9" t="str">
        <f>VLOOKUP(AG39,'BUS 2'!$G$1:$CU$424,73,0)</f>
        <v/>
      </c>
      <c r="UM39" s="9" t="str">
        <f>VLOOKUP(AG39,'BUS 2'!$G$1:$CU$424,74,0)</f>
        <v/>
      </c>
      <c r="UN39" s="9" t="str">
        <f>VLOOKUP(AG39,'BUS 2'!$G$1:$CU$424,75,0)</f>
        <v/>
      </c>
      <c r="UO39" s="9" t="str">
        <f>VLOOKUP(AG39,'BUS 2'!$G$1:$CU$424,76,0)</f>
        <v/>
      </c>
      <c r="UP39" s="9" t="str">
        <f>VLOOKUP(AG39,'BUS 2'!$G$1:$CU$424,77,0)</f>
        <v/>
      </c>
      <c r="UQ39" s="9">
        <f>VLOOKUP(AG39,'BUS 2'!$G$1:$CU$424,78,0)</f>
        <v>0</v>
      </c>
      <c r="UR39" s="9">
        <f>VLOOKUP(AG39,'BUS 2'!$G$1:$CU$424,79,0)</f>
        <v>0</v>
      </c>
      <c r="US39" s="9">
        <f>VLOOKUP(AG39,'BUS 2'!$G$1:$CU$424,80,0)</f>
        <v>0</v>
      </c>
      <c r="UT39" s="9">
        <f>VLOOKUP(AG39,'BUS 2'!$G$1:$CU$424,81,0)</f>
        <v>0</v>
      </c>
      <c r="UU39" s="9"/>
      <c r="UV39" s="9"/>
      <c r="UW39" s="9"/>
      <c r="UX39" s="9"/>
      <c r="UY39" s="9"/>
      <c r="UZ39" s="9"/>
      <c r="VA39" s="9" t="s">
        <v>1976</v>
      </c>
      <c r="VB39" s="9"/>
      <c r="VC39" s="9"/>
      <c r="VD39" s="9"/>
      <c r="VE39" s="9"/>
      <c r="VF39" s="9"/>
      <c r="VG39" s="9"/>
      <c r="VH39" s="9"/>
      <c r="VI39" s="9" t="s">
        <v>1938</v>
      </c>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t="s">
        <v>1941</v>
      </c>
      <c r="YO39" s="8">
        <v>0.0</v>
      </c>
      <c r="YP39" s="8">
        <v>0.0</v>
      </c>
      <c r="YQ39" s="8">
        <v>0.0</v>
      </c>
      <c r="YR39" s="8">
        <v>0.0</v>
      </c>
      <c r="YS39" s="8">
        <v>0.0</v>
      </c>
      <c r="YT39" s="8">
        <v>0.0</v>
      </c>
      <c r="YU39" s="8">
        <v>0.0</v>
      </c>
      <c r="YV39" s="8">
        <v>0.0</v>
      </c>
      <c r="YW39" s="8">
        <v>0.0</v>
      </c>
      <c r="YX39" s="8">
        <v>0.0</v>
      </c>
      <c r="YY39" s="8">
        <v>0.0</v>
      </c>
      <c r="YZ39" s="8">
        <v>1.0</v>
      </c>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8">
        <v>1.0</v>
      </c>
      <c r="AAC39" s="9"/>
      <c r="AAD39" s="9"/>
      <c r="AAE39" s="9"/>
      <c r="AAF39" s="9"/>
      <c r="AAG39" s="9"/>
      <c r="AAH39" s="9"/>
      <c r="AAI39" s="9"/>
      <c r="AAJ39" s="9" t="s">
        <v>1186</v>
      </c>
      <c r="AAK39" s="9"/>
      <c r="AAL39" s="9" t="s">
        <v>857</v>
      </c>
      <c r="AAM39" s="9" t="s">
        <v>1942</v>
      </c>
      <c r="AAN39" s="8">
        <v>0.0</v>
      </c>
      <c r="AAO39" s="8">
        <v>1.0</v>
      </c>
      <c r="AAP39" s="8">
        <v>5.0</v>
      </c>
      <c r="AAQ39" s="9"/>
      <c r="AAR39" s="9" t="s">
        <v>881</v>
      </c>
      <c r="AAS39" s="9" t="s">
        <v>867</v>
      </c>
      <c r="AAT39" s="9" t="s">
        <v>906</v>
      </c>
      <c r="AAU39" s="8">
        <v>1.0</v>
      </c>
      <c r="AAV39" s="8">
        <v>0.0</v>
      </c>
      <c r="AAW39" s="8">
        <v>0.0</v>
      </c>
      <c r="AAX39" s="8">
        <v>0.0</v>
      </c>
      <c r="AAY39" s="8">
        <v>0.0</v>
      </c>
      <c r="AAZ39" s="8">
        <v>0.0</v>
      </c>
      <c r="ABA39" s="8">
        <v>0.0</v>
      </c>
      <c r="ABB39" s="9" t="s">
        <v>2571</v>
      </c>
      <c r="ABC39" s="8">
        <v>1.0</v>
      </c>
      <c r="ABD39" s="8">
        <v>0.0</v>
      </c>
      <c r="ABE39" s="8">
        <v>1.0</v>
      </c>
      <c r="ABF39" s="8">
        <v>0.0</v>
      </c>
      <c r="ABG39" s="8">
        <v>0.0</v>
      </c>
      <c r="ABH39" s="9"/>
      <c r="ABI39" s="9"/>
      <c r="ABJ39" s="9"/>
      <c r="ABK39" s="9"/>
      <c r="ABL39" s="9"/>
      <c r="ABM39" s="9"/>
      <c r="ABN39" s="9"/>
      <c r="ABO39" s="9"/>
      <c r="ABP39" s="9"/>
      <c r="ABQ39" s="9" t="s">
        <v>1978</v>
      </c>
      <c r="ABR39" s="9" t="s">
        <v>909</v>
      </c>
      <c r="ABS39" s="8">
        <v>2000.0</v>
      </c>
      <c r="ABT39" s="9"/>
      <c r="ABU39" s="8">
        <v>3.0</v>
      </c>
      <c r="ABV39" s="8">
        <v>0.0</v>
      </c>
      <c r="ABW39" s="9" t="s">
        <v>1199</v>
      </c>
      <c r="ABX39" s="9"/>
      <c r="ABY39" s="8">
        <v>100.0</v>
      </c>
      <c r="ABZ39" s="8">
        <v>300000.0</v>
      </c>
      <c r="ACA39" s="8">
        <v>50.0</v>
      </c>
      <c r="ACB39" s="8">
        <v>90000.0</v>
      </c>
      <c r="ACC39" s="8">
        <v>400.0</v>
      </c>
      <c r="ACD39" s="8">
        <v>500.0</v>
      </c>
      <c r="ACE39" s="9" t="s">
        <v>857</v>
      </c>
      <c r="ACF39" s="9" t="s">
        <v>1183</v>
      </c>
      <c r="ACG39" s="9" t="s">
        <v>1183</v>
      </c>
      <c r="ACH39" s="9" t="s">
        <v>1183</v>
      </c>
      <c r="ACI39" s="9"/>
      <c r="ACJ39" s="9"/>
      <c r="ACK39" s="9"/>
      <c r="ACL39" s="9"/>
      <c r="ACM39" s="9"/>
      <c r="ACN39" s="9"/>
      <c r="ACO39" s="9"/>
      <c r="ACP39" s="9"/>
      <c r="ACQ39" s="9"/>
      <c r="ACR39" s="9"/>
      <c r="ACS39" s="9"/>
      <c r="ACT39" s="9" t="s">
        <v>2685</v>
      </c>
      <c r="ACU39" s="9" t="s">
        <v>1050</v>
      </c>
      <c r="ACV39" s="9" t="s">
        <v>957</v>
      </c>
      <c r="ACW39" s="9" t="s">
        <v>915</v>
      </c>
      <c r="ACX39" s="9" t="s">
        <v>916</v>
      </c>
      <c r="ACY39" s="9" t="s">
        <v>1035</v>
      </c>
      <c r="ACZ39" s="8">
        <v>1.0</v>
      </c>
      <c r="ADA39" s="8">
        <v>1.0</v>
      </c>
      <c r="ADB39" s="8">
        <v>0.0</v>
      </c>
      <c r="ADC39" s="8">
        <v>0.0</v>
      </c>
      <c r="ADD39" s="9" t="s">
        <v>917</v>
      </c>
      <c r="ADE39" s="9" t="s">
        <v>917</v>
      </c>
      <c r="ADF39" s="9" t="s">
        <v>917</v>
      </c>
      <c r="ADG39" s="9" t="s">
        <v>918</v>
      </c>
      <c r="ADH39" s="9" t="s">
        <v>881</v>
      </c>
      <c r="ADI39" s="9"/>
      <c r="ADJ39" s="9" t="s">
        <v>917</v>
      </c>
      <c r="ADK39" s="9"/>
      <c r="ADL39" s="9"/>
      <c r="ADM39" s="9"/>
      <c r="ADN39" s="9"/>
      <c r="ADO39" s="9"/>
      <c r="ADP39" s="9"/>
      <c r="ADQ39" s="9"/>
      <c r="ADR39" s="9"/>
      <c r="ADS39" s="9"/>
      <c r="ADT39" s="9"/>
      <c r="ADU39" s="9" t="s">
        <v>969</v>
      </c>
      <c r="ADV39" s="8">
        <v>0.0</v>
      </c>
      <c r="ADW39" s="8">
        <v>0.0</v>
      </c>
      <c r="ADX39" s="8">
        <v>0.0</v>
      </c>
      <c r="ADY39" s="8">
        <v>0.0</v>
      </c>
      <c r="ADZ39" s="8">
        <v>0.0</v>
      </c>
      <c r="AEA39" s="8">
        <v>0.0</v>
      </c>
      <c r="AEB39" s="8">
        <v>0.0</v>
      </c>
      <c r="AEC39" s="8">
        <v>1.0</v>
      </c>
      <c r="AED39" s="9" t="s">
        <v>2686</v>
      </c>
      <c r="AEE39" s="9" t="s">
        <v>969</v>
      </c>
      <c r="AEF39" s="9" t="s">
        <v>2686</v>
      </c>
      <c r="AEG39" s="9" t="s">
        <v>969</v>
      </c>
      <c r="AEH39" s="9" t="s">
        <v>2686</v>
      </c>
      <c r="AEI39" s="9" t="s">
        <v>1945</v>
      </c>
      <c r="AEJ39" s="9" t="s">
        <v>871</v>
      </c>
      <c r="AEK39" s="9" t="s">
        <v>2687</v>
      </c>
      <c r="AEL39" s="8">
        <v>1.0</v>
      </c>
      <c r="AEM39" s="8">
        <v>1.0</v>
      </c>
      <c r="AEN39" s="8">
        <v>1.0</v>
      </c>
      <c r="AEO39" s="8">
        <v>1.0</v>
      </c>
      <c r="AEP39" s="8">
        <v>1.0</v>
      </c>
      <c r="AEQ39" s="8">
        <v>0.0</v>
      </c>
      <c r="AER39" s="8">
        <v>1.0</v>
      </c>
      <c r="AES39" s="8">
        <v>1.0</v>
      </c>
      <c r="AET39" s="8">
        <v>0.0</v>
      </c>
      <c r="AEU39" s="8">
        <v>0.0</v>
      </c>
      <c r="AEV39" s="8">
        <v>0.0</v>
      </c>
      <c r="AEW39" s="8">
        <v>0.0</v>
      </c>
      <c r="AEX39" s="9"/>
      <c r="AEY39" s="9" t="s">
        <v>923</v>
      </c>
      <c r="AEZ39" s="9"/>
      <c r="AFA39" s="9" t="s">
        <v>1188</v>
      </c>
      <c r="AFB39" s="9"/>
      <c r="AFC39" s="9" t="s">
        <v>2688</v>
      </c>
      <c r="AFD39" s="16" t="s">
        <v>2689</v>
      </c>
      <c r="AFE39" s="9" t="s">
        <v>2690</v>
      </c>
      <c r="AFF39" s="16" t="s">
        <v>2691</v>
      </c>
      <c r="AFG39" s="9" t="s">
        <v>1986</v>
      </c>
      <c r="AFH39" s="9"/>
      <c r="AFI39" s="21" t="s">
        <v>2692</v>
      </c>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8">
        <v>6.72870528E8</v>
      </c>
      <c r="AWB39" s="9" t="s">
        <v>2693</v>
      </c>
      <c r="AWC39" s="6">
        <v>46069.0</v>
      </c>
      <c r="AWD39" s="9"/>
      <c r="AWE39" s="9"/>
      <c r="AWF39" s="9" t="s">
        <v>1954</v>
      </c>
      <c r="AWG39" s="9"/>
      <c r="AWH39" s="9" t="s">
        <v>1989</v>
      </c>
      <c r="AWI39" s="9"/>
      <c r="AWJ39" s="9" t="s">
        <v>2694</v>
      </c>
      <c r="AWK39" s="8">
        <v>283.0</v>
      </c>
      <c r="AWL39" s="9" t="s">
        <v>2684</v>
      </c>
      <c r="AWM39" s="8">
        <v>0.0</v>
      </c>
      <c r="AWN39" s="9" t="s">
        <v>1957</v>
      </c>
      <c r="AWO39" s="33" t="b">
        <v>1</v>
      </c>
      <c r="AWP39" s="33" t="b">
        <v>1</v>
      </c>
      <c r="AWQ39" s="33" t="b">
        <v>1</v>
      </c>
      <c r="AWR39" s="33" t="b">
        <v>1</v>
      </c>
      <c r="AWS39" s="33" t="b">
        <v>1</v>
      </c>
      <c r="AWT39" s="33" t="b">
        <v>1</v>
      </c>
      <c r="AWU39" s="9"/>
      <c r="AWV39" s="8">
        <v>3.0</v>
      </c>
      <c r="AWW39" s="9"/>
      <c r="AWX39" s="9"/>
      <c r="AWY39" s="9"/>
      <c r="AWZ39" s="9"/>
    </row>
    <row r="40">
      <c r="A40" s="6">
        <v>46069.0</v>
      </c>
      <c r="B40" s="6">
        <v>46069.0</v>
      </c>
      <c r="C40" s="30" t="s">
        <v>1991</v>
      </c>
      <c r="D40" s="30" t="s">
        <v>2695</v>
      </c>
      <c r="E40" s="8">
        <f>+620</f>
        <v>620</v>
      </c>
      <c r="F40" s="9" t="s">
        <v>2696</v>
      </c>
      <c r="G40" s="8">
        <v>-5.415306</v>
      </c>
      <c r="H40" s="8">
        <v>119.425795</v>
      </c>
      <c r="I40" s="8">
        <v>61.29999924</v>
      </c>
      <c r="J40" s="8">
        <v>5.485000134</v>
      </c>
      <c r="K40" s="8">
        <v>0.0</v>
      </c>
      <c r="L40" s="9" t="s">
        <v>2697</v>
      </c>
      <c r="M40" s="8">
        <v>-5.415158</v>
      </c>
      <c r="N40" s="8">
        <v>119.425699</v>
      </c>
      <c r="O40" s="8">
        <v>57.44226074</v>
      </c>
      <c r="P40" s="8">
        <v>4.519999981</v>
      </c>
      <c r="Q40" s="8">
        <v>0.0</v>
      </c>
      <c r="R40" s="9" t="s">
        <v>1923</v>
      </c>
      <c r="S40" s="8">
        <v>0.0</v>
      </c>
      <c r="T40" s="8">
        <v>0.0</v>
      </c>
      <c r="U40" s="8">
        <v>0.0</v>
      </c>
      <c r="V40" s="8">
        <v>0.0</v>
      </c>
      <c r="W40" s="8">
        <v>0.0</v>
      </c>
      <c r="X40" s="8">
        <v>0.0</v>
      </c>
      <c r="Y40" s="8">
        <v>0.0</v>
      </c>
      <c r="Z40" s="8">
        <v>0.0</v>
      </c>
      <c r="AA40" s="8">
        <v>0.0</v>
      </c>
      <c r="AB40" s="8">
        <v>1.0</v>
      </c>
      <c r="AC40" s="7" t="s">
        <v>2113</v>
      </c>
      <c r="AD40" s="7" t="s">
        <v>2698</v>
      </c>
      <c r="AE40" s="7" t="s">
        <v>2699</v>
      </c>
      <c r="AF40" s="9" t="s">
        <v>2568</v>
      </c>
      <c r="AG40" s="9" t="s">
        <v>2700</v>
      </c>
      <c r="AH40" s="8">
        <v>11.0</v>
      </c>
      <c r="AI40" s="9" t="s">
        <v>933</v>
      </c>
      <c r="AJ40" s="9" t="s">
        <v>934</v>
      </c>
      <c r="AK40" s="8">
        <v>53.0</v>
      </c>
      <c r="AL40" s="9" t="s">
        <v>847</v>
      </c>
      <c r="AM40" s="9" t="s">
        <v>848</v>
      </c>
      <c r="AN40" s="9" t="s">
        <v>986</v>
      </c>
      <c r="AO40" s="9" t="s">
        <v>850</v>
      </c>
      <c r="AP40" s="8">
        <v>1.0</v>
      </c>
      <c r="AQ40" s="8">
        <v>0.0</v>
      </c>
      <c r="AR40" s="8">
        <v>0.0</v>
      </c>
      <c r="AS40" s="8">
        <v>0.0</v>
      </c>
      <c r="AT40" s="8">
        <v>0.0</v>
      </c>
      <c r="AU40" s="8">
        <v>0.0</v>
      </c>
      <c r="AV40" s="8">
        <v>0.0</v>
      </c>
      <c r="AW40" s="8">
        <v>0.0</v>
      </c>
      <c r="AX40" s="9"/>
      <c r="AY40" s="9" t="s">
        <v>999</v>
      </c>
      <c r="AZ40" s="8">
        <v>0.0</v>
      </c>
      <c r="BA40" s="8">
        <v>0.0</v>
      </c>
      <c r="BB40" s="8">
        <v>0.0</v>
      </c>
      <c r="BC40" s="8">
        <v>0.0</v>
      </c>
      <c r="BD40" s="8">
        <v>0.0</v>
      </c>
      <c r="BE40" s="8">
        <v>0.0</v>
      </c>
      <c r="BF40" s="8">
        <v>0.0</v>
      </c>
      <c r="BG40" s="8">
        <v>1.0</v>
      </c>
      <c r="BH40" s="11"/>
      <c r="BI40" s="9" t="s">
        <v>2118</v>
      </c>
      <c r="BJ40" s="8">
        <v>0.0</v>
      </c>
      <c r="BK40" s="8">
        <v>1.0</v>
      </c>
      <c r="BL40" s="8">
        <v>1.0</v>
      </c>
      <c r="BM40" s="8">
        <v>0.0</v>
      </c>
      <c r="BN40" s="9" t="s">
        <v>853</v>
      </c>
      <c r="BO40" s="9" t="s">
        <v>2000</v>
      </c>
      <c r="BP40" s="8">
        <v>0.0</v>
      </c>
      <c r="BQ40" s="8">
        <v>1.0</v>
      </c>
      <c r="BR40" s="8">
        <v>0.0</v>
      </c>
      <c r="BS40" s="8">
        <v>0.0</v>
      </c>
      <c r="BT40" s="8">
        <v>0.0</v>
      </c>
      <c r="BU40" s="9"/>
      <c r="BV40" s="9" t="s">
        <v>1254</v>
      </c>
      <c r="BW40" s="8">
        <v>0.0</v>
      </c>
      <c r="BX40" s="8">
        <v>1.0</v>
      </c>
      <c r="BY40" s="8">
        <v>0.0</v>
      </c>
      <c r="BZ40" s="8">
        <v>0.0</v>
      </c>
      <c r="CA40" s="8">
        <v>0.0</v>
      </c>
      <c r="CB40" s="9"/>
      <c r="CC40" s="9" t="s">
        <v>1929</v>
      </c>
      <c r="CD40" s="8">
        <v>0.0</v>
      </c>
      <c r="CE40" s="8">
        <v>0.0</v>
      </c>
      <c r="CF40" s="8">
        <v>0.0</v>
      </c>
      <c r="CG40" s="8">
        <v>0.0</v>
      </c>
      <c r="CH40" s="8">
        <v>1.0</v>
      </c>
      <c r="CI40" s="8">
        <v>0.0</v>
      </c>
      <c r="CJ40" s="8">
        <v>0.0</v>
      </c>
      <c r="CK40" s="9"/>
      <c r="CL40" s="9" t="s">
        <v>857</v>
      </c>
      <c r="CM40" s="8">
        <v>2014.0</v>
      </c>
      <c r="CN40" s="9" t="s">
        <v>858</v>
      </c>
      <c r="CO40" s="9" t="s">
        <v>1968</v>
      </c>
      <c r="CP40" s="9" t="s">
        <v>2194</v>
      </c>
      <c r="CQ40" s="8">
        <v>0.0</v>
      </c>
      <c r="CR40" s="8">
        <v>0.0</v>
      </c>
      <c r="CS40" s="8">
        <v>0.0</v>
      </c>
      <c r="CT40" s="8">
        <v>0.0</v>
      </c>
      <c r="CU40" s="8">
        <v>1.0</v>
      </c>
      <c r="CV40" s="8">
        <v>0.0</v>
      </c>
      <c r="CW40" s="8">
        <v>0.0</v>
      </c>
      <c r="CX40" s="8">
        <v>1.0</v>
      </c>
      <c r="CY40" s="9" t="s">
        <v>1060</v>
      </c>
      <c r="CZ40" s="8">
        <v>1.0</v>
      </c>
      <c r="DA40" s="8">
        <v>1.0</v>
      </c>
      <c r="DB40" s="8">
        <v>0.0</v>
      </c>
      <c r="DC40" s="9"/>
      <c r="DD40" s="9" t="s">
        <v>861</v>
      </c>
      <c r="DE40" s="8">
        <v>0.0</v>
      </c>
      <c r="DF40" s="8">
        <v>0.0</v>
      </c>
      <c r="DG40" s="8">
        <v>1.0</v>
      </c>
      <c r="DH40" s="8">
        <v>0.0</v>
      </c>
      <c r="DI40" s="9"/>
      <c r="DJ40" s="9" t="s">
        <v>937</v>
      </c>
      <c r="DK40" s="8">
        <v>1.0</v>
      </c>
      <c r="DL40" s="8">
        <v>0.0</v>
      </c>
      <c r="DM40" s="8">
        <v>1.0</v>
      </c>
      <c r="DN40" s="8">
        <v>0.0</v>
      </c>
      <c r="DO40" s="9"/>
      <c r="DP40" s="9" t="s">
        <v>938</v>
      </c>
      <c r="DQ40" s="9" t="s">
        <v>939</v>
      </c>
      <c r="DR40" s="17" t="s">
        <v>2030</v>
      </c>
      <c r="DS40" s="9"/>
      <c r="DT40" s="9" t="s">
        <v>2701</v>
      </c>
      <c r="DU40" s="8">
        <v>0.0</v>
      </c>
      <c r="DV40" s="8">
        <v>0.0</v>
      </c>
      <c r="DW40" s="8">
        <v>0.0</v>
      </c>
      <c r="DX40" s="8">
        <v>0.0</v>
      </c>
      <c r="DY40" s="8">
        <v>0.0</v>
      </c>
      <c r="DZ40" s="8">
        <v>0.0</v>
      </c>
      <c r="EA40" s="8">
        <v>0.0</v>
      </c>
      <c r="EB40" s="8">
        <v>0.0</v>
      </c>
      <c r="EC40" s="8">
        <v>0.0</v>
      </c>
      <c r="ED40" s="8">
        <v>1.0</v>
      </c>
      <c r="EE40" s="8">
        <v>0.0</v>
      </c>
      <c r="EF40" s="8">
        <v>0.0</v>
      </c>
      <c r="EG40" s="8">
        <v>0.0</v>
      </c>
      <c r="EH40" s="8">
        <v>0.0</v>
      </c>
      <c r="EI40" s="9" t="s">
        <v>862</v>
      </c>
      <c r="EJ40" s="8">
        <v>0.0</v>
      </c>
      <c r="EK40" s="8">
        <v>0.0</v>
      </c>
      <c r="EL40" s="8">
        <v>0.0</v>
      </c>
      <c r="EM40" s="8">
        <v>1.0</v>
      </c>
      <c r="EN40" s="8">
        <v>0.0</v>
      </c>
      <c r="EO40" s="9"/>
      <c r="EP40" s="9" t="s">
        <v>863</v>
      </c>
      <c r="EQ40" s="9" t="s">
        <v>1380</v>
      </c>
      <c r="ER40" s="9" t="s">
        <v>861</v>
      </c>
      <c r="ES40" s="8">
        <v>1.0</v>
      </c>
      <c r="ET40" s="8">
        <v>0.0</v>
      </c>
      <c r="EU40" s="8">
        <v>0.0</v>
      </c>
      <c r="EV40" s="8">
        <v>0.0</v>
      </c>
      <c r="EW40" s="9"/>
      <c r="EX40" s="9" t="s">
        <v>1013</v>
      </c>
      <c r="EY40" s="8">
        <v>1.0</v>
      </c>
      <c r="EZ40" s="8">
        <v>1.0</v>
      </c>
      <c r="FA40" s="8">
        <v>0.0</v>
      </c>
      <c r="FB40" s="9"/>
      <c r="FC40" s="9" t="s">
        <v>866</v>
      </c>
      <c r="FD40" s="9" t="s">
        <v>2032</v>
      </c>
      <c r="FE40" s="9" t="s">
        <v>867</v>
      </c>
      <c r="FF40" s="9" t="s">
        <v>868</v>
      </c>
      <c r="FG40" s="9" t="s">
        <v>1971</v>
      </c>
      <c r="FH40" s="9" t="s">
        <v>869</v>
      </c>
      <c r="FI40" s="9" t="s">
        <v>867</v>
      </c>
      <c r="FJ40" s="9" t="s">
        <v>868</v>
      </c>
      <c r="FK40" s="9" t="s">
        <v>867</v>
      </c>
      <c r="FL40" s="9" t="s">
        <v>870</v>
      </c>
      <c r="FM40" s="9" t="s">
        <v>867</v>
      </c>
      <c r="FN40" s="9" t="s">
        <v>870</v>
      </c>
      <c r="FO40" s="9" t="s">
        <v>1971</v>
      </c>
      <c r="FP40" s="9" t="s">
        <v>870</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857</v>
      </c>
      <c r="GI40" s="9" t="s">
        <v>1264</v>
      </c>
      <c r="GJ40" s="8">
        <v>0.0</v>
      </c>
      <c r="GK40" s="8">
        <v>1.0</v>
      </c>
      <c r="GL40" s="8">
        <v>0.0</v>
      </c>
      <c r="GM40" s="8">
        <v>0.0</v>
      </c>
      <c r="GN40" s="9"/>
      <c r="GO40" s="8">
        <v>8.0</v>
      </c>
      <c r="GP40" s="9" t="s">
        <v>1931</v>
      </c>
      <c r="GQ40" s="9" t="s">
        <v>1102</v>
      </c>
      <c r="GR40" s="8">
        <v>1.0</v>
      </c>
      <c r="GS40" s="8">
        <v>0.0</v>
      </c>
      <c r="GT40" s="8">
        <v>0.0</v>
      </c>
      <c r="GU40" s="8">
        <v>0.0</v>
      </c>
      <c r="GV40" s="8">
        <v>0.0</v>
      </c>
      <c r="GW40" s="8">
        <v>0.0</v>
      </c>
      <c r="GX40" s="8">
        <v>0.0</v>
      </c>
      <c r="GY40" s="9"/>
      <c r="GZ40" s="9" t="s">
        <v>857</v>
      </c>
      <c r="HA40" s="9"/>
      <c r="HB40" s="9"/>
      <c r="HC40" s="9"/>
      <c r="HD40" s="9"/>
      <c r="HE40" s="8">
        <v>16.0</v>
      </c>
      <c r="HF40" s="8">
        <v>64000.0</v>
      </c>
      <c r="HG40" s="8">
        <v>9.0</v>
      </c>
      <c r="HH40" s="8">
        <v>69000.0</v>
      </c>
      <c r="HI40" s="9"/>
      <c r="HJ40" s="9"/>
      <c r="HK40" s="9"/>
      <c r="HL40" s="9"/>
      <c r="HM40" s="9"/>
      <c r="HN40" s="9"/>
      <c r="HO40" s="9"/>
      <c r="HP40" s="9"/>
      <c r="HQ40" s="9"/>
      <c r="HR40" s="9"/>
      <c r="HS40" s="9"/>
      <c r="HT40" s="9"/>
      <c r="HU40" s="9"/>
      <c r="HV40" s="9"/>
      <c r="HW40" s="9"/>
      <c r="HX40" s="9"/>
      <c r="HY40" s="9"/>
      <c r="HZ40" s="9"/>
      <c r="IA40" s="8">
        <v>3.0</v>
      </c>
      <c r="IB40" s="8">
        <v>23000.0</v>
      </c>
      <c r="IC40" s="9"/>
      <c r="ID40" s="9"/>
      <c r="IE40" s="9"/>
      <c r="IF40" s="9"/>
      <c r="IG40" s="9"/>
      <c r="IH40" s="9"/>
      <c r="II40" s="9"/>
      <c r="IJ40" s="9"/>
      <c r="IK40" s="9" t="s">
        <v>1932</v>
      </c>
      <c r="IL40" s="9" t="s">
        <v>1383</v>
      </c>
      <c r="IM40" s="9" t="s">
        <v>857</v>
      </c>
      <c r="IN40" s="9" t="s">
        <v>857</v>
      </c>
      <c r="IO40" s="9" t="s">
        <v>882</v>
      </c>
      <c r="IP40" s="9"/>
      <c r="IQ40" s="9" t="s">
        <v>883</v>
      </c>
      <c r="IR40" s="9"/>
      <c r="IS40" s="9"/>
      <c r="IT40" s="9"/>
      <c r="IU40" s="9"/>
      <c r="IV40" s="9"/>
      <c r="IW40" s="9"/>
      <c r="IX40" s="9"/>
      <c r="IY40" s="9"/>
      <c r="IZ40" s="9" t="s">
        <v>1356</v>
      </c>
      <c r="JA40" s="9" t="s">
        <v>872</v>
      </c>
      <c r="JB40" s="8">
        <v>1.0</v>
      </c>
      <c r="JC40" s="8">
        <v>0.0</v>
      </c>
      <c r="JD40" s="8">
        <v>0.0</v>
      </c>
      <c r="JE40" s="9" t="s">
        <v>872</v>
      </c>
      <c r="JF40" s="8">
        <v>1.0</v>
      </c>
      <c r="JG40" s="8">
        <v>0.0</v>
      </c>
      <c r="JH40" s="8">
        <v>0.0</v>
      </c>
      <c r="JI40" s="9" t="s">
        <v>883</v>
      </c>
      <c r="JJ40" s="9"/>
      <c r="JK40" s="9"/>
      <c r="JL40" s="9"/>
      <c r="JM40" s="9"/>
      <c r="JN40" s="9"/>
      <c r="JO40" s="9"/>
      <c r="JP40" s="9"/>
      <c r="JQ40" s="9"/>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2702</v>
      </c>
      <c r="KW40" s="8">
        <v>1.0</v>
      </c>
      <c r="KX40" s="8">
        <v>0.0</v>
      </c>
      <c r="KY40" s="8">
        <v>1.0</v>
      </c>
      <c r="KZ40" s="8">
        <v>0.0</v>
      </c>
      <c r="LA40" s="9" t="s">
        <v>1180</v>
      </c>
      <c r="LB40" s="9" t="s">
        <v>1180</v>
      </c>
      <c r="LC40" s="8">
        <v>8.0</v>
      </c>
      <c r="LD40" s="8">
        <v>0.0</v>
      </c>
      <c r="LE40" s="8">
        <v>6.0</v>
      </c>
      <c r="LF40" s="8">
        <v>0.0</v>
      </c>
      <c r="LG40" s="9" t="s">
        <v>857</v>
      </c>
      <c r="LH40" s="8">
        <v>2000000.0</v>
      </c>
      <c r="LI40" s="9"/>
      <c r="LJ40" s="9" t="s">
        <v>1933</v>
      </c>
      <c r="LK40" s="8">
        <v>0.0</v>
      </c>
      <c r="LL40" s="8">
        <v>0.0</v>
      </c>
      <c r="LM40" s="8">
        <v>0.0</v>
      </c>
      <c r="LN40" s="8">
        <v>0.0</v>
      </c>
      <c r="LO40" s="8">
        <v>1.0</v>
      </c>
      <c r="LP40" s="8">
        <v>1.0</v>
      </c>
      <c r="LQ40" s="8">
        <v>0.0</v>
      </c>
      <c r="LR40" s="11"/>
      <c r="LS40" s="8">
        <v>60.0</v>
      </c>
      <c r="LT40" s="8">
        <v>0.0</v>
      </c>
      <c r="LU40" s="8">
        <v>0.0</v>
      </c>
      <c r="LV40" s="8">
        <v>10.0</v>
      </c>
      <c r="LW40" s="8">
        <v>0.0</v>
      </c>
      <c r="LX40" s="8">
        <v>0.0</v>
      </c>
      <c r="LY40" s="8">
        <v>30.0</v>
      </c>
      <c r="LZ40" s="8">
        <v>0.0</v>
      </c>
      <c r="MA40" s="8">
        <v>0.0</v>
      </c>
      <c r="MB40" s="9" t="s">
        <v>881</v>
      </c>
      <c r="MC40" s="8">
        <v>0.0</v>
      </c>
      <c r="MD40" s="8">
        <v>0.0</v>
      </c>
      <c r="ME40" s="8">
        <v>0.0</v>
      </c>
      <c r="MF40" s="8">
        <v>0.0</v>
      </c>
      <c r="MG40" s="8">
        <v>0.0</v>
      </c>
      <c r="MH40" s="8">
        <v>0.0</v>
      </c>
      <c r="MI40" s="9"/>
      <c r="MJ40" s="9"/>
      <c r="MK40" s="9"/>
      <c r="ML40" s="9"/>
      <c r="MM40" s="9"/>
      <c r="MN40" s="9"/>
      <c r="MO40" s="9"/>
      <c r="MP40" s="9"/>
      <c r="MQ40" s="9"/>
      <c r="MR40" s="17" t="s">
        <v>2703</v>
      </c>
      <c r="MS40" s="9"/>
      <c r="MT40" s="9" t="s">
        <v>2703</v>
      </c>
      <c r="MU40" s="9" t="s">
        <v>890</v>
      </c>
      <c r="MV40" s="9" t="s">
        <v>969</v>
      </c>
      <c r="MW40" s="8">
        <v>0.0</v>
      </c>
      <c r="MX40" s="8">
        <v>0.0</v>
      </c>
      <c r="MY40" s="8">
        <v>0.0</v>
      </c>
      <c r="MZ40" s="8">
        <v>1.0</v>
      </c>
      <c r="NA40" s="21" t="s">
        <v>2638</v>
      </c>
      <c r="NB40" s="8">
        <v>1.0</v>
      </c>
      <c r="NC40" s="9"/>
      <c r="ND40" s="9"/>
      <c r="NE40" s="9"/>
      <c r="NF40" s="9"/>
      <c r="NG40" s="9"/>
      <c r="NH40" s="9"/>
      <c r="NI40" s="9"/>
      <c r="NJ40" s="9"/>
      <c r="NK40" s="9"/>
      <c r="NL40" s="9" t="s">
        <v>881</v>
      </c>
      <c r="NM40" s="9" t="s">
        <v>893</v>
      </c>
      <c r="NN40" s="17" t="s">
        <v>1387</v>
      </c>
      <c r="NO40" s="17" t="s">
        <v>895</v>
      </c>
      <c r="NP40" s="9"/>
      <c r="NQ40" s="9"/>
      <c r="NR40" s="9"/>
      <c r="NS40" s="9"/>
      <c r="NT40" s="9"/>
      <c r="NU40" s="9"/>
      <c r="NV40" s="17" t="s">
        <v>896</v>
      </c>
      <c r="NW40" s="9"/>
      <c r="NX40" s="9" t="s">
        <v>897</v>
      </c>
      <c r="NY40" s="8">
        <v>30.0</v>
      </c>
      <c r="NZ40" s="8">
        <v>0.0</v>
      </c>
      <c r="OA40" s="8">
        <v>0.0</v>
      </c>
      <c r="OB40" s="8">
        <v>0.0</v>
      </c>
      <c r="OC40" s="8">
        <v>10.0</v>
      </c>
      <c r="OD40" s="8">
        <v>0.0</v>
      </c>
      <c r="OE40" s="9" t="s">
        <v>898</v>
      </c>
      <c r="OF40" s="9" t="s">
        <v>1388</v>
      </c>
      <c r="OG40" s="9" t="s">
        <v>857</v>
      </c>
      <c r="OH40" s="8">
        <v>0.0</v>
      </c>
      <c r="OI40" s="8">
        <v>0.0</v>
      </c>
      <c r="OJ40" s="8">
        <v>0.0</v>
      </c>
      <c r="OK40" s="8">
        <v>0.0</v>
      </c>
      <c r="OL40" s="8">
        <v>0.0</v>
      </c>
      <c r="OM40" s="8">
        <v>0.0</v>
      </c>
      <c r="ON40" s="8">
        <v>3.0</v>
      </c>
      <c r="OO40" s="8">
        <v>0.0</v>
      </c>
      <c r="OP40" s="9" t="str">
        <f>VLOOKUP(AG40,'BUS 2'!$G$1:$CU$424,2,0)</f>
        <v>Sapi pedaging Ayam Unggas lainnya</v>
      </c>
      <c r="OQ40" s="8">
        <f>VLOOKUP(AG40,'BUS 2'!$G$1:$CU$424,3,0)</f>
        <v>1</v>
      </c>
      <c r="OR40" s="8">
        <f>VLOOKUP(AG40,'BUS 2'!$G$1:$CU$424,4,0)</f>
        <v>0</v>
      </c>
      <c r="OS40" s="8">
        <f>VLOOKUP(AG40,'BUS 2'!$G$1:$CU$424,5,0)</f>
        <v>0</v>
      </c>
      <c r="OT40" s="8">
        <f>VLOOKUP(AG40,'BUS 2'!$G$1:$CU$424,6,0)</f>
        <v>0</v>
      </c>
      <c r="OU40" s="8">
        <f>VLOOKUP(AG40,'BUS 2'!$G$1:$CU$424,7,0)</f>
        <v>0</v>
      </c>
      <c r="OV40" s="8">
        <f>VLOOKUP(AG40,'BUS 2'!$G$1:$CU$424,8,0)</f>
        <v>0</v>
      </c>
      <c r="OW40" s="8">
        <f>VLOOKUP(AG40,'BUS 2'!$G$1:$CU$424,9,0)</f>
        <v>1</v>
      </c>
      <c r="OX40" s="8">
        <f>VLOOKUP(AG40,'BUS 2'!$G$1:$CU$424,10,0)</f>
        <v>1</v>
      </c>
      <c r="OY40" s="8">
        <f>VLOOKUP(AG40,'BUS 2'!$G$1:$CU$424,11,0)</f>
        <v>0</v>
      </c>
      <c r="OZ40" s="8" t="str">
        <f>VLOOKUP(AG40,'BUS 2'!$G$1:$CU$424,12,0)</f>
        <v>Sapi pedaging Ayam Unggas lainnya</v>
      </c>
      <c r="PA40" s="8">
        <f>VLOOKUP(AG40,'BUS 2'!$G$1:$CU$424,13,0)</f>
        <v>1</v>
      </c>
      <c r="PB40" s="8">
        <f>VLOOKUP(AG40,'BUS 2'!$G$1:$CU$424,14,0)</f>
        <v>0</v>
      </c>
      <c r="PC40" s="8">
        <f>VLOOKUP(AG40,'BUS 2'!$G$1:$CU$424,15,0)</f>
        <v>0</v>
      </c>
      <c r="PD40" s="8">
        <f>VLOOKUP(AG40,'BUS 2'!$G$1:$CU$424,16,0)</f>
        <v>0</v>
      </c>
      <c r="PE40" s="8">
        <f>VLOOKUP(AG40,'BUS 2'!$G$1:$CU$424,17,0)</f>
        <v>0</v>
      </c>
      <c r="PF40" s="8">
        <f>VLOOKUP(AG40,'BUS 2'!$G$1:$CU$424,18,0)</f>
        <v>0</v>
      </c>
      <c r="PG40" s="8">
        <f>VLOOKUP(AG40,'BUS 2'!$G$1:$CU$424,19,0)</f>
        <v>1</v>
      </c>
      <c r="PH40" s="8">
        <f>VLOOKUP(AG40,'BUS 2'!$G$1:$CU$424,20,0)</f>
        <v>1</v>
      </c>
      <c r="PI40" s="8">
        <f>VLOOKUP(AG40,'BUS 2'!$G$1:$CU$424,21,0)</f>
        <v>0</v>
      </c>
      <c r="PJ40" s="8" t="str">
        <f>VLOOKUP(AG40,'BUS 2'!$G$1:$CU$424,22,0)</f>
        <v>Ayam</v>
      </c>
      <c r="PK40" s="8">
        <f>VLOOKUP(AG40,'BUS 2'!$G$1:$CU$424,23,0)</f>
        <v>0</v>
      </c>
      <c r="PL40" s="8">
        <f>VLOOKUP(AG40,'BUS 2'!$G$1:$CU$424,24,0)</f>
        <v>0</v>
      </c>
      <c r="PM40" s="8">
        <f>VLOOKUP(AG40,'BUS 2'!$G$1:$CU$424,25,0)</f>
        <v>0</v>
      </c>
      <c r="PN40" s="8">
        <f>VLOOKUP(AG40,'BUS 2'!$G$1:$CU$424,26,0)</f>
        <v>0</v>
      </c>
      <c r="PO40" s="8">
        <f>VLOOKUP(AG40,'BUS 2'!$G$1:$CU$424,27,0)</f>
        <v>0</v>
      </c>
      <c r="PP40" s="8">
        <f>VLOOKUP(AG40,'BUS 2'!$G$1:$CU$424,28,0)</f>
        <v>0</v>
      </c>
      <c r="PQ40" s="8">
        <f>VLOOKUP(AG40,'BUS 2'!$G$1:$CU$424,29,0)</f>
        <v>1</v>
      </c>
      <c r="PR40" s="8">
        <f>VLOOKUP(AG40,'BUS 2'!$G$1:$CU$424,30,0)</f>
        <v>0</v>
      </c>
      <c r="PS40" s="8">
        <f>VLOOKUP(AG40,'BUS 2'!$G$1:$CU$424,31,0)</f>
        <v>0</v>
      </c>
      <c r="PT40" s="9" t="s">
        <v>900</v>
      </c>
      <c r="PU40" s="8">
        <v>0.0</v>
      </c>
      <c r="PV40" s="8">
        <v>0.0</v>
      </c>
      <c r="PW40" s="8">
        <v>0.0</v>
      </c>
      <c r="PX40" s="8">
        <v>0.0</v>
      </c>
      <c r="PY40" s="8">
        <v>0.0</v>
      </c>
      <c r="PZ40" s="8">
        <v>1.0</v>
      </c>
      <c r="QA40" s="8">
        <v>0.0</v>
      </c>
      <c r="QB40" s="8">
        <v>0.0</v>
      </c>
      <c r="QC40" s="8">
        <v>0.0</v>
      </c>
      <c r="QD40" s="9"/>
      <c r="QE40" s="32"/>
      <c r="QF40" s="31"/>
      <c r="QG40" s="31"/>
      <c r="QH40" s="31"/>
      <c r="QI40" s="31"/>
      <c r="QJ40" s="31"/>
      <c r="QK40" s="32"/>
      <c r="QL40" s="32"/>
      <c r="QM40" s="32"/>
      <c r="QN40" s="32"/>
      <c r="QO40" s="32"/>
      <c r="QP40" s="32"/>
      <c r="QQ40" s="32"/>
      <c r="QR40" s="32"/>
      <c r="QS40" s="32"/>
      <c r="QT40" s="32"/>
      <c r="QU40" s="32"/>
      <c r="QV40" s="32"/>
      <c r="QW40" s="31"/>
      <c r="QX40" s="31"/>
      <c r="QY40" s="31"/>
      <c r="QZ40" s="31"/>
      <c r="RA40" s="31"/>
      <c r="RB40" s="32"/>
      <c r="RC40" s="32"/>
      <c r="RD40" s="32"/>
      <c r="RE40" s="32"/>
      <c r="RF40" s="32"/>
      <c r="RG40" s="9"/>
      <c r="RH40" s="31"/>
      <c r="RI40" s="31"/>
      <c r="RJ40" s="31"/>
      <c r="RK40" s="31"/>
      <c r="RL40" s="31"/>
      <c r="RM40" s="9"/>
      <c r="RN40" s="9"/>
      <c r="RO40" s="9"/>
      <c r="RP40" s="9"/>
      <c r="RQ40" s="9"/>
      <c r="RR40" s="9"/>
      <c r="RS40" s="31"/>
      <c r="RT40" s="31"/>
      <c r="RU40" s="31"/>
      <c r="RV40" s="31"/>
      <c r="RW40" s="31"/>
      <c r="RX40" s="9"/>
      <c r="RY40" s="9"/>
      <c r="RZ40" s="9"/>
      <c r="SA40" s="9"/>
      <c r="SB40" s="9"/>
      <c r="SC40" s="9" t="s">
        <v>900</v>
      </c>
      <c r="SD40" s="35">
        <v>0.0</v>
      </c>
      <c r="SE40" s="35">
        <v>0.0</v>
      </c>
      <c r="SF40" s="35">
        <v>0.0</v>
      </c>
      <c r="SG40" s="35">
        <v>0.0</v>
      </c>
      <c r="SH40" s="35">
        <v>0.0</v>
      </c>
      <c r="SI40" s="8">
        <v>1.0</v>
      </c>
      <c r="SJ40" s="8">
        <v>0.0</v>
      </c>
      <c r="SK40" s="8">
        <v>0.0</v>
      </c>
      <c r="SL40" s="8">
        <v>0.0</v>
      </c>
      <c r="SM40" s="9"/>
      <c r="SN40" s="9"/>
      <c r="SO40" s="31"/>
      <c r="SP40" s="31"/>
      <c r="SQ40" s="31"/>
      <c r="SR40" s="31"/>
      <c r="SS40" s="31"/>
      <c r="ST40" s="9"/>
      <c r="SU40" s="9"/>
      <c r="SV40" s="9"/>
      <c r="SW40" s="9"/>
      <c r="SX40" s="9"/>
      <c r="SY40" s="8">
        <f>VLOOKUP(AG40,'BUS 2'!$G$1:$CU$424,33,0)</f>
        <v>10</v>
      </c>
      <c r="SZ40" s="9" t="str">
        <f>VLOOKUP(AG40,'BUS 2'!$G$1:$CU$424,34,0)</f>
        <v/>
      </c>
      <c r="TA40" s="9" t="str">
        <f>VLOOKUP(AG40,'BUS 2'!$G$1:$CU$424,35,0)</f>
        <v/>
      </c>
      <c r="TB40" s="9" t="str">
        <f>VLOOKUP(AG40,'BUS 2'!$G$1:$CU$424,36,0)</f>
        <v/>
      </c>
      <c r="TC40" s="9" t="str">
        <f>VLOOKUP(AG40,'BUS 2'!$G$1:$CU$424,37,0)</f>
        <v/>
      </c>
      <c r="TD40" s="9" t="str">
        <f>VLOOKUP(AG40,'BUS 2'!$G$1:$CU$424,38,0)</f>
        <v/>
      </c>
      <c r="TE40" s="9">
        <f>VLOOKUP(AG40,'BUS 2'!$G$1:$CU$424,39,0)</f>
        <v>10</v>
      </c>
      <c r="TF40" s="9">
        <f>VLOOKUP(AG40,'BUS 2'!$G$1:$CU$424,40,0)</f>
        <v>5</v>
      </c>
      <c r="TG40" s="8">
        <f>VLOOKUP(AG40,'BUS 2'!$G$1:$CU$424,42,0)</f>
        <v>7</v>
      </c>
      <c r="TH40" s="8" t="str">
        <f>VLOOKUP(AG40,'BUS 2'!$G$1:$CU$424,43,0)</f>
        <v/>
      </c>
      <c r="TI40" s="8" t="str">
        <f>VLOOKUP(AG40,'BUS 2'!$G$1:$CU$424,44,0)</f>
        <v/>
      </c>
      <c r="TJ40" s="8" t="str">
        <f>VLOOKUP(AG40,'BUS 2'!$G$1:$CU$424,45,0)</f>
        <v/>
      </c>
      <c r="TK40" s="8" t="str">
        <f>VLOOKUP(AG40,'BUS 2'!$G$1:$CU$424,46,0)</f>
        <v/>
      </c>
      <c r="TL40" s="8" t="str">
        <f>VLOOKUP(AG40,'BUS 2'!$G$1:$CU$424,47,0)</f>
        <v/>
      </c>
      <c r="TM40" s="8">
        <f>VLOOKUP(AG40,'BUS 2'!$G$1:$CU$424,48,0)</f>
        <v>5</v>
      </c>
      <c r="TN40" s="8">
        <f>VLOOKUP(AG40,'BUS 2'!$G$1:$CU$424,49,0)</f>
        <v>10</v>
      </c>
      <c r="TO40" s="8" t="str">
        <f>VLOOKUP(AG40,'BUS 2'!$G$1:$CU$424,50,0)</f>
        <v/>
      </c>
      <c r="TP40" s="8" t="str">
        <f>VLOOKUP(AG40,'BUS 2'!$G$1:$CU$424,51,0)</f>
        <v/>
      </c>
      <c r="TQ40" s="8" t="str">
        <f>VLOOKUP(AG40,'BUS 2'!$G$1:$CU$424,52,0)</f>
        <v/>
      </c>
      <c r="TR40" s="8" t="str">
        <f>VLOOKUP(AG40,'BUS 2'!$G$1:$CU$424,53,0)</f>
        <v/>
      </c>
      <c r="TS40" s="9" t="str">
        <f>VLOOKUP(AG40,'BUS 2'!$G$1:$CU$424,54,0)</f>
        <v/>
      </c>
      <c r="TT40" s="9" t="str">
        <f>VLOOKUP(AG40,'BUS 2'!$G$1:$CU$424,55,0)</f>
        <v/>
      </c>
      <c r="TU40" s="9" t="str">
        <f>VLOOKUP(AG40,'BUS 2'!$G$1:$CU$424,56,0)</f>
        <v/>
      </c>
      <c r="TV40" s="9" t="str">
        <f>VLOOKUP(AG40,'BUS 2'!$G$1:$CU$424,57,0)</f>
        <v/>
      </c>
      <c r="TW40" s="9" t="str">
        <f>VLOOKUP(AG40,'BUS 2'!$G$1:$CU$424,58,0)</f>
        <v/>
      </c>
      <c r="TX40" s="9" t="str">
        <f>VLOOKUP(AG40,'BUS 2'!$G$1:$CU$424,59,0)</f>
        <v/>
      </c>
      <c r="TY40" s="9" t="str">
        <f>VLOOKUP(AG40,'BUS 2'!$G$1:$CU$424,60,0)</f>
        <v/>
      </c>
      <c r="TZ40" s="9" t="str">
        <f>VLOOKUP(AG40,'BUS 2'!$G$1:$CU$424,61,0)</f>
        <v/>
      </c>
      <c r="UA40" s="9" t="str">
        <f>VLOOKUP(AG40,'BUS 2'!$G$1:$CU$424,62,0)</f>
        <v/>
      </c>
      <c r="UB40" s="9" t="str">
        <f>VLOOKUP(AG40,'BUS 2'!$G$1:$CU$424,63,0)</f>
        <v/>
      </c>
      <c r="UC40" s="9" t="str">
        <f>VLOOKUP(AG40,'BUS 2'!$G$1:$CU$424,64,0)</f>
        <v/>
      </c>
      <c r="UD40" s="9" t="str">
        <f>VLOOKUP(AG40,'BUS 2'!$G$1:$CU$424,65,0)</f>
        <v/>
      </c>
      <c r="UE40" s="9" t="str">
        <f>VLOOKUP(AG40,'BUS 2'!$G$1:$CU$424,66,0)</f>
        <v/>
      </c>
      <c r="UF40" s="9" t="str">
        <f>VLOOKUP(AG40,'BUS 2'!$G$1:$CU$424,67,0)</f>
        <v/>
      </c>
      <c r="UG40" s="9" t="str">
        <f>VLOOKUP(AG40,'BUS 2'!$G$1:$CU$424,68,0)</f>
        <v/>
      </c>
      <c r="UH40" s="9" t="str">
        <f>VLOOKUP(AG40,'BUS 2'!$G$1:$CU$424,69,0)</f>
        <v/>
      </c>
      <c r="UI40" s="9" t="str">
        <f>VLOOKUP(AG40,'BUS 2'!$G$1:$CU$424,70,0)</f>
        <v/>
      </c>
      <c r="UJ40" s="9" t="str">
        <f>VLOOKUP(AG40,'BUS 2'!$G$1:$CU$424,71,0)</f>
        <v/>
      </c>
      <c r="UK40" s="9" t="str">
        <f>VLOOKUP(AG40,'BUS 2'!$G$1:$CU$424,72,0)</f>
        <v/>
      </c>
      <c r="UL40" s="9" t="str">
        <f>VLOOKUP(AG40,'BUS 2'!$G$1:$CU$424,73,0)</f>
        <v/>
      </c>
      <c r="UM40" s="9">
        <f>VLOOKUP(AG40,'BUS 2'!$G$1:$CU$424,74,0)</f>
        <v>0</v>
      </c>
      <c r="UN40" s="9">
        <f>VLOOKUP(AG40,'BUS 2'!$G$1:$CU$424,75,0)</f>
        <v>0</v>
      </c>
      <c r="UO40" s="9">
        <f>VLOOKUP(AG40,'BUS 2'!$G$1:$CU$424,76,0)</f>
        <v>5</v>
      </c>
      <c r="UP40" s="9">
        <f>VLOOKUP(AG40,'BUS 2'!$G$1:$CU$424,77,0)</f>
        <v>10</v>
      </c>
      <c r="UQ40" s="9" t="str">
        <f>VLOOKUP(AG40,'BUS 2'!$G$1:$CU$424,78,0)</f>
        <v/>
      </c>
      <c r="UR40" s="9" t="str">
        <f>VLOOKUP(AG40,'BUS 2'!$G$1:$CU$424,79,0)</f>
        <v/>
      </c>
      <c r="US40" s="9" t="str">
        <f>VLOOKUP(AG40,'BUS 2'!$G$1:$CU$424,80,0)</f>
        <v/>
      </c>
      <c r="UT40" s="9" t="str">
        <f>VLOOKUP(AG40,'BUS 2'!$G$1:$CU$424,81,0)</f>
        <v/>
      </c>
      <c r="UU40" s="9"/>
      <c r="UV40" s="9"/>
      <c r="UW40" s="9"/>
      <c r="UX40" s="9"/>
      <c r="UY40" s="9"/>
      <c r="UZ40" s="9"/>
      <c r="VA40" s="9" t="s">
        <v>1937</v>
      </c>
      <c r="VB40" s="9"/>
      <c r="VC40" s="9"/>
      <c r="VD40" s="9"/>
      <c r="VE40" s="9"/>
      <c r="VF40" s="9"/>
      <c r="VG40" s="9"/>
      <c r="VH40" s="9"/>
      <c r="VI40" s="9" t="s">
        <v>1938</v>
      </c>
      <c r="VJ40" s="9"/>
      <c r="VK40" s="9"/>
      <c r="VL40" s="9"/>
      <c r="VM40" s="9"/>
      <c r="VN40" s="9"/>
      <c r="VO40" s="9"/>
      <c r="VP40" s="9"/>
      <c r="VQ40" s="9" t="s">
        <v>2040</v>
      </c>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t="s">
        <v>951</v>
      </c>
      <c r="YO40" s="8">
        <v>0.0</v>
      </c>
      <c r="YP40" s="8">
        <v>0.0</v>
      </c>
      <c r="YQ40" s="8">
        <v>0.0</v>
      </c>
      <c r="YR40" s="8">
        <v>0.0</v>
      </c>
      <c r="YS40" s="8">
        <v>0.0</v>
      </c>
      <c r="YT40" s="8">
        <v>0.0</v>
      </c>
      <c r="YU40" s="8">
        <v>1.0</v>
      </c>
      <c r="YV40" s="8">
        <v>0.0</v>
      </c>
      <c r="YW40" s="8">
        <v>0.0</v>
      </c>
      <c r="YX40" s="8">
        <v>0.0</v>
      </c>
      <c r="YY40" s="8">
        <v>0.0</v>
      </c>
      <c r="YZ40" s="8">
        <v>0.0</v>
      </c>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8">
        <v>1.0</v>
      </c>
      <c r="AAC40" s="9"/>
      <c r="AAD40" s="9"/>
      <c r="AAE40" s="9"/>
      <c r="AAF40" s="9"/>
      <c r="AAG40" s="9"/>
      <c r="AAH40" s="9"/>
      <c r="AAI40" s="9"/>
      <c r="AAJ40" s="9" t="s">
        <v>905</v>
      </c>
      <c r="AAK40" s="9"/>
      <c r="AAL40" s="9" t="s">
        <v>857</v>
      </c>
      <c r="AAM40" s="9" t="s">
        <v>1033</v>
      </c>
      <c r="AAN40" s="8">
        <v>1.0</v>
      </c>
      <c r="AAO40" s="8">
        <v>1.0</v>
      </c>
      <c r="AAP40" s="8">
        <v>250.0</v>
      </c>
      <c r="AAQ40" s="8">
        <v>50.0</v>
      </c>
      <c r="AAR40" s="9" t="s">
        <v>857</v>
      </c>
      <c r="AAS40" s="9" t="s">
        <v>1389</v>
      </c>
      <c r="AAT40" s="9" t="s">
        <v>995</v>
      </c>
      <c r="AAU40" s="8">
        <v>1.0</v>
      </c>
      <c r="AAV40" s="8">
        <v>0.0</v>
      </c>
      <c r="AAW40" s="8">
        <v>0.0</v>
      </c>
      <c r="AAX40" s="8">
        <v>0.0</v>
      </c>
      <c r="AAY40" s="8">
        <v>1.0</v>
      </c>
      <c r="AAZ40" s="8">
        <v>0.0</v>
      </c>
      <c r="ABA40" s="8">
        <v>0.0</v>
      </c>
      <c r="ABB40" s="9" t="s">
        <v>2616</v>
      </c>
      <c r="ABC40" s="8">
        <v>0.0</v>
      </c>
      <c r="ABD40" s="8">
        <v>0.0</v>
      </c>
      <c r="ABE40" s="8">
        <v>1.0</v>
      </c>
      <c r="ABF40" s="8">
        <v>0.0</v>
      </c>
      <c r="ABG40" s="8">
        <v>0.0</v>
      </c>
      <c r="ABH40" s="9"/>
      <c r="ABI40" s="9"/>
      <c r="ABJ40" s="9"/>
      <c r="ABK40" s="9"/>
      <c r="ABL40" s="9"/>
      <c r="ABM40" s="9"/>
      <c r="ABN40" s="9"/>
      <c r="ABO40" s="9"/>
      <c r="ABP40" s="9"/>
      <c r="ABQ40" s="9" t="s">
        <v>2704</v>
      </c>
      <c r="ABR40" s="9" t="s">
        <v>954</v>
      </c>
      <c r="ABS40" s="8">
        <v>15000.0</v>
      </c>
      <c r="ABT40" s="9"/>
      <c r="ABU40" s="8">
        <v>1.0</v>
      </c>
      <c r="ABV40" s="8">
        <v>100.0</v>
      </c>
      <c r="ABW40" s="9" t="s">
        <v>1199</v>
      </c>
      <c r="ABX40" s="9"/>
      <c r="ABY40" s="8">
        <v>250.0</v>
      </c>
      <c r="ABZ40" s="8">
        <v>1600.0</v>
      </c>
      <c r="ACA40" s="8">
        <v>100.0</v>
      </c>
      <c r="ACB40" s="8">
        <v>2000.0</v>
      </c>
      <c r="ACC40" s="8">
        <v>1300.0</v>
      </c>
      <c r="ACD40" s="8">
        <v>7000.0</v>
      </c>
      <c r="ACE40" s="9" t="s">
        <v>857</v>
      </c>
      <c r="ACF40" s="9" t="s">
        <v>1183</v>
      </c>
      <c r="ACG40" s="9" t="s">
        <v>1183</v>
      </c>
      <c r="ACH40" s="9" t="s">
        <v>945</v>
      </c>
      <c r="ACI40" s="9"/>
      <c r="ACJ40" s="9"/>
      <c r="ACK40" s="9" t="s">
        <v>969</v>
      </c>
      <c r="ACL40" s="8">
        <v>0.0</v>
      </c>
      <c r="ACM40" s="8">
        <v>0.0</v>
      </c>
      <c r="ACN40" s="8">
        <v>0.0</v>
      </c>
      <c r="ACO40" s="8">
        <v>0.0</v>
      </c>
      <c r="ACP40" s="8">
        <v>0.0</v>
      </c>
      <c r="ACQ40" s="8">
        <v>0.0</v>
      </c>
      <c r="ACR40" s="8">
        <v>1.0</v>
      </c>
      <c r="ACS40" s="9" t="s">
        <v>2043</v>
      </c>
      <c r="ACT40" s="9" t="s">
        <v>1945</v>
      </c>
      <c r="ACU40" s="9" t="s">
        <v>1050</v>
      </c>
      <c r="ACV40" s="9" t="s">
        <v>957</v>
      </c>
      <c r="ACW40" s="9" t="s">
        <v>915</v>
      </c>
      <c r="ACX40" s="9" t="s">
        <v>916</v>
      </c>
      <c r="ACY40" s="9" t="s">
        <v>1035</v>
      </c>
      <c r="ACZ40" s="8">
        <v>1.0</v>
      </c>
      <c r="ADA40" s="8">
        <v>1.0</v>
      </c>
      <c r="ADB40" s="8">
        <v>0.0</v>
      </c>
      <c r="ADC40" s="8">
        <v>0.0</v>
      </c>
      <c r="ADD40" s="9" t="s">
        <v>1187</v>
      </c>
      <c r="ADE40" s="9" t="s">
        <v>917</v>
      </c>
      <c r="ADF40" s="9" t="s">
        <v>917</v>
      </c>
      <c r="ADG40" s="9" t="s">
        <v>917</v>
      </c>
      <c r="ADH40" s="9" t="s">
        <v>881</v>
      </c>
      <c r="ADI40" s="9"/>
      <c r="ADJ40" s="9" t="s">
        <v>917</v>
      </c>
      <c r="ADK40" s="9"/>
      <c r="ADL40" s="9"/>
      <c r="ADM40" s="9"/>
      <c r="ADN40" s="9"/>
      <c r="ADO40" s="9"/>
      <c r="ADP40" s="9"/>
      <c r="ADQ40" s="9"/>
      <c r="ADR40" s="9"/>
      <c r="ADS40" s="9"/>
      <c r="ADT40" s="9"/>
      <c r="ADU40" s="9" t="s">
        <v>919</v>
      </c>
      <c r="ADV40" s="8">
        <v>0.0</v>
      </c>
      <c r="ADW40" s="8">
        <v>0.0</v>
      </c>
      <c r="ADX40" s="8">
        <v>0.0</v>
      </c>
      <c r="ADY40" s="8">
        <v>0.0</v>
      </c>
      <c r="ADZ40" s="8">
        <v>1.0</v>
      </c>
      <c r="AEA40" s="8">
        <v>0.0</v>
      </c>
      <c r="AEB40" s="8">
        <v>0.0</v>
      </c>
      <c r="AEC40" s="8">
        <v>0.0</v>
      </c>
      <c r="AED40" s="9" t="s">
        <v>2180</v>
      </c>
      <c r="AEE40" s="9" t="s">
        <v>872</v>
      </c>
      <c r="AEF40" s="9"/>
      <c r="AEG40" s="9" t="s">
        <v>920</v>
      </c>
      <c r="AEH40" s="9"/>
      <c r="AEI40" s="9" t="s">
        <v>2705</v>
      </c>
      <c r="AEJ40" s="9" t="s">
        <v>871</v>
      </c>
      <c r="AEK40" s="9" t="s">
        <v>2160</v>
      </c>
      <c r="AEL40" s="8">
        <v>1.0</v>
      </c>
      <c r="AEM40" s="8">
        <v>1.0</v>
      </c>
      <c r="AEN40" s="8">
        <v>0.0</v>
      </c>
      <c r="AEO40" s="8">
        <v>1.0</v>
      </c>
      <c r="AEP40" s="8">
        <v>1.0</v>
      </c>
      <c r="AEQ40" s="8">
        <v>0.0</v>
      </c>
      <c r="AER40" s="8">
        <v>1.0</v>
      </c>
      <c r="AES40" s="8">
        <v>1.0</v>
      </c>
      <c r="AET40" s="8">
        <v>1.0</v>
      </c>
      <c r="AEU40" s="8">
        <v>0.0</v>
      </c>
      <c r="AEV40" s="8">
        <v>1.0</v>
      </c>
      <c r="AEW40" s="8">
        <v>0.0</v>
      </c>
      <c r="AEX40" s="9"/>
      <c r="AEY40" s="9" t="s">
        <v>923</v>
      </c>
      <c r="AEZ40" s="9"/>
      <c r="AFA40" s="9" t="s">
        <v>1188</v>
      </c>
      <c r="AFB40" s="9"/>
      <c r="AFC40" s="9" t="s">
        <v>2706</v>
      </c>
      <c r="AFD40" s="16" t="s">
        <v>2707</v>
      </c>
      <c r="AFE40" s="9" t="s">
        <v>2708</v>
      </c>
      <c r="AFF40" s="16" t="s">
        <v>2709</v>
      </c>
      <c r="AFG40" s="9" t="s">
        <v>1991</v>
      </c>
      <c r="AFH40" s="9"/>
      <c r="AFI40" s="21" t="s">
        <v>2710</v>
      </c>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c r="ATS40" s="9"/>
      <c r="ATT40" s="9"/>
      <c r="ATU40" s="9"/>
      <c r="ATV40" s="9"/>
      <c r="ATW40" s="9"/>
      <c r="ATX40" s="9"/>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8">
        <v>6.72890663E8</v>
      </c>
      <c r="AWB40" s="9" t="s">
        <v>2711</v>
      </c>
      <c r="AWC40" s="6">
        <v>46069.0</v>
      </c>
      <c r="AWD40" s="9"/>
      <c r="AWE40" s="9"/>
      <c r="AWF40" s="9" t="s">
        <v>1954</v>
      </c>
      <c r="AWG40" s="9"/>
      <c r="AWH40" s="9" t="s">
        <v>1989</v>
      </c>
      <c r="AWI40" s="9"/>
      <c r="AWJ40" s="9" t="s">
        <v>2712</v>
      </c>
      <c r="AWK40" s="8">
        <v>285.0</v>
      </c>
      <c r="AWL40" s="9" t="s">
        <v>2700</v>
      </c>
      <c r="AWM40" s="8">
        <v>0.0</v>
      </c>
      <c r="AWN40" s="9" t="s">
        <v>1957</v>
      </c>
      <c r="AWO40" s="33" t="b">
        <v>1</v>
      </c>
      <c r="AWP40" s="33" t="b">
        <v>1</v>
      </c>
      <c r="AWQ40" s="33" t="b">
        <v>1</v>
      </c>
      <c r="AWR40" s="33" t="b">
        <v>1</v>
      </c>
      <c r="AWS40" s="33" t="b">
        <v>1</v>
      </c>
      <c r="AWT40" s="33" t="b">
        <v>1</v>
      </c>
      <c r="AWU40" s="9"/>
      <c r="AWV40" s="8">
        <v>7.0</v>
      </c>
      <c r="AWW40" s="9"/>
      <c r="AWX40" s="9"/>
      <c r="AWY40" s="9"/>
      <c r="AWZ40" s="9"/>
    </row>
    <row r="41">
      <c r="A41" s="6">
        <v>46056.0</v>
      </c>
      <c r="B41" s="6">
        <v>46069.0</v>
      </c>
      <c r="C41" s="30" t="s">
        <v>1958</v>
      </c>
      <c r="D41" s="30" t="s">
        <v>2713</v>
      </c>
      <c r="E41" s="8">
        <f>+6285398013860</f>
        <v>6285398013860</v>
      </c>
      <c r="F41" s="9" t="s">
        <v>2714</v>
      </c>
      <c r="G41" s="8">
        <v>-5.511028</v>
      </c>
      <c r="H41" s="8">
        <v>119.544442</v>
      </c>
      <c r="I41" s="8">
        <v>82.19592285</v>
      </c>
      <c r="J41" s="8">
        <v>4.609000206</v>
      </c>
      <c r="K41" s="8">
        <v>0.0</v>
      </c>
      <c r="L41" s="9" t="s">
        <v>2715</v>
      </c>
      <c r="M41" s="8">
        <v>-5.510863</v>
      </c>
      <c r="N41" s="8">
        <v>119.544298</v>
      </c>
      <c r="O41" s="8">
        <v>93.84503174</v>
      </c>
      <c r="P41" s="8">
        <v>6.30700016</v>
      </c>
      <c r="Q41" s="8">
        <v>0.0</v>
      </c>
      <c r="R41" s="9" t="s">
        <v>1923</v>
      </c>
      <c r="S41" s="8">
        <v>0.0</v>
      </c>
      <c r="T41" s="8">
        <v>0.0</v>
      </c>
      <c r="U41" s="8">
        <v>0.0</v>
      </c>
      <c r="V41" s="8">
        <v>0.0</v>
      </c>
      <c r="W41" s="8">
        <v>0.0</v>
      </c>
      <c r="X41" s="8">
        <v>0.0</v>
      </c>
      <c r="Y41" s="8">
        <v>0.0</v>
      </c>
      <c r="Z41" s="8">
        <v>0.0</v>
      </c>
      <c r="AA41" s="8">
        <v>0.0</v>
      </c>
      <c r="AB41" s="8">
        <v>1.0</v>
      </c>
      <c r="AC41" s="7" t="s">
        <v>1962</v>
      </c>
      <c r="AD41" s="7" t="s">
        <v>1963</v>
      </c>
      <c r="AE41" s="7" t="s">
        <v>1964</v>
      </c>
      <c r="AF41" s="9" t="s">
        <v>2170</v>
      </c>
      <c r="AG41" s="9" t="s">
        <v>2716</v>
      </c>
      <c r="AH41" s="8">
        <v>9.0</v>
      </c>
      <c r="AI41" s="9" t="s">
        <v>845</v>
      </c>
      <c r="AJ41" s="9" t="s">
        <v>934</v>
      </c>
      <c r="AK41" s="8">
        <v>39.0</v>
      </c>
      <c r="AL41" s="9" t="s">
        <v>847</v>
      </c>
      <c r="AM41" s="9" t="s">
        <v>848</v>
      </c>
      <c r="AN41" s="9" t="s">
        <v>849</v>
      </c>
      <c r="AO41" s="9" t="s">
        <v>850</v>
      </c>
      <c r="AP41" s="8">
        <v>1.0</v>
      </c>
      <c r="AQ41" s="8">
        <v>0.0</v>
      </c>
      <c r="AR41" s="8">
        <v>0.0</v>
      </c>
      <c r="AS41" s="8">
        <v>0.0</v>
      </c>
      <c r="AT41" s="8">
        <v>0.0</v>
      </c>
      <c r="AU41" s="8">
        <v>0.0</v>
      </c>
      <c r="AV41" s="8">
        <v>0.0</v>
      </c>
      <c r="AW41" s="8">
        <v>0.0</v>
      </c>
      <c r="AX41" s="9"/>
      <c r="AY41" s="9" t="s">
        <v>999</v>
      </c>
      <c r="AZ41" s="8">
        <v>0.0</v>
      </c>
      <c r="BA41" s="8">
        <v>0.0</v>
      </c>
      <c r="BB41" s="8">
        <v>0.0</v>
      </c>
      <c r="BC41" s="8">
        <v>0.0</v>
      </c>
      <c r="BD41" s="8">
        <v>0.0</v>
      </c>
      <c r="BE41" s="8">
        <v>0.0</v>
      </c>
      <c r="BF41" s="8">
        <v>0.0</v>
      </c>
      <c r="BG41" s="8">
        <v>1.0</v>
      </c>
      <c r="BH41" s="11"/>
      <c r="BI41" s="9" t="s">
        <v>2118</v>
      </c>
      <c r="BJ41" s="8">
        <v>1.0</v>
      </c>
      <c r="BK41" s="8">
        <v>2.0</v>
      </c>
      <c r="BL41" s="8">
        <v>2.0</v>
      </c>
      <c r="BM41" s="8">
        <v>0.0</v>
      </c>
      <c r="BN41" s="9" t="s">
        <v>853</v>
      </c>
      <c r="BO41" s="9" t="s">
        <v>2064</v>
      </c>
      <c r="BP41" s="8">
        <v>0.0</v>
      </c>
      <c r="BQ41" s="8">
        <v>0.0</v>
      </c>
      <c r="BR41" s="8">
        <v>1.0</v>
      </c>
      <c r="BS41" s="8">
        <v>0.0</v>
      </c>
      <c r="BT41" s="8">
        <v>0.0</v>
      </c>
      <c r="BU41" s="9"/>
      <c r="BV41" s="9" t="s">
        <v>2065</v>
      </c>
      <c r="BW41" s="8">
        <v>1.0</v>
      </c>
      <c r="BX41" s="8">
        <v>0.0</v>
      </c>
      <c r="BY41" s="8">
        <v>0.0</v>
      </c>
      <c r="BZ41" s="8">
        <v>0.0</v>
      </c>
      <c r="CA41" s="8">
        <v>0.0</v>
      </c>
      <c r="CB41" s="9"/>
      <c r="CC41" s="9" t="s">
        <v>1929</v>
      </c>
      <c r="CD41" s="8">
        <v>0.0</v>
      </c>
      <c r="CE41" s="8">
        <v>0.0</v>
      </c>
      <c r="CF41" s="8">
        <v>0.0</v>
      </c>
      <c r="CG41" s="8">
        <v>0.0</v>
      </c>
      <c r="CH41" s="8">
        <v>1.0</v>
      </c>
      <c r="CI41" s="8">
        <v>0.0</v>
      </c>
      <c r="CJ41" s="8">
        <v>0.0</v>
      </c>
      <c r="CK41" s="9"/>
      <c r="CL41" s="9" t="s">
        <v>857</v>
      </c>
      <c r="CM41" s="8">
        <v>2017.0</v>
      </c>
      <c r="CN41" s="9" t="s">
        <v>858</v>
      </c>
      <c r="CO41" s="9" t="s">
        <v>1968</v>
      </c>
      <c r="CP41" s="9" t="s">
        <v>860</v>
      </c>
      <c r="CQ41" s="8">
        <v>0.0</v>
      </c>
      <c r="CR41" s="8">
        <v>0.0</v>
      </c>
      <c r="CS41" s="8">
        <v>0.0</v>
      </c>
      <c r="CT41" s="8">
        <v>0.0</v>
      </c>
      <c r="CU41" s="8">
        <v>1.0</v>
      </c>
      <c r="CV41" s="8">
        <v>0.0</v>
      </c>
      <c r="CW41" s="8">
        <v>0.0</v>
      </c>
      <c r="CX41" s="8">
        <v>0.0</v>
      </c>
      <c r="CY41" s="9" t="s">
        <v>1060</v>
      </c>
      <c r="CZ41" s="8">
        <v>1.0</v>
      </c>
      <c r="DA41" s="8">
        <v>1.0</v>
      </c>
      <c r="DB41" s="8">
        <v>0.0</v>
      </c>
      <c r="DC41" s="9"/>
      <c r="DD41" s="9" t="s">
        <v>860</v>
      </c>
      <c r="DE41" s="8">
        <v>1.0</v>
      </c>
      <c r="DF41" s="8">
        <v>0.0</v>
      </c>
      <c r="DG41" s="8">
        <v>0.0</v>
      </c>
      <c r="DH41" s="8">
        <v>0.0</v>
      </c>
      <c r="DI41" s="9"/>
      <c r="DJ41" s="9" t="s">
        <v>937</v>
      </c>
      <c r="DK41" s="8">
        <v>1.0</v>
      </c>
      <c r="DL41" s="8">
        <v>0.0</v>
      </c>
      <c r="DM41" s="8">
        <v>1.0</v>
      </c>
      <c r="DN41" s="8">
        <v>0.0</v>
      </c>
      <c r="DO41" s="9"/>
      <c r="DP41" s="9" t="s">
        <v>938</v>
      </c>
      <c r="DQ41" s="9" t="s">
        <v>939</v>
      </c>
      <c r="DR41" s="17" t="s">
        <v>2030</v>
      </c>
      <c r="DS41" s="9"/>
      <c r="DT41" s="9" t="s">
        <v>2031</v>
      </c>
      <c r="DU41" s="8">
        <v>1.0</v>
      </c>
      <c r="DV41" s="8">
        <v>0.0</v>
      </c>
      <c r="DW41" s="8">
        <v>0.0</v>
      </c>
      <c r="DX41" s="8">
        <v>0.0</v>
      </c>
      <c r="DY41" s="8">
        <v>0.0</v>
      </c>
      <c r="DZ41" s="8">
        <v>0.0</v>
      </c>
      <c r="EA41" s="8">
        <v>0.0</v>
      </c>
      <c r="EB41" s="8">
        <v>0.0</v>
      </c>
      <c r="EC41" s="8">
        <v>0.0</v>
      </c>
      <c r="ED41" s="8">
        <v>0.0</v>
      </c>
      <c r="EE41" s="8">
        <v>0.0</v>
      </c>
      <c r="EF41" s="8">
        <v>0.0</v>
      </c>
      <c r="EG41" s="8">
        <v>0.0</v>
      </c>
      <c r="EH41" s="8">
        <v>0.0</v>
      </c>
      <c r="EI41" s="9" t="s">
        <v>862</v>
      </c>
      <c r="EJ41" s="8">
        <v>0.0</v>
      </c>
      <c r="EK41" s="8">
        <v>0.0</v>
      </c>
      <c r="EL41" s="8">
        <v>0.0</v>
      </c>
      <c r="EM41" s="8">
        <v>1.0</v>
      </c>
      <c r="EN41" s="8">
        <v>0.0</v>
      </c>
      <c r="EO41" s="9"/>
      <c r="EP41" s="9" t="s">
        <v>863</v>
      </c>
      <c r="EQ41" s="9" t="s">
        <v>1380</v>
      </c>
      <c r="ER41" s="9" t="s">
        <v>2066</v>
      </c>
      <c r="ES41" s="8">
        <v>1.0</v>
      </c>
      <c r="ET41" s="8">
        <v>0.0</v>
      </c>
      <c r="EU41" s="8">
        <v>0.0</v>
      </c>
      <c r="EV41" s="8">
        <v>1.0</v>
      </c>
      <c r="EW41" s="9" t="s">
        <v>1970</v>
      </c>
      <c r="EX41" s="9" t="s">
        <v>865</v>
      </c>
      <c r="EY41" s="8">
        <v>1.0</v>
      </c>
      <c r="EZ41" s="8">
        <v>0.0</v>
      </c>
      <c r="FA41" s="8">
        <v>0.0</v>
      </c>
      <c r="FB41" s="9"/>
      <c r="FC41" s="9" t="s">
        <v>1072</v>
      </c>
      <c r="FD41" s="9" t="s">
        <v>2032</v>
      </c>
      <c r="FE41" s="9" t="s">
        <v>867</v>
      </c>
      <c r="FF41" s="9" t="s">
        <v>868</v>
      </c>
      <c r="FG41" s="9" t="s">
        <v>867</v>
      </c>
      <c r="FH41" s="9" t="s">
        <v>868</v>
      </c>
      <c r="FI41" s="9" t="s">
        <v>867</v>
      </c>
      <c r="FJ41" s="9" t="s">
        <v>868</v>
      </c>
      <c r="FK41" s="9" t="s">
        <v>867</v>
      </c>
      <c r="FL41" s="9" t="s">
        <v>870</v>
      </c>
      <c r="FM41" s="9" t="s">
        <v>867</v>
      </c>
      <c r="FN41" s="9" t="s">
        <v>869</v>
      </c>
      <c r="FO41" s="9" t="s">
        <v>867</v>
      </c>
      <c r="FP41" s="9" t="s">
        <v>869</v>
      </c>
      <c r="FQ41" s="9" t="s">
        <v>867</v>
      </c>
      <c r="FR41" s="9" t="s">
        <v>857</v>
      </c>
      <c r="FS41" s="9" t="s">
        <v>867</v>
      </c>
      <c r="FT41" s="9" t="s">
        <v>2173</v>
      </c>
      <c r="FU41" s="9" t="s">
        <v>872</v>
      </c>
      <c r="FV41" s="8">
        <v>1.0</v>
      </c>
      <c r="FW41" s="8">
        <v>0.0</v>
      </c>
      <c r="FX41" s="8">
        <v>0.0</v>
      </c>
      <c r="FY41" s="8">
        <v>0.0</v>
      </c>
      <c r="FZ41" s="9" t="s">
        <v>873</v>
      </c>
      <c r="GA41" s="9" t="s">
        <v>874</v>
      </c>
      <c r="GB41" s="8">
        <v>1.0</v>
      </c>
      <c r="GC41" s="8">
        <v>0.0</v>
      </c>
      <c r="GD41" s="8">
        <v>0.0</v>
      </c>
      <c r="GE41" s="8">
        <v>0.0</v>
      </c>
      <c r="GF41" s="9"/>
      <c r="GG41" s="9" t="s">
        <v>2033</v>
      </c>
      <c r="GH41" s="9" t="s">
        <v>857</v>
      </c>
      <c r="GI41" s="9" t="s">
        <v>1930</v>
      </c>
      <c r="GJ41" s="8">
        <v>1.0</v>
      </c>
      <c r="GK41" s="8">
        <v>1.0</v>
      </c>
      <c r="GL41" s="8">
        <v>1.0</v>
      </c>
      <c r="GM41" s="8">
        <v>0.0</v>
      </c>
      <c r="GN41" s="9"/>
      <c r="GO41" s="8">
        <v>9.0</v>
      </c>
      <c r="GP41" s="9" t="s">
        <v>877</v>
      </c>
      <c r="GQ41" s="9" t="s">
        <v>1102</v>
      </c>
      <c r="GR41" s="8">
        <v>1.0</v>
      </c>
      <c r="GS41" s="8">
        <v>0.0</v>
      </c>
      <c r="GT41" s="8">
        <v>0.0</v>
      </c>
      <c r="GU41" s="8">
        <v>0.0</v>
      </c>
      <c r="GV41" s="8">
        <v>0.0</v>
      </c>
      <c r="GW41" s="8">
        <v>0.0</v>
      </c>
      <c r="GX41" s="8">
        <v>0.0</v>
      </c>
      <c r="GY41" s="9"/>
      <c r="GZ41" s="9" t="s">
        <v>881</v>
      </c>
      <c r="HA41" s="9"/>
      <c r="HB41" s="9"/>
      <c r="HC41" s="9"/>
      <c r="HD41" s="9"/>
      <c r="HE41" s="8">
        <v>9.0</v>
      </c>
      <c r="HF41" s="8">
        <v>75000.0</v>
      </c>
      <c r="HG41" s="8">
        <v>0.0</v>
      </c>
      <c r="HH41" s="35">
        <v>0.0</v>
      </c>
      <c r="HI41" s="9"/>
      <c r="HJ41" s="9"/>
      <c r="HK41" s="9"/>
      <c r="HL41" s="9"/>
      <c r="HM41" s="9"/>
      <c r="HN41" s="9"/>
      <c r="HO41" s="9"/>
      <c r="HP41" s="9"/>
      <c r="HQ41" s="9"/>
      <c r="HR41" s="9"/>
      <c r="HS41" s="9"/>
      <c r="HT41" s="9"/>
      <c r="HU41" s="9"/>
      <c r="HV41" s="9"/>
      <c r="HW41" s="9"/>
      <c r="HX41" s="9"/>
      <c r="HY41" s="9"/>
      <c r="HZ41" s="9"/>
      <c r="IA41" s="8">
        <v>9.0</v>
      </c>
      <c r="IB41" s="9"/>
      <c r="IC41" s="9"/>
      <c r="ID41" s="9"/>
      <c r="IE41" s="9"/>
      <c r="IF41" s="9"/>
      <c r="IG41" s="9"/>
      <c r="IH41" s="9"/>
      <c r="II41" s="9"/>
      <c r="IJ41" s="9"/>
      <c r="IK41" s="9" t="s">
        <v>1932</v>
      </c>
      <c r="IL41" s="9" t="s">
        <v>880</v>
      </c>
      <c r="IM41" s="9" t="s">
        <v>881</v>
      </c>
      <c r="IN41" s="9" t="s">
        <v>881</v>
      </c>
      <c r="IO41" s="9" t="s">
        <v>945</v>
      </c>
      <c r="IP41" s="9"/>
      <c r="IQ41" s="9" t="s">
        <v>883</v>
      </c>
      <c r="IR41" s="9"/>
      <c r="IS41" s="9"/>
      <c r="IT41" s="9"/>
      <c r="IU41" s="9"/>
      <c r="IV41" s="9"/>
      <c r="IW41" s="9"/>
      <c r="IX41" s="9"/>
      <c r="IY41" s="9"/>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945</v>
      </c>
      <c r="KT41" s="9" t="s">
        <v>886</v>
      </c>
      <c r="KU41" s="9" t="s">
        <v>886</v>
      </c>
      <c r="KV41" s="9" t="s">
        <v>999</v>
      </c>
      <c r="KW41" s="8">
        <v>0.0</v>
      </c>
      <c r="KX41" s="8">
        <v>0.0</v>
      </c>
      <c r="KY41" s="8">
        <v>0.0</v>
      </c>
      <c r="KZ41" s="8">
        <v>1.0</v>
      </c>
      <c r="LA41" s="9" t="s">
        <v>945</v>
      </c>
      <c r="LB41" s="9" t="s">
        <v>1180</v>
      </c>
      <c r="LC41" s="8">
        <v>2.0</v>
      </c>
      <c r="LD41" s="8">
        <v>0.0</v>
      </c>
      <c r="LE41" s="8">
        <v>0.0</v>
      </c>
      <c r="LF41" s="8">
        <v>0.0</v>
      </c>
      <c r="LG41" s="9" t="s">
        <v>881</v>
      </c>
      <c r="LH41" s="9"/>
      <c r="LI41" s="8">
        <v>0.0</v>
      </c>
      <c r="LJ41" s="9" t="s">
        <v>969</v>
      </c>
      <c r="LK41" s="8">
        <v>0.0</v>
      </c>
      <c r="LL41" s="8">
        <v>0.0</v>
      </c>
      <c r="LM41" s="8">
        <v>0.0</v>
      </c>
      <c r="LN41" s="8">
        <v>0.0</v>
      </c>
      <c r="LO41" s="8">
        <v>0.0</v>
      </c>
      <c r="LP41" s="8">
        <v>0.0</v>
      </c>
      <c r="LQ41" s="8">
        <v>1.0</v>
      </c>
      <c r="LR41" s="11" t="s">
        <v>1973</v>
      </c>
      <c r="LS41" s="8">
        <v>15.0</v>
      </c>
      <c r="LT41" s="8">
        <v>0.0</v>
      </c>
      <c r="LU41" s="8">
        <v>0.0</v>
      </c>
      <c r="LV41" s="8">
        <v>5.0</v>
      </c>
      <c r="LW41" s="8">
        <v>0.0</v>
      </c>
      <c r="LX41" s="8">
        <v>0.0</v>
      </c>
      <c r="LY41" s="8">
        <v>10.0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17" t="s">
        <v>2035</v>
      </c>
      <c r="MS41" s="9"/>
      <c r="MT41" s="9" t="s">
        <v>2035</v>
      </c>
      <c r="MU41" s="9" t="s">
        <v>881</v>
      </c>
      <c r="MV41" s="9"/>
      <c r="MW41" s="9"/>
      <c r="MX41" s="9"/>
      <c r="MY41" s="9"/>
      <c r="MZ41" s="9"/>
      <c r="NA41" s="9"/>
      <c r="NB41" s="9"/>
      <c r="NC41" s="9"/>
      <c r="ND41" s="9"/>
      <c r="NE41" s="9"/>
      <c r="NF41" s="9"/>
      <c r="NG41" s="9"/>
      <c r="NH41" s="9"/>
      <c r="NI41" s="9"/>
      <c r="NJ41" s="9"/>
      <c r="NK41" s="9"/>
      <c r="NL41" s="9" t="s">
        <v>881</v>
      </c>
      <c r="NM41" s="9" t="s">
        <v>1386</v>
      </c>
      <c r="NN41" s="17" t="s">
        <v>1975</v>
      </c>
      <c r="NO41" s="17" t="s">
        <v>895</v>
      </c>
      <c r="NP41" s="9"/>
      <c r="NQ41" s="9"/>
      <c r="NR41" s="9"/>
      <c r="NS41" s="9"/>
      <c r="NT41" s="9"/>
      <c r="NU41" s="9"/>
      <c r="NV41" s="9"/>
      <c r="NW41" s="9"/>
      <c r="NX41" s="9" t="s">
        <v>914</v>
      </c>
      <c r="NY41" s="8">
        <v>240.0</v>
      </c>
      <c r="NZ41" s="8">
        <v>0.0</v>
      </c>
      <c r="OA41" s="8">
        <v>0.0</v>
      </c>
      <c r="OB41" s="8">
        <v>0.0</v>
      </c>
      <c r="OC41" s="8">
        <v>30.0</v>
      </c>
      <c r="OD41" s="8">
        <v>0.0</v>
      </c>
      <c r="OE41" s="9" t="s">
        <v>945</v>
      </c>
      <c r="OF41" s="9" t="s">
        <v>1184</v>
      </c>
      <c r="OG41" s="9" t="s">
        <v>857</v>
      </c>
      <c r="OH41" s="8">
        <v>0.0</v>
      </c>
      <c r="OI41" s="8">
        <v>0.0</v>
      </c>
      <c r="OJ41" s="8">
        <v>0.0</v>
      </c>
      <c r="OK41" s="8">
        <v>0.0</v>
      </c>
      <c r="OL41" s="8">
        <v>3.0</v>
      </c>
      <c r="OM41" s="8">
        <v>0.0</v>
      </c>
      <c r="ON41" s="8">
        <v>20.0</v>
      </c>
      <c r="OO41" s="8">
        <v>0.0</v>
      </c>
      <c r="OP41" s="9" t="str">
        <f>VLOOKUP(AG41,'BUS 2'!$G$1:$CU$424,2,0)</f>
        <v>Sapi pedaging Ayam</v>
      </c>
      <c r="OQ41" s="8">
        <f>VLOOKUP(AG41,'BUS 2'!$G$1:$CU$424,3,0)</f>
        <v>1</v>
      </c>
      <c r="OR41" s="8">
        <f>VLOOKUP(AG41,'BUS 2'!$G$1:$CU$424,4,0)</f>
        <v>0</v>
      </c>
      <c r="OS41" s="8">
        <f>VLOOKUP(AG41,'BUS 2'!$G$1:$CU$424,5,0)</f>
        <v>0</v>
      </c>
      <c r="OT41" s="8">
        <f>VLOOKUP(AG41,'BUS 2'!$G$1:$CU$424,6,0)</f>
        <v>0</v>
      </c>
      <c r="OU41" s="8">
        <f>VLOOKUP(AG41,'BUS 2'!$G$1:$CU$424,7,0)</f>
        <v>0</v>
      </c>
      <c r="OV41" s="8">
        <f>VLOOKUP(AG41,'BUS 2'!$G$1:$CU$424,8,0)</f>
        <v>0</v>
      </c>
      <c r="OW41" s="8">
        <f>VLOOKUP(AG41,'BUS 2'!$G$1:$CU$424,9,0)</f>
        <v>1</v>
      </c>
      <c r="OX41" s="8">
        <f>VLOOKUP(AG41,'BUS 2'!$G$1:$CU$424,10,0)</f>
        <v>0</v>
      </c>
      <c r="OY41" s="8">
        <f>VLOOKUP(AG41,'BUS 2'!$G$1:$CU$424,11,0)</f>
        <v>0</v>
      </c>
      <c r="OZ41" s="8" t="str">
        <f>VLOOKUP(AG41,'BUS 2'!$G$1:$CU$424,12,0)</f>
        <v>Kuda Ayam</v>
      </c>
      <c r="PA41" s="8">
        <f>VLOOKUP(AG41,'BUS 2'!$G$1:$CU$424,13,0)</f>
        <v>0</v>
      </c>
      <c r="PB41" s="8">
        <f>VLOOKUP(AG41,'BUS 2'!$G$1:$CU$424,14,0)</f>
        <v>0</v>
      </c>
      <c r="PC41" s="8">
        <f>VLOOKUP(AG41,'BUS 2'!$G$1:$CU$424,15,0)</f>
        <v>0</v>
      </c>
      <c r="PD41" s="8">
        <f>VLOOKUP(AG41,'BUS 2'!$G$1:$CU$424,16,0)</f>
        <v>0</v>
      </c>
      <c r="PE41" s="8">
        <f>VLOOKUP(AG41,'BUS 2'!$G$1:$CU$424,17,0)</f>
        <v>1</v>
      </c>
      <c r="PF41" s="8">
        <f>VLOOKUP(AG41,'BUS 2'!$G$1:$CU$424,18,0)</f>
        <v>0</v>
      </c>
      <c r="PG41" s="8">
        <f>VLOOKUP(AG41,'BUS 2'!$G$1:$CU$424,19,0)</f>
        <v>1</v>
      </c>
      <c r="PH41" s="8">
        <f>VLOOKUP(AG41,'BUS 2'!$G$1:$CU$424,20,0)</f>
        <v>0</v>
      </c>
      <c r="PI41" s="8">
        <f>VLOOKUP(AG41,'BUS 2'!$G$1:$CU$424,21,0)</f>
        <v>0</v>
      </c>
      <c r="PJ41" s="8" t="str">
        <f>VLOOKUP(AG41,'BUS 2'!$G$1:$CU$424,22,0)</f>
        <v>Tidak ada</v>
      </c>
      <c r="PK41" s="8">
        <f>VLOOKUP(AG41,'BUS 2'!$G$1:$CU$424,23,0)</f>
        <v>0</v>
      </c>
      <c r="PL41" s="8">
        <f>VLOOKUP(AG41,'BUS 2'!$G$1:$CU$424,24,0)</f>
        <v>0</v>
      </c>
      <c r="PM41" s="8">
        <f>VLOOKUP(AG41,'BUS 2'!$G$1:$CU$424,25,0)</f>
        <v>0</v>
      </c>
      <c r="PN41" s="8">
        <f>VLOOKUP(AG41,'BUS 2'!$G$1:$CU$424,26,0)</f>
        <v>0</v>
      </c>
      <c r="PO41" s="8">
        <f>VLOOKUP(AG41,'BUS 2'!$G$1:$CU$424,27,0)</f>
        <v>0</v>
      </c>
      <c r="PP41" s="8">
        <f>VLOOKUP(AG41,'BUS 2'!$G$1:$CU$424,28,0)</f>
        <v>0</v>
      </c>
      <c r="PQ41" s="8">
        <f>VLOOKUP(AG41,'BUS 2'!$G$1:$CU$424,29,0)</f>
        <v>0</v>
      </c>
      <c r="PR41" s="8">
        <f>VLOOKUP(AG41,'BUS 2'!$G$1:$CU$424,30,0)</f>
        <v>0</v>
      </c>
      <c r="PS41" s="8">
        <f>VLOOKUP(AG41,'BUS 2'!$G$1:$CU$424,31,0)</f>
        <v>1</v>
      </c>
      <c r="PT41" s="9" t="s">
        <v>900</v>
      </c>
      <c r="PU41" s="8">
        <v>0.0</v>
      </c>
      <c r="PV41" s="8">
        <v>0.0</v>
      </c>
      <c r="PW41" s="8">
        <v>0.0</v>
      </c>
      <c r="PX41" s="8">
        <v>0.0</v>
      </c>
      <c r="PY41" s="8">
        <v>0.0</v>
      </c>
      <c r="PZ41" s="8">
        <v>1.0</v>
      </c>
      <c r="QA41" s="8">
        <v>0.0</v>
      </c>
      <c r="QB41" s="8">
        <v>0.0</v>
      </c>
      <c r="QC41" s="8">
        <v>0.0</v>
      </c>
      <c r="QD41" s="9"/>
      <c r="QE41" s="32"/>
      <c r="QF41" s="31"/>
      <c r="QG41" s="31"/>
      <c r="QH41" s="31"/>
      <c r="QI41" s="31"/>
      <c r="QJ41" s="31"/>
      <c r="QK41" s="32"/>
      <c r="QL41" s="32"/>
      <c r="QM41" s="32"/>
      <c r="QN41" s="32"/>
      <c r="QO41" s="32"/>
      <c r="QP41" s="32"/>
      <c r="QQ41" s="32"/>
      <c r="QR41" s="32"/>
      <c r="QS41" s="32"/>
      <c r="QT41" s="32"/>
      <c r="QU41" s="32"/>
      <c r="QV41" s="32"/>
      <c r="QW41" s="31"/>
      <c r="QX41" s="31"/>
      <c r="QY41" s="31"/>
      <c r="QZ41" s="31"/>
      <c r="RA41" s="31"/>
      <c r="RB41" s="32"/>
      <c r="RC41" s="32"/>
      <c r="RD41" s="32"/>
      <c r="RE41" s="32"/>
      <c r="RF41" s="32"/>
      <c r="RG41" s="9"/>
      <c r="RH41" s="31"/>
      <c r="RI41" s="31"/>
      <c r="RJ41" s="31"/>
      <c r="RK41" s="31"/>
      <c r="RL41" s="31"/>
      <c r="RM41" s="9"/>
      <c r="RN41" s="9"/>
      <c r="RO41" s="9"/>
      <c r="RP41" s="9"/>
      <c r="RQ41" s="9"/>
      <c r="RR41" s="9"/>
      <c r="RS41" s="31"/>
      <c r="RT41" s="31"/>
      <c r="RU41" s="31"/>
      <c r="RV41" s="31"/>
      <c r="RW41" s="31"/>
      <c r="RX41" s="9"/>
      <c r="RY41" s="9"/>
      <c r="RZ41" s="9"/>
      <c r="SA41" s="9"/>
      <c r="SB41" s="9"/>
      <c r="SC41" s="9" t="s">
        <v>900</v>
      </c>
      <c r="SD41" s="35">
        <v>0.0</v>
      </c>
      <c r="SE41" s="35">
        <v>0.0</v>
      </c>
      <c r="SF41" s="35">
        <v>0.0</v>
      </c>
      <c r="SG41" s="35">
        <v>0.0</v>
      </c>
      <c r="SH41" s="35">
        <v>0.0</v>
      </c>
      <c r="SI41" s="8">
        <v>1.0</v>
      </c>
      <c r="SJ41" s="8">
        <v>0.0</v>
      </c>
      <c r="SK41" s="8">
        <v>0.0</v>
      </c>
      <c r="SL41" s="8">
        <v>0.0</v>
      </c>
      <c r="SM41" s="9"/>
      <c r="SN41" s="9"/>
      <c r="SO41" s="31"/>
      <c r="SP41" s="31"/>
      <c r="SQ41" s="31"/>
      <c r="SR41" s="31"/>
      <c r="SS41" s="31"/>
      <c r="ST41" s="9"/>
      <c r="SU41" s="9"/>
      <c r="SV41" s="9"/>
      <c r="SW41" s="9"/>
      <c r="SX41" s="9"/>
      <c r="SY41" s="8">
        <f>VLOOKUP(AG41,'BUS 2'!$G$1:$CU$424,33,0)</f>
        <v>4</v>
      </c>
      <c r="SZ41" s="9" t="str">
        <f>VLOOKUP(AG41,'BUS 2'!$G$1:$CU$424,34,0)</f>
        <v/>
      </c>
      <c r="TA41" s="9" t="str">
        <f>VLOOKUP(AG41,'BUS 2'!$G$1:$CU$424,35,0)</f>
        <v/>
      </c>
      <c r="TB41" s="9" t="str">
        <f>VLOOKUP(AG41,'BUS 2'!$G$1:$CU$424,36,0)</f>
        <v/>
      </c>
      <c r="TC41" s="9" t="str">
        <f>VLOOKUP(AG41,'BUS 2'!$G$1:$CU$424,37,0)</f>
        <v/>
      </c>
      <c r="TD41" s="9" t="str">
        <f>VLOOKUP(AG41,'BUS 2'!$G$1:$CU$424,38,0)</f>
        <v/>
      </c>
      <c r="TE41" s="9">
        <f>VLOOKUP(AG41,'BUS 2'!$G$1:$CU$424,39,0)</f>
        <v>10</v>
      </c>
      <c r="TF41" s="9" t="str">
        <f>VLOOKUP(AG41,'BUS 2'!$G$1:$CU$424,40,0)</f>
        <v/>
      </c>
      <c r="TG41" s="8" t="str">
        <f>VLOOKUP(AG41,'BUS 2'!$G$1:$CU$424,42,0)</f>
        <v/>
      </c>
      <c r="TH41" s="8" t="str">
        <f>VLOOKUP(AG41,'BUS 2'!$G$1:$CU$424,43,0)</f>
        <v/>
      </c>
      <c r="TI41" s="8" t="str">
        <f>VLOOKUP(AG41,'BUS 2'!$G$1:$CU$424,44,0)</f>
        <v/>
      </c>
      <c r="TJ41" s="8" t="str">
        <f>VLOOKUP(AG41,'BUS 2'!$G$1:$CU$424,45,0)</f>
        <v/>
      </c>
      <c r="TK41" s="8">
        <f>VLOOKUP(AG41,'BUS 2'!$G$1:$CU$424,46,0)</f>
        <v>2</v>
      </c>
      <c r="TL41" s="8" t="str">
        <f>VLOOKUP(AG41,'BUS 2'!$G$1:$CU$424,47,0)</f>
        <v/>
      </c>
      <c r="TM41" s="8">
        <f>VLOOKUP(AG41,'BUS 2'!$G$1:$CU$424,48,0)</f>
        <v>10</v>
      </c>
      <c r="TN41" s="8" t="str">
        <f>VLOOKUP(AG41,'BUS 2'!$G$1:$CU$424,49,0)</f>
        <v/>
      </c>
      <c r="TO41" s="8" t="str">
        <f>VLOOKUP(AG41,'BUS 2'!$G$1:$CU$424,50,0)</f>
        <v/>
      </c>
      <c r="TP41" s="8" t="str">
        <f>VLOOKUP(AG41,'BUS 2'!$G$1:$CU$424,51,0)</f>
        <v/>
      </c>
      <c r="TQ41" s="8" t="str">
        <f>VLOOKUP(AG41,'BUS 2'!$G$1:$CU$424,52,0)</f>
        <v/>
      </c>
      <c r="TR41" s="8" t="str">
        <f>VLOOKUP(AG41,'BUS 2'!$G$1:$CU$424,53,0)</f>
        <v/>
      </c>
      <c r="TS41" s="9" t="str">
        <f>VLOOKUP(AG41,'BUS 2'!$G$1:$CU$424,54,0)</f>
        <v/>
      </c>
      <c r="TT41" s="9" t="str">
        <f>VLOOKUP(AG41,'BUS 2'!$G$1:$CU$424,55,0)</f>
        <v/>
      </c>
      <c r="TU41" s="9" t="str">
        <f>VLOOKUP(AG41,'BUS 2'!$G$1:$CU$424,56,0)</f>
        <v/>
      </c>
      <c r="TV41" s="9" t="str">
        <f>VLOOKUP(AG41,'BUS 2'!$G$1:$CU$424,57,0)</f>
        <v/>
      </c>
      <c r="TW41" s="9" t="str">
        <f>VLOOKUP(AG41,'BUS 2'!$G$1:$CU$424,58,0)</f>
        <v/>
      </c>
      <c r="TX41" s="9" t="str">
        <f>VLOOKUP(AG41,'BUS 2'!$G$1:$CU$424,59,0)</f>
        <v/>
      </c>
      <c r="TY41" s="9" t="str">
        <f>VLOOKUP(AG41,'BUS 2'!$G$1:$CU$424,60,0)</f>
        <v/>
      </c>
      <c r="TZ41" s="9" t="str">
        <f>VLOOKUP(AG41,'BUS 2'!$G$1:$CU$424,61,0)</f>
        <v/>
      </c>
      <c r="UA41" s="9" t="str">
        <f>VLOOKUP(AG41,'BUS 2'!$G$1:$CU$424,62,0)</f>
        <v/>
      </c>
      <c r="UB41" s="9" t="str">
        <f>VLOOKUP(AG41,'BUS 2'!$G$1:$CU$424,63,0)</f>
        <v/>
      </c>
      <c r="UC41" s="9" t="str">
        <f>VLOOKUP(AG41,'BUS 2'!$G$1:$CU$424,64,0)</f>
        <v/>
      </c>
      <c r="UD41" s="9" t="str">
        <f>VLOOKUP(AG41,'BUS 2'!$G$1:$CU$424,65,0)</f>
        <v/>
      </c>
      <c r="UE41" s="9" t="str">
        <f>VLOOKUP(AG41,'BUS 2'!$G$1:$CU$424,66,0)</f>
        <v/>
      </c>
      <c r="UF41" s="9" t="str">
        <f>VLOOKUP(AG41,'BUS 2'!$G$1:$CU$424,67,0)</f>
        <v/>
      </c>
      <c r="UG41" s="9" t="str">
        <f>VLOOKUP(AG41,'BUS 2'!$G$1:$CU$424,68,0)</f>
        <v/>
      </c>
      <c r="UH41" s="9" t="str">
        <f>VLOOKUP(AG41,'BUS 2'!$G$1:$CU$424,69,0)</f>
        <v/>
      </c>
      <c r="UI41" s="9" t="str">
        <f>VLOOKUP(AG41,'BUS 2'!$G$1:$CU$424,70,0)</f>
        <v/>
      </c>
      <c r="UJ41" s="9" t="str">
        <f>VLOOKUP(AG41,'BUS 2'!$G$1:$CU$424,71,0)</f>
        <v/>
      </c>
      <c r="UK41" s="9" t="str">
        <f>VLOOKUP(AG41,'BUS 2'!$G$1:$CU$424,72,0)</f>
        <v/>
      </c>
      <c r="UL41" s="9" t="str">
        <f>VLOOKUP(AG41,'BUS 2'!$G$1:$CU$424,73,0)</f>
        <v/>
      </c>
      <c r="UM41" s="9" t="str">
        <f>VLOOKUP(AG41,'BUS 2'!$G$1:$CU$424,74,0)</f>
        <v/>
      </c>
      <c r="UN41" s="9" t="str">
        <f>VLOOKUP(AG41,'BUS 2'!$G$1:$CU$424,75,0)</f>
        <v/>
      </c>
      <c r="UO41" s="9" t="str">
        <f>VLOOKUP(AG41,'BUS 2'!$G$1:$CU$424,76,0)</f>
        <v/>
      </c>
      <c r="UP41" s="9" t="str">
        <f>VLOOKUP(AG41,'BUS 2'!$G$1:$CU$424,77,0)</f>
        <v/>
      </c>
      <c r="UQ41" s="9" t="str">
        <f>VLOOKUP(AG41,'BUS 2'!$G$1:$CU$424,78,0)</f>
        <v/>
      </c>
      <c r="UR41" s="9" t="str">
        <f>VLOOKUP(AG41,'BUS 2'!$G$1:$CU$424,79,0)</f>
        <v/>
      </c>
      <c r="US41" s="9" t="str">
        <f>VLOOKUP(AG41,'BUS 2'!$G$1:$CU$424,80,0)</f>
        <v/>
      </c>
      <c r="UT41" s="9" t="str">
        <f>VLOOKUP(AG41,'BUS 2'!$G$1:$CU$424,81,0)</f>
        <v/>
      </c>
      <c r="UU41" s="9"/>
      <c r="UV41" s="9"/>
      <c r="UW41" s="9"/>
      <c r="UX41" s="9"/>
      <c r="UY41" s="9" t="s">
        <v>901</v>
      </c>
      <c r="UZ41" s="9"/>
      <c r="VA41" s="9" t="s">
        <v>901</v>
      </c>
      <c r="VB41" s="9"/>
      <c r="VC41" s="9"/>
      <c r="VD41" s="9"/>
      <c r="VE41" s="9"/>
      <c r="VF41" s="9"/>
      <c r="VG41" s="9" t="s">
        <v>1938</v>
      </c>
      <c r="VH41" s="9"/>
      <c r="VI41" s="9" t="s">
        <v>1938</v>
      </c>
      <c r="VJ41" s="9"/>
      <c r="VK41" s="9"/>
      <c r="VL41" s="9"/>
      <c r="VM41" s="9"/>
      <c r="VN41" s="9"/>
      <c r="VO41" s="9" t="s">
        <v>1939</v>
      </c>
      <c r="VP41" s="9"/>
      <c r="VQ41" s="9" t="s">
        <v>1938</v>
      </c>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t="s">
        <v>951</v>
      </c>
      <c r="XO41" s="8">
        <v>0.0</v>
      </c>
      <c r="XP41" s="8">
        <v>0.0</v>
      </c>
      <c r="XQ41" s="8">
        <v>0.0</v>
      </c>
      <c r="XR41" s="8">
        <v>0.0</v>
      </c>
      <c r="XS41" s="8">
        <v>0.0</v>
      </c>
      <c r="XT41" s="8">
        <v>0.0</v>
      </c>
      <c r="XU41" s="8">
        <v>1.0</v>
      </c>
      <c r="XV41" s="8">
        <v>0.0</v>
      </c>
      <c r="XW41" s="8">
        <v>0.0</v>
      </c>
      <c r="XX41" s="8">
        <v>0.0</v>
      </c>
      <c r="XY41" s="8">
        <v>0.0</v>
      </c>
      <c r="XZ41" s="8">
        <v>0.0</v>
      </c>
      <c r="YA41" s="9"/>
      <c r="YB41" s="9"/>
      <c r="YC41" s="9"/>
      <c r="YD41" s="9"/>
      <c r="YE41" s="9"/>
      <c r="YF41" s="9"/>
      <c r="YG41" s="9"/>
      <c r="YH41" s="9"/>
      <c r="YI41" s="9"/>
      <c r="YJ41" s="9"/>
      <c r="YK41" s="9"/>
      <c r="YL41" s="9"/>
      <c r="YM41" s="9"/>
      <c r="YN41" s="9" t="s">
        <v>1941</v>
      </c>
      <c r="YO41" s="8">
        <v>0.0</v>
      </c>
      <c r="YP41" s="8">
        <v>0.0</v>
      </c>
      <c r="YQ41" s="8">
        <v>0.0</v>
      </c>
      <c r="YR41" s="8">
        <v>0.0</v>
      </c>
      <c r="YS41" s="8">
        <v>0.0</v>
      </c>
      <c r="YT41" s="8">
        <v>0.0</v>
      </c>
      <c r="YU41" s="8">
        <v>0.0</v>
      </c>
      <c r="YV41" s="8">
        <v>0.0</v>
      </c>
      <c r="YW41" s="8">
        <v>0.0</v>
      </c>
      <c r="YX41" s="8">
        <v>0.0</v>
      </c>
      <c r="YY41" s="8">
        <v>0.0</v>
      </c>
      <c r="YZ41" s="8">
        <v>1.0</v>
      </c>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8">
        <v>5.0</v>
      </c>
      <c r="AAA41" s="9"/>
      <c r="AAB41" s="8">
        <v>3.0</v>
      </c>
      <c r="AAC41" s="9"/>
      <c r="AAD41" s="9"/>
      <c r="AAE41" s="9"/>
      <c r="AAF41" s="9"/>
      <c r="AAG41" s="9"/>
      <c r="AAH41" s="9" t="s">
        <v>1186</v>
      </c>
      <c r="AAI41" s="9"/>
      <c r="AAJ41" s="9" t="s">
        <v>1186</v>
      </c>
      <c r="AAK41" s="9"/>
      <c r="AAL41" s="9" t="s">
        <v>857</v>
      </c>
      <c r="AAM41" s="9" t="s">
        <v>1942</v>
      </c>
      <c r="AAN41" s="8">
        <v>0.0</v>
      </c>
      <c r="AAO41" s="8">
        <v>1.0</v>
      </c>
      <c r="AAP41" s="8">
        <v>1.0</v>
      </c>
      <c r="AAQ41" s="9"/>
      <c r="AAR41" s="9" t="s">
        <v>881</v>
      </c>
      <c r="AAS41" s="9" t="s">
        <v>867</v>
      </c>
      <c r="AAT41" s="9" t="s">
        <v>906</v>
      </c>
      <c r="AAU41" s="8">
        <v>1.0</v>
      </c>
      <c r="AAV41" s="8">
        <v>0.0</v>
      </c>
      <c r="AAW41" s="8">
        <v>0.0</v>
      </c>
      <c r="AAX41" s="8">
        <v>0.0</v>
      </c>
      <c r="AAY41" s="8">
        <v>0.0</v>
      </c>
      <c r="AAZ41" s="8">
        <v>0.0</v>
      </c>
      <c r="ABA41" s="8">
        <v>0.0</v>
      </c>
      <c r="ABB41" s="9" t="s">
        <v>907</v>
      </c>
      <c r="ABC41" s="8">
        <v>1.0</v>
      </c>
      <c r="ABD41" s="8">
        <v>0.0</v>
      </c>
      <c r="ABE41" s="8">
        <v>0.0</v>
      </c>
      <c r="ABF41" s="8">
        <v>0.0</v>
      </c>
      <c r="ABG41" s="8">
        <v>0.0</v>
      </c>
      <c r="ABH41" s="9"/>
      <c r="ABI41" s="9"/>
      <c r="ABJ41" s="9"/>
      <c r="ABK41" s="9"/>
      <c r="ABL41" s="9"/>
      <c r="ABM41" s="9"/>
      <c r="ABN41" s="9"/>
      <c r="ABO41" s="9"/>
      <c r="ABP41" s="9"/>
      <c r="ABQ41" s="9" t="s">
        <v>1978</v>
      </c>
      <c r="ABR41" s="9" t="s">
        <v>1075</v>
      </c>
      <c r="ABS41" s="8">
        <v>2000.0</v>
      </c>
      <c r="ABT41" s="9"/>
      <c r="ABU41" s="8">
        <v>1.0</v>
      </c>
      <c r="ABV41" s="8">
        <v>0.0</v>
      </c>
      <c r="ABW41" s="9" t="s">
        <v>1199</v>
      </c>
      <c r="ABX41" s="9"/>
      <c r="ABY41" s="8">
        <v>50.0</v>
      </c>
      <c r="ABZ41" s="8">
        <v>125000.0</v>
      </c>
      <c r="ACA41" s="8">
        <v>50.0</v>
      </c>
      <c r="ACB41" s="8">
        <v>100000.0</v>
      </c>
      <c r="ACC41" s="8">
        <v>20.0</v>
      </c>
      <c r="ACD41" s="8">
        <v>20.0</v>
      </c>
      <c r="ACE41" s="9" t="s">
        <v>881</v>
      </c>
      <c r="ACF41" s="9" t="s">
        <v>1183</v>
      </c>
      <c r="ACG41" s="9" t="s">
        <v>1183</v>
      </c>
      <c r="ACH41" s="9" t="s">
        <v>1183</v>
      </c>
      <c r="ACI41" s="9"/>
      <c r="ACJ41" s="9"/>
      <c r="ACK41" s="9"/>
      <c r="ACL41" s="9"/>
      <c r="ACM41" s="9"/>
      <c r="ACN41" s="9"/>
      <c r="ACO41" s="9"/>
      <c r="ACP41" s="9"/>
      <c r="ACQ41" s="9"/>
      <c r="ACR41" s="9"/>
      <c r="ACS41" s="9"/>
      <c r="ACT41" s="9" t="s">
        <v>2717</v>
      </c>
      <c r="ACU41" s="9" t="s">
        <v>1050</v>
      </c>
      <c r="ACV41" s="9" t="s">
        <v>914</v>
      </c>
      <c r="ACW41" s="9" t="s">
        <v>1391</v>
      </c>
      <c r="ACX41" s="9" t="s">
        <v>958</v>
      </c>
      <c r="ACY41" s="9" t="s">
        <v>1035</v>
      </c>
      <c r="ACZ41" s="8">
        <v>1.0</v>
      </c>
      <c r="ADA41" s="8">
        <v>1.0</v>
      </c>
      <c r="ADB41" s="8">
        <v>0.0</v>
      </c>
      <c r="ADC41" s="8">
        <v>0.0</v>
      </c>
      <c r="ADD41" s="9" t="s">
        <v>917</v>
      </c>
      <c r="ADE41" s="9" t="s">
        <v>917</v>
      </c>
      <c r="ADF41" s="9" t="s">
        <v>917</v>
      </c>
      <c r="ADG41" s="9" t="s">
        <v>1187</v>
      </c>
      <c r="ADH41" s="9" t="s">
        <v>881</v>
      </c>
      <c r="ADI41" s="9"/>
      <c r="ADJ41" s="9" t="s">
        <v>917</v>
      </c>
      <c r="ADK41" s="9"/>
      <c r="ADL41" s="9"/>
      <c r="ADM41" s="9"/>
      <c r="ADN41" s="9"/>
      <c r="ADO41" s="9"/>
      <c r="ADP41" s="9"/>
      <c r="ADQ41" s="9"/>
      <c r="ADR41" s="9"/>
      <c r="ADS41" s="9"/>
      <c r="ADT41" s="9"/>
      <c r="ADU41" s="9" t="s">
        <v>1018</v>
      </c>
      <c r="ADV41" s="8">
        <v>0.0</v>
      </c>
      <c r="ADW41" s="8">
        <v>0.0</v>
      </c>
      <c r="ADX41" s="8">
        <v>0.0</v>
      </c>
      <c r="ADY41" s="8">
        <v>0.0</v>
      </c>
      <c r="ADZ41" s="8">
        <v>1.0</v>
      </c>
      <c r="AEA41" s="8">
        <v>1.0</v>
      </c>
      <c r="AEB41" s="8">
        <v>0.0</v>
      </c>
      <c r="AEC41" s="8">
        <v>0.0</v>
      </c>
      <c r="AED41" s="9" t="s">
        <v>1945</v>
      </c>
      <c r="AEE41" s="9" t="s">
        <v>872</v>
      </c>
      <c r="AEF41" s="9"/>
      <c r="AEG41" s="9" t="s">
        <v>920</v>
      </c>
      <c r="AEH41" s="9"/>
      <c r="AEI41" s="9" t="s">
        <v>2718</v>
      </c>
      <c r="AEJ41" s="9" t="s">
        <v>871</v>
      </c>
      <c r="AEK41" s="9" t="s">
        <v>2719</v>
      </c>
      <c r="AEL41" s="8">
        <v>1.0</v>
      </c>
      <c r="AEM41" s="8">
        <v>1.0</v>
      </c>
      <c r="AEN41" s="8">
        <v>1.0</v>
      </c>
      <c r="AEO41" s="8">
        <v>1.0</v>
      </c>
      <c r="AEP41" s="8">
        <v>1.0</v>
      </c>
      <c r="AEQ41" s="8">
        <v>0.0</v>
      </c>
      <c r="AER41" s="8">
        <v>1.0</v>
      </c>
      <c r="AES41" s="8">
        <v>1.0</v>
      </c>
      <c r="AET41" s="8">
        <v>0.0</v>
      </c>
      <c r="AEU41" s="8">
        <v>0.0</v>
      </c>
      <c r="AEV41" s="8">
        <v>1.0</v>
      </c>
      <c r="AEW41" s="8">
        <v>0.0</v>
      </c>
      <c r="AEX41" s="9"/>
      <c r="AEY41" s="9" t="s">
        <v>923</v>
      </c>
      <c r="AEZ41" s="9"/>
      <c r="AFA41" s="9" t="s">
        <v>924</v>
      </c>
      <c r="AFB41" s="9"/>
      <c r="AFC41" s="9" t="s">
        <v>2720</v>
      </c>
      <c r="AFD41" s="16" t="s">
        <v>2721</v>
      </c>
      <c r="AFE41" s="9" t="s">
        <v>2722</v>
      </c>
      <c r="AFF41" s="16" t="s">
        <v>2723</v>
      </c>
      <c r="AFG41" s="9" t="s">
        <v>1986</v>
      </c>
      <c r="AFH41" s="9"/>
      <c r="AFI41" s="21" t="s">
        <v>2724</v>
      </c>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8">
        <v>6.72978537E8</v>
      </c>
      <c r="AWB41" s="9" t="s">
        <v>2725</v>
      </c>
      <c r="AWC41" s="6">
        <v>46069.0</v>
      </c>
      <c r="AWD41" s="9"/>
      <c r="AWE41" s="9"/>
      <c r="AWF41" s="9" t="s">
        <v>1954</v>
      </c>
      <c r="AWG41" s="9"/>
      <c r="AWH41" s="9" t="s">
        <v>1989</v>
      </c>
      <c r="AWI41" s="9"/>
      <c r="AWJ41" s="9" t="s">
        <v>2726</v>
      </c>
      <c r="AWK41" s="8">
        <v>289.0</v>
      </c>
      <c r="AWL41" s="9" t="s">
        <v>2716</v>
      </c>
      <c r="AWM41" s="8">
        <v>0.0</v>
      </c>
      <c r="AWN41" s="9" t="s">
        <v>1957</v>
      </c>
      <c r="AWO41" s="33" t="b">
        <v>1</v>
      </c>
      <c r="AWP41" s="33" t="b">
        <v>1</v>
      </c>
      <c r="AWQ41" s="33" t="b">
        <v>1</v>
      </c>
      <c r="AWR41" s="33" t="b">
        <v>1</v>
      </c>
      <c r="AWS41" s="33" t="b">
        <v>1</v>
      </c>
      <c r="AWT41" s="33" t="b">
        <v>1</v>
      </c>
      <c r="AWU41" s="9"/>
      <c r="AWV41" s="8">
        <v>9.0</v>
      </c>
      <c r="AWW41" s="9"/>
      <c r="AWX41" s="9"/>
      <c r="AWY41" s="9"/>
      <c r="AWZ41" s="9"/>
    </row>
    <row r="42">
      <c r="A42" s="6">
        <v>46067.0</v>
      </c>
      <c r="B42" s="6">
        <v>46069.0</v>
      </c>
      <c r="C42" s="30" t="s">
        <v>2443</v>
      </c>
      <c r="D42" s="30" t="s">
        <v>2727</v>
      </c>
      <c r="E42" s="8">
        <f>+6282392149619</f>
        <v>6282392149619</v>
      </c>
      <c r="F42" s="9" t="s">
        <v>2728</v>
      </c>
      <c r="G42" s="8">
        <v>-5.156363</v>
      </c>
      <c r="H42" s="8">
        <v>119.647644</v>
      </c>
      <c r="I42" s="8">
        <v>143.919</v>
      </c>
      <c r="J42" s="8">
        <v>5.107999802</v>
      </c>
      <c r="K42" s="8">
        <v>0.0</v>
      </c>
      <c r="L42" s="9" t="s">
        <v>2729</v>
      </c>
      <c r="M42" s="8">
        <v>-5.156324</v>
      </c>
      <c r="N42" s="8">
        <v>119.647888</v>
      </c>
      <c r="O42" s="8">
        <v>121.794</v>
      </c>
      <c r="P42" s="8">
        <v>1.238000035</v>
      </c>
      <c r="Q42" s="8">
        <v>0.0</v>
      </c>
      <c r="R42" s="9" t="s">
        <v>1923</v>
      </c>
      <c r="S42" s="8">
        <v>0.0</v>
      </c>
      <c r="T42" s="8">
        <v>0.0</v>
      </c>
      <c r="U42" s="8">
        <v>0.0</v>
      </c>
      <c r="V42" s="8">
        <v>0.0</v>
      </c>
      <c r="W42" s="8">
        <v>0.0</v>
      </c>
      <c r="X42" s="8">
        <v>0.0</v>
      </c>
      <c r="Y42" s="8">
        <v>0.0</v>
      </c>
      <c r="Z42" s="8">
        <v>0.0</v>
      </c>
      <c r="AA42" s="8">
        <v>0.0</v>
      </c>
      <c r="AB42" s="8">
        <v>1.0</v>
      </c>
      <c r="AC42" s="7" t="s">
        <v>1924</v>
      </c>
      <c r="AD42" s="7" t="s">
        <v>2088</v>
      </c>
      <c r="AE42" s="7" t="s">
        <v>2089</v>
      </c>
      <c r="AF42" s="9" t="s">
        <v>2090</v>
      </c>
      <c r="AG42" s="9" t="s">
        <v>2730</v>
      </c>
      <c r="AH42" s="8">
        <v>12.0</v>
      </c>
      <c r="AI42" s="9" t="s">
        <v>933</v>
      </c>
      <c r="AJ42" s="9" t="s">
        <v>934</v>
      </c>
      <c r="AK42" s="8">
        <v>60.0</v>
      </c>
      <c r="AL42" s="9" t="s">
        <v>847</v>
      </c>
      <c r="AM42" s="9" t="s">
        <v>848</v>
      </c>
      <c r="AN42" s="9" t="s">
        <v>849</v>
      </c>
      <c r="AO42" s="9" t="s">
        <v>935</v>
      </c>
      <c r="AP42" s="8">
        <v>0.0</v>
      </c>
      <c r="AQ42" s="8">
        <v>1.0</v>
      </c>
      <c r="AR42" s="8">
        <v>0.0</v>
      </c>
      <c r="AS42" s="8">
        <v>0.0</v>
      </c>
      <c r="AT42" s="8">
        <v>0.0</v>
      </c>
      <c r="AU42" s="8">
        <v>0.0</v>
      </c>
      <c r="AV42" s="8">
        <v>0.0</v>
      </c>
      <c r="AW42" s="8">
        <v>0.0</v>
      </c>
      <c r="AX42" s="9"/>
      <c r="AY42" s="9" t="s">
        <v>999</v>
      </c>
      <c r="AZ42" s="8">
        <v>0.0</v>
      </c>
      <c r="BA42" s="8">
        <v>0.0</v>
      </c>
      <c r="BB42" s="8">
        <v>0.0</v>
      </c>
      <c r="BC42" s="8">
        <v>0.0</v>
      </c>
      <c r="BD42" s="8">
        <v>0.0</v>
      </c>
      <c r="BE42" s="8">
        <v>0.0</v>
      </c>
      <c r="BF42" s="8">
        <v>0.0</v>
      </c>
      <c r="BG42" s="8">
        <v>1.0</v>
      </c>
      <c r="BH42" s="11"/>
      <c r="BI42" s="9" t="s">
        <v>936</v>
      </c>
      <c r="BJ42" s="8">
        <v>2.0</v>
      </c>
      <c r="BK42" s="8">
        <v>1.0</v>
      </c>
      <c r="BL42" s="8">
        <v>1.0</v>
      </c>
      <c r="BM42" s="8">
        <v>0.0</v>
      </c>
      <c r="BN42" s="9" t="s">
        <v>853</v>
      </c>
      <c r="BO42" s="9" t="s">
        <v>2000</v>
      </c>
      <c r="BP42" s="8">
        <v>0.0</v>
      </c>
      <c r="BQ42" s="8">
        <v>1.0</v>
      </c>
      <c r="BR42" s="8">
        <v>0.0</v>
      </c>
      <c r="BS42" s="8">
        <v>0.0</v>
      </c>
      <c r="BT42" s="8">
        <v>0.0</v>
      </c>
      <c r="BU42" s="9"/>
      <c r="BV42" s="9" t="s">
        <v>2731</v>
      </c>
      <c r="BW42" s="8">
        <v>1.0</v>
      </c>
      <c r="BX42" s="8">
        <v>0.0</v>
      </c>
      <c r="BY42" s="8">
        <v>1.0</v>
      </c>
      <c r="BZ42" s="8">
        <v>0.0</v>
      </c>
      <c r="CA42" s="8">
        <v>0.0</v>
      </c>
      <c r="CB42" s="9"/>
      <c r="CC42" s="9" t="s">
        <v>1929</v>
      </c>
      <c r="CD42" s="8">
        <v>0.0</v>
      </c>
      <c r="CE42" s="8">
        <v>0.0</v>
      </c>
      <c r="CF42" s="8">
        <v>0.0</v>
      </c>
      <c r="CG42" s="8">
        <v>0.0</v>
      </c>
      <c r="CH42" s="8">
        <v>1.0</v>
      </c>
      <c r="CI42" s="8">
        <v>0.0</v>
      </c>
      <c r="CJ42" s="8">
        <v>0.0</v>
      </c>
      <c r="CK42" s="9"/>
      <c r="CL42" s="9" t="s">
        <v>857</v>
      </c>
      <c r="CM42" s="8">
        <v>2014.0</v>
      </c>
      <c r="CN42" s="9" t="s">
        <v>858</v>
      </c>
      <c r="CO42" s="9" t="s">
        <v>859</v>
      </c>
      <c r="CP42" s="9" t="s">
        <v>860</v>
      </c>
      <c r="CQ42" s="8">
        <v>0.0</v>
      </c>
      <c r="CR42" s="8">
        <v>0.0</v>
      </c>
      <c r="CS42" s="8">
        <v>0.0</v>
      </c>
      <c r="CT42" s="8">
        <v>0.0</v>
      </c>
      <c r="CU42" s="8">
        <v>1.0</v>
      </c>
      <c r="CV42" s="8">
        <v>0.0</v>
      </c>
      <c r="CW42" s="8">
        <v>0.0</v>
      </c>
      <c r="CX42" s="8">
        <v>0.0</v>
      </c>
      <c r="CY42" s="9" t="s">
        <v>860</v>
      </c>
      <c r="CZ42" s="8">
        <v>1.0</v>
      </c>
      <c r="DA42" s="8">
        <v>0.0</v>
      </c>
      <c r="DB42" s="8">
        <v>0.0</v>
      </c>
      <c r="DC42" s="9"/>
      <c r="DD42" s="9" t="s">
        <v>860</v>
      </c>
      <c r="DE42" s="8">
        <v>1.0</v>
      </c>
      <c r="DF42" s="8">
        <v>0.0</v>
      </c>
      <c r="DG42" s="8">
        <v>0.0</v>
      </c>
      <c r="DH42" s="8">
        <v>0.0</v>
      </c>
      <c r="DI42" s="9"/>
      <c r="DJ42" s="9" t="s">
        <v>861</v>
      </c>
      <c r="DK42" s="8">
        <v>0.0</v>
      </c>
      <c r="DL42" s="8">
        <v>0.0</v>
      </c>
      <c r="DM42" s="8">
        <v>1.0</v>
      </c>
      <c r="DN42" s="8">
        <v>0.0</v>
      </c>
      <c r="DO42" s="9"/>
      <c r="DP42" s="9" t="s">
        <v>938</v>
      </c>
      <c r="DQ42" s="9" t="s">
        <v>939</v>
      </c>
      <c r="DR42" s="17" t="s">
        <v>2030</v>
      </c>
      <c r="DS42" s="9"/>
      <c r="DT42" s="9" t="s">
        <v>2732</v>
      </c>
      <c r="DU42" s="8">
        <v>1.0</v>
      </c>
      <c r="DV42" s="8">
        <v>0.0</v>
      </c>
      <c r="DW42" s="8">
        <v>1.0</v>
      </c>
      <c r="DX42" s="8">
        <v>1.0</v>
      </c>
      <c r="DY42" s="8">
        <v>1.0</v>
      </c>
      <c r="DZ42" s="8">
        <v>1.0</v>
      </c>
      <c r="EA42" s="8">
        <v>1.0</v>
      </c>
      <c r="EB42" s="8">
        <v>1.0</v>
      </c>
      <c r="EC42" s="8">
        <v>1.0</v>
      </c>
      <c r="ED42" s="8">
        <v>1.0</v>
      </c>
      <c r="EE42" s="8">
        <v>1.0</v>
      </c>
      <c r="EF42" s="8">
        <v>1.0</v>
      </c>
      <c r="EG42" s="8">
        <v>1.0</v>
      </c>
      <c r="EH42" s="8">
        <v>1.0</v>
      </c>
      <c r="EI42" s="9" t="s">
        <v>862</v>
      </c>
      <c r="EJ42" s="8">
        <v>0.0</v>
      </c>
      <c r="EK42" s="8">
        <v>0.0</v>
      </c>
      <c r="EL42" s="8">
        <v>0.0</v>
      </c>
      <c r="EM42" s="8">
        <v>1.0</v>
      </c>
      <c r="EN42" s="8">
        <v>0.0</v>
      </c>
      <c r="EO42" s="9"/>
      <c r="EP42" s="9" t="s">
        <v>863</v>
      </c>
      <c r="EQ42" s="9" t="s">
        <v>1380</v>
      </c>
      <c r="ER42" s="9" t="s">
        <v>969</v>
      </c>
      <c r="ES42" s="8">
        <v>0.0</v>
      </c>
      <c r="ET42" s="8">
        <v>0.0</v>
      </c>
      <c r="EU42" s="8">
        <v>0.0</v>
      </c>
      <c r="EV42" s="8">
        <v>1.0</v>
      </c>
      <c r="EW42" s="9" t="s">
        <v>2343</v>
      </c>
      <c r="EX42" s="9" t="s">
        <v>865</v>
      </c>
      <c r="EY42" s="8">
        <v>1.0</v>
      </c>
      <c r="EZ42" s="8">
        <v>0.0</v>
      </c>
      <c r="FA42" s="8">
        <v>0.0</v>
      </c>
      <c r="FB42" s="9"/>
      <c r="FC42" s="9" t="s">
        <v>1028</v>
      </c>
      <c r="FD42" s="9" t="s">
        <v>2032</v>
      </c>
      <c r="FE42" s="9" t="s">
        <v>867</v>
      </c>
      <c r="FF42" s="9" t="s">
        <v>868</v>
      </c>
      <c r="FG42" s="9" t="s">
        <v>867</v>
      </c>
      <c r="FH42" s="9" t="s">
        <v>869</v>
      </c>
      <c r="FI42" s="9" t="s">
        <v>867</v>
      </c>
      <c r="FJ42" s="9" t="s">
        <v>868</v>
      </c>
      <c r="FK42" s="9" t="s">
        <v>867</v>
      </c>
      <c r="FL42" s="9" t="s">
        <v>943</v>
      </c>
      <c r="FM42" s="9" t="s">
        <v>867</v>
      </c>
      <c r="FN42" s="9" t="s">
        <v>943</v>
      </c>
      <c r="FO42" s="9" t="s">
        <v>867</v>
      </c>
      <c r="FP42" s="9" t="s">
        <v>869</v>
      </c>
      <c r="FQ42" s="9" t="s">
        <v>867</v>
      </c>
      <c r="FR42" s="9" t="s">
        <v>857</v>
      </c>
      <c r="FS42" s="9" t="s">
        <v>867</v>
      </c>
      <c r="FT42" s="9" t="s">
        <v>1130</v>
      </c>
      <c r="FU42" s="9" t="s">
        <v>872</v>
      </c>
      <c r="FV42" s="8">
        <v>1.0</v>
      </c>
      <c r="FW42" s="8">
        <v>0.0</v>
      </c>
      <c r="FX42" s="8">
        <v>0.0</v>
      </c>
      <c r="FY42" s="8">
        <v>0.0</v>
      </c>
      <c r="FZ42" s="9" t="s">
        <v>944</v>
      </c>
      <c r="GA42" s="9" t="s">
        <v>1264</v>
      </c>
      <c r="GB42" s="8">
        <v>0.0</v>
      </c>
      <c r="GC42" s="8">
        <v>0.0</v>
      </c>
      <c r="GD42" s="8">
        <v>1.0</v>
      </c>
      <c r="GE42" s="8">
        <v>0.0</v>
      </c>
      <c r="GF42" s="9"/>
      <c r="GG42" s="9" t="s">
        <v>961</v>
      </c>
      <c r="GH42" s="9" t="s">
        <v>881</v>
      </c>
      <c r="GI42" s="9"/>
      <c r="GJ42" s="9"/>
      <c r="GK42" s="9"/>
      <c r="GL42" s="9"/>
      <c r="GM42" s="9"/>
      <c r="GN42" s="9"/>
      <c r="GO42" s="9"/>
      <c r="GP42" s="9" t="s">
        <v>1931</v>
      </c>
      <c r="GQ42" s="9" t="s">
        <v>1102</v>
      </c>
      <c r="GR42" s="8">
        <v>1.0</v>
      </c>
      <c r="GS42" s="8">
        <v>0.0</v>
      </c>
      <c r="GT42" s="8">
        <v>0.0</v>
      </c>
      <c r="GU42" s="8">
        <v>0.0</v>
      </c>
      <c r="GV42" s="8">
        <v>0.0</v>
      </c>
      <c r="GW42" s="8">
        <v>0.0</v>
      </c>
      <c r="GX42" s="8">
        <v>0.0</v>
      </c>
      <c r="GY42" s="9"/>
      <c r="GZ42" s="9" t="s">
        <v>857</v>
      </c>
      <c r="HA42" s="9"/>
      <c r="HB42" s="9"/>
      <c r="HC42" s="9"/>
      <c r="HD42" s="9"/>
      <c r="HE42" s="8">
        <v>6.0</v>
      </c>
      <c r="HF42" s="39">
        <v>36000.0</v>
      </c>
      <c r="HG42" s="8">
        <v>3.0</v>
      </c>
      <c r="HH42" s="8">
        <v>22000.0</v>
      </c>
      <c r="HI42" s="9"/>
      <c r="HJ42" s="9"/>
      <c r="HK42" s="9"/>
      <c r="HL42" s="9"/>
      <c r="HM42" s="9"/>
      <c r="HN42" s="9"/>
      <c r="HO42" s="9"/>
      <c r="HP42" s="9"/>
      <c r="HQ42" s="9"/>
      <c r="HR42" s="9"/>
      <c r="HS42" s="9"/>
      <c r="HT42" s="9"/>
      <c r="HU42" s="9"/>
      <c r="HV42" s="9"/>
      <c r="HW42" s="9"/>
      <c r="HX42" s="9"/>
      <c r="HY42" s="9"/>
      <c r="HZ42" s="9"/>
      <c r="IA42" s="35">
        <v>3.0</v>
      </c>
      <c r="IB42" s="35">
        <v>4.0</v>
      </c>
      <c r="IC42" s="9"/>
      <c r="ID42" s="9"/>
      <c r="IE42" s="9"/>
      <c r="IF42" s="9"/>
      <c r="IG42" s="9"/>
      <c r="IH42" s="9"/>
      <c r="II42" s="9"/>
      <c r="IJ42" s="9"/>
      <c r="IK42" s="9" t="s">
        <v>971</v>
      </c>
      <c r="IL42" s="9" t="s">
        <v>1366</v>
      </c>
      <c r="IM42" s="9" t="s">
        <v>857</v>
      </c>
      <c r="IN42" s="9" t="s">
        <v>881</v>
      </c>
      <c r="IO42" s="9" t="s">
        <v>882</v>
      </c>
      <c r="IP42" s="9"/>
      <c r="IQ42" s="9" t="s">
        <v>883</v>
      </c>
      <c r="IR42" s="9"/>
      <c r="IS42" s="9"/>
      <c r="IT42" s="9"/>
      <c r="IU42" s="9"/>
      <c r="IV42" s="9"/>
      <c r="IW42" s="9"/>
      <c r="IX42" s="9"/>
      <c r="IY42" s="9"/>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999</v>
      </c>
      <c r="KW42" s="8">
        <v>0.0</v>
      </c>
      <c r="KX42" s="8">
        <v>0.0</v>
      </c>
      <c r="KY42" s="8">
        <v>0.0</v>
      </c>
      <c r="KZ42" s="8">
        <v>1.0</v>
      </c>
      <c r="LA42" s="9" t="s">
        <v>884</v>
      </c>
      <c r="LB42" s="9" t="s">
        <v>884</v>
      </c>
      <c r="LC42" s="8">
        <v>0.0</v>
      </c>
      <c r="LD42" s="8">
        <v>2.0</v>
      </c>
      <c r="LE42" s="8">
        <v>0.0</v>
      </c>
      <c r="LF42" s="8">
        <v>0.0</v>
      </c>
      <c r="LG42" s="9" t="s">
        <v>881</v>
      </c>
      <c r="LH42" s="9"/>
      <c r="LI42" s="8">
        <v>0.0</v>
      </c>
      <c r="LJ42" s="9" t="s">
        <v>969</v>
      </c>
      <c r="LK42" s="8">
        <v>0.0</v>
      </c>
      <c r="LL42" s="8">
        <v>0.0</v>
      </c>
      <c r="LM42" s="8">
        <v>0.0</v>
      </c>
      <c r="LN42" s="8">
        <v>0.0</v>
      </c>
      <c r="LO42" s="8">
        <v>0.0</v>
      </c>
      <c r="LP42" s="8">
        <v>0.0</v>
      </c>
      <c r="LQ42" s="8">
        <v>1.0</v>
      </c>
      <c r="LR42" s="11" t="s">
        <v>1973</v>
      </c>
      <c r="LS42" s="8">
        <v>15.0</v>
      </c>
      <c r="LT42" s="8">
        <v>0.0</v>
      </c>
      <c r="LU42" s="8">
        <v>0.0</v>
      </c>
      <c r="LV42" s="8">
        <v>5.0</v>
      </c>
      <c r="LW42" s="8">
        <v>0.0</v>
      </c>
      <c r="LX42" s="8">
        <v>0.0</v>
      </c>
      <c r="LY42" s="8">
        <v>10.0</v>
      </c>
      <c r="LZ42" s="8">
        <v>0.0</v>
      </c>
      <c r="MA42" s="8">
        <v>0.0</v>
      </c>
      <c r="MB42" s="9" t="s">
        <v>881</v>
      </c>
      <c r="MC42" s="8">
        <v>0.0</v>
      </c>
      <c r="MD42" s="8">
        <v>0.0</v>
      </c>
      <c r="ME42" s="8">
        <v>0.0</v>
      </c>
      <c r="MF42" s="8">
        <v>0.0</v>
      </c>
      <c r="MG42" s="8">
        <v>0.0</v>
      </c>
      <c r="MH42" s="8">
        <v>0.0</v>
      </c>
      <c r="MI42" s="9"/>
      <c r="MJ42" s="9"/>
      <c r="MK42" s="9"/>
      <c r="ML42" s="9"/>
      <c r="MM42" s="9"/>
      <c r="MN42" s="9"/>
      <c r="MO42" s="9"/>
      <c r="MP42" s="9"/>
      <c r="MQ42" s="9"/>
      <c r="MR42" s="17" t="s">
        <v>2035</v>
      </c>
      <c r="MS42" s="9"/>
      <c r="MT42" s="9" t="s">
        <v>2035</v>
      </c>
      <c r="MU42" s="9" t="s">
        <v>881</v>
      </c>
      <c r="MV42" s="9"/>
      <c r="MW42" s="9"/>
      <c r="MX42" s="9"/>
      <c r="MY42" s="9"/>
      <c r="MZ42" s="9"/>
      <c r="NA42" s="9"/>
      <c r="NB42" s="9"/>
      <c r="NC42" s="9"/>
      <c r="ND42" s="9"/>
      <c r="NE42" s="9"/>
      <c r="NF42" s="9"/>
      <c r="NG42" s="9"/>
      <c r="NH42" s="9"/>
      <c r="NI42" s="9"/>
      <c r="NJ42" s="9"/>
      <c r="NK42" s="9"/>
      <c r="NL42" s="9" t="s">
        <v>857</v>
      </c>
      <c r="NM42" s="9" t="s">
        <v>1386</v>
      </c>
      <c r="NN42" s="17" t="s">
        <v>1975</v>
      </c>
      <c r="NO42" s="17" t="s">
        <v>895</v>
      </c>
      <c r="NP42" s="9"/>
      <c r="NQ42" s="9"/>
      <c r="NR42" s="9"/>
      <c r="NS42" s="9"/>
      <c r="NT42" s="9"/>
      <c r="NU42" s="9"/>
      <c r="NV42" s="9"/>
      <c r="NW42" s="9"/>
      <c r="NX42" s="9" t="s">
        <v>914</v>
      </c>
      <c r="NY42" s="8">
        <v>60.0</v>
      </c>
      <c r="NZ42" s="8">
        <v>0.0</v>
      </c>
      <c r="OA42" s="8">
        <v>5.0</v>
      </c>
      <c r="OB42" s="8">
        <v>0.0</v>
      </c>
      <c r="OC42" s="8">
        <v>15.0</v>
      </c>
      <c r="OD42" s="8">
        <v>0.0</v>
      </c>
      <c r="OE42" s="9" t="s">
        <v>945</v>
      </c>
      <c r="OF42" s="9" t="s">
        <v>1388</v>
      </c>
      <c r="OG42" s="9" t="s">
        <v>857</v>
      </c>
      <c r="OH42" s="8">
        <v>20.0</v>
      </c>
      <c r="OI42" s="8">
        <v>0.0</v>
      </c>
      <c r="OJ42" s="8">
        <v>0.0</v>
      </c>
      <c r="OK42" s="8">
        <v>0.0</v>
      </c>
      <c r="OL42" s="8">
        <v>0.0</v>
      </c>
      <c r="OM42" s="8">
        <v>0.0</v>
      </c>
      <c r="ON42" s="8">
        <v>0.0</v>
      </c>
      <c r="OO42" s="8">
        <v>0.0</v>
      </c>
      <c r="OP42" s="9" t="str">
        <f>VLOOKUP(AG42,'BUS 2'!$G$1:$CU$424,2,0)</f>
        <v>Sapi pedaging</v>
      </c>
      <c r="OQ42" s="8">
        <f>VLOOKUP(AG42,'BUS 2'!$G$1:$CU$424,3,0)</f>
        <v>1</v>
      </c>
      <c r="OR42" s="8">
        <f>VLOOKUP(AG42,'BUS 2'!$G$1:$CU$424,4,0)</f>
        <v>0</v>
      </c>
      <c r="OS42" s="8">
        <f>VLOOKUP(AG42,'BUS 2'!$G$1:$CU$424,5,0)</f>
        <v>0</v>
      </c>
      <c r="OT42" s="8">
        <f>VLOOKUP(AG42,'BUS 2'!$G$1:$CU$424,6,0)</f>
        <v>0</v>
      </c>
      <c r="OU42" s="8">
        <f>VLOOKUP(AG42,'BUS 2'!$G$1:$CU$424,7,0)</f>
        <v>0</v>
      </c>
      <c r="OV42" s="8">
        <f>VLOOKUP(AG42,'BUS 2'!$G$1:$CU$424,8,0)</f>
        <v>0</v>
      </c>
      <c r="OW42" s="8">
        <f>VLOOKUP(AG42,'BUS 2'!$G$1:$CU$424,9,0)</f>
        <v>0</v>
      </c>
      <c r="OX42" s="8">
        <f>VLOOKUP(AG42,'BUS 2'!$G$1:$CU$424,10,0)</f>
        <v>0</v>
      </c>
      <c r="OY42" s="8">
        <f>VLOOKUP(AG42,'BUS 2'!$G$1:$CU$424,11,0)</f>
        <v>0</v>
      </c>
      <c r="OZ42" s="8" t="str">
        <f>VLOOKUP(AG42,'BUS 2'!$G$1:$CU$424,12,0)</f>
        <v>Sapi pedaging</v>
      </c>
      <c r="PA42" s="8">
        <f>VLOOKUP(AG42,'BUS 2'!$G$1:$CU$424,13,0)</f>
        <v>1</v>
      </c>
      <c r="PB42" s="8">
        <f>VLOOKUP(AG42,'BUS 2'!$G$1:$CU$424,14,0)</f>
        <v>0</v>
      </c>
      <c r="PC42" s="8">
        <f>VLOOKUP(AG42,'BUS 2'!$G$1:$CU$424,15,0)</f>
        <v>0</v>
      </c>
      <c r="PD42" s="8">
        <f>VLOOKUP(AG42,'BUS 2'!$G$1:$CU$424,16,0)</f>
        <v>0</v>
      </c>
      <c r="PE42" s="8">
        <f>VLOOKUP(AG42,'BUS 2'!$G$1:$CU$424,17,0)</f>
        <v>0</v>
      </c>
      <c r="PF42" s="8">
        <f>VLOOKUP(AG42,'BUS 2'!$G$1:$CU$424,18,0)</f>
        <v>0</v>
      </c>
      <c r="PG42" s="8">
        <f>VLOOKUP(AG42,'BUS 2'!$G$1:$CU$424,19,0)</f>
        <v>0</v>
      </c>
      <c r="PH42" s="8">
        <f>VLOOKUP(AG42,'BUS 2'!$G$1:$CU$424,20,0)</f>
        <v>0</v>
      </c>
      <c r="PI42" s="8">
        <f>VLOOKUP(AG42,'BUS 2'!$G$1:$CU$424,21,0)</f>
        <v>0</v>
      </c>
      <c r="PJ42" s="8" t="str">
        <f>VLOOKUP(AG42,'BUS 2'!$G$1:$CU$424,22,0)</f>
        <v>Sapi pedaging</v>
      </c>
      <c r="PK42" s="8">
        <f>VLOOKUP(AG42,'BUS 2'!$G$1:$CU$424,23,0)</f>
        <v>1</v>
      </c>
      <c r="PL42" s="8">
        <f>VLOOKUP(AG42,'BUS 2'!$G$1:$CU$424,24,0)</f>
        <v>0</v>
      </c>
      <c r="PM42" s="8">
        <f>VLOOKUP(AG42,'BUS 2'!$G$1:$CU$424,25,0)</f>
        <v>0</v>
      </c>
      <c r="PN42" s="8">
        <f>VLOOKUP(AG42,'BUS 2'!$G$1:$CU$424,26,0)</f>
        <v>0</v>
      </c>
      <c r="PO42" s="8">
        <f>VLOOKUP(AG42,'BUS 2'!$G$1:$CU$424,27,0)</f>
        <v>0</v>
      </c>
      <c r="PP42" s="8">
        <f>VLOOKUP(AG42,'BUS 2'!$G$1:$CU$424,28,0)</f>
        <v>0</v>
      </c>
      <c r="PQ42" s="8">
        <f>VLOOKUP(AG42,'BUS 2'!$G$1:$CU$424,29,0)</f>
        <v>0</v>
      </c>
      <c r="PR42" s="8">
        <f>VLOOKUP(AG42,'BUS 2'!$G$1:$CU$424,30,0)</f>
        <v>0</v>
      </c>
      <c r="PS42" s="8">
        <f>VLOOKUP(AG42,'BUS 2'!$G$1:$CU$424,31,0)</f>
        <v>0</v>
      </c>
      <c r="PT42" s="9" t="s">
        <v>900</v>
      </c>
      <c r="PU42" s="8">
        <v>0.0</v>
      </c>
      <c r="PV42" s="8">
        <v>0.0</v>
      </c>
      <c r="PW42" s="8">
        <v>0.0</v>
      </c>
      <c r="PX42" s="8">
        <v>0.0</v>
      </c>
      <c r="PY42" s="8">
        <v>0.0</v>
      </c>
      <c r="PZ42" s="8">
        <v>1.0</v>
      </c>
      <c r="QA42" s="8">
        <v>0.0</v>
      </c>
      <c r="QB42" s="8">
        <v>0.0</v>
      </c>
      <c r="QC42" s="8">
        <v>0.0</v>
      </c>
      <c r="QD42" s="9"/>
      <c r="QE42" s="32"/>
      <c r="QF42" s="31"/>
      <c r="QG42" s="31"/>
      <c r="QH42" s="31"/>
      <c r="QI42" s="31"/>
      <c r="QJ42" s="31"/>
      <c r="QK42" s="32"/>
      <c r="QL42" s="32"/>
      <c r="QM42" s="32"/>
      <c r="QN42" s="32"/>
      <c r="QO42" s="32"/>
      <c r="QP42" s="32"/>
      <c r="QQ42" s="32"/>
      <c r="QR42" s="32"/>
      <c r="QS42" s="32"/>
      <c r="QT42" s="32"/>
      <c r="QU42" s="32"/>
      <c r="QV42" s="32"/>
      <c r="QW42" s="31"/>
      <c r="QX42" s="31"/>
      <c r="QY42" s="31"/>
      <c r="QZ42" s="31"/>
      <c r="RA42" s="31"/>
      <c r="RB42" s="32"/>
      <c r="RC42" s="32"/>
      <c r="RD42" s="32"/>
      <c r="RE42" s="32"/>
      <c r="RF42" s="32"/>
      <c r="RG42" s="9"/>
      <c r="RH42" s="31"/>
      <c r="RI42" s="31"/>
      <c r="RJ42" s="31"/>
      <c r="RK42" s="31"/>
      <c r="RL42" s="31"/>
      <c r="RM42" s="9"/>
      <c r="RN42" s="9"/>
      <c r="RO42" s="9"/>
      <c r="RP42" s="9"/>
      <c r="RQ42" s="9"/>
      <c r="RR42" s="9"/>
      <c r="RS42" s="31"/>
      <c r="RT42" s="31"/>
      <c r="RU42" s="31"/>
      <c r="RV42" s="31"/>
      <c r="RW42" s="31"/>
      <c r="RX42" s="9"/>
      <c r="RY42" s="9"/>
      <c r="RZ42" s="9"/>
      <c r="SA42" s="9"/>
      <c r="SB42" s="9"/>
      <c r="SC42" s="9"/>
      <c r="SD42" s="31"/>
      <c r="SE42" s="31"/>
      <c r="SF42" s="31"/>
      <c r="SG42" s="31"/>
      <c r="SH42" s="31"/>
      <c r="SI42" s="9"/>
      <c r="SJ42" s="9"/>
      <c r="SK42" s="9"/>
      <c r="SL42" s="9"/>
      <c r="SM42" s="9"/>
      <c r="SN42" s="9"/>
      <c r="SO42" s="31"/>
      <c r="SP42" s="31"/>
      <c r="SQ42" s="31"/>
      <c r="SR42" s="31"/>
      <c r="SS42" s="31"/>
      <c r="ST42" s="9"/>
      <c r="SU42" s="9"/>
      <c r="SV42" s="9"/>
      <c r="SW42" s="9"/>
      <c r="SX42" s="9"/>
      <c r="SY42" s="8">
        <f>VLOOKUP(AG42,'BUS 2'!$G$1:$CU$424,33,0)</f>
        <v>25</v>
      </c>
      <c r="SZ42" s="9" t="str">
        <f>VLOOKUP(AG42,'BUS 2'!$G$1:$CU$424,34,0)</f>
        <v/>
      </c>
      <c r="TA42" s="9" t="str">
        <f>VLOOKUP(AG42,'BUS 2'!$G$1:$CU$424,35,0)</f>
        <v/>
      </c>
      <c r="TB42" s="9" t="str">
        <f>VLOOKUP(AG42,'BUS 2'!$G$1:$CU$424,36,0)</f>
        <v/>
      </c>
      <c r="TC42" s="9" t="str">
        <f>VLOOKUP(AG42,'BUS 2'!$G$1:$CU$424,37,0)</f>
        <v/>
      </c>
      <c r="TD42" s="9" t="str">
        <f>VLOOKUP(AG42,'BUS 2'!$G$1:$CU$424,38,0)</f>
        <v/>
      </c>
      <c r="TE42" s="9" t="str">
        <f>VLOOKUP(AG42,'BUS 2'!$G$1:$CU$424,39,0)</f>
        <v/>
      </c>
      <c r="TF42" s="9" t="str">
        <f>VLOOKUP(AG42,'BUS 2'!$G$1:$CU$424,40,0)</f>
        <v/>
      </c>
      <c r="TG42" s="8">
        <f>VLOOKUP(AG42,'BUS 2'!$G$1:$CU$424,42,0)</f>
        <v>20</v>
      </c>
      <c r="TH42" s="8" t="str">
        <f>VLOOKUP(AG42,'BUS 2'!$G$1:$CU$424,43,0)</f>
        <v/>
      </c>
      <c r="TI42" s="8" t="str">
        <f>VLOOKUP(AG42,'BUS 2'!$G$1:$CU$424,44,0)</f>
        <v/>
      </c>
      <c r="TJ42" s="8" t="str">
        <f>VLOOKUP(AG42,'BUS 2'!$G$1:$CU$424,45,0)</f>
        <v/>
      </c>
      <c r="TK42" s="8" t="str">
        <f>VLOOKUP(AG42,'BUS 2'!$G$1:$CU$424,46,0)</f>
        <v/>
      </c>
      <c r="TL42" s="8" t="str">
        <f>VLOOKUP(AG42,'BUS 2'!$G$1:$CU$424,47,0)</f>
        <v/>
      </c>
      <c r="TM42" s="8" t="str">
        <f>VLOOKUP(AG42,'BUS 2'!$G$1:$CU$424,48,0)</f>
        <v/>
      </c>
      <c r="TN42" s="8" t="str">
        <f>VLOOKUP(AG42,'BUS 2'!$G$1:$CU$424,49,0)</f>
        <v/>
      </c>
      <c r="TO42" s="8">
        <f>VLOOKUP(AG42,'BUS 2'!$G$1:$CU$424,50,0)</f>
        <v>2</v>
      </c>
      <c r="TP42" s="8">
        <f>VLOOKUP(AG42,'BUS 2'!$G$1:$CU$424,51,0)</f>
        <v>8</v>
      </c>
      <c r="TQ42" s="8">
        <f>VLOOKUP(AG42,'BUS 2'!$G$1:$CU$424,52,0)</f>
        <v>0</v>
      </c>
      <c r="TR42" s="8">
        <f>VLOOKUP(AG42,'BUS 2'!$G$1:$CU$424,53,0)</f>
        <v>0</v>
      </c>
      <c r="TS42" s="9" t="str">
        <f>VLOOKUP(AG42,'BUS 2'!$G$1:$CU$424,54,0)</f>
        <v/>
      </c>
      <c r="TT42" s="9" t="str">
        <f>VLOOKUP(AG42,'BUS 2'!$G$1:$CU$424,55,0)</f>
        <v/>
      </c>
      <c r="TU42" s="9" t="str">
        <f>VLOOKUP(AG42,'BUS 2'!$G$1:$CU$424,56,0)</f>
        <v/>
      </c>
      <c r="TV42" s="9" t="str">
        <f>VLOOKUP(AG42,'BUS 2'!$G$1:$CU$424,57,0)</f>
        <v/>
      </c>
      <c r="TW42" s="9" t="str">
        <f>VLOOKUP(AG42,'BUS 2'!$G$1:$CU$424,58,0)</f>
        <v/>
      </c>
      <c r="TX42" s="9" t="str">
        <f>VLOOKUP(AG42,'BUS 2'!$G$1:$CU$424,59,0)</f>
        <v/>
      </c>
      <c r="TY42" s="9" t="str">
        <f>VLOOKUP(AG42,'BUS 2'!$G$1:$CU$424,60,0)</f>
        <v/>
      </c>
      <c r="TZ42" s="9" t="str">
        <f>VLOOKUP(AG42,'BUS 2'!$G$1:$CU$424,61,0)</f>
        <v/>
      </c>
      <c r="UA42" s="9" t="str">
        <f>VLOOKUP(AG42,'BUS 2'!$G$1:$CU$424,62,0)</f>
        <v/>
      </c>
      <c r="UB42" s="9" t="str">
        <f>VLOOKUP(AG42,'BUS 2'!$G$1:$CU$424,63,0)</f>
        <v/>
      </c>
      <c r="UC42" s="9" t="str">
        <f>VLOOKUP(AG42,'BUS 2'!$G$1:$CU$424,64,0)</f>
        <v/>
      </c>
      <c r="UD42" s="9" t="str">
        <f>VLOOKUP(AG42,'BUS 2'!$G$1:$CU$424,65,0)</f>
        <v/>
      </c>
      <c r="UE42" s="9" t="str">
        <f>VLOOKUP(AG42,'BUS 2'!$G$1:$CU$424,66,0)</f>
        <v/>
      </c>
      <c r="UF42" s="9" t="str">
        <f>VLOOKUP(AG42,'BUS 2'!$G$1:$CU$424,67,0)</f>
        <v/>
      </c>
      <c r="UG42" s="9" t="str">
        <f>VLOOKUP(AG42,'BUS 2'!$G$1:$CU$424,68,0)</f>
        <v/>
      </c>
      <c r="UH42" s="9" t="str">
        <f>VLOOKUP(AG42,'BUS 2'!$G$1:$CU$424,69,0)</f>
        <v/>
      </c>
      <c r="UI42" s="9" t="str">
        <f>VLOOKUP(AG42,'BUS 2'!$G$1:$CU$424,70,0)</f>
        <v/>
      </c>
      <c r="UJ42" s="9" t="str">
        <f>VLOOKUP(AG42,'BUS 2'!$G$1:$CU$424,71,0)</f>
        <v/>
      </c>
      <c r="UK42" s="9" t="str">
        <f>VLOOKUP(AG42,'BUS 2'!$G$1:$CU$424,72,0)</f>
        <v/>
      </c>
      <c r="UL42" s="9" t="str">
        <f>VLOOKUP(AG42,'BUS 2'!$G$1:$CU$424,73,0)</f>
        <v/>
      </c>
      <c r="UM42" s="9" t="str">
        <f>VLOOKUP(AG42,'BUS 2'!$G$1:$CU$424,74,0)</f>
        <v/>
      </c>
      <c r="UN42" s="9" t="str">
        <f>VLOOKUP(AG42,'BUS 2'!$G$1:$CU$424,75,0)</f>
        <v/>
      </c>
      <c r="UO42" s="9" t="str">
        <f>VLOOKUP(AG42,'BUS 2'!$G$1:$CU$424,76,0)</f>
        <v/>
      </c>
      <c r="UP42" s="9" t="str">
        <f>VLOOKUP(AG42,'BUS 2'!$G$1:$CU$424,77,0)</f>
        <v/>
      </c>
      <c r="UQ42" s="9" t="str">
        <f>VLOOKUP(AG42,'BUS 2'!$G$1:$CU$424,78,0)</f>
        <v/>
      </c>
      <c r="UR42" s="9" t="str">
        <f>VLOOKUP(AG42,'BUS 2'!$G$1:$CU$424,79,0)</f>
        <v/>
      </c>
      <c r="US42" s="9" t="str">
        <f>VLOOKUP(AG42,'BUS 2'!$G$1:$CU$424,80,0)</f>
        <v/>
      </c>
      <c r="UT42" s="9" t="str">
        <f>VLOOKUP(AG42,'BUS 2'!$G$1:$CU$424,81,0)</f>
        <v/>
      </c>
      <c r="UU42" s="9" t="s">
        <v>1937</v>
      </c>
      <c r="UV42" s="9"/>
      <c r="UW42" s="9"/>
      <c r="UX42" s="9"/>
      <c r="UY42" s="9"/>
      <c r="UZ42" s="9"/>
      <c r="VA42" s="9"/>
      <c r="VB42" s="9"/>
      <c r="VC42" s="9" t="s">
        <v>1938</v>
      </c>
      <c r="VD42" s="9"/>
      <c r="VE42" s="9"/>
      <c r="VF42" s="9"/>
      <c r="VG42" s="9"/>
      <c r="VH42" s="9"/>
      <c r="VI42" s="9"/>
      <c r="VJ42" s="9"/>
      <c r="VK42" s="9" t="s">
        <v>1939</v>
      </c>
      <c r="VL42" s="9"/>
      <c r="VM42" s="9"/>
      <c r="VN42" s="9"/>
      <c r="VO42" s="9"/>
      <c r="VP42" s="9"/>
      <c r="VQ42" s="9"/>
      <c r="VR42" s="9"/>
      <c r="VS42" s="9" t="s">
        <v>1940</v>
      </c>
      <c r="VT42" s="8">
        <v>0.0</v>
      </c>
      <c r="VU42" s="8">
        <v>0.0</v>
      </c>
      <c r="VV42" s="8">
        <v>0.0</v>
      </c>
      <c r="VW42" s="8">
        <v>0.0</v>
      </c>
      <c r="VX42" s="8">
        <v>0.0</v>
      </c>
      <c r="VY42" s="8">
        <v>1.0</v>
      </c>
      <c r="VZ42" s="8">
        <v>0.0</v>
      </c>
      <c r="WA42" s="8">
        <v>0.0</v>
      </c>
      <c r="WB42" s="8">
        <v>0.0</v>
      </c>
      <c r="WC42" s="8">
        <v>0.0</v>
      </c>
      <c r="WD42" s="8">
        <v>0.0</v>
      </c>
      <c r="WE42" s="8">
        <v>0.0</v>
      </c>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8">
        <v>3.0</v>
      </c>
      <c r="ZW42" s="9"/>
      <c r="ZX42" s="9"/>
      <c r="ZY42" s="9"/>
      <c r="ZZ42" s="9"/>
      <c r="AAA42" s="9"/>
      <c r="AAB42" s="9"/>
      <c r="AAC42" s="9"/>
      <c r="AAD42" s="9" t="s">
        <v>1186</v>
      </c>
      <c r="AAE42" s="9"/>
      <c r="AAF42" s="9"/>
      <c r="AAG42" s="9"/>
      <c r="AAH42" s="9"/>
      <c r="AAI42" s="9"/>
      <c r="AAJ42" s="9"/>
      <c r="AAK42" s="9"/>
      <c r="AAL42" s="9" t="s">
        <v>881</v>
      </c>
      <c r="AAM42" s="9"/>
      <c r="AAN42" s="9"/>
      <c r="AAO42" s="9"/>
      <c r="AAP42" s="9"/>
      <c r="AAQ42" s="9"/>
      <c r="AAR42" s="9" t="s">
        <v>881</v>
      </c>
      <c r="AAS42" s="9" t="s">
        <v>1389</v>
      </c>
      <c r="AAT42" s="9" t="s">
        <v>2176</v>
      </c>
      <c r="AAU42" s="8">
        <v>0.0</v>
      </c>
      <c r="AAV42" s="8">
        <v>0.0</v>
      </c>
      <c r="AAW42" s="8">
        <v>0.0</v>
      </c>
      <c r="AAX42" s="8">
        <v>0.0</v>
      </c>
      <c r="AAY42" s="8">
        <v>0.0</v>
      </c>
      <c r="AAZ42" s="8">
        <v>1.0</v>
      </c>
      <c r="ABA42" s="8">
        <v>0.0</v>
      </c>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t="s">
        <v>955</v>
      </c>
      <c r="ACL42" s="8">
        <v>0.0</v>
      </c>
      <c r="ACM42" s="8">
        <v>0.0</v>
      </c>
      <c r="ACN42" s="8">
        <v>0.0</v>
      </c>
      <c r="ACO42" s="8">
        <v>1.0</v>
      </c>
      <c r="ACP42" s="8">
        <v>0.0</v>
      </c>
      <c r="ACQ42" s="8">
        <v>0.0</v>
      </c>
      <c r="ACR42" s="8">
        <v>0.0</v>
      </c>
      <c r="ACS42" s="9"/>
      <c r="ACT42" s="9" t="s">
        <v>1945</v>
      </c>
      <c r="ACU42" s="9" t="s">
        <v>913</v>
      </c>
      <c r="ACV42" s="9" t="s">
        <v>914</v>
      </c>
      <c r="ACW42" s="9" t="s">
        <v>915</v>
      </c>
      <c r="ACX42" s="9" t="s">
        <v>958</v>
      </c>
      <c r="ACY42" s="9" t="s">
        <v>1017</v>
      </c>
      <c r="ACZ42" s="8">
        <v>1.0</v>
      </c>
      <c r="ADA42" s="8">
        <v>1.0</v>
      </c>
      <c r="ADB42" s="8">
        <v>1.0</v>
      </c>
      <c r="ADC42" s="8">
        <v>0.0</v>
      </c>
      <c r="ADD42" s="9" t="s">
        <v>918</v>
      </c>
      <c r="ADE42" s="9" t="s">
        <v>918</v>
      </c>
      <c r="ADF42" s="9" t="s">
        <v>918</v>
      </c>
      <c r="ADG42" s="9" t="s">
        <v>918</v>
      </c>
      <c r="ADH42" s="9" t="s">
        <v>881</v>
      </c>
      <c r="ADI42" s="9"/>
      <c r="ADJ42" s="9" t="s">
        <v>918</v>
      </c>
      <c r="ADK42" s="9"/>
      <c r="ADL42" s="9"/>
      <c r="ADM42" s="9"/>
      <c r="ADN42" s="9"/>
      <c r="ADO42" s="9"/>
      <c r="ADP42" s="9"/>
      <c r="ADQ42" s="9"/>
      <c r="ADR42" s="9"/>
      <c r="ADS42" s="9"/>
      <c r="ADT42" s="9"/>
      <c r="ADU42" s="9" t="s">
        <v>2046</v>
      </c>
      <c r="ADV42" s="8">
        <v>0.0</v>
      </c>
      <c r="ADW42" s="8">
        <v>0.0</v>
      </c>
      <c r="ADX42" s="8">
        <v>0.0</v>
      </c>
      <c r="ADY42" s="8">
        <v>0.0</v>
      </c>
      <c r="ADZ42" s="8">
        <v>0.0</v>
      </c>
      <c r="AEA42" s="8">
        <v>1.0</v>
      </c>
      <c r="AEB42" s="8">
        <v>0.0</v>
      </c>
      <c r="AEC42" s="8">
        <v>0.0</v>
      </c>
      <c r="AED42" s="9" t="s">
        <v>1945</v>
      </c>
      <c r="AEE42" s="9" t="s">
        <v>872</v>
      </c>
      <c r="AEF42" s="9"/>
      <c r="AEG42" s="9" t="s">
        <v>920</v>
      </c>
      <c r="AEH42" s="9"/>
      <c r="AEI42" s="9" t="s">
        <v>1945</v>
      </c>
      <c r="AEJ42" s="9" t="s">
        <v>961</v>
      </c>
      <c r="AEK42" s="9" t="s">
        <v>2733</v>
      </c>
      <c r="AEL42" s="8">
        <v>1.0</v>
      </c>
      <c r="AEM42" s="8">
        <v>0.0</v>
      </c>
      <c r="AEN42" s="8">
        <v>0.0</v>
      </c>
      <c r="AEO42" s="8">
        <v>0.0</v>
      </c>
      <c r="AEP42" s="8">
        <v>1.0</v>
      </c>
      <c r="AEQ42" s="8">
        <v>0.0</v>
      </c>
      <c r="AER42" s="8">
        <v>1.0</v>
      </c>
      <c r="AES42" s="8">
        <v>0.0</v>
      </c>
      <c r="AET42" s="8">
        <v>0.0</v>
      </c>
      <c r="AEU42" s="8">
        <v>0.0</v>
      </c>
      <c r="AEV42" s="8">
        <v>0.0</v>
      </c>
      <c r="AEW42" s="8">
        <v>0.0</v>
      </c>
      <c r="AEX42" s="9"/>
      <c r="AEY42" s="9" t="s">
        <v>1305</v>
      </c>
      <c r="AEZ42" s="9"/>
      <c r="AFA42" s="9" t="s">
        <v>2077</v>
      </c>
      <c r="AFB42" s="9"/>
      <c r="AFC42" s="9" t="s">
        <v>2734</v>
      </c>
      <c r="AFD42" s="16" t="s">
        <v>2735</v>
      </c>
      <c r="AFE42" s="9" t="s">
        <v>2736</v>
      </c>
      <c r="AFF42" s="16" t="s">
        <v>2737</v>
      </c>
      <c r="AFG42" s="9" t="s">
        <v>2443</v>
      </c>
      <c r="AFH42" s="9"/>
      <c r="AFI42" s="21" t="s">
        <v>1945</v>
      </c>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c r="ATZ42" s="9"/>
      <c r="AUA42" s="9"/>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c r="AVL42" s="9"/>
      <c r="AVM42" s="9"/>
      <c r="AVN42" s="9"/>
      <c r="AVO42" s="9"/>
      <c r="AVP42" s="9"/>
      <c r="AVQ42" s="9"/>
      <c r="AVR42" s="9"/>
      <c r="AVS42" s="9"/>
      <c r="AVT42" s="9"/>
      <c r="AVU42" s="9"/>
      <c r="AVV42" s="9"/>
      <c r="AVW42" s="9"/>
      <c r="AVX42" s="9"/>
      <c r="AVY42" s="9"/>
      <c r="AVZ42" s="9"/>
      <c r="AWA42" s="8">
        <v>6.73230108E8</v>
      </c>
      <c r="AWB42" s="9" t="s">
        <v>2738</v>
      </c>
      <c r="AWC42" s="6">
        <v>46069.0</v>
      </c>
      <c r="AWD42" s="9"/>
      <c r="AWE42" s="9"/>
      <c r="AWF42" s="9" t="s">
        <v>1954</v>
      </c>
      <c r="AWG42" s="9"/>
      <c r="AWH42" s="9" t="s">
        <v>1989</v>
      </c>
      <c r="AWI42" s="9"/>
      <c r="AWJ42" s="9" t="s">
        <v>2739</v>
      </c>
      <c r="AWK42" s="8">
        <v>304.0</v>
      </c>
      <c r="AWL42" s="9" t="s">
        <v>2730</v>
      </c>
      <c r="AWM42" s="8">
        <v>0.0</v>
      </c>
      <c r="AWN42" s="9" t="s">
        <v>1957</v>
      </c>
      <c r="AWO42" s="33" t="b">
        <v>1</v>
      </c>
      <c r="AWP42" s="33" t="b">
        <v>1</v>
      </c>
      <c r="AWQ42" s="33" t="b">
        <v>1</v>
      </c>
      <c r="AWR42" s="33" t="b">
        <v>1</v>
      </c>
      <c r="AWS42" s="33" t="b">
        <v>1</v>
      </c>
      <c r="AWT42" s="33" t="b">
        <v>1</v>
      </c>
      <c r="AWU42" s="9"/>
      <c r="AWV42" s="8">
        <v>3.0</v>
      </c>
      <c r="AWW42" s="9"/>
      <c r="AWX42" s="9"/>
      <c r="AWY42" s="9"/>
      <c r="AWZ42" s="9"/>
    </row>
    <row r="43">
      <c r="A43" s="6">
        <v>46051.0</v>
      </c>
      <c r="B43" s="6">
        <v>46069.0</v>
      </c>
      <c r="C43" s="30" t="s">
        <v>2443</v>
      </c>
      <c r="D43" s="30" t="s">
        <v>2740</v>
      </c>
      <c r="E43" s="8">
        <f>+6281356333674</f>
        <v>6281356333674</v>
      </c>
      <c r="F43" s="9" t="s">
        <v>2741</v>
      </c>
      <c r="G43" s="8">
        <v>-5.148796</v>
      </c>
      <c r="H43" s="8">
        <v>119.678133</v>
      </c>
      <c r="I43" s="8">
        <v>77.245</v>
      </c>
      <c r="J43" s="8">
        <v>1.465000033</v>
      </c>
      <c r="K43" s="8">
        <v>0.0</v>
      </c>
      <c r="L43" s="9" t="s">
        <v>2742</v>
      </c>
      <c r="M43" s="8">
        <v>-5.148734</v>
      </c>
      <c r="N43" s="8">
        <v>119.677993</v>
      </c>
      <c r="O43" s="8">
        <v>95.148</v>
      </c>
      <c r="P43" s="8">
        <v>18.61599922</v>
      </c>
      <c r="Q43" s="8">
        <v>0.0</v>
      </c>
      <c r="R43" s="9" t="s">
        <v>1923</v>
      </c>
      <c r="S43" s="8">
        <v>0.0</v>
      </c>
      <c r="T43" s="8">
        <v>0.0</v>
      </c>
      <c r="U43" s="8">
        <v>0.0</v>
      </c>
      <c r="V43" s="8">
        <v>0.0</v>
      </c>
      <c r="W43" s="8">
        <v>0.0</v>
      </c>
      <c r="X43" s="8">
        <v>0.0</v>
      </c>
      <c r="Y43" s="8">
        <v>0.0</v>
      </c>
      <c r="Z43" s="8">
        <v>0.0</v>
      </c>
      <c r="AA43" s="8">
        <v>0.0</v>
      </c>
      <c r="AB43" s="8">
        <v>1.0</v>
      </c>
      <c r="AC43" s="7" t="s">
        <v>1924</v>
      </c>
      <c r="AD43" s="7" t="s">
        <v>2088</v>
      </c>
      <c r="AE43" s="7" t="s">
        <v>2743</v>
      </c>
      <c r="AF43" s="9" t="s">
        <v>2090</v>
      </c>
      <c r="AG43" s="9" t="s">
        <v>2744</v>
      </c>
      <c r="AH43" s="8">
        <v>10.0</v>
      </c>
      <c r="AI43" s="9" t="s">
        <v>933</v>
      </c>
      <c r="AJ43" s="9" t="s">
        <v>846</v>
      </c>
      <c r="AK43" s="8">
        <v>52.0</v>
      </c>
      <c r="AL43" s="9" t="s">
        <v>847</v>
      </c>
      <c r="AM43" s="9" t="s">
        <v>848</v>
      </c>
      <c r="AN43" s="9" t="s">
        <v>1967</v>
      </c>
      <c r="AO43" s="9" t="s">
        <v>850</v>
      </c>
      <c r="AP43" s="8">
        <v>1.0</v>
      </c>
      <c r="AQ43" s="8">
        <v>0.0</v>
      </c>
      <c r="AR43" s="8">
        <v>0.0</v>
      </c>
      <c r="AS43" s="8">
        <v>0.0</v>
      </c>
      <c r="AT43" s="8">
        <v>0.0</v>
      </c>
      <c r="AU43" s="8">
        <v>0.0</v>
      </c>
      <c r="AV43" s="8">
        <v>0.0</v>
      </c>
      <c r="AW43" s="8">
        <v>0.0</v>
      </c>
      <c r="AX43" s="9"/>
      <c r="AY43" s="9" t="s">
        <v>999</v>
      </c>
      <c r="AZ43" s="8">
        <v>0.0</v>
      </c>
      <c r="BA43" s="8">
        <v>0.0</v>
      </c>
      <c r="BB43" s="8">
        <v>0.0</v>
      </c>
      <c r="BC43" s="8">
        <v>0.0</v>
      </c>
      <c r="BD43" s="8">
        <v>0.0</v>
      </c>
      <c r="BE43" s="8">
        <v>0.0</v>
      </c>
      <c r="BF43" s="8">
        <v>0.0</v>
      </c>
      <c r="BG43" s="8">
        <v>1.0</v>
      </c>
      <c r="BH43" s="11"/>
      <c r="BI43" s="9" t="s">
        <v>2118</v>
      </c>
      <c r="BJ43" s="8">
        <v>2.0</v>
      </c>
      <c r="BK43" s="8">
        <v>2.0</v>
      </c>
      <c r="BL43" s="8">
        <v>3.0</v>
      </c>
      <c r="BM43" s="8">
        <v>1.0</v>
      </c>
      <c r="BN43" s="9" t="s">
        <v>853</v>
      </c>
      <c r="BO43" s="9" t="s">
        <v>2000</v>
      </c>
      <c r="BP43" s="8">
        <v>0.0</v>
      </c>
      <c r="BQ43" s="8">
        <v>1.0</v>
      </c>
      <c r="BR43" s="8">
        <v>0.0</v>
      </c>
      <c r="BS43" s="8">
        <v>0.0</v>
      </c>
      <c r="BT43" s="8">
        <v>0.0</v>
      </c>
      <c r="BU43" s="9"/>
      <c r="BV43" s="9" t="s">
        <v>2731</v>
      </c>
      <c r="BW43" s="8">
        <v>1.0</v>
      </c>
      <c r="BX43" s="8">
        <v>0.0</v>
      </c>
      <c r="BY43" s="8">
        <v>1.0</v>
      </c>
      <c r="BZ43" s="8">
        <v>0.0</v>
      </c>
      <c r="CA43" s="8">
        <v>0.0</v>
      </c>
      <c r="CB43" s="9"/>
      <c r="CC43" s="9" t="s">
        <v>1929</v>
      </c>
      <c r="CD43" s="8">
        <v>0.0</v>
      </c>
      <c r="CE43" s="8">
        <v>0.0</v>
      </c>
      <c r="CF43" s="8">
        <v>0.0</v>
      </c>
      <c r="CG43" s="8">
        <v>0.0</v>
      </c>
      <c r="CH43" s="8">
        <v>1.0</v>
      </c>
      <c r="CI43" s="8">
        <v>0.0</v>
      </c>
      <c r="CJ43" s="8">
        <v>0.0</v>
      </c>
      <c r="CK43" s="9"/>
      <c r="CL43" s="9" t="s">
        <v>857</v>
      </c>
      <c r="CM43" s="8">
        <v>2016.0</v>
      </c>
      <c r="CN43" s="9" t="s">
        <v>858</v>
      </c>
      <c r="CO43" s="9" t="s">
        <v>1968</v>
      </c>
      <c r="CP43" s="9" t="s">
        <v>860</v>
      </c>
      <c r="CQ43" s="8">
        <v>0.0</v>
      </c>
      <c r="CR43" s="8">
        <v>0.0</v>
      </c>
      <c r="CS43" s="8">
        <v>0.0</v>
      </c>
      <c r="CT43" s="8">
        <v>0.0</v>
      </c>
      <c r="CU43" s="8">
        <v>1.0</v>
      </c>
      <c r="CV43" s="8">
        <v>0.0</v>
      </c>
      <c r="CW43" s="8">
        <v>0.0</v>
      </c>
      <c r="CX43" s="8">
        <v>0.0</v>
      </c>
      <c r="CY43" s="9" t="s">
        <v>860</v>
      </c>
      <c r="CZ43" s="8">
        <v>1.0</v>
      </c>
      <c r="DA43" s="8">
        <v>0.0</v>
      </c>
      <c r="DB43" s="8">
        <v>0.0</v>
      </c>
      <c r="DC43" s="9"/>
      <c r="DD43" s="9" t="s">
        <v>860</v>
      </c>
      <c r="DE43" s="8">
        <v>1.0</v>
      </c>
      <c r="DF43" s="8">
        <v>0.0</v>
      </c>
      <c r="DG43" s="8">
        <v>0.0</v>
      </c>
      <c r="DH43" s="8">
        <v>0.0</v>
      </c>
      <c r="DI43" s="9"/>
      <c r="DJ43" s="9" t="s">
        <v>861</v>
      </c>
      <c r="DK43" s="8">
        <v>0.0</v>
      </c>
      <c r="DL43" s="8">
        <v>0.0</v>
      </c>
      <c r="DM43" s="8">
        <v>1.0</v>
      </c>
      <c r="DN43" s="8">
        <v>0.0</v>
      </c>
      <c r="DO43" s="9"/>
      <c r="DP43" s="9" t="s">
        <v>857</v>
      </c>
      <c r="DQ43" s="9"/>
      <c r="DR43" s="9"/>
      <c r="DS43" s="9"/>
      <c r="DT43" s="9"/>
      <c r="DU43" s="9"/>
      <c r="DV43" s="9"/>
      <c r="DW43" s="9"/>
      <c r="DX43" s="9"/>
      <c r="DY43" s="9"/>
      <c r="DZ43" s="9"/>
      <c r="EA43" s="9"/>
      <c r="EB43" s="9"/>
      <c r="EC43" s="9"/>
      <c r="ED43" s="9"/>
      <c r="EE43" s="9"/>
      <c r="EF43" s="9"/>
      <c r="EG43" s="9"/>
      <c r="EH43" s="9"/>
      <c r="EI43" s="9" t="s">
        <v>862</v>
      </c>
      <c r="EJ43" s="8">
        <v>0.0</v>
      </c>
      <c r="EK43" s="8">
        <v>0.0</v>
      </c>
      <c r="EL43" s="8">
        <v>0.0</v>
      </c>
      <c r="EM43" s="8">
        <v>1.0</v>
      </c>
      <c r="EN43" s="8">
        <v>0.0</v>
      </c>
      <c r="EO43" s="9"/>
      <c r="EP43" s="9" t="s">
        <v>863</v>
      </c>
      <c r="EQ43" s="9" t="s">
        <v>1380</v>
      </c>
      <c r="ER43" s="9" t="s">
        <v>969</v>
      </c>
      <c r="ES43" s="8">
        <v>0.0</v>
      </c>
      <c r="ET43" s="8">
        <v>0.0</v>
      </c>
      <c r="EU43" s="8">
        <v>0.0</v>
      </c>
      <c r="EV43" s="8">
        <v>1.0</v>
      </c>
      <c r="EW43" s="9" t="s">
        <v>2343</v>
      </c>
      <c r="EX43" s="9" t="s">
        <v>865</v>
      </c>
      <c r="EY43" s="8">
        <v>1.0</v>
      </c>
      <c r="EZ43" s="8">
        <v>0.0</v>
      </c>
      <c r="FA43" s="8">
        <v>0.0</v>
      </c>
      <c r="FB43" s="9"/>
      <c r="FC43" s="9" t="s">
        <v>866</v>
      </c>
      <c r="FD43" s="9"/>
      <c r="FE43" s="9" t="s">
        <v>867</v>
      </c>
      <c r="FF43" s="9" t="s">
        <v>868</v>
      </c>
      <c r="FG43" s="9" t="s">
        <v>867</v>
      </c>
      <c r="FH43" s="9" t="s">
        <v>869</v>
      </c>
      <c r="FI43" s="9" t="s">
        <v>867</v>
      </c>
      <c r="FJ43" s="9" t="s">
        <v>868</v>
      </c>
      <c r="FK43" s="9" t="s">
        <v>867</v>
      </c>
      <c r="FL43" s="9" t="s">
        <v>869</v>
      </c>
      <c r="FM43" s="9" t="s">
        <v>867</v>
      </c>
      <c r="FN43" s="9" t="s">
        <v>869</v>
      </c>
      <c r="FO43" s="9" t="s">
        <v>867</v>
      </c>
      <c r="FP43" s="9" t="s">
        <v>869</v>
      </c>
      <c r="FQ43" s="9" t="s">
        <v>867</v>
      </c>
      <c r="FR43" s="9" t="s">
        <v>857</v>
      </c>
      <c r="FS43" s="9" t="s">
        <v>867</v>
      </c>
      <c r="FT43" s="9" t="s">
        <v>871</v>
      </c>
      <c r="FU43" s="9" t="s">
        <v>872</v>
      </c>
      <c r="FV43" s="8">
        <v>1.0</v>
      </c>
      <c r="FW43" s="8">
        <v>0.0</v>
      </c>
      <c r="FX43" s="8">
        <v>0.0</v>
      </c>
      <c r="FY43" s="8">
        <v>0.0</v>
      </c>
      <c r="FZ43" s="9" t="s">
        <v>873</v>
      </c>
      <c r="GA43" s="9" t="s">
        <v>1264</v>
      </c>
      <c r="GB43" s="8">
        <v>0.0</v>
      </c>
      <c r="GC43" s="8">
        <v>0.0</v>
      </c>
      <c r="GD43" s="8">
        <v>1.0</v>
      </c>
      <c r="GE43" s="8">
        <v>0.0</v>
      </c>
      <c r="GF43" s="9"/>
      <c r="GG43" s="9" t="s">
        <v>961</v>
      </c>
      <c r="GH43" s="9" t="s">
        <v>881</v>
      </c>
      <c r="GI43" s="9"/>
      <c r="GJ43" s="9"/>
      <c r="GK43" s="9"/>
      <c r="GL43" s="9"/>
      <c r="GM43" s="9"/>
      <c r="GN43" s="9"/>
      <c r="GO43" s="9"/>
      <c r="GP43" s="9" t="s">
        <v>1931</v>
      </c>
      <c r="GQ43" s="9" t="s">
        <v>1102</v>
      </c>
      <c r="GR43" s="8">
        <v>1.0</v>
      </c>
      <c r="GS43" s="8">
        <v>0.0</v>
      </c>
      <c r="GT43" s="8">
        <v>0.0</v>
      </c>
      <c r="GU43" s="8">
        <v>0.0</v>
      </c>
      <c r="GV43" s="8">
        <v>0.0</v>
      </c>
      <c r="GW43" s="8">
        <v>0.0</v>
      </c>
      <c r="GX43" s="8">
        <v>0.0</v>
      </c>
      <c r="GY43" s="9"/>
      <c r="GZ43" s="9" t="s">
        <v>857</v>
      </c>
      <c r="HA43" s="9"/>
      <c r="HB43" s="9"/>
      <c r="HC43" s="9"/>
      <c r="HD43" s="9"/>
      <c r="HE43" s="8">
        <v>12.0</v>
      </c>
      <c r="HF43" s="39">
        <v>80000.0</v>
      </c>
      <c r="HG43" s="8">
        <v>6.0</v>
      </c>
      <c r="HH43" s="8">
        <v>46000.0</v>
      </c>
      <c r="HI43" s="9"/>
      <c r="HJ43" s="9"/>
      <c r="HK43" s="9"/>
      <c r="HL43" s="9"/>
      <c r="HM43" s="9"/>
      <c r="HN43" s="9"/>
      <c r="HO43" s="9"/>
      <c r="HP43" s="9"/>
      <c r="HQ43" s="9"/>
      <c r="HR43" s="9"/>
      <c r="HS43" s="9"/>
      <c r="HT43" s="9"/>
      <c r="HU43" s="9"/>
      <c r="HV43" s="9"/>
      <c r="HW43" s="9"/>
      <c r="HX43" s="9"/>
      <c r="HY43" s="9"/>
      <c r="HZ43" s="9"/>
      <c r="IA43" s="35">
        <v>6.0</v>
      </c>
      <c r="IB43" s="35">
        <v>34.0</v>
      </c>
      <c r="IC43" s="9"/>
      <c r="ID43" s="9"/>
      <c r="IE43" s="9"/>
      <c r="IF43" s="9"/>
      <c r="IG43" s="9"/>
      <c r="IH43" s="9"/>
      <c r="II43" s="9"/>
      <c r="IJ43" s="9"/>
      <c r="IK43" s="9" t="s">
        <v>971</v>
      </c>
      <c r="IL43" s="9" t="s">
        <v>1383</v>
      </c>
      <c r="IM43" s="9" t="s">
        <v>857</v>
      </c>
      <c r="IN43" s="9" t="s">
        <v>881</v>
      </c>
      <c r="IO43" s="9" t="s">
        <v>882</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8.0</v>
      </c>
      <c r="LD43" s="8">
        <v>1.0</v>
      </c>
      <c r="LE43" s="8">
        <v>0.0</v>
      </c>
      <c r="LF43" s="8">
        <v>0.0</v>
      </c>
      <c r="LG43" s="9" t="s">
        <v>881</v>
      </c>
      <c r="LH43" s="9"/>
      <c r="LI43" s="8">
        <v>0.0</v>
      </c>
      <c r="LJ43" s="9" t="s">
        <v>969</v>
      </c>
      <c r="LK43" s="8">
        <v>0.0</v>
      </c>
      <c r="LL43" s="8">
        <v>0.0</v>
      </c>
      <c r="LM43" s="8">
        <v>0.0</v>
      </c>
      <c r="LN43" s="8">
        <v>0.0</v>
      </c>
      <c r="LO43" s="8">
        <v>0.0</v>
      </c>
      <c r="LP43" s="8">
        <v>0.0</v>
      </c>
      <c r="LQ43" s="8">
        <v>1.0</v>
      </c>
      <c r="LR43" s="11" t="s">
        <v>2745</v>
      </c>
      <c r="LS43" s="8">
        <v>7.0</v>
      </c>
      <c r="LT43" s="8">
        <v>0.0</v>
      </c>
      <c r="LU43" s="8">
        <v>0.0</v>
      </c>
      <c r="LV43" s="8">
        <v>8.0</v>
      </c>
      <c r="LW43" s="8">
        <v>0.0</v>
      </c>
      <c r="LX43" s="8">
        <v>0.0</v>
      </c>
      <c r="LY43" s="8">
        <v>6.0</v>
      </c>
      <c r="LZ43" s="8">
        <v>0.0</v>
      </c>
      <c r="MA43" s="8">
        <v>0.0</v>
      </c>
      <c r="MB43" s="9" t="s">
        <v>881</v>
      </c>
      <c r="MC43" s="8">
        <v>0.0</v>
      </c>
      <c r="MD43" s="8">
        <v>0.0</v>
      </c>
      <c r="ME43" s="8">
        <v>0.0</v>
      </c>
      <c r="MF43" s="8">
        <v>0.0</v>
      </c>
      <c r="MG43" s="8">
        <v>0.0</v>
      </c>
      <c r="MH43" s="8">
        <v>0.0</v>
      </c>
      <c r="MI43" s="9"/>
      <c r="MJ43" s="9"/>
      <c r="MK43" s="9"/>
      <c r="ML43" s="9"/>
      <c r="MM43" s="9"/>
      <c r="MN43" s="9"/>
      <c r="MO43" s="9"/>
      <c r="MP43" s="9"/>
      <c r="MQ43" s="9"/>
      <c r="MR43" s="17" t="s">
        <v>2035</v>
      </c>
      <c r="MS43" s="9"/>
      <c r="MT43" s="9" t="s">
        <v>2035</v>
      </c>
      <c r="MU43" s="9" t="s">
        <v>881</v>
      </c>
      <c r="MV43" s="9"/>
      <c r="MW43" s="9"/>
      <c r="MX43" s="9"/>
      <c r="MY43" s="9"/>
      <c r="MZ43" s="9"/>
      <c r="NA43" s="9"/>
      <c r="NB43" s="9"/>
      <c r="NC43" s="9"/>
      <c r="ND43" s="9"/>
      <c r="NE43" s="9"/>
      <c r="NF43" s="9"/>
      <c r="NG43" s="9"/>
      <c r="NH43" s="9"/>
      <c r="NI43" s="9"/>
      <c r="NJ43" s="9"/>
      <c r="NK43" s="9"/>
      <c r="NL43" s="9" t="s">
        <v>857</v>
      </c>
      <c r="NM43" s="9" t="s">
        <v>1386</v>
      </c>
      <c r="NN43" s="17" t="s">
        <v>1975</v>
      </c>
      <c r="NO43" s="17" t="s">
        <v>895</v>
      </c>
      <c r="NP43" s="9"/>
      <c r="NQ43" s="9"/>
      <c r="NR43" s="9"/>
      <c r="NS43" s="9"/>
      <c r="NT43" s="9"/>
      <c r="NU43" s="9"/>
      <c r="NV43" s="9"/>
      <c r="NW43" s="9"/>
      <c r="NX43" s="9" t="s">
        <v>914</v>
      </c>
      <c r="NY43" s="8">
        <v>30.0</v>
      </c>
      <c r="NZ43" s="8">
        <v>3.0</v>
      </c>
      <c r="OA43" s="8">
        <v>5.0</v>
      </c>
      <c r="OB43" s="8">
        <v>15.0</v>
      </c>
      <c r="OC43" s="8">
        <v>10.0</v>
      </c>
      <c r="OD43" s="8">
        <v>0.0</v>
      </c>
      <c r="OE43" s="9" t="s">
        <v>898</v>
      </c>
      <c r="OF43" s="9" t="s">
        <v>899</v>
      </c>
      <c r="OG43" s="9" t="s">
        <v>857</v>
      </c>
      <c r="OH43" s="8">
        <v>8.0</v>
      </c>
      <c r="OI43" s="8">
        <v>0.0</v>
      </c>
      <c r="OJ43" s="8">
        <v>0.0</v>
      </c>
      <c r="OK43" s="8">
        <v>0.0</v>
      </c>
      <c r="OL43" s="8">
        <v>0.0</v>
      </c>
      <c r="OM43" s="8">
        <v>0.0</v>
      </c>
      <c r="ON43" s="8">
        <v>5.0</v>
      </c>
      <c r="OO43" s="8">
        <v>0.0</v>
      </c>
      <c r="OP43" s="9" t="str">
        <f>VLOOKUP(AG43,'BUS 2'!$G$1:$CU$424,2,0)</f>
        <v>Sapi pedaging Ayam</v>
      </c>
      <c r="OQ43" s="8">
        <f>VLOOKUP(AG43,'BUS 2'!$G$1:$CU$424,3,0)</f>
        <v>1</v>
      </c>
      <c r="OR43" s="8">
        <f>VLOOKUP(AG43,'BUS 2'!$G$1:$CU$424,4,0)</f>
        <v>0</v>
      </c>
      <c r="OS43" s="8">
        <f>VLOOKUP(AG43,'BUS 2'!$G$1:$CU$424,5,0)</f>
        <v>0</v>
      </c>
      <c r="OT43" s="8">
        <f>VLOOKUP(AG43,'BUS 2'!$G$1:$CU$424,6,0)</f>
        <v>0</v>
      </c>
      <c r="OU43" s="8">
        <f>VLOOKUP(AG43,'BUS 2'!$G$1:$CU$424,7,0)</f>
        <v>0</v>
      </c>
      <c r="OV43" s="8">
        <f>VLOOKUP(AG43,'BUS 2'!$G$1:$CU$424,8,0)</f>
        <v>0</v>
      </c>
      <c r="OW43" s="8">
        <f>VLOOKUP(AG43,'BUS 2'!$G$1:$CU$424,9,0)</f>
        <v>1</v>
      </c>
      <c r="OX43" s="8">
        <f>VLOOKUP(AG43,'BUS 2'!$G$1:$CU$424,10,0)</f>
        <v>0</v>
      </c>
      <c r="OY43" s="8">
        <f>VLOOKUP(AG43,'BUS 2'!$G$1:$CU$424,11,0)</f>
        <v>0</v>
      </c>
      <c r="OZ43" s="8" t="str">
        <f>VLOOKUP(AG43,'BUS 2'!$G$1:$CU$424,12,0)</f>
        <v>Sapi pedaging Ayam</v>
      </c>
      <c r="PA43" s="8">
        <f>VLOOKUP(AG43,'BUS 2'!$G$1:$CU$424,13,0)</f>
        <v>1</v>
      </c>
      <c r="PB43" s="8">
        <f>VLOOKUP(AG43,'BUS 2'!$G$1:$CU$424,14,0)</f>
        <v>0</v>
      </c>
      <c r="PC43" s="8">
        <f>VLOOKUP(AG43,'BUS 2'!$G$1:$CU$424,15,0)</f>
        <v>0</v>
      </c>
      <c r="PD43" s="8">
        <f>VLOOKUP(AG43,'BUS 2'!$G$1:$CU$424,16,0)</f>
        <v>0</v>
      </c>
      <c r="PE43" s="8">
        <f>VLOOKUP(AG43,'BUS 2'!$G$1:$CU$424,17,0)</f>
        <v>0</v>
      </c>
      <c r="PF43" s="8">
        <f>VLOOKUP(AG43,'BUS 2'!$G$1:$CU$424,18,0)</f>
        <v>0</v>
      </c>
      <c r="PG43" s="8">
        <f>VLOOKUP(AG43,'BUS 2'!$G$1:$CU$424,19,0)</f>
        <v>1</v>
      </c>
      <c r="PH43" s="8">
        <f>VLOOKUP(AG43,'BUS 2'!$G$1:$CU$424,20,0)</f>
        <v>0</v>
      </c>
      <c r="PI43" s="8">
        <f>VLOOKUP(AG43,'BUS 2'!$G$1:$CU$424,21,0)</f>
        <v>0</v>
      </c>
      <c r="PJ43" s="8" t="str">
        <f>VLOOKUP(AG43,'BUS 2'!$G$1:$CU$424,22,0)</f>
        <v>Sapi pedaging Ayam</v>
      </c>
      <c r="PK43" s="8">
        <f>VLOOKUP(AG43,'BUS 2'!$G$1:$CU$424,23,0)</f>
        <v>1</v>
      </c>
      <c r="PL43" s="8">
        <f>VLOOKUP(AG43,'BUS 2'!$G$1:$CU$424,24,0)</f>
        <v>0</v>
      </c>
      <c r="PM43" s="8">
        <f>VLOOKUP(AG43,'BUS 2'!$G$1:$CU$424,25,0)</f>
        <v>0</v>
      </c>
      <c r="PN43" s="8">
        <f>VLOOKUP(AG43,'BUS 2'!$G$1:$CU$424,26,0)</f>
        <v>0</v>
      </c>
      <c r="PO43" s="8">
        <f>VLOOKUP(AG43,'BUS 2'!$G$1:$CU$424,27,0)</f>
        <v>0</v>
      </c>
      <c r="PP43" s="8">
        <f>VLOOKUP(AG43,'BUS 2'!$G$1:$CU$424,28,0)</f>
        <v>0</v>
      </c>
      <c r="PQ43" s="8">
        <f>VLOOKUP(AG43,'BUS 2'!$G$1:$CU$424,29,0)</f>
        <v>1</v>
      </c>
      <c r="PR43" s="8">
        <f>VLOOKUP(AG43,'BUS 2'!$G$1:$CU$424,30,0)</f>
        <v>0</v>
      </c>
      <c r="PS43" s="8">
        <f>VLOOKUP(AG43,'BUS 2'!$G$1:$CU$424,31,0)</f>
        <v>0</v>
      </c>
      <c r="PT43" s="9" t="s">
        <v>900</v>
      </c>
      <c r="PU43" s="8">
        <v>0.0</v>
      </c>
      <c r="PV43" s="8">
        <v>0.0</v>
      </c>
      <c r="PW43" s="8">
        <v>0.0</v>
      </c>
      <c r="PX43" s="8">
        <v>0.0</v>
      </c>
      <c r="PY43" s="8">
        <v>0.0</v>
      </c>
      <c r="PZ43" s="8">
        <v>1.0</v>
      </c>
      <c r="QA43" s="8">
        <v>0.0</v>
      </c>
      <c r="QB43" s="8">
        <v>0.0</v>
      </c>
      <c r="QC43" s="8">
        <v>0.0</v>
      </c>
      <c r="QD43" s="9"/>
      <c r="QE43" s="32"/>
      <c r="QF43" s="31"/>
      <c r="QG43" s="31"/>
      <c r="QH43" s="31"/>
      <c r="QI43" s="31"/>
      <c r="QJ43" s="31"/>
      <c r="QK43" s="32"/>
      <c r="QL43" s="32"/>
      <c r="QM43" s="32"/>
      <c r="QN43" s="32"/>
      <c r="QO43" s="32"/>
      <c r="QP43" s="32"/>
      <c r="QQ43" s="32"/>
      <c r="QR43" s="32"/>
      <c r="QS43" s="32"/>
      <c r="QT43" s="32"/>
      <c r="QU43" s="32"/>
      <c r="QV43" s="32"/>
      <c r="QW43" s="31"/>
      <c r="QX43" s="31"/>
      <c r="QY43" s="31"/>
      <c r="QZ43" s="31"/>
      <c r="RA43" s="31"/>
      <c r="RB43" s="32"/>
      <c r="RC43" s="32"/>
      <c r="RD43" s="32"/>
      <c r="RE43" s="32"/>
      <c r="RF43" s="32"/>
      <c r="RG43" s="9"/>
      <c r="RH43" s="31"/>
      <c r="RI43" s="31"/>
      <c r="RJ43" s="31"/>
      <c r="RK43" s="31"/>
      <c r="RL43" s="31"/>
      <c r="RM43" s="9"/>
      <c r="RN43" s="9"/>
      <c r="RO43" s="9"/>
      <c r="RP43" s="9"/>
      <c r="RQ43" s="9"/>
      <c r="RR43" s="9"/>
      <c r="RS43" s="31"/>
      <c r="RT43" s="31"/>
      <c r="RU43" s="31"/>
      <c r="RV43" s="31"/>
      <c r="RW43" s="31"/>
      <c r="RX43" s="9"/>
      <c r="RY43" s="9"/>
      <c r="RZ43" s="9"/>
      <c r="SA43" s="9"/>
      <c r="SB43" s="9"/>
      <c r="SC43" s="9" t="s">
        <v>900</v>
      </c>
      <c r="SD43" s="35">
        <v>0.0</v>
      </c>
      <c r="SE43" s="35">
        <v>0.0</v>
      </c>
      <c r="SF43" s="35">
        <v>0.0</v>
      </c>
      <c r="SG43" s="35">
        <v>0.0</v>
      </c>
      <c r="SH43" s="35">
        <v>0.0</v>
      </c>
      <c r="SI43" s="8">
        <v>1.0</v>
      </c>
      <c r="SJ43" s="8">
        <v>0.0</v>
      </c>
      <c r="SK43" s="8">
        <v>0.0</v>
      </c>
      <c r="SL43" s="8">
        <v>0.0</v>
      </c>
      <c r="SM43" s="9"/>
      <c r="SN43" s="9"/>
      <c r="SO43" s="31"/>
      <c r="SP43" s="31"/>
      <c r="SQ43" s="31"/>
      <c r="SR43" s="31"/>
      <c r="SS43" s="31"/>
      <c r="ST43" s="9"/>
      <c r="SU43" s="9"/>
      <c r="SV43" s="9"/>
      <c r="SW43" s="9"/>
      <c r="SX43" s="9"/>
      <c r="SY43" s="8">
        <f>VLOOKUP(AG43,'BUS 2'!$G$1:$CU$424,33,0)</f>
        <v>6</v>
      </c>
      <c r="SZ43" s="9" t="str">
        <f>VLOOKUP(AG43,'BUS 2'!$G$1:$CU$424,34,0)</f>
        <v/>
      </c>
      <c r="TA43" s="9" t="str">
        <f>VLOOKUP(AG43,'BUS 2'!$G$1:$CU$424,35,0)</f>
        <v/>
      </c>
      <c r="TB43" s="9" t="str">
        <f>VLOOKUP(AG43,'BUS 2'!$G$1:$CU$424,36,0)</f>
        <v/>
      </c>
      <c r="TC43" s="9" t="str">
        <f>VLOOKUP(AG43,'BUS 2'!$G$1:$CU$424,37,0)</f>
        <v/>
      </c>
      <c r="TD43" s="9" t="str">
        <f>VLOOKUP(AG43,'BUS 2'!$G$1:$CU$424,38,0)</f>
        <v/>
      </c>
      <c r="TE43" s="9">
        <f>VLOOKUP(AG43,'BUS 2'!$G$1:$CU$424,39,0)</f>
        <v>10</v>
      </c>
      <c r="TF43" s="9" t="str">
        <f>VLOOKUP(AG43,'BUS 2'!$G$1:$CU$424,40,0)</f>
        <v/>
      </c>
      <c r="TG43" s="8">
        <f>VLOOKUP(AG43,'BUS 2'!$G$1:$CU$424,42,0)</f>
        <v>8</v>
      </c>
      <c r="TH43" s="8" t="str">
        <f>VLOOKUP(AG43,'BUS 2'!$G$1:$CU$424,43,0)</f>
        <v/>
      </c>
      <c r="TI43" s="8" t="str">
        <f>VLOOKUP(AG43,'BUS 2'!$G$1:$CU$424,44,0)</f>
        <v/>
      </c>
      <c r="TJ43" s="8" t="str">
        <f>VLOOKUP(AG43,'BUS 2'!$G$1:$CU$424,45,0)</f>
        <v/>
      </c>
      <c r="TK43" s="8" t="str">
        <f>VLOOKUP(AG43,'BUS 2'!$G$1:$CU$424,46,0)</f>
        <v/>
      </c>
      <c r="TL43" s="8" t="str">
        <f>VLOOKUP(AG43,'BUS 2'!$G$1:$CU$424,47,0)</f>
        <v/>
      </c>
      <c r="TM43" s="8">
        <f>VLOOKUP(AG43,'BUS 2'!$G$1:$CU$424,48,0)</f>
        <v>5</v>
      </c>
      <c r="TN43" s="8" t="str">
        <f>VLOOKUP(AG43,'BUS 2'!$G$1:$CU$424,49,0)</f>
        <v/>
      </c>
      <c r="TO43" s="8">
        <f>VLOOKUP(AG43,'BUS 2'!$G$1:$CU$424,50,0)</f>
        <v>1</v>
      </c>
      <c r="TP43" s="8">
        <f>VLOOKUP(AG43,'BUS 2'!$G$1:$CU$424,51,0)</f>
        <v>0</v>
      </c>
      <c r="TQ43" s="8">
        <f>VLOOKUP(AG43,'BUS 2'!$G$1:$CU$424,52,0)</f>
        <v>3</v>
      </c>
      <c r="TR43" s="8">
        <f>VLOOKUP(AG43,'BUS 2'!$G$1:$CU$424,53,0)</f>
        <v>0</v>
      </c>
      <c r="TS43" s="9" t="str">
        <f>VLOOKUP(AG43,'BUS 2'!$G$1:$CU$424,54,0)</f>
        <v/>
      </c>
      <c r="TT43" s="9" t="str">
        <f>VLOOKUP(AG43,'BUS 2'!$G$1:$CU$424,55,0)</f>
        <v/>
      </c>
      <c r="TU43" s="9" t="str">
        <f>VLOOKUP(AG43,'BUS 2'!$G$1:$CU$424,56,0)</f>
        <v/>
      </c>
      <c r="TV43" s="9" t="str">
        <f>VLOOKUP(AG43,'BUS 2'!$G$1:$CU$424,57,0)</f>
        <v/>
      </c>
      <c r="TW43" s="9" t="str">
        <f>VLOOKUP(AG43,'BUS 2'!$G$1:$CU$424,58,0)</f>
        <v/>
      </c>
      <c r="TX43" s="9" t="str">
        <f>VLOOKUP(AG43,'BUS 2'!$G$1:$CU$424,59,0)</f>
        <v/>
      </c>
      <c r="TY43" s="9" t="str">
        <f>VLOOKUP(AG43,'BUS 2'!$G$1:$CU$424,60,0)</f>
        <v/>
      </c>
      <c r="TZ43" s="9" t="str">
        <f>VLOOKUP(AG43,'BUS 2'!$G$1:$CU$424,61,0)</f>
        <v/>
      </c>
      <c r="UA43" s="9" t="str">
        <f>VLOOKUP(AG43,'BUS 2'!$G$1:$CU$424,62,0)</f>
        <v/>
      </c>
      <c r="UB43" s="9" t="str">
        <f>VLOOKUP(AG43,'BUS 2'!$G$1:$CU$424,63,0)</f>
        <v/>
      </c>
      <c r="UC43" s="9" t="str">
        <f>VLOOKUP(AG43,'BUS 2'!$G$1:$CU$424,64,0)</f>
        <v/>
      </c>
      <c r="UD43" s="9" t="str">
        <f>VLOOKUP(AG43,'BUS 2'!$G$1:$CU$424,65,0)</f>
        <v/>
      </c>
      <c r="UE43" s="9" t="str">
        <f>VLOOKUP(AG43,'BUS 2'!$G$1:$CU$424,66,0)</f>
        <v/>
      </c>
      <c r="UF43" s="9" t="str">
        <f>VLOOKUP(AG43,'BUS 2'!$G$1:$CU$424,67,0)</f>
        <v/>
      </c>
      <c r="UG43" s="9" t="str">
        <f>VLOOKUP(AG43,'BUS 2'!$G$1:$CU$424,68,0)</f>
        <v/>
      </c>
      <c r="UH43" s="9" t="str">
        <f>VLOOKUP(AG43,'BUS 2'!$G$1:$CU$424,69,0)</f>
        <v/>
      </c>
      <c r="UI43" s="9" t="str">
        <f>VLOOKUP(AG43,'BUS 2'!$G$1:$CU$424,70,0)</f>
        <v/>
      </c>
      <c r="UJ43" s="9" t="str">
        <f>VLOOKUP(AG43,'BUS 2'!$G$1:$CU$424,71,0)</f>
        <v/>
      </c>
      <c r="UK43" s="9" t="str">
        <f>VLOOKUP(AG43,'BUS 2'!$G$1:$CU$424,72,0)</f>
        <v/>
      </c>
      <c r="UL43" s="9" t="str">
        <f>VLOOKUP(AG43,'BUS 2'!$G$1:$CU$424,73,0)</f>
        <v/>
      </c>
      <c r="UM43" s="9">
        <f>VLOOKUP(AG43,'BUS 2'!$G$1:$CU$424,74,0)</f>
        <v>0</v>
      </c>
      <c r="UN43" s="9">
        <f>VLOOKUP(AG43,'BUS 2'!$G$1:$CU$424,75,0)</f>
        <v>0</v>
      </c>
      <c r="UO43" s="9">
        <f>VLOOKUP(AG43,'BUS 2'!$G$1:$CU$424,76,0)</f>
        <v>2</v>
      </c>
      <c r="UP43" s="9">
        <f>VLOOKUP(AG43,'BUS 2'!$G$1:$CU$424,77,0)</f>
        <v>20</v>
      </c>
      <c r="UQ43" s="9" t="str">
        <f>VLOOKUP(AG43,'BUS 2'!$G$1:$CU$424,78,0)</f>
        <v/>
      </c>
      <c r="UR43" s="9" t="str">
        <f>VLOOKUP(AG43,'BUS 2'!$G$1:$CU$424,79,0)</f>
        <v/>
      </c>
      <c r="US43" s="9" t="str">
        <f>VLOOKUP(AG43,'BUS 2'!$G$1:$CU$424,80,0)</f>
        <v/>
      </c>
      <c r="UT43" s="9" t="str">
        <f>VLOOKUP(AG43,'BUS 2'!$G$1:$CU$424,81,0)</f>
        <v/>
      </c>
      <c r="UU43" s="9" t="s">
        <v>1937</v>
      </c>
      <c r="UV43" s="9"/>
      <c r="UW43" s="9"/>
      <c r="UX43" s="9"/>
      <c r="UY43" s="9"/>
      <c r="UZ43" s="9"/>
      <c r="VA43" s="9" t="s">
        <v>1937</v>
      </c>
      <c r="VB43" s="9"/>
      <c r="VC43" s="9" t="s">
        <v>1938</v>
      </c>
      <c r="VD43" s="9"/>
      <c r="VE43" s="9"/>
      <c r="VF43" s="9"/>
      <c r="VG43" s="9"/>
      <c r="VH43" s="9"/>
      <c r="VI43" s="9" t="s">
        <v>1938</v>
      </c>
      <c r="VJ43" s="9"/>
      <c r="VK43" s="9" t="s">
        <v>903</v>
      </c>
      <c r="VL43" s="9"/>
      <c r="VM43" s="9"/>
      <c r="VN43" s="9"/>
      <c r="VO43" s="9"/>
      <c r="VP43" s="9"/>
      <c r="VQ43" s="9" t="s">
        <v>1939</v>
      </c>
      <c r="VR43" s="9"/>
      <c r="VS43" s="9" t="s">
        <v>1940</v>
      </c>
      <c r="VT43" s="8">
        <v>0.0</v>
      </c>
      <c r="VU43" s="8">
        <v>0.0</v>
      </c>
      <c r="VV43" s="8">
        <v>0.0</v>
      </c>
      <c r="VW43" s="8">
        <v>0.0</v>
      </c>
      <c r="VX43" s="8">
        <v>0.0</v>
      </c>
      <c r="VY43" s="8">
        <v>1.0</v>
      </c>
      <c r="VZ43" s="8">
        <v>0.0</v>
      </c>
      <c r="WA43" s="8">
        <v>0.0</v>
      </c>
      <c r="WB43" s="8">
        <v>0.0</v>
      </c>
      <c r="WC43" s="8">
        <v>0.0</v>
      </c>
      <c r="WD43" s="8">
        <v>0.0</v>
      </c>
      <c r="WE43" s="8">
        <v>0.0</v>
      </c>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t="s">
        <v>1941</v>
      </c>
      <c r="YO43" s="8">
        <v>0.0</v>
      </c>
      <c r="YP43" s="8">
        <v>0.0</v>
      </c>
      <c r="YQ43" s="8">
        <v>0.0</v>
      </c>
      <c r="YR43" s="8">
        <v>0.0</v>
      </c>
      <c r="YS43" s="8">
        <v>0.0</v>
      </c>
      <c r="YT43" s="8">
        <v>0.0</v>
      </c>
      <c r="YU43" s="8">
        <v>0.0</v>
      </c>
      <c r="YV43" s="8">
        <v>0.0</v>
      </c>
      <c r="YW43" s="8">
        <v>0.0</v>
      </c>
      <c r="YX43" s="8">
        <v>0.0</v>
      </c>
      <c r="YY43" s="8">
        <v>0.0</v>
      </c>
      <c r="YZ43" s="8">
        <v>1.0</v>
      </c>
      <c r="ZA43" s="9"/>
      <c r="ZB43" s="9"/>
      <c r="ZC43" s="9"/>
      <c r="ZD43" s="9"/>
      <c r="ZE43" s="9"/>
      <c r="ZF43" s="9"/>
      <c r="ZG43" s="9"/>
      <c r="ZH43" s="9"/>
      <c r="ZI43" s="9"/>
      <c r="ZJ43" s="9"/>
      <c r="ZK43" s="9"/>
      <c r="ZL43" s="9"/>
      <c r="ZM43" s="9"/>
      <c r="ZN43" s="9"/>
      <c r="ZO43" s="9"/>
      <c r="ZP43" s="9"/>
      <c r="ZQ43" s="9"/>
      <c r="ZR43" s="9"/>
      <c r="ZS43" s="9"/>
      <c r="ZT43" s="9"/>
      <c r="ZU43" s="9"/>
      <c r="ZV43" s="8">
        <v>3.0</v>
      </c>
      <c r="ZW43" s="9"/>
      <c r="ZX43" s="9"/>
      <c r="ZY43" s="9"/>
      <c r="ZZ43" s="9"/>
      <c r="AAA43" s="9"/>
      <c r="AAB43" s="8">
        <v>3.0</v>
      </c>
      <c r="AAC43" s="9"/>
      <c r="AAD43" s="9" t="s">
        <v>1186</v>
      </c>
      <c r="AAE43" s="9"/>
      <c r="AAF43" s="9"/>
      <c r="AAG43" s="9"/>
      <c r="AAH43" s="9"/>
      <c r="AAI43" s="9"/>
      <c r="AAJ43" s="9" t="s">
        <v>905</v>
      </c>
      <c r="AAK43" s="9"/>
      <c r="AAL43" s="9" t="s">
        <v>857</v>
      </c>
      <c r="AAM43" s="9" t="s">
        <v>1942</v>
      </c>
      <c r="AAN43" s="8">
        <v>0.0</v>
      </c>
      <c r="AAO43" s="8">
        <v>1.0</v>
      </c>
      <c r="AAP43" s="8">
        <v>2.0</v>
      </c>
      <c r="AAQ43" s="9"/>
      <c r="AAR43" s="9" t="s">
        <v>881</v>
      </c>
      <c r="AAS43" s="9" t="s">
        <v>867</v>
      </c>
      <c r="AAT43" s="9" t="s">
        <v>2101</v>
      </c>
      <c r="AAU43" s="8">
        <v>0.0</v>
      </c>
      <c r="AAV43" s="8">
        <v>0.0</v>
      </c>
      <c r="AAW43" s="8">
        <v>0.0</v>
      </c>
      <c r="AAX43" s="8">
        <v>1.0</v>
      </c>
      <c r="AAY43" s="8">
        <v>0.0</v>
      </c>
      <c r="AAZ43" s="8">
        <v>0.0</v>
      </c>
      <c r="ABA43" s="8">
        <v>0.0</v>
      </c>
      <c r="ABB43" s="9"/>
      <c r="ABC43" s="9"/>
      <c r="ABD43" s="9"/>
      <c r="ABE43" s="9"/>
      <c r="ABF43" s="9"/>
      <c r="ABG43" s="9"/>
      <c r="ABH43" s="9"/>
      <c r="ABI43" s="9"/>
      <c r="ABJ43" s="9"/>
      <c r="ABK43" s="9"/>
      <c r="ABL43" s="9"/>
      <c r="ABM43" s="9"/>
      <c r="ABN43" s="9"/>
      <c r="ABO43" s="9"/>
      <c r="ABP43" s="9"/>
      <c r="ABQ43" s="9" t="s">
        <v>2746</v>
      </c>
      <c r="ABR43" s="9" t="s">
        <v>2289</v>
      </c>
      <c r="ABS43" s="9"/>
      <c r="ABT43" s="8">
        <v>50.0</v>
      </c>
      <c r="ABU43" s="9"/>
      <c r="ABV43" s="9"/>
      <c r="ABW43" s="9"/>
      <c r="ABX43" s="9"/>
      <c r="ABY43" s="9"/>
      <c r="ABZ43" s="9"/>
      <c r="ACA43" s="9"/>
      <c r="ACB43" s="9"/>
      <c r="ACC43" s="9"/>
      <c r="ACD43" s="9"/>
      <c r="ACE43" s="9"/>
      <c r="ACF43" s="9"/>
      <c r="ACG43" s="9"/>
      <c r="ACH43" s="9"/>
      <c r="ACI43" s="9"/>
      <c r="ACJ43" s="9"/>
      <c r="ACK43" s="9" t="s">
        <v>955</v>
      </c>
      <c r="ACL43" s="8">
        <v>0.0</v>
      </c>
      <c r="ACM43" s="8">
        <v>0.0</v>
      </c>
      <c r="ACN43" s="8">
        <v>0.0</v>
      </c>
      <c r="ACO43" s="8">
        <v>1.0</v>
      </c>
      <c r="ACP43" s="8">
        <v>0.0</v>
      </c>
      <c r="ACQ43" s="8">
        <v>0.0</v>
      </c>
      <c r="ACR43" s="8">
        <v>0.0</v>
      </c>
      <c r="ACS43" s="9"/>
      <c r="ACT43" s="9" t="s">
        <v>1945</v>
      </c>
      <c r="ACU43" s="9" t="s">
        <v>913</v>
      </c>
      <c r="ACV43" s="9" t="s">
        <v>914</v>
      </c>
      <c r="ACW43" s="9" t="s">
        <v>915</v>
      </c>
      <c r="ACX43" s="9" t="s">
        <v>958</v>
      </c>
      <c r="ACY43" s="9" t="s">
        <v>1017</v>
      </c>
      <c r="ACZ43" s="8">
        <v>1.0</v>
      </c>
      <c r="ADA43" s="8">
        <v>1.0</v>
      </c>
      <c r="ADB43" s="8">
        <v>1.0</v>
      </c>
      <c r="ADC43" s="8">
        <v>0.0</v>
      </c>
      <c r="ADD43" s="9" t="s">
        <v>918</v>
      </c>
      <c r="ADE43" s="9" t="s">
        <v>918</v>
      </c>
      <c r="ADF43" s="9" t="s">
        <v>918</v>
      </c>
      <c r="ADG43" s="9" t="s">
        <v>918</v>
      </c>
      <c r="ADH43" s="9" t="s">
        <v>881</v>
      </c>
      <c r="ADI43" s="9"/>
      <c r="ADJ43" s="9" t="s">
        <v>918</v>
      </c>
      <c r="ADK43" s="9"/>
      <c r="ADL43" s="9"/>
      <c r="ADM43" s="9"/>
      <c r="ADN43" s="9"/>
      <c r="ADO43" s="9"/>
      <c r="ADP43" s="9"/>
      <c r="ADQ43" s="9"/>
      <c r="ADR43" s="9"/>
      <c r="ADS43" s="9"/>
      <c r="ADT43" s="9"/>
      <c r="ADU43" s="9" t="s">
        <v>2046</v>
      </c>
      <c r="ADV43" s="8">
        <v>0.0</v>
      </c>
      <c r="ADW43" s="8">
        <v>0.0</v>
      </c>
      <c r="ADX43" s="8">
        <v>0.0</v>
      </c>
      <c r="ADY43" s="8">
        <v>0.0</v>
      </c>
      <c r="ADZ43" s="8">
        <v>0.0</v>
      </c>
      <c r="AEA43" s="8">
        <v>1.0</v>
      </c>
      <c r="AEB43" s="8">
        <v>0.0</v>
      </c>
      <c r="AEC43" s="8">
        <v>0.0</v>
      </c>
      <c r="AED43" s="9" t="s">
        <v>1945</v>
      </c>
      <c r="AEE43" s="9" t="s">
        <v>872</v>
      </c>
      <c r="AEF43" s="9"/>
      <c r="AEG43" s="9" t="s">
        <v>920</v>
      </c>
      <c r="AEH43" s="9"/>
      <c r="AEI43" s="9" t="s">
        <v>1945</v>
      </c>
      <c r="AEJ43" s="9" t="s">
        <v>961</v>
      </c>
      <c r="AEK43" s="9" t="s">
        <v>2452</v>
      </c>
      <c r="AEL43" s="8">
        <v>1.0</v>
      </c>
      <c r="AEM43" s="8">
        <v>0.0</v>
      </c>
      <c r="AEN43" s="8">
        <v>0.0</v>
      </c>
      <c r="AEO43" s="8">
        <v>0.0</v>
      </c>
      <c r="AEP43" s="8">
        <v>1.0</v>
      </c>
      <c r="AEQ43" s="8">
        <v>0.0</v>
      </c>
      <c r="AER43" s="8">
        <v>1.0</v>
      </c>
      <c r="AES43" s="8">
        <v>1.0</v>
      </c>
      <c r="AET43" s="8">
        <v>1.0</v>
      </c>
      <c r="AEU43" s="8">
        <v>0.0</v>
      </c>
      <c r="AEV43" s="8">
        <v>0.0</v>
      </c>
      <c r="AEW43" s="8">
        <v>0.0</v>
      </c>
      <c r="AEX43" s="9"/>
      <c r="AEY43" s="9" t="s">
        <v>1305</v>
      </c>
      <c r="AEZ43" s="9"/>
      <c r="AFA43" s="9" t="s">
        <v>2077</v>
      </c>
      <c r="AFB43" s="9"/>
      <c r="AFC43" s="9" t="s">
        <v>2747</v>
      </c>
      <c r="AFD43" s="16" t="s">
        <v>2748</v>
      </c>
      <c r="AFE43" s="9" t="s">
        <v>2749</v>
      </c>
      <c r="AFF43" s="16" t="s">
        <v>2750</v>
      </c>
      <c r="AFG43" s="9" t="s">
        <v>2443</v>
      </c>
      <c r="AFH43" s="9"/>
      <c r="AFI43" s="21" t="s">
        <v>1945</v>
      </c>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8">
        <v>6.73232444E8</v>
      </c>
      <c r="AWB43" s="9" t="s">
        <v>2751</v>
      </c>
      <c r="AWC43" s="6">
        <v>46069.0</v>
      </c>
      <c r="AWD43" s="9"/>
      <c r="AWE43" s="9"/>
      <c r="AWF43" s="9" t="s">
        <v>1954</v>
      </c>
      <c r="AWG43" s="9"/>
      <c r="AWH43" s="9" t="s">
        <v>1989</v>
      </c>
      <c r="AWI43" s="9"/>
      <c r="AWJ43" s="9" t="s">
        <v>2752</v>
      </c>
      <c r="AWK43" s="8">
        <v>305.0</v>
      </c>
      <c r="AWL43" s="9" t="s">
        <v>2744</v>
      </c>
      <c r="AWM43" s="8">
        <v>0.0</v>
      </c>
      <c r="AWN43" s="9" t="s">
        <v>1957</v>
      </c>
      <c r="AWO43" s="33" t="b">
        <v>1</v>
      </c>
      <c r="AWP43" s="33" t="b">
        <v>1</v>
      </c>
      <c r="AWQ43" s="33" t="b">
        <v>1</v>
      </c>
      <c r="AWR43" s="33" t="b">
        <v>1</v>
      </c>
      <c r="AWS43" s="33" t="b">
        <v>1</v>
      </c>
      <c r="AWT43" s="33" t="b">
        <v>1</v>
      </c>
      <c r="AWU43" s="9"/>
      <c r="AWV43" s="8">
        <v>6.0</v>
      </c>
      <c r="AWW43" s="9"/>
      <c r="AWX43" s="9"/>
      <c r="AWY43" s="9"/>
      <c r="AWZ43" s="9"/>
    </row>
    <row r="44">
      <c r="A44" s="6">
        <v>46054.0</v>
      </c>
      <c r="B44" s="6">
        <v>46069.0</v>
      </c>
      <c r="C44" s="30" t="s">
        <v>2443</v>
      </c>
      <c r="D44" s="30" t="s">
        <v>2753</v>
      </c>
      <c r="E44" s="8">
        <f>+6285752302378</f>
        <v>6285752302378</v>
      </c>
      <c r="F44" s="9" t="s">
        <v>2754</v>
      </c>
      <c r="G44" s="8">
        <v>-5.141644</v>
      </c>
      <c r="H44" s="8">
        <v>119.684525</v>
      </c>
      <c r="I44" s="8">
        <v>98.226</v>
      </c>
      <c r="J44" s="8">
        <v>0.9980000257</v>
      </c>
      <c r="K44" s="8">
        <v>0.0</v>
      </c>
      <c r="L44" s="9" t="s">
        <v>2755</v>
      </c>
      <c r="M44" s="8">
        <v>-5.141641</v>
      </c>
      <c r="N44" s="8">
        <v>119.684416</v>
      </c>
      <c r="O44" s="8">
        <v>98.769</v>
      </c>
      <c r="P44" s="8">
        <v>14.77700043</v>
      </c>
      <c r="Q44" s="8">
        <v>0.0</v>
      </c>
      <c r="R44" s="9" t="s">
        <v>1923</v>
      </c>
      <c r="S44" s="8">
        <v>0.0</v>
      </c>
      <c r="T44" s="8">
        <v>0.0</v>
      </c>
      <c r="U44" s="8">
        <v>0.0</v>
      </c>
      <c r="V44" s="8">
        <v>0.0</v>
      </c>
      <c r="W44" s="8">
        <v>0.0</v>
      </c>
      <c r="X44" s="8">
        <v>0.0</v>
      </c>
      <c r="Y44" s="8">
        <v>0.0</v>
      </c>
      <c r="Z44" s="8">
        <v>0.0</v>
      </c>
      <c r="AA44" s="8">
        <v>0.0</v>
      </c>
      <c r="AB44" s="8">
        <v>1.0</v>
      </c>
      <c r="AC44" s="7" t="s">
        <v>1924</v>
      </c>
      <c r="AD44" s="7" t="s">
        <v>2088</v>
      </c>
      <c r="AE44" s="7" t="s">
        <v>2088</v>
      </c>
      <c r="AF44" s="9" t="s">
        <v>2090</v>
      </c>
      <c r="AG44" s="9" t="s">
        <v>2756</v>
      </c>
      <c r="AH44" s="8">
        <v>9.0</v>
      </c>
      <c r="AI44" s="9" t="s">
        <v>845</v>
      </c>
      <c r="AJ44" s="9" t="s">
        <v>934</v>
      </c>
      <c r="AK44" s="8">
        <v>44.0</v>
      </c>
      <c r="AL44" s="9" t="s">
        <v>847</v>
      </c>
      <c r="AM44" s="9" t="s">
        <v>848</v>
      </c>
      <c r="AN44" s="9" t="s">
        <v>1967</v>
      </c>
      <c r="AO44" s="9" t="s">
        <v>850</v>
      </c>
      <c r="AP44" s="8">
        <v>1.0</v>
      </c>
      <c r="AQ44" s="8">
        <v>0.0</v>
      </c>
      <c r="AR44" s="8">
        <v>0.0</v>
      </c>
      <c r="AS44" s="8">
        <v>0.0</v>
      </c>
      <c r="AT44" s="8">
        <v>0.0</v>
      </c>
      <c r="AU44" s="8">
        <v>0.0</v>
      </c>
      <c r="AV44" s="8">
        <v>0.0</v>
      </c>
      <c r="AW44" s="8">
        <v>0.0</v>
      </c>
      <c r="AX44" s="9"/>
      <c r="AY44" s="9" t="s">
        <v>969</v>
      </c>
      <c r="AZ44" s="8">
        <v>0.0</v>
      </c>
      <c r="BA44" s="8">
        <v>0.0</v>
      </c>
      <c r="BB44" s="8">
        <v>0.0</v>
      </c>
      <c r="BC44" s="8">
        <v>0.0</v>
      </c>
      <c r="BD44" s="8">
        <v>0.0</v>
      </c>
      <c r="BE44" s="8">
        <v>0.0</v>
      </c>
      <c r="BF44" s="8">
        <v>1.0</v>
      </c>
      <c r="BG44" s="8">
        <v>0.0</v>
      </c>
      <c r="BH44" s="11" t="s">
        <v>2251</v>
      </c>
      <c r="BI44" s="9" t="s">
        <v>936</v>
      </c>
      <c r="BJ44" s="8">
        <v>1.0</v>
      </c>
      <c r="BK44" s="8">
        <v>1.0</v>
      </c>
      <c r="BL44" s="8">
        <v>3.0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1929</v>
      </c>
      <c r="CD44" s="8">
        <v>0.0</v>
      </c>
      <c r="CE44" s="8">
        <v>0.0</v>
      </c>
      <c r="CF44" s="8">
        <v>0.0</v>
      </c>
      <c r="CG44" s="8">
        <v>0.0</v>
      </c>
      <c r="CH44" s="8">
        <v>1.0</v>
      </c>
      <c r="CI44" s="8">
        <v>0.0</v>
      </c>
      <c r="CJ44" s="8">
        <v>0.0</v>
      </c>
      <c r="CK44" s="9"/>
      <c r="CL44" s="9" t="s">
        <v>857</v>
      </c>
      <c r="CM44" s="8">
        <v>2017.0</v>
      </c>
      <c r="CN44" s="9" t="s">
        <v>858</v>
      </c>
      <c r="CO44" s="9" t="s">
        <v>1968</v>
      </c>
      <c r="CP44" s="9" t="s">
        <v>860</v>
      </c>
      <c r="CQ44" s="8">
        <v>0.0</v>
      </c>
      <c r="CR44" s="8">
        <v>0.0</v>
      </c>
      <c r="CS44" s="8">
        <v>0.0</v>
      </c>
      <c r="CT44" s="8">
        <v>0.0</v>
      </c>
      <c r="CU44" s="8">
        <v>1.0</v>
      </c>
      <c r="CV44" s="8">
        <v>0.0</v>
      </c>
      <c r="CW44" s="8">
        <v>0.0</v>
      </c>
      <c r="CX44" s="8">
        <v>0.0</v>
      </c>
      <c r="CY44" s="9" t="s">
        <v>860</v>
      </c>
      <c r="CZ44" s="8">
        <v>1.0</v>
      </c>
      <c r="DA44" s="8">
        <v>0.0</v>
      </c>
      <c r="DB44" s="8">
        <v>0.0</v>
      </c>
      <c r="DC44" s="9"/>
      <c r="DD44" s="9" t="s">
        <v>860</v>
      </c>
      <c r="DE44" s="8">
        <v>1.0</v>
      </c>
      <c r="DF44" s="8">
        <v>0.0</v>
      </c>
      <c r="DG44" s="8">
        <v>0.0</v>
      </c>
      <c r="DH44" s="8">
        <v>0.0</v>
      </c>
      <c r="DI44" s="9"/>
      <c r="DJ44" s="9" t="s">
        <v>937</v>
      </c>
      <c r="DK44" s="8">
        <v>1.0</v>
      </c>
      <c r="DL44" s="8">
        <v>0.0</v>
      </c>
      <c r="DM44" s="8">
        <v>1.0</v>
      </c>
      <c r="DN44" s="8">
        <v>0.0</v>
      </c>
      <c r="DO44" s="9"/>
      <c r="DP44" s="9" t="s">
        <v>938</v>
      </c>
      <c r="DQ44" s="9" t="s">
        <v>939</v>
      </c>
      <c r="DR44" s="17" t="s">
        <v>987</v>
      </c>
      <c r="DS44" s="9"/>
      <c r="DT44" s="9"/>
      <c r="DU44" s="9"/>
      <c r="DV44" s="9"/>
      <c r="DW44" s="9"/>
      <c r="DX44" s="9"/>
      <c r="DY44" s="9"/>
      <c r="DZ44" s="9"/>
      <c r="EA44" s="9"/>
      <c r="EB44" s="9"/>
      <c r="EC44" s="9"/>
      <c r="ED44" s="9"/>
      <c r="EE44" s="9"/>
      <c r="EF44" s="9"/>
      <c r="EG44" s="9"/>
      <c r="EH44" s="9"/>
      <c r="EI44" s="31" t="s">
        <v>862</v>
      </c>
      <c r="EJ44" s="8">
        <v>0.0</v>
      </c>
      <c r="EK44" s="8">
        <v>0.0</v>
      </c>
      <c r="EL44" s="8">
        <v>0.0</v>
      </c>
      <c r="EM44" s="8">
        <v>1.0</v>
      </c>
      <c r="EN44" s="8">
        <v>0.0</v>
      </c>
      <c r="EO44" s="9"/>
      <c r="EP44" s="9" t="s">
        <v>863</v>
      </c>
      <c r="EQ44" s="9" t="s">
        <v>1380</v>
      </c>
      <c r="ER44" s="9" t="s">
        <v>969</v>
      </c>
      <c r="ES44" s="8">
        <v>0.0</v>
      </c>
      <c r="ET44" s="8">
        <v>0.0</v>
      </c>
      <c r="EU44" s="8">
        <v>0.0</v>
      </c>
      <c r="EV44" s="8">
        <v>1.0</v>
      </c>
      <c r="EW44" s="9" t="s">
        <v>2343</v>
      </c>
      <c r="EX44" s="9" t="s">
        <v>865</v>
      </c>
      <c r="EY44" s="8">
        <v>1.0</v>
      </c>
      <c r="EZ44" s="8">
        <v>0.0</v>
      </c>
      <c r="FA44" s="8">
        <v>0.0</v>
      </c>
      <c r="FB44" s="9"/>
      <c r="FC44" s="9" t="s">
        <v>866</v>
      </c>
      <c r="FD44" s="9"/>
      <c r="FE44" s="9" t="s">
        <v>867</v>
      </c>
      <c r="FF44" s="9" t="s">
        <v>868</v>
      </c>
      <c r="FG44" s="9" t="s">
        <v>867</v>
      </c>
      <c r="FH44" s="9" t="s">
        <v>869</v>
      </c>
      <c r="FI44" s="9" t="s">
        <v>867</v>
      </c>
      <c r="FJ44" s="9" t="s">
        <v>868</v>
      </c>
      <c r="FK44" s="9" t="s">
        <v>867</v>
      </c>
      <c r="FL44" s="9" t="s">
        <v>869</v>
      </c>
      <c r="FM44" s="9" t="s">
        <v>867</v>
      </c>
      <c r="FN44" s="9" t="s">
        <v>869</v>
      </c>
      <c r="FO44" s="9" t="s">
        <v>867</v>
      </c>
      <c r="FP44" s="9" t="s">
        <v>869</v>
      </c>
      <c r="FQ44" s="9" t="s">
        <v>867</v>
      </c>
      <c r="FR44" s="9" t="s">
        <v>857</v>
      </c>
      <c r="FS44" s="9" t="s">
        <v>867</v>
      </c>
      <c r="FT44" s="9" t="s">
        <v>871</v>
      </c>
      <c r="FU44" s="9" t="s">
        <v>872</v>
      </c>
      <c r="FV44" s="8">
        <v>1.0</v>
      </c>
      <c r="FW44" s="8">
        <v>0.0</v>
      </c>
      <c r="FX44" s="8">
        <v>0.0</v>
      </c>
      <c r="FY44" s="8">
        <v>0.0</v>
      </c>
      <c r="FZ44" s="9" t="s">
        <v>944</v>
      </c>
      <c r="GA44" s="9" t="s">
        <v>1264</v>
      </c>
      <c r="GB44" s="8">
        <v>0.0</v>
      </c>
      <c r="GC44" s="8">
        <v>0.0</v>
      </c>
      <c r="GD44" s="8">
        <v>1.0</v>
      </c>
      <c r="GE44" s="8">
        <v>0.0</v>
      </c>
      <c r="GF44" s="9"/>
      <c r="GG44" s="9" t="s">
        <v>961</v>
      </c>
      <c r="GH44" s="9" t="s">
        <v>881</v>
      </c>
      <c r="GI44" s="9"/>
      <c r="GJ44" s="9"/>
      <c r="GK44" s="9"/>
      <c r="GL44" s="9"/>
      <c r="GM44" s="9"/>
      <c r="GN44" s="9"/>
      <c r="GO44" s="9"/>
      <c r="GP44" s="34" t="s">
        <v>1931</v>
      </c>
      <c r="GQ44" s="9" t="s">
        <v>1102</v>
      </c>
      <c r="GR44" s="8">
        <v>1.0</v>
      </c>
      <c r="GS44" s="8">
        <v>0.0</v>
      </c>
      <c r="GT44" s="8">
        <v>0.0</v>
      </c>
      <c r="GU44" s="8">
        <v>0.0</v>
      </c>
      <c r="GV44" s="8">
        <v>0.0</v>
      </c>
      <c r="GW44" s="8">
        <v>0.0</v>
      </c>
      <c r="GX44" s="8">
        <v>0.0</v>
      </c>
      <c r="GY44" s="9"/>
      <c r="GZ44" s="9" t="s">
        <v>857</v>
      </c>
      <c r="HA44" s="9"/>
      <c r="HB44" s="9"/>
      <c r="HC44" s="9"/>
      <c r="HD44" s="9"/>
      <c r="HE44" s="8">
        <v>6.0</v>
      </c>
      <c r="HF44" s="39">
        <v>26000.0</v>
      </c>
      <c r="HG44" s="8">
        <v>3.0</v>
      </c>
      <c r="HH44" s="8">
        <v>20000.0</v>
      </c>
      <c r="HI44" s="9"/>
      <c r="HJ44" s="9"/>
      <c r="HK44" s="9"/>
      <c r="HL44" s="9"/>
      <c r="HM44" s="9"/>
      <c r="HN44" s="9"/>
      <c r="HO44" s="9"/>
      <c r="HP44" s="9"/>
      <c r="HQ44" s="9"/>
      <c r="HR44" s="9"/>
      <c r="HS44" s="9"/>
      <c r="HT44" s="9"/>
      <c r="HU44" s="9"/>
      <c r="HV44" s="9"/>
      <c r="HW44" s="9"/>
      <c r="HX44" s="9"/>
      <c r="HY44" s="9"/>
      <c r="HZ44" s="9"/>
      <c r="IA44" s="8">
        <v>3.0</v>
      </c>
      <c r="IB44" s="8">
        <v>7000.0</v>
      </c>
      <c r="IC44" s="9"/>
      <c r="ID44" s="9"/>
      <c r="IE44" s="9"/>
      <c r="IF44" s="9"/>
      <c r="IG44" s="9"/>
      <c r="IH44" s="9"/>
      <c r="II44" s="9"/>
      <c r="IJ44" s="9"/>
      <c r="IK44" s="9" t="s">
        <v>971</v>
      </c>
      <c r="IL44" s="9" t="s">
        <v>1383</v>
      </c>
      <c r="IM44" s="9" t="s">
        <v>857</v>
      </c>
      <c r="IN44" s="9" t="s">
        <v>881</v>
      </c>
      <c r="IO44" s="9" t="s">
        <v>945</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945</v>
      </c>
      <c r="KT44" s="9" t="s">
        <v>886</v>
      </c>
      <c r="KU44" s="9" t="s">
        <v>886</v>
      </c>
      <c r="KV44" s="9" t="s">
        <v>1384</v>
      </c>
      <c r="KW44" s="8">
        <v>0.0</v>
      </c>
      <c r="KX44" s="8">
        <v>0.0</v>
      </c>
      <c r="KY44" s="8">
        <v>1.0</v>
      </c>
      <c r="KZ44" s="8">
        <v>0.0</v>
      </c>
      <c r="LA44" s="9" t="s">
        <v>884</v>
      </c>
      <c r="LB44" s="9" t="s">
        <v>884</v>
      </c>
      <c r="LC44" s="8">
        <v>6.0</v>
      </c>
      <c r="LD44" s="8">
        <v>1.0</v>
      </c>
      <c r="LE44" s="8">
        <v>0.0</v>
      </c>
      <c r="LF44" s="8">
        <v>0.0</v>
      </c>
      <c r="LG44" s="9" t="s">
        <v>881</v>
      </c>
      <c r="LH44" s="9"/>
      <c r="LI44" s="8">
        <v>0.0</v>
      </c>
      <c r="LJ44" s="9" t="s">
        <v>2757</v>
      </c>
      <c r="LK44" s="8">
        <v>0.0</v>
      </c>
      <c r="LL44" s="8">
        <v>0.0</v>
      </c>
      <c r="LM44" s="8">
        <v>0.0</v>
      </c>
      <c r="LN44" s="8">
        <v>0.0</v>
      </c>
      <c r="LO44" s="8">
        <v>0.0</v>
      </c>
      <c r="LP44" s="8">
        <v>1.0</v>
      </c>
      <c r="LQ44" s="8">
        <v>0.0</v>
      </c>
      <c r="LR44" s="11"/>
      <c r="LS44" s="8">
        <v>15.0</v>
      </c>
      <c r="LT44" s="8">
        <v>0.0</v>
      </c>
      <c r="LU44" s="8">
        <v>0.0</v>
      </c>
      <c r="LV44" s="8">
        <v>8.0</v>
      </c>
      <c r="LW44" s="8">
        <v>0.0</v>
      </c>
      <c r="LX44" s="8">
        <v>0.0</v>
      </c>
      <c r="LY44" s="8">
        <v>10.0</v>
      </c>
      <c r="LZ44" s="8">
        <v>0.0</v>
      </c>
      <c r="MA44" s="8">
        <v>0.0</v>
      </c>
      <c r="MB44" s="9" t="s">
        <v>881</v>
      </c>
      <c r="MC44" s="8">
        <v>0.0</v>
      </c>
      <c r="MD44" s="8">
        <v>0.0</v>
      </c>
      <c r="ME44" s="8">
        <v>0.0</v>
      </c>
      <c r="MF44" s="8">
        <v>0.0</v>
      </c>
      <c r="MG44" s="8">
        <v>0.0</v>
      </c>
      <c r="MH44" s="8">
        <v>0.0</v>
      </c>
      <c r="MI44" s="9"/>
      <c r="MJ44" s="9"/>
      <c r="MK44" s="9"/>
      <c r="ML44" s="9"/>
      <c r="MM44" s="9"/>
      <c r="MN44" s="9"/>
      <c r="MO44" s="9"/>
      <c r="MP44" s="9"/>
      <c r="MQ44" s="9"/>
      <c r="MR44" s="17" t="s">
        <v>2035</v>
      </c>
      <c r="MS44" s="9"/>
      <c r="MT44" s="9" t="s">
        <v>2035</v>
      </c>
      <c r="MU44" s="9" t="s">
        <v>881</v>
      </c>
      <c r="MV44" s="9"/>
      <c r="MW44" s="9"/>
      <c r="MX44" s="9"/>
      <c r="MY44" s="9"/>
      <c r="MZ44" s="9"/>
      <c r="NA44" s="9"/>
      <c r="NB44" s="9"/>
      <c r="NC44" s="9"/>
      <c r="ND44" s="9"/>
      <c r="NE44" s="9"/>
      <c r="NF44" s="9"/>
      <c r="NG44" s="9"/>
      <c r="NH44" s="9"/>
      <c r="NI44" s="9"/>
      <c r="NJ44" s="9"/>
      <c r="NK44" s="9"/>
      <c r="NL44" s="9" t="s">
        <v>857</v>
      </c>
      <c r="NM44" s="9" t="s">
        <v>1386</v>
      </c>
      <c r="NN44" s="17" t="s">
        <v>1975</v>
      </c>
      <c r="NO44" s="17" t="s">
        <v>895</v>
      </c>
      <c r="NP44" s="9"/>
      <c r="NQ44" s="9"/>
      <c r="NR44" s="9"/>
      <c r="NS44" s="9"/>
      <c r="NT44" s="9"/>
      <c r="NU44" s="9"/>
      <c r="NV44" s="9"/>
      <c r="NW44" s="9"/>
      <c r="NX44" s="9" t="s">
        <v>914</v>
      </c>
      <c r="NY44" s="8">
        <v>60.0</v>
      </c>
      <c r="NZ44" s="8">
        <v>0.0</v>
      </c>
      <c r="OA44" s="8">
        <v>0.0</v>
      </c>
      <c r="OB44" s="8">
        <v>0.0</v>
      </c>
      <c r="OC44" s="8">
        <v>20.0</v>
      </c>
      <c r="OD44" s="8">
        <v>0.0</v>
      </c>
      <c r="OE44" s="9" t="s">
        <v>945</v>
      </c>
      <c r="OF44" s="9" t="s">
        <v>899</v>
      </c>
      <c r="OG44" s="9" t="s">
        <v>881</v>
      </c>
      <c r="OH44" s="8">
        <v>0.0</v>
      </c>
      <c r="OI44" s="8">
        <v>0.0</v>
      </c>
      <c r="OJ44" s="8">
        <v>0.0</v>
      </c>
      <c r="OK44" s="8">
        <v>0.0</v>
      </c>
      <c r="OL44" s="8">
        <v>0.0</v>
      </c>
      <c r="OM44" s="8">
        <v>0.0</v>
      </c>
      <c r="ON44" s="8">
        <v>2.0</v>
      </c>
      <c r="OO44" s="8">
        <v>0.0</v>
      </c>
      <c r="OP44" s="9" t="str">
        <f>VLOOKUP(AG44,'BUS 2'!$G$1:$CU$424,2,0)</f>
        <v>Sapi pedaging Ayam</v>
      </c>
      <c r="OQ44" s="8">
        <f>VLOOKUP(AG44,'BUS 2'!$G$1:$CU$424,3,0)</f>
        <v>1</v>
      </c>
      <c r="OR44" s="8">
        <f>VLOOKUP(AG44,'BUS 2'!$G$1:$CU$424,4,0)</f>
        <v>0</v>
      </c>
      <c r="OS44" s="8">
        <f>VLOOKUP(AG44,'BUS 2'!$G$1:$CU$424,5,0)</f>
        <v>0</v>
      </c>
      <c r="OT44" s="8">
        <f>VLOOKUP(AG44,'BUS 2'!$G$1:$CU$424,6,0)</f>
        <v>0</v>
      </c>
      <c r="OU44" s="8">
        <f>VLOOKUP(AG44,'BUS 2'!$G$1:$CU$424,7,0)</f>
        <v>0</v>
      </c>
      <c r="OV44" s="8">
        <f>VLOOKUP(AG44,'BUS 2'!$G$1:$CU$424,8,0)</f>
        <v>0</v>
      </c>
      <c r="OW44" s="8">
        <f>VLOOKUP(AG44,'BUS 2'!$G$1:$CU$424,9,0)</f>
        <v>1</v>
      </c>
      <c r="OX44" s="8">
        <f>VLOOKUP(AG44,'BUS 2'!$G$1:$CU$424,10,0)</f>
        <v>0</v>
      </c>
      <c r="OY44" s="8">
        <f>VLOOKUP(AG44,'BUS 2'!$G$1:$CU$424,11,0)</f>
        <v>0</v>
      </c>
      <c r="OZ44" s="8" t="str">
        <f>VLOOKUP(AG44,'BUS 2'!$G$1:$CU$424,12,0)</f>
        <v>Sapi pedaging Ayam</v>
      </c>
      <c r="PA44" s="8">
        <f>VLOOKUP(AG44,'BUS 2'!$G$1:$CU$424,13,0)</f>
        <v>1</v>
      </c>
      <c r="PB44" s="8">
        <f>VLOOKUP(AG44,'BUS 2'!$G$1:$CU$424,14,0)</f>
        <v>0</v>
      </c>
      <c r="PC44" s="8">
        <f>VLOOKUP(AG44,'BUS 2'!$G$1:$CU$424,15,0)</f>
        <v>0</v>
      </c>
      <c r="PD44" s="8">
        <f>VLOOKUP(AG44,'BUS 2'!$G$1:$CU$424,16,0)</f>
        <v>0</v>
      </c>
      <c r="PE44" s="8">
        <f>VLOOKUP(AG44,'BUS 2'!$G$1:$CU$424,17,0)</f>
        <v>0</v>
      </c>
      <c r="PF44" s="8">
        <f>VLOOKUP(AG44,'BUS 2'!$G$1:$CU$424,18,0)</f>
        <v>0</v>
      </c>
      <c r="PG44" s="8">
        <f>VLOOKUP(AG44,'BUS 2'!$G$1:$CU$424,19,0)</f>
        <v>1</v>
      </c>
      <c r="PH44" s="8">
        <f>VLOOKUP(AG44,'BUS 2'!$G$1:$CU$424,20,0)</f>
        <v>0</v>
      </c>
      <c r="PI44" s="8">
        <f>VLOOKUP(AG44,'BUS 2'!$G$1:$CU$424,21,0)</f>
        <v>0</v>
      </c>
      <c r="PJ44" s="8" t="str">
        <f>VLOOKUP(AG44,'BUS 2'!$G$1:$CU$424,22,0)</f>
        <v>Tidak ada</v>
      </c>
      <c r="PK44" s="8">
        <f>VLOOKUP(AG44,'BUS 2'!$G$1:$CU$424,23,0)</f>
        <v>0</v>
      </c>
      <c r="PL44" s="8">
        <f>VLOOKUP(AG44,'BUS 2'!$G$1:$CU$424,24,0)</f>
        <v>0</v>
      </c>
      <c r="PM44" s="8">
        <f>VLOOKUP(AG44,'BUS 2'!$G$1:$CU$424,25,0)</f>
        <v>0</v>
      </c>
      <c r="PN44" s="8">
        <f>VLOOKUP(AG44,'BUS 2'!$G$1:$CU$424,26,0)</f>
        <v>0</v>
      </c>
      <c r="PO44" s="8">
        <f>VLOOKUP(AG44,'BUS 2'!$G$1:$CU$424,27,0)</f>
        <v>0</v>
      </c>
      <c r="PP44" s="8">
        <f>VLOOKUP(AG44,'BUS 2'!$G$1:$CU$424,28,0)</f>
        <v>0</v>
      </c>
      <c r="PQ44" s="8">
        <f>VLOOKUP(AG44,'BUS 2'!$G$1:$CU$424,29,0)</f>
        <v>0</v>
      </c>
      <c r="PR44" s="8">
        <f>VLOOKUP(AG44,'BUS 2'!$G$1:$CU$424,30,0)</f>
        <v>0</v>
      </c>
      <c r="PS44" s="8">
        <f>VLOOKUP(AG44,'BUS 2'!$G$1:$CU$424,31,0)</f>
        <v>1</v>
      </c>
      <c r="PT44" s="9" t="s">
        <v>900</v>
      </c>
      <c r="PU44" s="8">
        <v>0.0</v>
      </c>
      <c r="PV44" s="8">
        <v>0.0</v>
      </c>
      <c r="PW44" s="8">
        <v>0.0</v>
      </c>
      <c r="PX44" s="8">
        <v>0.0</v>
      </c>
      <c r="PY44" s="8">
        <v>0.0</v>
      </c>
      <c r="PZ44" s="8">
        <v>1.0</v>
      </c>
      <c r="QA44" s="8">
        <v>0.0</v>
      </c>
      <c r="QB44" s="8">
        <v>0.0</v>
      </c>
      <c r="QC44" s="8">
        <v>0.0</v>
      </c>
      <c r="QD44" s="9"/>
      <c r="QE44" s="32"/>
      <c r="QF44" s="31"/>
      <c r="QG44" s="31"/>
      <c r="QH44" s="31"/>
      <c r="QI44" s="31"/>
      <c r="QJ44" s="31"/>
      <c r="QK44" s="32"/>
      <c r="QL44" s="32"/>
      <c r="QM44" s="32"/>
      <c r="QN44" s="32"/>
      <c r="QO44" s="32"/>
      <c r="QP44" s="32"/>
      <c r="QQ44" s="32"/>
      <c r="QR44" s="32"/>
      <c r="QS44" s="32"/>
      <c r="QT44" s="32"/>
      <c r="QU44" s="32"/>
      <c r="QV44" s="32"/>
      <c r="QW44" s="31"/>
      <c r="QX44" s="31"/>
      <c r="QY44" s="31"/>
      <c r="QZ44" s="31"/>
      <c r="RA44" s="31"/>
      <c r="RB44" s="32"/>
      <c r="RC44" s="32"/>
      <c r="RD44" s="32"/>
      <c r="RE44" s="32"/>
      <c r="RF44" s="32"/>
      <c r="RG44" s="9"/>
      <c r="RH44" s="31"/>
      <c r="RI44" s="31"/>
      <c r="RJ44" s="31"/>
      <c r="RK44" s="31"/>
      <c r="RL44" s="31"/>
      <c r="RM44" s="9"/>
      <c r="RN44" s="9"/>
      <c r="RO44" s="9"/>
      <c r="RP44" s="9"/>
      <c r="RQ44" s="9"/>
      <c r="RR44" s="9"/>
      <c r="RS44" s="31"/>
      <c r="RT44" s="31"/>
      <c r="RU44" s="31"/>
      <c r="RV44" s="31"/>
      <c r="RW44" s="31"/>
      <c r="RX44" s="9"/>
      <c r="RY44" s="9"/>
      <c r="RZ44" s="9"/>
      <c r="SA44" s="9"/>
      <c r="SB44" s="9"/>
      <c r="SC44" s="9" t="s">
        <v>900</v>
      </c>
      <c r="SD44" s="35">
        <v>0.0</v>
      </c>
      <c r="SE44" s="35">
        <v>0.0</v>
      </c>
      <c r="SF44" s="35">
        <v>0.0</v>
      </c>
      <c r="SG44" s="35">
        <v>0.0</v>
      </c>
      <c r="SH44" s="35">
        <v>0.0</v>
      </c>
      <c r="SI44" s="8">
        <v>1.0</v>
      </c>
      <c r="SJ44" s="8">
        <v>0.0</v>
      </c>
      <c r="SK44" s="8">
        <v>0.0</v>
      </c>
      <c r="SL44" s="8">
        <v>0.0</v>
      </c>
      <c r="SM44" s="9"/>
      <c r="SN44" s="9"/>
      <c r="SO44" s="31"/>
      <c r="SP44" s="31"/>
      <c r="SQ44" s="31"/>
      <c r="SR44" s="31"/>
      <c r="SS44" s="31"/>
      <c r="ST44" s="9"/>
      <c r="SU44" s="9"/>
      <c r="SV44" s="9"/>
      <c r="SW44" s="9"/>
      <c r="SX44" s="9"/>
      <c r="SY44" s="8">
        <f>VLOOKUP(AG44,'BUS 2'!$G$1:$CU$424,33,0)</f>
        <v>3</v>
      </c>
      <c r="SZ44" s="9" t="str">
        <f>VLOOKUP(AG44,'BUS 2'!$G$1:$CU$424,34,0)</f>
        <v/>
      </c>
      <c r="TA44" s="9" t="str">
        <f>VLOOKUP(AG44,'BUS 2'!$G$1:$CU$424,35,0)</f>
        <v/>
      </c>
      <c r="TB44" s="9" t="str">
        <f>VLOOKUP(AG44,'BUS 2'!$G$1:$CU$424,36,0)</f>
        <v/>
      </c>
      <c r="TC44" s="9" t="str">
        <f>VLOOKUP(AG44,'BUS 2'!$G$1:$CU$424,37,0)</f>
        <v/>
      </c>
      <c r="TD44" s="9" t="str">
        <f>VLOOKUP(AG44,'BUS 2'!$G$1:$CU$424,38,0)</f>
        <v/>
      </c>
      <c r="TE44" s="9">
        <f>VLOOKUP(AG44,'BUS 2'!$G$1:$CU$424,39,0)</f>
        <v>10</v>
      </c>
      <c r="TF44" s="9" t="str">
        <f>VLOOKUP(AG44,'BUS 2'!$G$1:$CU$424,40,0)</f>
        <v/>
      </c>
      <c r="TG44" s="8">
        <f>VLOOKUP(AG44,'BUS 2'!$G$1:$CU$424,42,0)</f>
        <v>3</v>
      </c>
      <c r="TH44" s="8" t="str">
        <f>VLOOKUP(AG44,'BUS 2'!$G$1:$CU$424,43,0)</f>
        <v/>
      </c>
      <c r="TI44" s="8" t="str">
        <f>VLOOKUP(AG44,'BUS 2'!$G$1:$CU$424,44,0)</f>
        <v/>
      </c>
      <c r="TJ44" s="8" t="str">
        <f>VLOOKUP(AG44,'BUS 2'!$G$1:$CU$424,45,0)</f>
        <v/>
      </c>
      <c r="TK44" s="8" t="str">
        <f>VLOOKUP(AG44,'BUS 2'!$G$1:$CU$424,46,0)</f>
        <v/>
      </c>
      <c r="TL44" s="8" t="str">
        <f>VLOOKUP(AG44,'BUS 2'!$G$1:$CU$424,47,0)</f>
        <v/>
      </c>
      <c r="TM44" s="8">
        <f>VLOOKUP(AG44,'BUS 2'!$G$1:$CU$424,48,0)</f>
        <v>2</v>
      </c>
      <c r="TN44" s="8" t="str">
        <f>VLOOKUP(AG44,'BUS 2'!$G$1:$CU$424,49,0)</f>
        <v/>
      </c>
      <c r="TO44" s="8" t="str">
        <f>VLOOKUP(AG44,'BUS 2'!$G$1:$CU$424,50,0)</f>
        <v/>
      </c>
      <c r="TP44" s="8" t="str">
        <f>VLOOKUP(AG44,'BUS 2'!$G$1:$CU$424,51,0)</f>
        <v/>
      </c>
      <c r="TQ44" s="8" t="str">
        <f>VLOOKUP(AG44,'BUS 2'!$G$1:$CU$424,52,0)</f>
        <v/>
      </c>
      <c r="TR44" s="8" t="str">
        <f>VLOOKUP(AG44,'BUS 2'!$G$1:$CU$424,53,0)</f>
        <v/>
      </c>
      <c r="TS44" s="9" t="str">
        <f>VLOOKUP(AG44,'BUS 2'!$G$1:$CU$424,54,0)</f>
        <v/>
      </c>
      <c r="TT44" s="9" t="str">
        <f>VLOOKUP(AG44,'BUS 2'!$G$1:$CU$424,55,0)</f>
        <v/>
      </c>
      <c r="TU44" s="9" t="str">
        <f>VLOOKUP(AG44,'BUS 2'!$G$1:$CU$424,56,0)</f>
        <v/>
      </c>
      <c r="TV44" s="9" t="str">
        <f>VLOOKUP(AG44,'BUS 2'!$G$1:$CU$424,57,0)</f>
        <v/>
      </c>
      <c r="TW44" s="9" t="str">
        <f>VLOOKUP(AG44,'BUS 2'!$G$1:$CU$424,58,0)</f>
        <v/>
      </c>
      <c r="TX44" s="9" t="str">
        <f>VLOOKUP(AG44,'BUS 2'!$G$1:$CU$424,59,0)</f>
        <v/>
      </c>
      <c r="TY44" s="9" t="str">
        <f>VLOOKUP(AG44,'BUS 2'!$G$1:$CU$424,60,0)</f>
        <v/>
      </c>
      <c r="TZ44" s="9" t="str">
        <f>VLOOKUP(AG44,'BUS 2'!$G$1:$CU$424,61,0)</f>
        <v/>
      </c>
      <c r="UA44" s="9" t="str">
        <f>VLOOKUP(AG44,'BUS 2'!$G$1:$CU$424,62,0)</f>
        <v/>
      </c>
      <c r="UB44" s="9" t="str">
        <f>VLOOKUP(AG44,'BUS 2'!$G$1:$CU$424,63,0)</f>
        <v/>
      </c>
      <c r="UC44" s="9" t="str">
        <f>VLOOKUP(AG44,'BUS 2'!$G$1:$CU$424,64,0)</f>
        <v/>
      </c>
      <c r="UD44" s="9" t="str">
        <f>VLOOKUP(AG44,'BUS 2'!$G$1:$CU$424,65,0)</f>
        <v/>
      </c>
      <c r="UE44" s="9" t="str">
        <f>VLOOKUP(AG44,'BUS 2'!$G$1:$CU$424,66,0)</f>
        <v/>
      </c>
      <c r="UF44" s="9" t="str">
        <f>VLOOKUP(AG44,'BUS 2'!$G$1:$CU$424,67,0)</f>
        <v/>
      </c>
      <c r="UG44" s="9" t="str">
        <f>VLOOKUP(AG44,'BUS 2'!$G$1:$CU$424,68,0)</f>
        <v/>
      </c>
      <c r="UH44" s="9" t="str">
        <f>VLOOKUP(AG44,'BUS 2'!$G$1:$CU$424,69,0)</f>
        <v/>
      </c>
      <c r="UI44" s="9" t="str">
        <f>VLOOKUP(AG44,'BUS 2'!$G$1:$CU$424,70,0)</f>
        <v/>
      </c>
      <c r="UJ44" s="9" t="str">
        <f>VLOOKUP(AG44,'BUS 2'!$G$1:$CU$424,71,0)</f>
        <v/>
      </c>
      <c r="UK44" s="9" t="str">
        <f>VLOOKUP(AG44,'BUS 2'!$G$1:$CU$424,72,0)</f>
        <v/>
      </c>
      <c r="UL44" s="9" t="str">
        <f>VLOOKUP(AG44,'BUS 2'!$G$1:$CU$424,73,0)</f>
        <v/>
      </c>
      <c r="UM44" s="9" t="str">
        <f>VLOOKUP(AG44,'BUS 2'!$G$1:$CU$424,74,0)</f>
        <v/>
      </c>
      <c r="UN44" s="9" t="str">
        <f>VLOOKUP(AG44,'BUS 2'!$G$1:$CU$424,75,0)</f>
        <v/>
      </c>
      <c r="UO44" s="9" t="str">
        <f>VLOOKUP(AG44,'BUS 2'!$G$1:$CU$424,76,0)</f>
        <v/>
      </c>
      <c r="UP44" s="9" t="str">
        <f>VLOOKUP(AG44,'BUS 2'!$G$1:$CU$424,77,0)</f>
        <v/>
      </c>
      <c r="UQ44" s="9" t="str">
        <f>VLOOKUP(AG44,'BUS 2'!$G$1:$CU$424,78,0)</f>
        <v/>
      </c>
      <c r="UR44" s="9" t="str">
        <f>VLOOKUP(AG44,'BUS 2'!$G$1:$CU$424,79,0)</f>
        <v/>
      </c>
      <c r="US44" s="9" t="str">
        <f>VLOOKUP(AG44,'BUS 2'!$G$1:$CU$424,80,0)</f>
        <v/>
      </c>
      <c r="UT44" s="9" t="str">
        <f>VLOOKUP(AG44,'BUS 2'!$G$1:$CU$424,81,0)</f>
        <v/>
      </c>
      <c r="UU44" s="9"/>
      <c r="UV44" s="9"/>
      <c r="UW44" s="9"/>
      <c r="UX44" s="9"/>
      <c r="UY44" s="9"/>
      <c r="UZ44" s="9"/>
      <c r="VA44" s="9" t="s">
        <v>1937</v>
      </c>
      <c r="VB44" s="9"/>
      <c r="VC44" s="9"/>
      <c r="VD44" s="9"/>
      <c r="VE44" s="9"/>
      <c r="VF44" s="9"/>
      <c r="VG44" s="9"/>
      <c r="VH44" s="9"/>
      <c r="VI44" s="9" t="s">
        <v>1938</v>
      </c>
      <c r="VJ44" s="9"/>
      <c r="VK44" s="9"/>
      <c r="VL44" s="9"/>
      <c r="VM44" s="9"/>
      <c r="VN44" s="9"/>
      <c r="VO44" s="9"/>
      <c r="VP44" s="9"/>
      <c r="VQ44" s="9" t="s">
        <v>1938</v>
      </c>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t="s">
        <v>1941</v>
      </c>
      <c r="YO44" s="8">
        <v>0.0</v>
      </c>
      <c r="YP44" s="8">
        <v>0.0</v>
      </c>
      <c r="YQ44" s="8">
        <v>0.0</v>
      </c>
      <c r="YR44" s="8">
        <v>0.0</v>
      </c>
      <c r="YS44" s="8">
        <v>0.0</v>
      </c>
      <c r="YT44" s="8">
        <v>0.0</v>
      </c>
      <c r="YU44" s="8">
        <v>0.0</v>
      </c>
      <c r="YV44" s="8">
        <v>0.0</v>
      </c>
      <c r="YW44" s="8">
        <v>0.0</v>
      </c>
      <c r="YX44" s="8">
        <v>0.0</v>
      </c>
      <c r="YY44" s="8">
        <v>0.0</v>
      </c>
      <c r="YZ44" s="8">
        <v>1.0</v>
      </c>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8">
        <v>2.0</v>
      </c>
      <c r="AAC44" s="9"/>
      <c r="AAD44" s="9"/>
      <c r="AAE44" s="9"/>
      <c r="AAF44" s="9"/>
      <c r="AAG44" s="9"/>
      <c r="AAH44" s="9"/>
      <c r="AAI44" s="9"/>
      <c r="AAJ44" s="9" t="s">
        <v>905</v>
      </c>
      <c r="AAK44" s="9"/>
      <c r="AAL44" s="9" t="s">
        <v>881</v>
      </c>
      <c r="AAM44" s="9"/>
      <c r="AAN44" s="9"/>
      <c r="AAO44" s="9"/>
      <c r="AAP44" s="9"/>
      <c r="AAQ44" s="9"/>
      <c r="AAR44" s="9" t="s">
        <v>881</v>
      </c>
      <c r="AAS44" s="9" t="s">
        <v>1389</v>
      </c>
      <c r="AAT44" s="9" t="s">
        <v>2101</v>
      </c>
      <c r="AAU44" s="8">
        <v>0.0</v>
      </c>
      <c r="AAV44" s="8">
        <v>0.0</v>
      </c>
      <c r="AAW44" s="8">
        <v>0.0</v>
      </c>
      <c r="AAX44" s="8">
        <v>1.0</v>
      </c>
      <c r="AAY44" s="8">
        <v>0.0</v>
      </c>
      <c r="AAZ44" s="8">
        <v>0.0</v>
      </c>
      <c r="ABA44" s="8">
        <v>0.0</v>
      </c>
      <c r="ABB44" s="9"/>
      <c r="ABC44" s="9"/>
      <c r="ABD44" s="9"/>
      <c r="ABE44" s="9"/>
      <c r="ABF44" s="9"/>
      <c r="ABG44" s="9"/>
      <c r="ABH44" s="9"/>
      <c r="ABI44" s="9"/>
      <c r="ABJ44" s="9"/>
      <c r="ABK44" s="9"/>
      <c r="ABL44" s="9"/>
      <c r="ABM44" s="9"/>
      <c r="ABN44" s="9"/>
      <c r="ABO44" s="9"/>
      <c r="ABP44" s="9"/>
      <c r="ABQ44" s="9" t="s">
        <v>2758</v>
      </c>
      <c r="ABR44" s="9" t="s">
        <v>2289</v>
      </c>
      <c r="ABS44" s="9"/>
      <c r="ABT44" s="8">
        <v>1000.0</v>
      </c>
      <c r="ABU44" s="9"/>
      <c r="ABV44" s="9"/>
      <c r="ABW44" s="9"/>
      <c r="ABX44" s="9"/>
      <c r="ABY44" s="9"/>
      <c r="ABZ44" s="9"/>
      <c r="ACA44" s="9"/>
      <c r="ACB44" s="9"/>
      <c r="ACC44" s="9"/>
      <c r="ACD44" s="9"/>
      <c r="ACE44" s="9"/>
      <c r="ACF44" s="9"/>
      <c r="ACG44" s="9"/>
      <c r="ACH44" s="9"/>
      <c r="ACI44" s="9"/>
      <c r="ACJ44" s="9"/>
      <c r="ACK44" s="9" t="s">
        <v>955</v>
      </c>
      <c r="ACL44" s="8">
        <v>0.0</v>
      </c>
      <c r="ACM44" s="8">
        <v>0.0</v>
      </c>
      <c r="ACN44" s="8">
        <v>0.0</v>
      </c>
      <c r="ACO44" s="8">
        <v>1.0</v>
      </c>
      <c r="ACP44" s="8">
        <v>0.0</v>
      </c>
      <c r="ACQ44" s="8">
        <v>0.0</v>
      </c>
      <c r="ACR44" s="8">
        <v>0.0</v>
      </c>
      <c r="ACS44" s="9"/>
      <c r="ACT44" s="9" t="s">
        <v>1945</v>
      </c>
      <c r="ACU44" s="9" t="s">
        <v>913</v>
      </c>
      <c r="ACV44" s="9" t="s">
        <v>914</v>
      </c>
      <c r="ACW44" s="9" t="s">
        <v>915</v>
      </c>
      <c r="ACX44" s="9" t="s">
        <v>958</v>
      </c>
      <c r="ACY44" s="9" t="s">
        <v>1017</v>
      </c>
      <c r="ACZ44" s="8">
        <v>1.0</v>
      </c>
      <c r="ADA44" s="8">
        <v>1.0</v>
      </c>
      <c r="ADB44" s="8">
        <v>1.0</v>
      </c>
      <c r="ADC44" s="8">
        <v>0.0</v>
      </c>
      <c r="ADD44" s="9" t="s">
        <v>918</v>
      </c>
      <c r="ADE44" s="9" t="s">
        <v>918</v>
      </c>
      <c r="ADF44" s="9" t="s">
        <v>918</v>
      </c>
      <c r="ADG44" s="9" t="s">
        <v>918</v>
      </c>
      <c r="ADH44" s="9" t="s">
        <v>881</v>
      </c>
      <c r="ADI44" s="9"/>
      <c r="ADJ44" s="9" t="s">
        <v>918</v>
      </c>
      <c r="ADK44" s="9"/>
      <c r="ADL44" s="9"/>
      <c r="ADM44" s="9"/>
      <c r="ADN44" s="9"/>
      <c r="ADO44" s="9"/>
      <c r="ADP44" s="9"/>
      <c r="ADQ44" s="9"/>
      <c r="ADR44" s="9"/>
      <c r="ADS44" s="9"/>
      <c r="ADT44" s="9"/>
      <c r="ADU44" s="9" t="s">
        <v>2362</v>
      </c>
      <c r="ADV44" s="8">
        <v>0.0</v>
      </c>
      <c r="ADW44" s="8">
        <v>0.0</v>
      </c>
      <c r="ADX44" s="8">
        <v>0.0</v>
      </c>
      <c r="ADY44" s="8">
        <v>0.0</v>
      </c>
      <c r="ADZ44" s="8">
        <v>0.0</v>
      </c>
      <c r="AEA44" s="8">
        <v>1.0</v>
      </c>
      <c r="AEB44" s="8">
        <v>1.0</v>
      </c>
      <c r="AEC44" s="8">
        <v>0.0</v>
      </c>
      <c r="AED44" s="9" t="s">
        <v>1945</v>
      </c>
      <c r="AEE44" s="9" t="s">
        <v>872</v>
      </c>
      <c r="AEF44" s="9"/>
      <c r="AEG44" s="9" t="s">
        <v>920</v>
      </c>
      <c r="AEH44" s="9"/>
      <c r="AEI44" s="9" t="s">
        <v>1945</v>
      </c>
      <c r="AEJ44" s="9" t="s">
        <v>961</v>
      </c>
      <c r="AEK44" s="9" t="s">
        <v>2733</v>
      </c>
      <c r="AEL44" s="8">
        <v>1.0</v>
      </c>
      <c r="AEM44" s="8">
        <v>0.0</v>
      </c>
      <c r="AEN44" s="8">
        <v>0.0</v>
      </c>
      <c r="AEO44" s="8">
        <v>0.0</v>
      </c>
      <c r="AEP44" s="8">
        <v>1.0</v>
      </c>
      <c r="AEQ44" s="8">
        <v>0.0</v>
      </c>
      <c r="AER44" s="8">
        <v>1.0</v>
      </c>
      <c r="AES44" s="8">
        <v>0.0</v>
      </c>
      <c r="AET44" s="8">
        <v>0.0</v>
      </c>
      <c r="AEU44" s="8">
        <v>0.0</v>
      </c>
      <c r="AEV44" s="8">
        <v>0.0</v>
      </c>
      <c r="AEW44" s="8">
        <v>0.0</v>
      </c>
      <c r="AEX44" s="9"/>
      <c r="AEY44" s="9" t="s">
        <v>1305</v>
      </c>
      <c r="AEZ44" s="9"/>
      <c r="AFA44" s="9" t="s">
        <v>924</v>
      </c>
      <c r="AFB44" s="9"/>
      <c r="AFC44" s="9" t="s">
        <v>2759</v>
      </c>
      <c r="AFD44" s="16" t="s">
        <v>2760</v>
      </c>
      <c r="AFE44" s="9" t="s">
        <v>2761</v>
      </c>
      <c r="AFF44" s="16" t="s">
        <v>2762</v>
      </c>
      <c r="AFG44" s="9" t="s">
        <v>2443</v>
      </c>
      <c r="AFH44" s="9"/>
      <c r="AFI44" s="21" t="s">
        <v>1945</v>
      </c>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c r="ATS44" s="9"/>
      <c r="ATT44" s="9"/>
      <c r="ATU44" s="9"/>
      <c r="ATV44" s="9"/>
      <c r="ATW44" s="9"/>
      <c r="ATX44" s="9"/>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8">
        <v>6.73236048E8</v>
      </c>
      <c r="AWB44" s="9" t="s">
        <v>2763</v>
      </c>
      <c r="AWC44" s="6">
        <v>46069.0</v>
      </c>
      <c r="AWD44" s="9"/>
      <c r="AWE44" s="9"/>
      <c r="AWF44" s="9" t="s">
        <v>1954</v>
      </c>
      <c r="AWG44" s="9"/>
      <c r="AWH44" s="9" t="s">
        <v>1989</v>
      </c>
      <c r="AWI44" s="9"/>
      <c r="AWJ44" s="9" t="s">
        <v>2764</v>
      </c>
      <c r="AWK44" s="8">
        <v>306.0</v>
      </c>
      <c r="AWL44" s="9" t="s">
        <v>2756</v>
      </c>
      <c r="AWM44" s="8">
        <v>0.0</v>
      </c>
      <c r="AWN44" s="9" t="s">
        <v>1957</v>
      </c>
      <c r="AWO44" s="33" t="b">
        <v>1</v>
      </c>
      <c r="AWP44" s="33" t="b">
        <v>1</v>
      </c>
      <c r="AWQ44" s="33" t="b">
        <v>1</v>
      </c>
      <c r="AWR44" s="33" t="b">
        <v>1</v>
      </c>
      <c r="AWS44" s="33" t="b">
        <v>1</v>
      </c>
      <c r="AWT44" s="33" t="b">
        <v>1</v>
      </c>
      <c r="AWU44" s="9"/>
      <c r="AWV44" s="8">
        <v>3.0</v>
      </c>
      <c r="AWW44" s="9"/>
      <c r="AWX44" s="9"/>
      <c r="AWY44" s="9"/>
      <c r="AWZ44" s="9"/>
    </row>
    <row r="45">
      <c r="A45" s="6">
        <v>46069.0</v>
      </c>
      <c r="B45" s="6">
        <v>46069.0</v>
      </c>
      <c r="C45" s="30" t="s">
        <v>1919</v>
      </c>
      <c r="D45" s="30" t="s">
        <v>2765</v>
      </c>
      <c r="E45" s="8">
        <f t="shared" ref="E45:E47" si="2">+620</f>
        <v>620</v>
      </c>
      <c r="F45" s="9" t="s">
        <v>2766</v>
      </c>
      <c r="G45" s="8">
        <v>-5.142011</v>
      </c>
      <c r="H45" s="8">
        <v>119.684936</v>
      </c>
      <c r="I45" s="8">
        <v>82.084</v>
      </c>
      <c r="J45" s="8">
        <v>2.664000034</v>
      </c>
      <c r="K45" s="8">
        <v>0.0</v>
      </c>
      <c r="L45" s="9" t="s">
        <v>2767</v>
      </c>
      <c r="M45" s="8">
        <v>-5.142257</v>
      </c>
      <c r="N45" s="8">
        <v>119.685059</v>
      </c>
      <c r="O45" s="8">
        <v>114.316</v>
      </c>
      <c r="P45" s="8">
        <v>1.348999977</v>
      </c>
      <c r="Q45" s="8">
        <v>0.0</v>
      </c>
      <c r="R45" s="9" t="s">
        <v>1923</v>
      </c>
      <c r="S45" s="8">
        <v>0.0</v>
      </c>
      <c r="T45" s="8">
        <v>0.0</v>
      </c>
      <c r="U45" s="8">
        <v>0.0</v>
      </c>
      <c r="V45" s="8">
        <v>0.0</v>
      </c>
      <c r="W45" s="8">
        <v>0.0</v>
      </c>
      <c r="X45" s="8">
        <v>0.0</v>
      </c>
      <c r="Y45" s="8">
        <v>0.0</v>
      </c>
      <c r="Z45" s="8">
        <v>0.0</v>
      </c>
      <c r="AA45" s="8">
        <v>0.0</v>
      </c>
      <c r="AB45" s="8">
        <v>1.0</v>
      </c>
      <c r="AC45" s="7" t="s">
        <v>1924</v>
      </c>
      <c r="AD45" s="7" t="s">
        <v>2088</v>
      </c>
      <c r="AE45" s="7" t="s">
        <v>2088</v>
      </c>
      <c r="AF45" s="9" t="s">
        <v>2090</v>
      </c>
      <c r="AG45" s="9" t="s">
        <v>2768</v>
      </c>
      <c r="AH45" s="8">
        <v>9.0</v>
      </c>
      <c r="AI45" s="9" t="s">
        <v>845</v>
      </c>
      <c r="AJ45" s="9" t="s">
        <v>934</v>
      </c>
      <c r="AK45" s="8">
        <v>40.0</v>
      </c>
      <c r="AL45" s="9" t="s">
        <v>1444</v>
      </c>
      <c r="AM45" s="9" t="s">
        <v>848</v>
      </c>
      <c r="AN45" s="9" t="s">
        <v>849</v>
      </c>
      <c r="AO45" s="9" t="s">
        <v>850</v>
      </c>
      <c r="AP45" s="8">
        <v>1.0</v>
      </c>
      <c r="AQ45" s="8">
        <v>0.0</v>
      </c>
      <c r="AR45" s="8">
        <v>0.0</v>
      </c>
      <c r="AS45" s="8">
        <v>0.0</v>
      </c>
      <c r="AT45" s="8">
        <v>0.0</v>
      </c>
      <c r="AU45" s="8">
        <v>0.0</v>
      </c>
      <c r="AV45" s="8">
        <v>0.0</v>
      </c>
      <c r="AW45" s="8">
        <v>0.0</v>
      </c>
      <c r="AX45" s="9"/>
      <c r="AY45" s="9" t="s">
        <v>935</v>
      </c>
      <c r="AZ45" s="8">
        <v>0.0</v>
      </c>
      <c r="BA45" s="8">
        <v>1.0</v>
      </c>
      <c r="BB45" s="8">
        <v>0.0</v>
      </c>
      <c r="BC45" s="8">
        <v>0.0</v>
      </c>
      <c r="BD45" s="8">
        <v>0.0</v>
      </c>
      <c r="BE45" s="8">
        <v>0.0</v>
      </c>
      <c r="BF45" s="8">
        <v>0.0</v>
      </c>
      <c r="BG45" s="8">
        <v>0.0</v>
      </c>
      <c r="BH45" s="11"/>
      <c r="BI45" s="9" t="s">
        <v>936</v>
      </c>
      <c r="BJ45" s="8">
        <v>2.0</v>
      </c>
      <c r="BK45" s="8">
        <v>1.0</v>
      </c>
      <c r="BL45" s="8">
        <v>2.0</v>
      </c>
      <c r="BM45" s="8">
        <v>0.0</v>
      </c>
      <c r="BN45" s="9" t="s">
        <v>853</v>
      </c>
      <c r="BO45" s="9" t="s">
        <v>2064</v>
      </c>
      <c r="BP45" s="8">
        <v>0.0</v>
      </c>
      <c r="BQ45" s="8">
        <v>0.0</v>
      </c>
      <c r="BR45" s="8">
        <v>1.0</v>
      </c>
      <c r="BS45" s="8">
        <v>0.0</v>
      </c>
      <c r="BT45" s="8">
        <v>0.0</v>
      </c>
      <c r="BU45" s="9"/>
      <c r="BV45" s="9" t="s">
        <v>2065</v>
      </c>
      <c r="BW45" s="8">
        <v>1.0</v>
      </c>
      <c r="BX45" s="8">
        <v>0.0</v>
      </c>
      <c r="BY45" s="8">
        <v>0.0</v>
      </c>
      <c r="BZ45" s="8">
        <v>0.0</v>
      </c>
      <c r="CA45" s="8">
        <v>0.0</v>
      </c>
      <c r="CB45" s="9"/>
      <c r="CC45" s="9" t="s">
        <v>1929</v>
      </c>
      <c r="CD45" s="8">
        <v>0.0</v>
      </c>
      <c r="CE45" s="8">
        <v>0.0</v>
      </c>
      <c r="CF45" s="8">
        <v>0.0</v>
      </c>
      <c r="CG45" s="8">
        <v>0.0</v>
      </c>
      <c r="CH45" s="8">
        <v>1.0</v>
      </c>
      <c r="CI45" s="8">
        <v>0.0</v>
      </c>
      <c r="CJ45" s="8">
        <v>0.0</v>
      </c>
      <c r="CK45" s="9"/>
      <c r="CL45" s="9" t="s">
        <v>857</v>
      </c>
      <c r="CM45" s="8">
        <v>2017.0</v>
      </c>
      <c r="CN45" s="9" t="s">
        <v>858</v>
      </c>
      <c r="CO45" s="9" t="s">
        <v>1377</v>
      </c>
      <c r="CP45" s="9" t="s">
        <v>860</v>
      </c>
      <c r="CQ45" s="8">
        <v>0.0</v>
      </c>
      <c r="CR45" s="8">
        <v>0.0</v>
      </c>
      <c r="CS45" s="8">
        <v>0.0</v>
      </c>
      <c r="CT45" s="8">
        <v>0.0</v>
      </c>
      <c r="CU45" s="8">
        <v>1.0</v>
      </c>
      <c r="CV45" s="8">
        <v>0.0</v>
      </c>
      <c r="CW45" s="8">
        <v>0.0</v>
      </c>
      <c r="CX45" s="8">
        <v>0.0</v>
      </c>
      <c r="CY45" s="9" t="s">
        <v>860</v>
      </c>
      <c r="CZ45" s="8">
        <v>1.0</v>
      </c>
      <c r="DA45" s="8">
        <v>0.0</v>
      </c>
      <c r="DB45" s="8">
        <v>0.0</v>
      </c>
      <c r="DC45" s="9"/>
      <c r="DD45" s="9" t="s">
        <v>860</v>
      </c>
      <c r="DE45" s="8">
        <v>1.0</v>
      </c>
      <c r="DF45" s="8">
        <v>0.0</v>
      </c>
      <c r="DG45" s="8">
        <v>0.0</v>
      </c>
      <c r="DH45" s="8">
        <v>0.0</v>
      </c>
      <c r="DI45" s="9"/>
      <c r="DJ45" s="9" t="s">
        <v>860</v>
      </c>
      <c r="DK45" s="8">
        <v>1.0</v>
      </c>
      <c r="DL45" s="8">
        <v>0.0</v>
      </c>
      <c r="DM45" s="8">
        <v>0.0</v>
      </c>
      <c r="DN45" s="8">
        <v>0.0</v>
      </c>
      <c r="DO45" s="9"/>
      <c r="DP45" s="9" t="s">
        <v>938</v>
      </c>
      <c r="DQ45" s="9" t="s">
        <v>939</v>
      </c>
      <c r="DR45" s="17" t="s">
        <v>987</v>
      </c>
      <c r="DS45" s="9"/>
      <c r="DT45" s="9"/>
      <c r="DU45" s="9"/>
      <c r="DV45" s="9"/>
      <c r="DW45" s="9"/>
      <c r="DX45" s="9"/>
      <c r="DY45" s="9"/>
      <c r="DZ45" s="9"/>
      <c r="EA45" s="9"/>
      <c r="EB45" s="9"/>
      <c r="EC45" s="9"/>
      <c r="ED45" s="9"/>
      <c r="EE45" s="9"/>
      <c r="EF45" s="9"/>
      <c r="EG45" s="9"/>
      <c r="EH45" s="9"/>
      <c r="EI45" s="31" t="s">
        <v>862</v>
      </c>
      <c r="EJ45" s="8">
        <v>0.0</v>
      </c>
      <c r="EK45" s="8">
        <v>0.0</v>
      </c>
      <c r="EL45" s="8">
        <v>0.0</v>
      </c>
      <c r="EM45" s="8">
        <v>1.0</v>
      </c>
      <c r="EN45" s="8">
        <v>0.0</v>
      </c>
      <c r="EO45" s="9"/>
      <c r="EP45" s="9" t="s">
        <v>863</v>
      </c>
      <c r="EQ45" s="9" t="s">
        <v>1380</v>
      </c>
      <c r="ER45" s="9" t="s">
        <v>969</v>
      </c>
      <c r="ES45" s="8">
        <v>0.0</v>
      </c>
      <c r="ET45" s="8">
        <v>0.0</v>
      </c>
      <c r="EU45" s="8">
        <v>0.0</v>
      </c>
      <c r="EV45" s="8">
        <v>1.0</v>
      </c>
      <c r="EW45" s="9" t="s">
        <v>2343</v>
      </c>
      <c r="EX45" s="9" t="s">
        <v>865</v>
      </c>
      <c r="EY45" s="8">
        <v>1.0</v>
      </c>
      <c r="EZ45" s="8">
        <v>0.0</v>
      </c>
      <c r="FA45" s="8">
        <v>0.0</v>
      </c>
      <c r="FB45" s="9"/>
      <c r="FC45" s="9" t="s">
        <v>1028</v>
      </c>
      <c r="FD45" s="9"/>
      <c r="FE45" s="9" t="s">
        <v>867</v>
      </c>
      <c r="FF45" s="9" t="s">
        <v>868</v>
      </c>
      <c r="FG45" s="9" t="s">
        <v>867</v>
      </c>
      <c r="FH45" s="9" t="s">
        <v>943</v>
      </c>
      <c r="FI45" s="9" t="s">
        <v>867</v>
      </c>
      <c r="FJ45" s="9" t="s">
        <v>943</v>
      </c>
      <c r="FK45" s="9" t="s">
        <v>867</v>
      </c>
      <c r="FL45" s="9" t="s">
        <v>943</v>
      </c>
      <c r="FM45" s="9" t="s">
        <v>867</v>
      </c>
      <c r="FN45" s="9" t="s">
        <v>869</v>
      </c>
      <c r="FO45" s="9" t="s">
        <v>867</v>
      </c>
      <c r="FP45" s="9" t="s">
        <v>870</v>
      </c>
      <c r="FQ45" s="9" t="s">
        <v>867</v>
      </c>
      <c r="FR45" s="9" t="s">
        <v>857</v>
      </c>
      <c r="FS45" s="9" t="s">
        <v>867</v>
      </c>
      <c r="FT45" s="9" t="s">
        <v>871</v>
      </c>
      <c r="FU45" s="9" t="s">
        <v>872</v>
      </c>
      <c r="FV45" s="8">
        <v>1.0</v>
      </c>
      <c r="FW45" s="8">
        <v>0.0</v>
      </c>
      <c r="FX45" s="8">
        <v>0.0</v>
      </c>
      <c r="FY45" s="8">
        <v>0.0</v>
      </c>
      <c r="FZ45" s="9" t="s">
        <v>1197</v>
      </c>
      <c r="GA45" s="9" t="s">
        <v>1264</v>
      </c>
      <c r="GB45" s="8">
        <v>0.0</v>
      </c>
      <c r="GC45" s="8">
        <v>0.0</v>
      </c>
      <c r="GD45" s="8">
        <v>1.0</v>
      </c>
      <c r="GE45" s="8">
        <v>0.0</v>
      </c>
      <c r="GF45" s="9"/>
      <c r="GG45" s="9" t="s">
        <v>875</v>
      </c>
      <c r="GH45" s="9" t="s">
        <v>857</v>
      </c>
      <c r="GI45" s="9" t="s">
        <v>1930</v>
      </c>
      <c r="GJ45" s="8">
        <v>1.0</v>
      </c>
      <c r="GK45" s="8">
        <v>1.0</v>
      </c>
      <c r="GL45" s="8">
        <v>1.0</v>
      </c>
      <c r="GM45" s="8">
        <v>0.0</v>
      </c>
      <c r="GN45" s="9"/>
      <c r="GO45" s="8">
        <v>9.0</v>
      </c>
      <c r="GP45" s="34" t="s">
        <v>1931</v>
      </c>
      <c r="GQ45" s="9" t="s">
        <v>1102</v>
      </c>
      <c r="GR45" s="8">
        <v>1.0</v>
      </c>
      <c r="GS45" s="8">
        <v>0.0</v>
      </c>
      <c r="GT45" s="8">
        <v>0.0</v>
      </c>
      <c r="GU45" s="8">
        <v>0.0</v>
      </c>
      <c r="GV45" s="8">
        <v>0.0</v>
      </c>
      <c r="GW45" s="8">
        <v>0.0</v>
      </c>
      <c r="GX45" s="8">
        <v>0.0</v>
      </c>
      <c r="GY45" s="9"/>
      <c r="GZ45" s="9" t="s">
        <v>857</v>
      </c>
      <c r="HA45" s="9"/>
      <c r="HB45" s="9"/>
      <c r="HC45" s="9"/>
      <c r="HD45" s="9"/>
      <c r="HE45" s="8">
        <v>12.0</v>
      </c>
      <c r="HF45" s="8">
        <v>72000.0</v>
      </c>
      <c r="HG45" s="8">
        <v>3.0</v>
      </c>
      <c r="HH45" s="8">
        <v>22000.0</v>
      </c>
      <c r="HI45" s="9"/>
      <c r="HJ45" s="9"/>
      <c r="HK45" s="9"/>
      <c r="HL45" s="9"/>
      <c r="HM45" s="9"/>
      <c r="HN45" s="9"/>
      <c r="HO45" s="9"/>
      <c r="HP45" s="9"/>
      <c r="HQ45" s="9"/>
      <c r="HR45" s="9"/>
      <c r="HS45" s="9"/>
      <c r="HT45" s="9"/>
      <c r="HU45" s="9"/>
      <c r="HV45" s="9"/>
      <c r="HW45" s="9"/>
      <c r="HX45" s="9"/>
      <c r="HY45" s="9"/>
      <c r="HZ45" s="9"/>
      <c r="IA45" s="8">
        <v>9.0</v>
      </c>
      <c r="IB45" s="8">
        <v>50000.0</v>
      </c>
      <c r="IC45" s="9"/>
      <c r="ID45" s="9"/>
      <c r="IE45" s="9"/>
      <c r="IF45" s="9"/>
      <c r="IG45" s="9"/>
      <c r="IH45" s="9"/>
      <c r="II45" s="9"/>
      <c r="IJ45" s="9"/>
      <c r="IK45" s="9" t="s">
        <v>1932</v>
      </c>
      <c r="IL45" s="9" t="s">
        <v>1366</v>
      </c>
      <c r="IM45" s="9" t="s">
        <v>857</v>
      </c>
      <c r="IN45" s="9" t="s">
        <v>881</v>
      </c>
      <c r="IO45" s="9" t="s">
        <v>882</v>
      </c>
      <c r="IP45" s="9"/>
      <c r="IQ45" s="9" t="s">
        <v>883</v>
      </c>
      <c r="IR45" s="9"/>
      <c r="IS45" s="9"/>
      <c r="IT45" s="9"/>
      <c r="IU45" s="9"/>
      <c r="IV45" s="9"/>
      <c r="IW45" s="9"/>
      <c r="IX45" s="9"/>
      <c r="IY45" s="9"/>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1180</v>
      </c>
      <c r="KT45" s="9" t="s">
        <v>886</v>
      </c>
      <c r="KU45" s="9" t="s">
        <v>886</v>
      </c>
      <c r="KV45" s="9" t="s">
        <v>1384</v>
      </c>
      <c r="KW45" s="8">
        <v>0.0</v>
      </c>
      <c r="KX45" s="8">
        <v>0.0</v>
      </c>
      <c r="KY45" s="8">
        <v>1.0</v>
      </c>
      <c r="KZ45" s="8">
        <v>0.0</v>
      </c>
      <c r="LA45" s="9" t="s">
        <v>884</v>
      </c>
      <c r="LB45" s="9" t="s">
        <v>884</v>
      </c>
      <c r="LC45" s="8">
        <v>5.0</v>
      </c>
      <c r="LD45" s="8">
        <v>0.0</v>
      </c>
      <c r="LE45" s="8">
        <v>0.0</v>
      </c>
      <c r="LF45" s="8">
        <v>0.0</v>
      </c>
      <c r="LG45" s="9" t="s">
        <v>857</v>
      </c>
      <c r="LH45" s="8">
        <v>50000.0</v>
      </c>
      <c r="LI45" s="9"/>
      <c r="LJ45" s="9" t="s">
        <v>887</v>
      </c>
      <c r="LK45" s="8">
        <v>0.0</v>
      </c>
      <c r="LL45" s="8">
        <v>0.0</v>
      </c>
      <c r="LM45" s="8">
        <v>0.0</v>
      </c>
      <c r="LN45" s="8">
        <v>0.0</v>
      </c>
      <c r="LO45" s="8">
        <v>1.0</v>
      </c>
      <c r="LP45" s="8">
        <v>0.0</v>
      </c>
      <c r="LQ45" s="8">
        <v>0.0</v>
      </c>
      <c r="LR45" s="11"/>
      <c r="LS45" s="8">
        <v>10.0</v>
      </c>
      <c r="LT45" s="8">
        <v>0.0</v>
      </c>
      <c r="LU45" s="8">
        <v>0.0</v>
      </c>
      <c r="LV45" s="8">
        <v>10.0</v>
      </c>
      <c r="LW45" s="8">
        <v>0.0</v>
      </c>
      <c r="LX45" s="8">
        <v>0.0</v>
      </c>
      <c r="LY45" s="8">
        <v>15.0</v>
      </c>
      <c r="LZ45" s="8">
        <v>0.0</v>
      </c>
      <c r="MA45" s="8">
        <v>0.0</v>
      </c>
      <c r="MB45" s="9" t="s">
        <v>857</v>
      </c>
      <c r="MC45" s="8">
        <v>0.0</v>
      </c>
      <c r="MD45" s="8">
        <v>0.0</v>
      </c>
      <c r="ME45" s="8">
        <v>0.0</v>
      </c>
      <c r="MF45" s="8">
        <v>0.0</v>
      </c>
      <c r="MG45" s="8">
        <v>0.0</v>
      </c>
      <c r="MH45" s="8">
        <v>0.0</v>
      </c>
      <c r="MI45" s="9" t="s">
        <v>946</v>
      </c>
      <c r="MJ45" s="8">
        <v>0.0</v>
      </c>
      <c r="MK45" s="8">
        <v>0.0</v>
      </c>
      <c r="ML45" s="8">
        <v>1.0</v>
      </c>
      <c r="MM45" s="8">
        <v>0.0</v>
      </c>
      <c r="MN45" s="8">
        <v>0.0</v>
      </c>
      <c r="MO45" s="8">
        <v>0.0</v>
      </c>
      <c r="MP45" s="9"/>
      <c r="MQ45" s="9"/>
      <c r="MR45" s="36" t="s">
        <v>2769</v>
      </c>
      <c r="MS45" s="9"/>
      <c r="MT45" s="9" t="s">
        <v>2769</v>
      </c>
      <c r="MU45" s="9" t="s">
        <v>1030</v>
      </c>
      <c r="MV45" s="9" t="s">
        <v>949</v>
      </c>
      <c r="MW45" s="8">
        <v>1.0</v>
      </c>
      <c r="MX45" s="8">
        <v>0.0</v>
      </c>
      <c r="MY45" s="8">
        <v>0.0</v>
      </c>
      <c r="MZ45" s="8">
        <v>0.0</v>
      </c>
      <c r="NA45" s="9"/>
      <c r="NB45" s="9"/>
      <c r="NC45" s="9"/>
      <c r="ND45" s="9"/>
      <c r="NE45" s="9"/>
      <c r="NF45" s="9"/>
      <c r="NG45" s="9"/>
      <c r="NH45" s="9"/>
      <c r="NI45" s="9"/>
      <c r="NJ45" s="9"/>
      <c r="NK45" s="9"/>
      <c r="NL45" s="9" t="s">
        <v>857</v>
      </c>
      <c r="NM45" s="9" t="s">
        <v>1386</v>
      </c>
      <c r="NN45" s="17" t="s">
        <v>1975</v>
      </c>
      <c r="NO45" s="17" t="s">
        <v>994</v>
      </c>
      <c r="NP45" s="9"/>
      <c r="NQ45" s="9"/>
      <c r="NR45" s="9"/>
      <c r="NS45" s="9"/>
      <c r="NT45" s="9"/>
      <c r="NU45" s="9"/>
      <c r="NV45" s="9"/>
      <c r="NW45" s="9"/>
      <c r="NX45" s="9" t="s">
        <v>897</v>
      </c>
      <c r="NY45" s="8">
        <v>180.0</v>
      </c>
      <c r="NZ45" s="8">
        <v>0.0</v>
      </c>
      <c r="OA45" s="8">
        <v>0.0</v>
      </c>
      <c r="OB45" s="8">
        <v>0.0</v>
      </c>
      <c r="OC45" s="8">
        <v>0.0</v>
      </c>
      <c r="OD45" s="8">
        <v>0.0</v>
      </c>
      <c r="OE45" s="9" t="s">
        <v>898</v>
      </c>
      <c r="OF45" s="9" t="s">
        <v>1184</v>
      </c>
      <c r="OG45" s="9" t="s">
        <v>857</v>
      </c>
      <c r="OH45" s="8">
        <v>0.0</v>
      </c>
      <c r="OI45" s="8">
        <v>0.0</v>
      </c>
      <c r="OJ45" s="8">
        <v>0.0</v>
      </c>
      <c r="OK45" s="8">
        <v>0.0</v>
      </c>
      <c r="OL45" s="8">
        <v>0.0</v>
      </c>
      <c r="OM45" s="8">
        <v>0.0</v>
      </c>
      <c r="ON45" s="8">
        <v>20.0</v>
      </c>
      <c r="OO45" s="8">
        <v>0.0</v>
      </c>
      <c r="OP45" s="9" t="str">
        <f>VLOOKUP(AG45,'BUS 2'!$G$1:$CU$424,2,0)</f>
        <v>Sapi pedaging Ayam</v>
      </c>
      <c r="OQ45" s="8">
        <f>VLOOKUP(AG45,'BUS 2'!$G$1:$CU$424,3,0)</f>
        <v>1</v>
      </c>
      <c r="OR45" s="8">
        <f>VLOOKUP(AG45,'BUS 2'!$G$1:$CU$424,4,0)</f>
        <v>0</v>
      </c>
      <c r="OS45" s="8">
        <f>VLOOKUP(AG45,'BUS 2'!$G$1:$CU$424,5,0)</f>
        <v>0</v>
      </c>
      <c r="OT45" s="8">
        <f>VLOOKUP(AG45,'BUS 2'!$G$1:$CU$424,6,0)</f>
        <v>0</v>
      </c>
      <c r="OU45" s="8">
        <f>VLOOKUP(AG45,'BUS 2'!$G$1:$CU$424,7,0)</f>
        <v>0</v>
      </c>
      <c r="OV45" s="8">
        <f>VLOOKUP(AG45,'BUS 2'!$G$1:$CU$424,8,0)</f>
        <v>0</v>
      </c>
      <c r="OW45" s="8">
        <f>VLOOKUP(AG45,'BUS 2'!$G$1:$CU$424,9,0)</f>
        <v>1</v>
      </c>
      <c r="OX45" s="8">
        <f>VLOOKUP(AG45,'BUS 2'!$G$1:$CU$424,10,0)</f>
        <v>0</v>
      </c>
      <c r="OY45" s="8">
        <f>VLOOKUP(AG45,'BUS 2'!$G$1:$CU$424,11,0)</f>
        <v>0</v>
      </c>
      <c r="OZ45" s="8" t="str">
        <f>VLOOKUP(AG45,'BUS 2'!$G$1:$CU$424,12,0)</f>
        <v>Tidak ada</v>
      </c>
      <c r="PA45" s="8">
        <f>VLOOKUP(AG45,'BUS 2'!$G$1:$CU$424,13,0)</f>
        <v>0</v>
      </c>
      <c r="PB45" s="8">
        <f>VLOOKUP(AG45,'BUS 2'!$G$1:$CU$424,14,0)</f>
        <v>0</v>
      </c>
      <c r="PC45" s="8">
        <f>VLOOKUP(AG45,'BUS 2'!$G$1:$CU$424,15,0)</f>
        <v>0</v>
      </c>
      <c r="PD45" s="8">
        <f>VLOOKUP(AG45,'BUS 2'!$G$1:$CU$424,16,0)</f>
        <v>0</v>
      </c>
      <c r="PE45" s="8">
        <f>VLOOKUP(AG45,'BUS 2'!$G$1:$CU$424,17,0)</f>
        <v>0</v>
      </c>
      <c r="PF45" s="8">
        <f>VLOOKUP(AG45,'BUS 2'!$G$1:$CU$424,18,0)</f>
        <v>0</v>
      </c>
      <c r="PG45" s="8">
        <f>VLOOKUP(AG45,'BUS 2'!$G$1:$CU$424,19,0)</f>
        <v>0</v>
      </c>
      <c r="PH45" s="8">
        <f>VLOOKUP(AG45,'BUS 2'!$G$1:$CU$424,20,0)</f>
        <v>0</v>
      </c>
      <c r="PI45" s="8">
        <f>VLOOKUP(AG45,'BUS 2'!$G$1:$CU$424,21,0)</f>
        <v>1</v>
      </c>
      <c r="PJ45" s="8" t="str">
        <f>VLOOKUP(AG45,'BUS 2'!$G$1:$CU$424,22,0)</f>
        <v>Sapi pedaging Ayam</v>
      </c>
      <c r="PK45" s="8">
        <f>VLOOKUP(AG45,'BUS 2'!$G$1:$CU$424,23,0)</f>
        <v>1</v>
      </c>
      <c r="PL45" s="8">
        <f>VLOOKUP(AG45,'BUS 2'!$G$1:$CU$424,24,0)</f>
        <v>0</v>
      </c>
      <c r="PM45" s="8">
        <f>VLOOKUP(AG45,'BUS 2'!$G$1:$CU$424,25,0)</f>
        <v>0</v>
      </c>
      <c r="PN45" s="8">
        <f>VLOOKUP(AG45,'BUS 2'!$G$1:$CU$424,26,0)</f>
        <v>0</v>
      </c>
      <c r="PO45" s="8">
        <f>VLOOKUP(AG45,'BUS 2'!$G$1:$CU$424,27,0)</f>
        <v>0</v>
      </c>
      <c r="PP45" s="8">
        <f>VLOOKUP(AG45,'BUS 2'!$G$1:$CU$424,28,0)</f>
        <v>0</v>
      </c>
      <c r="PQ45" s="8">
        <f>VLOOKUP(AG45,'BUS 2'!$G$1:$CU$424,29,0)</f>
        <v>1</v>
      </c>
      <c r="PR45" s="8">
        <f>VLOOKUP(AG45,'BUS 2'!$G$1:$CU$424,30,0)</f>
        <v>0</v>
      </c>
      <c r="PS45" s="8">
        <f>VLOOKUP(AG45,'BUS 2'!$G$1:$CU$424,31,0)</f>
        <v>0</v>
      </c>
      <c r="PT45" s="9" t="s">
        <v>900</v>
      </c>
      <c r="PU45" s="8">
        <v>0.0</v>
      </c>
      <c r="PV45" s="8">
        <v>0.0</v>
      </c>
      <c r="PW45" s="8">
        <v>0.0</v>
      </c>
      <c r="PX45" s="8">
        <v>0.0</v>
      </c>
      <c r="PY45" s="8">
        <v>0.0</v>
      </c>
      <c r="PZ45" s="8">
        <v>1.0</v>
      </c>
      <c r="QA45" s="8">
        <v>0.0</v>
      </c>
      <c r="QB45" s="8">
        <v>0.0</v>
      </c>
      <c r="QC45" s="8">
        <v>0.0</v>
      </c>
      <c r="QD45" s="9"/>
      <c r="QE45" s="32"/>
      <c r="QF45" s="31"/>
      <c r="QG45" s="31"/>
      <c r="QH45" s="31"/>
      <c r="QI45" s="31"/>
      <c r="QJ45" s="31"/>
      <c r="QK45" s="32"/>
      <c r="QL45" s="32"/>
      <c r="QM45" s="32"/>
      <c r="QN45" s="32"/>
      <c r="QO45" s="32"/>
      <c r="QP45" s="32"/>
      <c r="QQ45" s="32"/>
      <c r="QR45" s="32"/>
      <c r="QS45" s="32"/>
      <c r="QT45" s="32"/>
      <c r="QU45" s="32"/>
      <c r="QV45" s="32"/>
      <c r="QW45" s="31"/>
      <c r="QX45" s="31"/>
      <c r="QY45" s="31"/>
      <c r="QZ45" s="31"/>
      <c r="RA45" s="31"/>
      <c r="RB45" s="32"/>
      <c r="RC45" s="32"/>
      <c r="RD45" s="32"/>
      <c r="RE45" s="32"/>
      <c r="RF45" s="32"/>
      <c r="RG45" s="9"/>
      <c r="RH45" s="31"/>
      <c r="RI45" s="31"/>
      <c r="RJ45" s="31"/>
      <c r="RK45" s="31"/>
      <c r="RL45" s="31"/>
      <c r="RM45" s="9"/>
      <c r="RN45" s="9"/>
      <c r="RO45" s="9"/>
      <c r="RP45" s="9"/>
      <c r="RQ45" s="9"/>
      <c r="RR45" s="9"/>
      <c r="RS45" s="31"/>
      <c r="RT45" s="31"/>
      <c r="RU45" s="31"/>
      <c r="RV45" s="31"/>
      <c r="RW45" s="31"/>
      <c r="RX45" s="9"/>
      <c r="RY45" s="9"/>
      <c r="RZ45" s="9"/>
      <c r="SA45" s="9"/>
      <c r="SB45" s="9"/>
      <c r="SC45" s="9" t="s">
        <v>900</v>
      </c>
      <c r="SD45" s="35">
        <v>0.0</v>
      </c>
      <c r="SE45" s="35">
        <v>0.0</v>
      </c>
      <c r="SF45" s="35">
        <v>0.0</v>
      </c>
      <c r="SG45" s="35">
        <v>0.0</v>
      </c>
      <c r="SH45" s="35">
        <v>0.0</v>
      </c>
      <c r="SI45" s="8">
        <v>1.0</v>
      </c>
      <c r="SJ45" s="8">
        <v>0.0</v>
      </c>
      <c r="SK45" s="8">
        <v>0.0</v>
      </c>
      <c r="SL45" s="8">
        <v>0.0</v>
      </c>
      <c r="SM45" s="9"/>
      <c r="SN45" s="9"/>
      <c r="SO45" s="31"/>
      <c r="SP45" s="31"/>
      <c r="SQ45" s="31"/>
      <c r="SR45" s="31"/>
      <c r="SS45" s="31"/>
      <c r="ST45" s="9"/>
      <c r="SU45" s="9"/>
      <c r="SV45" s="9"/>
      <c r="SW45" s="9"/>
      <c r="SX45" s="9"/>
      <c r="SY45" s="8">
        <f>VLOOKUP(AG45,'BUS 2'!$G$1:$CU$424,33,0)</f>
        <v>1</v>
      </c>
      <c r="SZ45" s="9" t="str">
        <f>VLOOKUP(AG45,'BUS 2'!$G$1:$CU$424,34,0)</f>
        <v/>
      </c>
      <c r="TA45" s="9" t="str">
        <f>VLOOKUP(AG45,'BUS 2'!$G$1:$CU$424,35,0)</f>
        <v/>
      </c>
      <c r="TB45" s="9" t="str">
        <f>VLOOKUP(AG45,'BUS 2'!$G$1:$CU$424,36,0)</f>
        <v/>
      </c>
      <c r="TC45" s="9" t="str">
        <f>VLOOKUP(AG45,'BUS 2'!$G$1:$CU$424,37,0)</f>
        <v/>
      </c>
      <c r="TD45" s="9" t="str">
        <f>VLOOKUP(AG45,'BUS 2'!$G$1:$CU$424,38,0)</f>
        <v/>
      </c>
      <c r="TE45" s="9">
        <f>VLOOKUP(AG45,'BUS 2'!$G$1:$CU$424,39,0)</f>
        <v>10</v>
      </c>
      <c r="TF45" s="9" t="str">
        <f>VLOOKUP(AG45,'BUS 2'!$G$1:$CU$424,40,0)</f>
        <v/>
      </c>
      <c r="TG45" s="8" t="str">
        <f>VLOOKUP(AG45,'BUS 2'!$G$1:$CU$424,42,0)</f>
        <v/>
      </c>
      <c r="TH45" s="8" t="str">
        <f>VLOOKUP(AG45,'BUS 2'!$G$1:$CU$424,43,0)</f>
        <v/>
      </c>
      <c r="TI45" s="8" t="str">
        <f>VLOOKUP(AG45,'BUS 2'!$G$1:$CU$424,44,0)</f>
        <v/>
      </c>
      <c r="TJ45" s="8" t="str">
        <f>VLOOKUP(AG45,'BUS 2'!$G$1:$CU$424,45,0)</f>
        <v/>
      </c>
      <c r="TK45" s="8" t="str">
        <f>VLOOKUP(AG45,'BUS 2'!$G$1:$CU$424,46,0)</f>
        <v/>
      </c>
      <c r="TL45" s="8" t="str">
        <f>VLOOKUP(AG45,'BUS 2'!$G$1:$CU$424,47,0)</f>
        <v/>
      </c>
      <c r="TM45" s="8" t="str">
        <f>VLOOKUP(AG45,'BUS 2'!$G$1:$CU$424,48,0)</f>
        <v/>
      </c>
      <c r="TN45" s="8" t="str">
        <f>VLOOKUP(AG45,'BUS 2'!$G$1:$CU$424,49,0)</f>
        <v/>
      </c>
      <c r="TO45" s="8">
        <f>VLOOKUP(AG45,'BUS 2'!$G$1:$CU$424,50,0)</f>
        <v>1</v>
      </c>
      <c r="TP45" s="8">
        <f>VLOOKUP(AG45,'BUS 2'!$G$1:$CU$424,51,0)</f>
        <v>0</v>
      </c>
      <c r="TQ45" s="8">
        <f>VLOOKUP(AG45,'BUS 2'!$G$1:$CU$424,52,0)</f>
        <v>0</v>
      </c>
      <c r="TR45" s="8">
        <f>VLOOKUP(AG45,'BUS 2'!$G$1:$CU$424,53,0)</f>
        <v>0</v>
      </c>
      <c r="TS45" s="9" t="str">
        <f>VLOOKUP(AG45,'BUS 2'!$G$1:$CU$424,54,0)</f>
        <v/>
      </c>
      <c r="TT45" s="9" t="str">
        <f>VLOOKUP(AG45,'BUS 2'!$G$1:$CU$424,55,0)</f>
        <v/>
      </c>
      <c r="TU45" s="9" t="str">
        <f>VLOOKUP(AG45,'BUS 2'!$G$1:$CU$424,56,0)</f>
        <v/>
      </c>
      <c r="TV45" s="9" t="str">
        <f>VLOOKUP(AG45,'BUS 2'!$G$1:$CU$424,57,0)</f>
        <v/>
      </c>
      <c r="TW45" s="9" t="str">
        <f>VLOOKUP(AG45,'BUS 2'!$G$1:$CU$424,58,0)</f>
        <v/>
      </c>
      <c r="TX45" s="9" t="str">
        <f>VLOOKUP(AG45,'BUS 2'!$G$1:$CU$424,59,0)</f>
        <v/>
      </c>
      <c r="TY45" s="9" t="str">
        <f>VLOOKUP(AG45,'BUS 2'!$G$1:$CU$424,60,0)</f>
        <v/>
      </c>
      <c r="TZ45" s="9" t="str">
        <f>VLOOKUP(AG45,'BUS 2'!$G$1:$CU$424,61,0)</f>
        <v/>
      </c>
      <c r="UA45" s="9" t="str">
        <f>VLOOKUP(AG45,'BUS 2'!$G$1:$CU$424,62,0)</f>
        <v/>
      </c>
      <c r="UB45" s="9" t="str">
        <f>VLOOKUP(AG45,'BUS 2'!$G$1:$CU$424,63,0)</f>
        <v/>
      </c>
      <c r="UC45" s="9" t="str">
        <f>VLOOKUP(AG45,'BUS 2'!$G$1:$CU$424,64,0)</f>
        <v/>
      </c>
      <c r="UD45" s="9" t="str">
        <f>VLOOKUP(AG45,'BUS 2'!$G$1:$CU$424,65,0)</f>
        <v/>
      </c>
      <c r="UE45" s="9" t="str">
        <f>VLOOKUP(AG45,'BUS 2'!$G$1:$CU$424,66,0)</f>
        <v/>
      </c>
      <c r="UF45" s="9" t="str">
        <f>VLOOKUP(AG45,'BUS 2'!$G$1:$CU$424,67,0)</f>
        <v/>
      </c>
      <c r="UG45" s="9" t="str">
        <f>VLOOKUP(AG45,'BUS 2'!$G$1:$CU$424,68,0)</f>
        <v/>
      </c>
      <c r="UH45" s="9" t="str">
        <f>VLOOKUP(AG45,'BUS 2'!$G$1:$CU$424,69,0)</f>
        <v/>
      </c>
      <c r="UI45" s="9" t="str">
        <f>VLOOKUP(AG45,'BUS 2'!$G$1:$CU$424,70,0)</f>
        <v/>
      </c>
      <c r="UJ45" s="9" t="str">
        <f>VLOOKUP(AG45,'BUS 2'!$G$1:$CU$424,71,0)</f>
        <v/>
      </c>
      <c r="UK45" s="9" t="str">
        <f>VLOOKUP(AG45,'BUS 2'!$G$1:$CU$424,72,0)</f>
        <v/>
      </c>
      <c r="UL45" s="9" t="str">
        <f>VLOOKUP(AG45,'BUS 2'!$G$1:$CU$424,73,0)</f>
        <v/>
      </c>
      <c r="UM45" s="9">
        <f>VLOOKUP(AG45,'BUS 2'!$G$1:$CU$424,74,0)</f>
        <v>0</v>
      </c>
      <c r="UN45" s="9">
        <f>VLOOKUP(AG45,'BUS 2'!$G$1:$CU$424,75,0)</f>
        <v>0</v>
      </c>
      <c r="UO45" s="9">
        <f>VLOOKUP(AG45,'BUS 2'!$G$1:$CU$424,76,0)</f>
        <v>10</v>
      </c>
      <c r="UP45" s="9">
        <f>VLOOKUP(AG45,'BUS 2'!$G$1:$CU$424,77,0)</f>
        <v>0</v>
      </c>
      <c r="UQ45" s="9" t="str">
        <f>VLOOKUP(AG45,'BUS 2'!$G$1:$CU$424,78,0)</f>
        <v/>
      </c>
      <c r="UR45" s="9" t="str">
        <f>VLOOKUP(AG45,'BUS 2'!$G$1:$CU$424,79,0)</f>
        <v/>
      </c>
      <c r="US45" s="9" t="str">
        <f>VLOOKUP(AG45,'BUS 2'!$G$1:$CU$424,80,0)</f>
        <v/>
      </c>
      <c r="UT45" s="9" t="str">
        <f>VLOOKUP(AG45,'BUS 2'!$G$1:$CU$424,81,0)</f>
        <v/>
      </c>
      <c r="UU45" s="9"/>
      <c r="UV45" s="9"/>
      <c r="UW45" s="9"/>
      <c r="UX45" s="9"/>
      <c r="UY45" s="9"/>
      <c r="UZ45" s="9"/>
      <c r="VA45" s="9" t="s">
        <v>1937</v>
      </c>
      <c r="VB45" s="9"/>
      <c r="VC45" s="9"/>
      <c r="VD45" s="9"/>
      <c r="VE45" s="9"/>
      <c r="VF45" s="9"/>
      <c r="VG45" s="9"/>
      <c r="VH45" s="9"/>
      <c r="VI45" s="9" t="s">
        <v>1938</v>
      </c>
      <c r="VJ45" s="9"/>
      <c r="VK45" s="9"/>
      <c r="VL45" s="9"/>
      <c r="VM45" s="9"/>
      <c r="VN45" s="9"/>
      <c r="VO45" s="9"/>
      <c r="VP45" s="9"/>
      <c r="VQ45" s="9" t="s">
        <v>1939</v>
      </c>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t="s">
        <v>951</v>
      </c>
      <c r="YO45" s="8">
        <v>0.0</v>
      </c>
      <c r="YP45" s="8">
        <v>0.0</v>
      </c>
      <c r="YQ45" s="8">
        <v>0.0</v>
      </c>
      <c r="YR45" s="8">
        <v>0.0</v>
      </c>
      <c r="YS45" s="8">
        <v>0.0</v>
      </c>
      <c r="YT45" s="8">
        <v>0.0</v>
      </c>
      <c r="YU45" s="8">
        <v>1.0</v>
      </c>
      <c r="YV45" s="8">
        <v>0.0</v>
      </c>
      <c r="YW45" s="8">
        <v>0.0</v>
      </c>
      <c r="YX45" s="8">
        <v>0.0</v>
      </c>
      <c r="YY45" s="8">
        <v>0.0</v>
      </c>
      <c r="YZ45" s="8">
        <v>0.0</v>
      </c>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8">
        <v>2.0</v>
      </c>
      <c r="AAC45" s="9"/>
      <c r="AAD45" s="9"/>
      <c r="AAE45" s="9"/>
      <c r="AAF45" s="9"/>
      <c r="AAG45" s="9"/>
      <c r="AAH45" s="9"/>
      <c r="AAI45" s="9"/>
      <c r="AAJ45" s="9" t="s">
        <v>905</v>
      </c>
      <c r="AAK45" s="9"/>
      <c r="AAL45" s="9" t="s">
        <v>881</v>
      </c>
      <c r="AAM45" s="9"/>
      <c r="AAN45" s="9"/>
      <c r="AAO45" s="9"/>
      <c r="AAP45" s="9"/>
      <c r="AAQ45" s="9"/>
      <c r="AAR45" s="9" t="s">
        <v>881</v>
      </c>
      <c r="AAS45" s="9" t="s">
        <v>1389</v>
      </c>
      <c r="AAT45" s="9" t="s">
        <v>2176</v>
      </c>
      <c r="AAU45" s="8">
        <v>0.0</v>
      </c>
      <c r="AAV45" s="8">
        <v>0.0</v>
      </c>
      <c r="AAW45" s="8">
        <v>0.0</v>
      </c>
      <c r="AAX45" s="8">
        <v>0.0</v>
      </c>
      <c r="AAY45" s="8">
        <v>0.0</v>
      </c>
      <c r="AAZ45" s="8">
        <v>1.0</v>
      </c>
      <c r="ABA45" s="8">
        <v>0.0</v>
      </c>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t="s">
        <v>955</v>
      </c>
      <c r="ACL45" s="8">
        <v>0.0</v>
      </c>
      <c r="ACM45" s="8">
        <v>0.0</v>
      </c>
      <c r="ACN45" s="8">
        <v>0.0</v>
      </c>
      <c r="ACO45" s="8">
        <v>1.0</v>
      </c>
      <c r="ACP45" s="8">
        <v>0.0</v>
      </c>
      <c r="ACQ45" s="8">
        <v>0.0</v>
      </c>
      <c r="ACR45" s="8">
        <v>0.0</v>
      </c>
      <c r="ACS45" s="9"/>
      <c r="ACT45" s="9" t="s">
        <v>1945</v>
      </c>
      <c r="ACU45" s="9" t="s">
        <v>1050</v>
      </c>
      <c r="ACV45" s="9" t="s">
        <v>996</v>
      </c>
      <c r="ACW45" s="9" t="s">
        <v>915</v>
      </c>
      <c r="ACX45" s="9" t="s">
        <v>916</v>
      </c>
      <c r="ACY45" s="9" t="s">
        <v>1017</v>
      </c>
      <c r="ACZ45" s="8">
        <v>1.0</v>
      </c>
      <c r="ADA45" s="8">
        <v>1.0</v>
      </c>
      <c r="ADB45" s="8">
        <v>1.0</v>
      </c>
      <c r="ADC45" s="8">
        <v>0.0</v>
      </c>
      <c r="ADD45" s="9" t="s">
        <v>917</v>
      </c>
      <c r="ADE45" s="9" t="s">
        <v>917</v>
      </c>
      <c r="ADF45" s="9" t="s">
        <v>917</v>
      </c>
      <c r="ADG45" s="9" t="s">
        <v>917</v>
      </c>
      <c r="ADH45" s="9" t="s">
        <v>881</v>
      </c>
      <c r="ADI45" s="9"/>
      <c r="ADJ45" s="9" t="s">
        <v>917</v>
      </c>
      <c r="ADK45" s="9"/>
      <c r="ADL45" s="9"/>
      <c r="ADM45" s="9"/>
      <c r="ADN45" s="9"/>
      <c r="ADO45" s="9"/>
      <c r="ADP45" s="9"/>
      <c r="ADQ45" s="9"/>
      <c r="ADR45" s="9"/>
      <c r="ADS45" s="9"/>
      <c r="ADT45" s="9"/>
      <c r="ADU45" s="9" t="s">
        <v>2046</v>
      </c>
      <c r="ADV45" s="8">
        <v>0.0</v>
      </c>
      <c r="ADW45" s="8">
        <v>0.0</v>
      </c>
      <c r="ADX45" s="8">
        <v>0.0</v>
      </c>
      <c r="ADY45" s="8">
        <v>0.0</v>
      </c>
      <c r="ADZ45" s="8">
        <v>0.0</v>
      </c>
      <c r="AEA45" s="8">
        <v>1.0</v>
      </c>
      <c r="AEB45" s="8">
        <v>0.0</v>
      </c>
      <c r="AEC45" s="8">
        <v>0.0</v>
      </c>
      <c r="AED45" s="9" t="s">
        <v>1945</v>
      </c>
      <c r="AEE45" s="9" t="s">
        <v>872</v>
      </c>
      <c r="AEF45" s="9"/>
      <c r="AEG45" s="9" t="s">
        <v>920</v>
      </c>
      <c r="AEH45" s="9"/>
      <c r="AEI45" s="9" t="s">
        <v>2770</v>
      </c>
      <c r="AEJ45" s="9" t="s">
        <v>871</v>
      </c>
      <c r="AEK45" s="9" t="s">
        <v>2380</v>
      </c>
      <c r="AEL45" s="8">
        <v>0.0</v>
      </c>
      <c r="AEM45" s="8">
        <v>0.0</v>
      </c>
      <c r="AEN45" s="8">
        <v>0.0</v>
      </c>
      <c r="AEO45" s="8">
        <v>0.0</v>
      </c>
      <c r="AEP45" s="8">
        <v>1.0</v>
      </c>
      <c r="AEQ45" s="8">
        <v>0.0</v>
      </c>
      <c r="AER45" s="8">
        <v>0.0</v>
      </c>
      <c r="AES45" s="8">
        <v>0.0</v>
      </c>
      <c r="AET45" s="8">
        <v>0.0</v>
      </c>
      <c r="AEU45" s="8">
        <v>0.0</v>
      </c>
      <c r="AEV45" s="8">
        <v>1.0</v>
      </c>
      <c r="AEW45" s="8">
        <v>0.0</v>
      </c>
      <c r="AEX45" s="9"/>
      <c r="AEY45" s="9" t="s">
        <v>1305</v>
      </c>
      <c r="AEZ45" s="9"/>
      <c r="AFA45" s="9" t="s">
        <v>2077</v>
      </c>
      <c r="AFB45" s="9"/>
      <c r="AFC45" s="9" t="s">
        <v>2771</v>
      </c>
      <c r="AFD45" s="16" t="s">
        <v>2772</v>
      </c>
      <c r="AFE45" s="9" t="s">
        <v>2773</v>
      </c>
      <c r="AFF45" s="16" t="s">
        <v>2774</v>
      </c>
      <c r="AFG45" s="9" t="s">
        <v>1919</v>
      </c>
      <c r="AFH45" s="9"/>
      <c r="AFI45" s="21" t="s">
        <v>2775</v>
      </c>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c r="ATS45" s="9"/>
      <c r="ATT45" s="9"/>
      <c r="ATU45" s="9"/>
      <c r="ATV45" s="9"/>
      <c r="ATW45" s="9"/>
      <c r="ATX45" s="9"/>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8">
        <v>6.73441558E8</v>
      </c>
      <c r="AWB45" s="9" t="s">
        <v>2776</v>
      </c>
      <c r="AWC45" s="6">
        <v>46069.0</v>
      </c>
      <c r="AWD45" s="9"/>
      <c r="AWE45" s="9"/>
      <c r="AWF45" s="9" t="s">
        <v>1954</v>
      </c>
      <c r="AWG45" s="9"/>
      <c r="AWH45" s="9" t="s">
        <v>1989</v>
      </c>
      <c r="AWI45" s="9"/>
      <c r="AWJ45" s="9" t="s">
        <v>2777</v>
      </c>
      <c r="AWK45" s="8">
        <v>308.0</v>
      </c>
      <c r="AWL45" s="9" t="s">
        <v>2768</v>
      </c>
      <c r="AWM45" s="8">
        <v>0.0</v>
      </c>
      <c r="AWN45" s="9" t="s">
        <v>1957</v>
      </c>
      <c r="AWO45" s="33" t="b">
        <v>1</v>
      </c>
      <c r="AWP45" s="33" t="b">
        <v>1</v>
      </c>
      <c r="AWQ45" s="33" t="b">
        <v>1</v>
      </c>
      <c r="AWR45" s="33" t="b">
        <v>1</v>
      </c>
      <c r="AWS45" s="33" t="b">
        <v>1</v>
      </c>
      <c r="AWT45" s="33" t="b">
        <v>1</v>
      </c>
      <c r="AWU45" s="9"/>
      <c r="AWV45" s="8">
        <v>9.0</v>
      </c>
      <c r="AWW45" s="9"/>
      <c r="AWX45" s="9"/>
      <c r="AWY45" s="9"/>
      <c r="AWZ45" s="9"/>
    </row>
    <row r="46">
      <c r="A46" s="6">
        <v>46069.0</v>
      </c>
      <c r="B46" s="6">
        <v>46070.0</v>
      </c>
      <c r="C46" s="30" t="s">
        <v>2443</v>
      </c>
      <c r="D46" s="30" t="s">
        <v>2778</v>
      </c>
      <c r="E46" s="8">
        <f t="shared" si="2"/>
        <v>620</v>
      </c>
      <c r="F46" s="9" t="s">
        <v>2779</v>
      </c>
      <c r="G46" s="8">
        <v>-5.141535</v>
      </c>
      <c r="H46" s="8">
        <v>119.686335</v>
      </c>
      <c r="I46" s="8">
        <v>140.074</v>
      </c>
      <c r="J46" s="8">
        <v>1.406999946</v>
      </c>
      <c r="K46" s="8">
        <v>0.0</v>
      </c>
      <c r="L46" s="9" t="s">
        <v>2780</v>
      </c>
      <c r="M46" s="8">
        <v>-5.141693</v>
      </c>
      <c r="N46" s="8">
        <v>119.686603</v>
      </c>
      <c r="O46" s="8">
        <v>102.962</v>
      </c>
      <c r="P46" s="8">
        <v>1.338000059</v>
      </c>
      <c r="Q46" s="8">
        <v>0.0</v>
      </c>
      <c r="R46" s="9" t="s">
        <v>1923</v>
      </c>
      <c r="S46" s="8">
        <v>0.0</v>
      </c>
      <c r="T46" s="8">
        <v>0.0</v>
      </c>
      <c r="U46" s="8">
        <v>0.0</v>
      </c>
      <c r="V46" s="8">
        <v>0.0</v>
      </c>
      <c r="W46" s="8">
        <v>0.0</v>
      </c>
      <c r="X46" s="8">
        <v>0.0</v>
      </c>
      <c r="Y46" s="8">
        <v>0.0</v>
      </c>
      <c r="Z46" s="8">
        <v>0.0</v>
      </c>
      <c r="AA46" s="8">
        <v>0.0</v>
      </c>
      <c r="AB46" s="8">
        <v>1.0</v>
      </c>
      <c r="AC46" s="7" t="s">
        <v>1924</v>
      </c>
      <c r="AD46" s="7" t="s">
        <v>2088</v>
      </c>
      <c r="AE46" s="7" t="s">
        <v>2088</v>
      </c>
      <c r="AF46" s="9" t="s">
        <v>2090</v>
      </c>
      <c r="AG46" s="9" t="s">
        <v>2781</v>
      </c>
      <c r="AH46" s="8">
        <v>9.0</v>
      </c>
      <c r="AI46" s="9" t="s">
        <v>845</v>
      </c>
      <c r="AJ46" s="9" t="s">
        <v>934</v>
      </c>
      <c r="AK46" s="35">
        <v>62.0</v>
      </c>
      <c r="AL46" s="9" t="s">
        <v>847</v>
      </c>
      <c r="AM46" s="9" t="s">
        <v>848</v>
      </c>
      <c r="AN46" s="9" t="s">
        <v>1009</v>
      </c>
      <c r="AO46" s="9" t="s">
        <v>850</v>
      </c>
      <c r="AP46" s="8">
        <v>1.0</v>
      </c>
      <c r="AQ46" s="8">
        <v>0.0</v>
      </c>
      <c r="AR46" s="8">
        <v>0.0</v>
      </c>
      <c r="AS46" s="8">
        <v>0.0</v>
      </c>
      <c r="AT46" s="8">
        <v>0.0</v>
      </c>
      <c r="AU46" s="8">
        <v>0.0</v>
      </c>
      <c r="AV46" s="8">
        <v>0.0</v>
      </c>
      <c r="AW46" s="8">
        <v>0.0</v>
      </c>
      <c r="AX46" s="9"/>
      <c r="AY46" s="9" t="s">
        <v>935</v>
      </c>
      <c r="AZ46" s="8">
        <v>0.0</v>
      </c>
      <c r="BA46" s="8">
        <v>1.0</v>
      </c>
      <c r="BB46" s="8">
        <v>0.0</v>
      </c>
      <c r="BC46" s="8">
        <v>0.0</v>
      </c>
      <c r="BD46" s="8">
        <v>0.0</v>
      </c>
      <c r="BE46" s="8">
        <v>0.0</v>
      </c>
      <c r="BF46" s="8">
        <v>0.0</v>
      </c>
      <c r="BG46" s="8">
        <v>0.0</v>
      </c>
      <c r="BH46" s="11"/>
      <c r="BI46" s="9" t="s">
        <v>936</v>
      </c>
      <c r="BJ46" s="8">
        <v>1.0</v>
      </c>
      <c r="BK46" s="8">
        <v>1.0</v>
      </c>
      <c r="BL46" s="8">
        <v>0.0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1929</v>
      </c>
      <c r="CD46" s="8">
        <v>0.0</v>
      </c>
      <c r="CE46" s="8">
        <v>0.0</v>
      </c>
      <c r="CF46" s="8">
        <v>0.0</v>
      </c>
      <c r="CG46" s="8">
        <v>0.0</v>
      </c>
      <c r="CH46" s="8">
        <v>1.0</v>
      </c>
      <c r="CI46" s="8">
        <v>0.0</v>
      </c>
      <c r="CJ46" s="8">
        <v>0.0</v>
      </c>
      <c r="CK46" s="9"/>
      <c r="CL46" s="9" t="s">
        <v>857</v>
      </c>
      <c r="CM46" s="8">
        <v>2017.0</v>
      </c>
      <c r="CN46" s="9" t="s">
        <v>858</v>
      </c>
      <c r="CO46" s="9" t="s">
        <v>859</v>
      </c>
      <c r="CP46" s="9" t="s">
        <v>860</v>
      </c>
      <c r="CQ46" s="8">
        <v>0.0</v>
      </c>
      <c r="CR46" s="8">
        <v>0.0</v>
      </c>
      <c r="CS46" s="8">
        <v>0.0</v>
      </c>
      <c r="CT46" s="8">
        <v>0.0</v>
      </c>
      <c r="CU46" s="8">
        <v>1.0</v>
      </c>
      <c r="CV46" s="8">
        <v>0.0</v>
      </c>
      <c r="CW46" s="8">
        <v>0.0</v>
      </c>
      <c r="CX46" s="8">
        <v>0.0</v>
      </c>
      <c r="CY46" s="9" t="s">
        <v>860</v>
      </c>
      <c r="CZ46" s="8">
        <v>1.0</v>
      </c>
      <c r="DA46" s="8">
        <v>0.0</v>
      </c>
      <c r="DB46" s="8">
        <v>0.0</v>
      </c>
      <c r="DC46" s="9"/>
      <c r="DD46" s="9" t="s">
        <v>860</v>
      </c>
      <c r="DE46" s="8">
        <v>1.0</v>
      </c>
      <c r="DF46" s="8">
        <v>0.0</v>
      </c>
      <c r="DG46" s="8">
        <v>0.0</v>
      </c>
      <c r="DH46" s="8">
        <v>0.0</v>
      </c>
      <c r="DI46" s="9"/>
      <c r="DJ46" s="9" t="s">
        <v>860</v>
      </c>
      <c r="DK46" s="8">
        <v>1.0</v>
      </c>
      <c r="DL46" s="8">
        <v>0.0</v>
      </c>
      <c r="DM46" s="8">
        <v>0.0</v>
      </c>
      <c r="DN46" s="8">
        <v>0.0</v>
      </c>
      <c r="DO46" s="9"/>
      <c r="DP46" s="9" t="s">
        <v>938</v>
      </c>
      <c r="DQ46" s="9" t="s">
        <v>939</v>
      </c>
      <c r="DR46" s="17" t="s">
        <v>2782</v>
      </c>
      <c r="DS46" s="9"/>
      <c r="DT46" s="9"/>
      <c r="DU46" s="9"/>
      <c r="DV46" s="9"/>
      <c r="DW46" s="9"/>
      <c r="DX46" s="9"/>
      <c r="DY46" s="9"/>
      <c r="DZ46" s="9"/>
      <c r="EA46" s="9"/>
      <c r="EB46" s="9"/>
      <c r="EC46" s="9"/>
      <c r="ED46" s="9"/>
      <c r="EE46" s="9"/>
      <c r="EF46" s="9"/>
      <c r="EG46" s="9"/>
      <c r="EH46" s="9"/>
      <c r="EI46" s="9" t="s">
        <v>988</v>
      </c>
      <c r="EJ46" s="8">
        <v>0.0</v>
      </c>
      <c r="EK46" s="8">
        <v>0.0</v>
      </c>
      <c r="EL46" s="8">
        <v>1.0</v>
      </c>
      <c r="EM46" s="8">
        <v>0.0</v>
      </c>
      <c r="EN46" s="8">
        <v>0.0</v>
      </c>
      <c r="EO46" s="9"/>
      <c r="EP46" s="9" t="s">
        <v>863</v>
      </c>
      <c r="EQ46" s="9" t="s">
        <v>1380</v>
      </c>
      <c r="ER46" s="9" t="s">
        <v>861</v>
      </c>
      <c r="ES46" s="8">
        <v>1.0</v>
      </c>
      <c r="ET46" s="8">
        <v>0.0</v>
      </c>
      <c r="EU46" s="8">
        <v>0.0</v>
      </c>
      <c r="EV46" s="8">
        <v>0.0</v>
      </c>
      <c r="EW46" s="9"/>
      <c r="EX46" s="9" t="s">
        <v>865</v>
      </c>
      <c r="EY46" s="8">
        <v>1.0</v>
      </c>
      <c r="EZ46" s="8">
        <v>0.0</v>
      </c>
      <c r="FA46" s="8">
        <v>0.0</v>
      </c>
      <c r="FB46" s="9"/>
      <c r="FC46" s="9" t="s">
        <v>1028</v>
      </c>
      <c r="FD46" s="9"/>
      <c r="FE46" s="9" t="s">
        <v>867</v>
      </c>
      <c r="FF46" s="9" t="s">
        <v>869</v>
      </c>
      <c r="FG46" s="9" t="s">
        <v>867</v>
      </c>
      <c r="FH46" s="9" t="s">
        <v>869</v>
      </c>
      <c r="FI46" s="9" t="s">
        <v>867</v>
      </c>
      <c r="FJ46" s="9" t="s">
        <v>868</v>
      </c>
      <c r="FK46" s="9" t="s">
        <v>867</v>
      </c>
      <c r="FL46" s="9" t="s">
        <v>870</v>
      </c>
      <c r="FM46" s="9" t="s">
        <v>867</v>
      </c>
      <c r="FN46" s="9" t="s">
        <v>943</v>
      </c>
      <c r="FO46" s="9" t="s">
        <v>867</v>
      </c>
      <c r="FP46" s="9" t="s">
        <v>943</v>
      </c>
      <c r="FQ46" s="9" t="s">
        <v>867</v>
      </c>
      <c r="FR46" s="9" t="s">
        <v>857</v>
      </c>
      <c r="FS46" s="9" t="s">
        <v>867</v>
      </c>
      <c r="FT46" s="9" t="s">
        <v>871</v>
      </c>
      <c r="FU46" s="9" t="s">
        <v>872</v>
      </c>
      <c r="FV46" s="8">
        <v>1.0</v>
      </c>
      <c r="FW46" s="8">
        <v>0.0</v>
      </c>
      <c r="FX46" s="8">
        <v>0.0</v>
      </c>
      <c r="FY46" s="8">
        <v>0.0</v>
      </c>
      <c r="FZ46" s="9" t="s">
        <v>1197</v>
      </c>
      <c r="GA46" s="9" t="s">
        <v>2783</v>
      </c>
      <c r="GB46" s="8">
        <v>1.0</v>
      </c>
      <c r="GC46" s="8">
        <v>0.0</v>
      </c>
      <c r="GD46" s="8">
        <v>1.0</v>
      </c>
      <c r="GE46" s="8">
        <v>0.0</v>
      </c>
      <c r="GF46" s="9"/>
      <c r="GG46" s="9" t="s">
        <v>875</v>
      </c>
      <c r="GH46" s="9" t="s">
        <v>857</v>
      </c>
      <c r="GI46" s="9" t="s">
        <v>1930</v>
      </c>
      <c r="GJ46" s="8">
        <v>1.0</v>
      </c>
      <c r="GK46" s="8">
        <v>1.0</v>
      </c>
      <c r="GL46" s="8">
        <v>1.0</v>
      </c>
      <c r="GM46" s="8">
        <v>0.0</v>
      </c>
      <c r="GN46" s="9"/>
      <c r="GO46" s="8">
        <v>9.0</v>
      </c>
      <c r="GP46" s="34" t="s">
        <v>1931</v>
      </c>
      <c r="GQ46" s="9" t="s">
        <v>1102</v>
      </c>
      <c r="GR46" s="8">
        <v>1.0</v>
      </c>
      <c r="GS46" s="8">
        <v>0.0</v>
      </c>
      <c r="GT46" s="8">
        <v>0.0</v>
      </c>
      <c r="GU46" s="8">
        <v>0.0</v>
      </c>
      <c r="GV46" s="8">
        <v>0.0</v>
      </c>
      <c r="GW46" s="8">
        <v>0.0</v>
      </c>
      <c r="GX46" s="8">
        <v>0.0</v>
      </c>
      <c r="GY46" s="9"/>
      <c r="GZ46" s="9" t="s">
        <v>857</v>
      </c>
      <c r="HA46" s="9"/>
      <c r="HB46" s="9"/>
      <c r="HC46" s="9"/>
      <c r="HD46" s="9"/>
      <c r="HE46" s="8">
        <v>15.0</v>
      </c>
      <c r="HF46" s="8">
        <v>90000.0</v>
      </c>
      <c r="HG46" s="8">
        <v>3.0</v>
      </c>
      <c r="HH46" s="8">
        <v>22000.0</v>
      </c>
      <c r="HI46" s="9"/>
      <c r="HJ46" s="9"/>
      <c r="HK46" s="9"/>
      <c r="HL46" s="9"/>
      <c r="HM46" s="9"/>
      <c r="HN46" s="9"/>
      <c r="HO46" s="9"/>
      <c r="HP46" s="9"/>
      <c r="HQ46" s="9"/>
      <c r="HR46" s="9"/>
      <c r="HS46" s="9"/>
      <c r="HT46" s="9"/>
      <c r="HU46" s="9"/>
      <c r="HV46" s="9"/>
      <c r="HW46" s="9"/>
      <c r="HX46" s="9"/>
      <c r="HY46" s="9"/>
      <c r="HZ46" s="9"/>
      <c r="IA46" s="8">
        <v>12.0</v>
      </c>
      <c r="IB46" s="8">
        <v>68000.0</v>
      </c>
      <c r="IC46" s="9"/>
      <c r="ID46" s="9"/>
      <c r="IE46" s="9"/>
      <c r="IF46" s="9"/>
      <c r="IG46" s="9"/>
      <c r="IH46" s="9"/>
      <c r="II46" s="9"/>
      <c r="IJ46" s="9"/>
      <c r="IK46" s="9" t="s">
        <v>1932</v>
      </c>
      <c r="IL46" s="9" t="s">
        <v>1366</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884</v>
      </c>
      <c r="KT46" s="9" t="s">
        <v>886</v>
      </c>
      <c r="KU46" s="9" t="s">
        <v>886</v>
      </c>
      <c r="KV46" s="9" t="s">
        <v>1014</v>
      </c>
      <c r="KW46" s="8">
        <v>0.0</v>
      </c>
      <c r="KX46" s="8">
        <v>1.0</v>
      </c>
      <c r="KY46" s="8">
        <v>0.0</v>
      </c>
      <c r="KZ46" s="8">
        <v>0.0</v>
      </c>
      <c r="LA46" s="9" t="s">
        <v>884</v>
      </c>
      <c r="LB46" s="9" t="s">
        <v>884</v>
      </c>
      <c r="LC46" s="8">
        <v>5.0</v>
      </c>
      <c r="LD46" s="8">
        <v>2.0</v>
      </c>
      <c r="LE46" s="8">
        <v>0.0</v>
      </c>
      <c r="LF46" s="8">
        <v>0.0</v>
      </c>
      <c r="LG46" s="9" t="s">
        <v>857</v>
      </c>
      <c r="LH46" s="8">
        <v>100000.0</v>
      </c>
      <c r="LI46" s="9"/>
      <c r="LJ46" s="9" t="s">
        <v>2360</v>
      </c>
      <c r="LK46" s="8">
        <v>0.0</v>
      </c>
      <c r="LL46" s="8">
        <v>0.0</v>
      </c>
      <c r="LM46" s="8">
        <v>0.0</v>
      </c>
      <c r="LN46" s="8">
        <v>1.0</v>
      </c>
      <c r="LO46" s="8">
        <v>1.0</v>
      </c>
      <c r="LP46" s="8">
        <v>0.0</v>
      </c>
      <c r="LQ46" s="8">
        <v>0.0</v>
      </c>
      <c r="LR46" s="11"/>
      <c r="LS46" s="8">
        <v>15.0</v>
      </c>
      <c r="LT46" s="8">
        <v>0.0</v>
      </c>
      <c r="LU46" s="8">
        <v>0.0</v>
      </c>
      <c r="LV46" s="8">
        <v>10.0</v>
      </c>
      <c r="LW46" s="8">
        <v>0.0</v>
      </c>
      <c r="LX46" s="8">
        <v>0.0</v>
      </c>
      <c r="LY46" s="8">
        <v>10.0</v>
      </c>
      <c r="LZ46" s="8">
        <v>0.0</v>
      </c>
      <c r="MA46" s="8">
        <v>0.0</v>
      </c>
      <c r="MB46" s="9" t="s">
        <v>857</v>
      </c>
      <c r="MC46" s="8">
        <v>0.0</v>
      </c>
      <c r="MD46" s="8">
        <v>0.0</v>
      </c>
      <c r="ME46" s="8">
        <v>0.0</v>
      </c>
      <c r="MF46" s="8">
        <v>0.0</v>
      </c>
      <c r="MG46" s="8">
        <v>0.0</v>
      </c>
      <c r="MH46" s="8">
        <v>0.0</v>
      </c>
      <c r="MI46" s="9" t="s">
        <v>946</v>
      </c>
      <c r="MJ46" s="8">
        <v>0.0</v>
      </c>
      <c r="MK46" s="8">
        <v>0.0</v>
      </c>
      <c r="ML46" s="8">
        <v>1.0</v>
      </c>
      <c r="MM46" s="8">
        <v>0.0</v>
      </c>
      <c r="MN46" s="8">
        <v>0.0</v>
      </c>
      <c r="MO46" s="8">
        <v>0.0</v>
      </c>
      <c r="MP46" s="9"/>
      <c r="MQ46" s="9"/>
      <c r="MR46" s="36" t="s">
        <v>2120</v>
      </c>
      <c r="MS46" s="9"/>
      <c r="MT46" s="9" t="s">
        <v>2120</v>
      </c>
      <c r="MU46" s="9" t="s">
        <v>1030</v>
      </c>
      <c r="MV46" s="9" t="s">
        <v>1104</v>
      </c>
      <c r="MW46" s="8">
        <v>1.0</v>
      </c>
      <c r="MX46" s="8">
        <v>1.0</v>
      </c>
      <c r="MY46" s="8">
        <v>0.0</v>
      </c>
      <c r="MZ46" s="8">
        <v>0.0</v>
      </c>
      <c r="NA46" s="9"/>
      <c r="NB46" s="9"/>
      <c r="NC46" s="9"/>
      <c r="ND46" s="9"/>
      <c r="NE46" s="9"/>
      <c r="NF46" s="9"/>
      <c r="NG46" s="9"/>
      <c r="NH46" s="9"/>
      <c r="NI46" s="9"/>
      <c r="NJ46" s="9"/>
      <c r="NK46" s="9"/>
      <c r="NL46" s="9" t="s">
        <v>857</v>
      </c>
      <c r="NM46" s="9" t="s">
        <v>1386</v>
      </c>
      <c r="NN46" s="17" t="s">
        <v>1975</v>
      </c>
      <c r="NO46" s="17" t="s">
        <v>994</v>
      </c>
      <c r="NP46" s="9"/>
      <c r="NQ46" s="9"/>
      <c r="NR46" s="9"/>
      <c r="NS46" s="9"/>
      <c r="NT46" s="9"/>
      <c r="NU46" s="9"/>
      <c r="NV46" s="9"/>
      <c r="NW46" s="9"/>
      <c r="NX46" s="9" t="s">
        <v>897</v>
      </c>
      <c r="NY46" s="8">
        <v>120.0</v>
      </c>
      <c r="NZ46" s="8">
        <v>0.0</v>
      </c>
      <c r="OA46" s="8">
        <v>0.0</v>
      </c>
      <c r="OB46" s="8">
        <v>0.0</v>
      </c>
      <c r="OC46" s="8">
        <v>0.0</v>
      </c>
      <c r="OD46" s="8">
        <v>0.0</v>
      </c>
      <c r="OE46" s="9" t="s">
        <v>898</v>
      </c>
      <c r="OF46" s="9" t="s">
        <v>1184</v>
      </c>
      <c r="OG46" s="9" t="s">
        <v>857</v>
      </c>
      <c r="OH46" s="8">
        <v>1.0</v>
      </c>
      <c r="OI46" s="8">
        <v>0.0</v>
      </c>
      <c r="OJ46" s="8">
        <v>0.0</v>
      </c>
      <c r="OK46" s="8">
        <v>0.0</v>
      </c>
      <c r="OL46" s="8">
        <v>0.0</v>
      </c>
      <c r="OM46" s="8">
        <v>0.0</v>
      </c>
      <c r="ON46" s="8">
        <v>7.0</v>
      </c>
      <c r="OO46" s="8">
        <v>0.0</v>
      </c>
      <c r="OP46" s="9" t="str">
        <f>VLOOKUP(AG46,'BUS 2'!$G$1:$CU$424,2,0)</f>
        <v>Sapi pedaging Ayam</v>
      </c>
      <c r="OQ46" s="8">
        <f>VLOOKUP(AG46,'BUS 2'!$G$1:$CU$424,3,0)</f>
        <v>1</v>
      </c>
      <c r="OR46" s="8">
        <f>VLOOKUP(AG46,'BUS 2'!$G$1:$CU$424,4,0)</f>
        <v>0</v>
      </c>
      <c r="OS46" s="8">
        <f>VLOOKUP(AG46,'BUS 2'!$G$1:$CU$424,5,0)</f>
        <v>0</v>
      </c>
      <c r="OT46" s="8">
        <f>VLOOKUP(AG46,'BUS 2'!$G$1:$CU$424,6,0)</f>
        <v>0</v>
      </c>
      <c r="OU46" s="8">
        <f>VLOOKUP(AG46,'BUS 2'!$G$1:$CU$424,7,0)</f>
        <v>0</v>
      </c>
      <c r="OV46" s="8">
        <f>VLOOKUP(AG46,'BUS 2'!$G$1:$CU$424,8,0)</f>
        <v>0</v>
      </c>
      <c r="OW46" s="8">
        <f>VLOOKUP(AG46,'BUS 2'!$G$1:$CU$424,9,0)</f>
        <v>1</v>
      </c>
      <c r="OX46" s="8">
        <f>VLOOKUP(AG46,'BUS 2'!$G$1:$CU$424,10,0)</f>
        <v>0</v>
      </c>
      <c r="OY46" s="8">
        <f>VLOOKUP(AG46,'BUS 2'!$G$1:$CU$424,11,0)</f>
        <v>0</v>
      </c>
      <c r="OZ46" s="8" t="str">
        <f>VLOOKUP(AG46,'BUS 2'!$G$1:$CU$424,12,0)</f>
        <v>Tidak ada</v>
      </c>
      <c r="PA46" s="8">
        <f>VLOOKUP(AG46,'BUS 2'!$G$1:$CU$424,13,0)</f>
        <v>0</v>
      </c>
      <c r="PB46" s="8">
        <f>VLOOKUP(AG46,'BUS 2'!$G$1:$CU$424,14,0)</f>
        <v>0</v>
      </c>
      <c r="PC46" s="8">
        <f>VLOOKUP(AG46,'BUS 2'!$G$1:$CU$424,15,0)</f>
        <v>0</v>
      </c>
      <c r="PD46" s="8">
        <f>VLOOKUP(AG46,'BUS 2'!$G$1:$CU$424,16,0)</f>
        <v>0</v>
      </c>
      <c r="PE46" s="8">
        <f>VLOOKUP(AG46,'BUS 2'!$G$1:$CU$424,17,0)</f>
        <v>0</v>
      </c>
      <c r="PF46" s="8">
        <f>VLOOKUP(AG46,'BUS 2'!$G$1:$CU$424,18,0)</f>
        <v>0</v>
      </c>
      <c r="PG46" s="8">
        <f>VLOOKUP(AG46,'BUS 2'!$G$1:$CU$424,19,0)</f>
        <v>0</v>
      </c>
      <c r="PH46" s="8">
        <f>VLOOKUP(AG46,'BUS 2'!$G$1:$CU$424,20,0)</f>
        <v>0</v>
      </c>
      <c r="PI46" s="8">
        <f>VLOOKUP(AG46,'BUS 2'!$G$1:$CU$424,21,0)</f>
        <v>1</v>
      </c>
      <c r="PJ46" s="8" t="str">
        <f>VLOOKUP(AG46,'BUS 2'!$G$1:$CU$424,22,0)</f>
        <v>Sapi pedaging Ayam</v>
      </c>
      <c r="PK46" s="8">
        <f>VLOOKUP(AG46,'BUS 2'!$G$1:$CU$424,23,0)</f>
        <v>1</v>
      </c>
      <c r="PL46" s="8">
        <f>VLOOKUP(AG46,'BUS 2'!$G$1:$CU$424,24,0)</f>
        <v>0</v>
      </c>
      <c r="PM46" s="8">
        <f>VLOOKUP(AG46,'BUS 2'!$G$1:$CU$424,25,0)</f>
        <v>0</v>
      </c>
      <c r="PN46" s="8">
        <f>VLOOKUP(AG46,'BUS 2'!$G$1:$CU$424,26,0)</f>
        <v>0</v>
      </c>
      <c r="PO46" s="8">
        <f>VLOOKUP(AG46,'BUS 2'!$G$1:$CU$424,27,0)</f>
        <v>0</v>
      </c>
      <c r="PP46" s="8">
        <f>VLOOKUP(AG46,'BUS 2'!$G$1:$CU$424,28,0)</f>
        <v>0</v>
      </c>
      <c r="PQ46" s="8">
        <f>VLOOKUP(AG46,'BUS 2'!$G$1:$CU$424,29,0)</f>
        <v>1</v>
      </c>
      <c r="PR46" s="8">
        <f>VLOOKUP(AG46,'BUS 2'!$G$1:$CU$424,30,0)</f>
        <v>0</v>
      </c>
      <c r="PS46" s="8">
        <f>VLOOKUP(AG46,'BUS 2'!$G$1:$CU$424,31,0)</f>
        <v>0</v>
      </c>
      <c r="PT46" s="9" t="s">
        <v>900</v>
      </c>
      <c r="PU46" s="8">
        <v>0.0</v>
      </c>
      <c r="PV46" s="8">
        <v>0.0</v>
      </c>
      <c r="PW46" s="8">
        <v>0.0</v>
      </c>
      <c r="PX46" s="8">
        <v>0.0</v>
      </c>
      <c r="PY46" s="8">
        <v>0.0</v>
      </c>
      <c r="PZ46" s="8">
        <v>1.0</v>
      </c>
      <c r="QA46" s="8">
        <v>0.0</v>
      </c>
      <c r="QB46" s="8">
        <v>0.0</v>
      </c>
      <c r="QC46" s="8">
        <v>0.0</v>
      </c>
      <c r="QD46" s="9"/>
      <c r="QE46" s="32"/>
      <c r="QF46" s="31"/>
      <c r="QG46" s="31"/>
      <c r="QH46" s="31"/>
      <c r="QI46" s="31"/>
      <c r="QJ46" s="31"/>
      <c r="QK46" s="32"/>
      <c r="QL46" s="32"/>
      <c r="QM46" s="32"/>
      <c r="QN46" s="32"/>
      <c r="QO46" s="32"/>
      <c r="QP46" s="32"/>
      <c r="QQ46" s="32"/>
      <c r="QR46" s="32"/>
      <c r="QS46" s="32"/>
      <c r="QT46" s="32"/>
      <c r="QU46" s="32"/>
      <c r="QV46" s="32"/>
      <c r="QW46" s="31"/>
      <c r="QX46" s="31"/>
      <c r="QY46" s="31"/>
      <c r="QZ46" s="31"/>
      <c r="RA46" s="31"/>
      <c r="RB46" s="32"/>
      <c r="RC46" s="32"/>
      <c r="RD46" s="32"/>
      <c r="RE46" s="32"/>
      <c r="RF46" s="32"/>
      <c r="RG46" s="9"/>
      <c r="RH46" s="31"/>
      <c r="RI46" s="31"/>
      <c r="RJ46" s="31"/>
      <c r="RK46" s="31"/>
      <c r="RL46" s="31"/>
      <c r="RM46" s="9"/>
      <c r="RN46" s="9"/>
      <c r="RO46" s="9"/>
      <c r="RP46" s="9"/>
      <c r="RQ46" s="9"/>
      <c r="RR46" s="9"/>
      <c r="RS46" s="31"/>
      <c r="RT46" s="31"/>
      <c r="RU46" s="31"/>
      <c r="RV46" s="31"/>
      <c r="RW46" s="31"/>
      <c r="RX46" s="9"/>
      <c r="RY46" s="9"/>
      <c r="RZ46" s="9"/>
      <c r="SA46" s="9"/>
      <c r="SB46" s="9"/>
      <c r="SC46" s="9" t="s">
        <v>900</v>
      </c>
      <c r="SD46" s="35">
        <v>0.0</v>
      </c>
      <c r="SE46" s="35">
        <v>0.0</v>
      </c>
      <c r="SF46" s="35">
        <v>0.0</v>
      </c>
      <c r="SG46" s="35">
        <v>0.0</v>
      </c>
      <c r="SH46" s="35">
        <v>0.0</v>
      </c>
      <c r="SI46" s="8">
        <v>1.0</v>
      </c>
      <c r="SJ46" s="8">
        <v>0.0</v>
      </c>
      <c r="SK46" s="8">
        <v>0.0</v>
      </c>
      <c r="SL46" s="8">
        <v>0.0</v>
      </c>
      <c r="SM46" s="9"/>
      <c r="SN46" s="9"/>
      <c r="SO46" s="31"/>
      <c r="SP46" s="31"/>
      <c r="SQ46" s="31"/>
      <c r="SR46" s="31"/>
      <c r="SS46" s="31"/>
      <c r="ST46" s="9"/>
      <c r="SU46" s="9"/>
      <c r="SV46" s="9"/>
      <c r="SW46" s="9"/>
      <c r="SX46" s="9"/>
      <c r="SY46" s="8">
        <f>VLOOKUP(AG46,'BUS 2'!$G$1:$CU$424,33,0)</f>
        <v>4</v>
      </c>
      <c r="SZ46" s="9" t="str">
        <f>VLOOKUP(AG46,'BUS 2'!$G$1:$CU$424,34,0)</f>
        <v/>
      </c>
      <c r="TA46" s="9" t="str">
        <f>VLOOKUP(AG46,'BUS 2'!$G$1:$CU$424,35,0)</f>
        <v/>
      </c>
      <c r="TB46" s="9" t="str">
        <f>VLOOKUP(AG46,'BUS 2'!$G$1:$CU$424,36,0)</f>
        <v/>
      </c>
      <c r="TC46" s="9" t="str">
        <f>VLOOKUP(AG46,'BUS 2'!$G$1:$CU$424,37,0)</f>
        <v/>
      </c>
      <c r="TD46" s="9" t="str">
        <f>VLOOKUP(AG46,'BUS 2'!$G$1:$CU$424,38,0)</f>
        <v/>
      </c>
      <c r="TE46" s="9">
        <f>VLOOKUP(AG46,'BUS 2'!$G$1:$CU$424,39,0)</f>
        <v>7</v>
      </c>
      <c r="TF46" s="9" t="str">
        <f>VLOOKUP(AG46,'BUS 2'!$G$1:$CU$424,40,0)</f>
        <v/>
      </c>
      <c r="TG46" s="8" t="str">
        <f>VLOOKUP(AG46,'BUS 2'!$G$1:$CU$424,42,0)</f>
        <v/>
      </c>
      <c r="TH46" s="8" t="str">
        <f>VLOOKUP(AG46,'BUS 2'!$G$1:$CU$424,43,0)</f>
        <v/>
      </c>
      <c r="TI46" s="8" t="str">
        <f>VLOOKUP(AG46,'BUS 2'!$G$1:$CU$424,44,0)</f>
        <v/>
      </c>
      <c r="TJ46" s="8" t="str">
        <f>VLOOKUP(AG46,'BUS 2'!$G$1:$CU$424,45,0)</f>
        <v/>
      </c>
      <c r="TK46" s="8" t="str">
        <f>VLOOKUP(AG46,'BUS 2'!$G$1:$CU$424,46,0)</f>
        <v/>
      </c>
      <c r="TL46" s="8" t="str">
        <f>VLOOKUP(AG46,'BUS 2'!$G$1:$CU$424,47,0)</f>
        <v/>
      </c>
      <c r="TM46" s="8" t="str">
        <f>VLOOKUP(AG46,'BUS 2'!$G$1:$CU$424,48,0)</f>
        <v/>
      </c>
      <c r="TN46" s="8" t="str">
        <f>VLOOKUP(AG46,'BUS 2'!$G$1:$CU$424,49,0)</f>
        <v/>
      </c>
      <c r="TO46" s="8">
        <f>VLOOKUP(AG46,'BUS 2'!$G$1:$CU$424,50,0)</f>
        <v>3</v>
      </c>
      <c r="TP46" s="8">
        <f>VLOOKUP(AG46,'BUS 2'!$G$1:$CU$424,51,0)</f>
        <v>0</v>
      </c>
      <c r="TQ46" s="8">
        <f>VLOOKUP(AG46,'BUS 2'!$G$1:$CU$424,52,0)</f>
        <v>0</v>
      </c>
      <c r="TR46" s="8">
        <f>VLOOKUP(AG46,'BUS 2'!$G$1:$CU$424,53,0)</f>
        <v>0</v>
      </c>
      <c r="TS46" s="9" t="str">
        <f>VLOOKUP(AG46,'BUS 2'!$G$1:$CU$424,54,0)</f>
        <v/>
      </c>
      <c r="TT46" s="9" t="str">
        <f>VLOOKUP(AG46,'BUS 2'!$G$1:$CU$424,55,0)</f>
        <v/>
      </c>
      <c r="TU46" s="9" t="str">
        <f>VLOOKUP(AG46,'BUS 2'!$G$1:$CU$424,56,0)</f>
        <v/>
      </c>
      <c r="TV46" s="9" t="str">
        <f>VLOOKUP(AG46,'BUS 2'!$G$1:$CU$424,57,0)</f>
        <v/>
      </c>
      <c r="TW46" s="9" t="str">
        <f>VLOOKUP(AG46,'BUS 2'!$G$1:$CU$424,58,0)</f>
        <v/>
      </c>
      <c r="TX46" s="9" t="str">
        <f>VLOOKUP(AG46,'BUS 2'!$G$1:$CU$424,59,0)</f>
        <v/>
      </c>
      <c r="TY46" s="9" t="str">
        <f>VLOOKUP(AG46,'BUS 2'!$G$1:$CU$424,60,0)</f>
        <v/>
      </c>
      <c r="TZ46" s="9" t="str">
        <f>VLOOKUP(AG46,'BUS 2'!$G$1:$CU$424,61,0)</f>
        <v/>
      </c>
      <c r="UA46" s="9" t="str">
        <f>VLOOKUP(AG46,'BUS 2'!$G$1:$CU$424,62,0)</f>
        <v/>
      </c>
      <c r="UB46" s="9" t="str">
        <f>VLOOKUP(AG46,'BUS 2'!$G$1:$CU$424,63,0)</f>
        <v/>
      </c>
      <c r="UC46" s="9" t="str">
        <f>VLOOKUP(AG46,'BUS 2'!$G$1:$CU$424,64,0)</f>
        <v/>
      </c>
      <c r="UD46" s="9" t="str">
        <f>VLOOKUP(AG46,'BUS 2'!$G$1:$CU$424,65,0)</f>
        <v/>
      </c>
      <c r="UE46" s="9" t="str">
        <f>VLOOKUP(AG46,'BUS 2'!$G$1:$CU$424,66,0)</f>
        <v/>
      </c>
      <c r="UF46" s="9" t="str">
        <f>VLOOKUP(AG46,'BUS 2'!$G$1:$CU$424,67,0)</f>
        <v/>
      </c>
      <c r="UG46" s="9" t="str">
        <f>VLOOKUP(AG46,'BUS 2'!$G$1:$CU$424,68,0)</f>
        <v/>
      </c>
      <c r="UH46" s="9" t="str">
        <f>VLOOKUP(AG46,'BUS 2'!$G$1:$CU$424,69,0)</f>
        <v/>
      </c>
      <c r="UI46" s="9" t="str">
        <f>VLOOKUP(AG46,'BUS 2'!$G$1:$CU$424,70,0)</f>
        <v/>
      </c>
      <c r="UJ46" s="9" t="str">
        <f>VLOOKUP(AG46,'BUS 2'!$G$1:$CU$424,71,0)</f>
        <v/>
      </c>
      <c r="UK46" s="9" t="str">
        <f>VLOOKUP(AG46,'BUS 2'!$G$1:$CU$424,72,0)</f>
        <v/>
      </c>
      <c r="UL46" s="9" t="str">
        <f>VLOOKUP(AG46,'BUS 2'!$G$1:$CU$424,73,0)</f>
        <v/>
      </c>
      <c r="UM46" s="9">
        <f>VLOOKUP(AG46,'BUS 2'!$G$1:$CU$424,74,0)</f>
        <v>0</v>
      </c>
      <c r="UN46" s="9">
        <f>VLOOKUP(AG46,'BUS 2'!$G$1:$CU$424,75,0)</f>
        <v>0</v>
      </c>
      <c r="UO46" s="9">
        <f>VLOOKUP(AG46,'BUS 2'!$G$1:$CU$424,76,0)</f>
        <v>0</v>
      </c>
      <c r="UP46" s="9">
        <f>VLOOKUP(AG46,'BUS 2'!$G$1:$CU$424,77,0)</f>
        <v>0</v>
      </c>
      <c r="UQ46" s="9" t="str">
        <f>VLOOKUP(AG46,'BUS 2'!$G$1:$CU$424,78,0)</f>
        <v/>
      </c>
      <c r="UR46" s="9" t="str">
        <f>VLOOKUP(AG46,'BUS 2'!$G$1:$CU$424,79,0)</f>
        <v/>
      </c>
      <c r="US46" s="9" t="str">
        <f>VLOOKUP(AG46,'BUS 2'!$G$1:$CU$424,80,0)</f>
        <v/>
      </c>
      <c r="UT46" s="9" t="str">
        <f>VLOOKUP(AG46,'BUS 2'!$G$1:$CU$424,81,0)</f>
        <v/>
      </c>
      <c r="UU46" s="9" t="s">
        <v>901</v>
      </c>
      <c r="UV46" s="9"/>
      <c r="UW46" s="9"/>
      <c r="UX46" s="9"/>
      <c r="UY46" s="9"/>
      <c r="UZ46" s="9"/>
      <c r="VA46" s="9" t="s">
        <v>1937</v>
      </c>
      <c r="VB46" s="9"/>
      <c r="VC46" s="9" t="s">
        <v>1938</v>
      </c>
      <c r="VD46" s="9"/>
      <c r="VE46" s="9"/>
      <c r="VF46" s="9"/>
      <c r="VG46" s="9"/>
      <c r="VH46" s="9"/>
      <c r="VI46" s="9" t="s">
        <v>1938</v>
      </c>
      <c r="VJ46" s="9"/>
      <c r="VK46" s="9" t="s">
        <v>1939</v>
      </c>
      <c r="VL46" s="9"/>
      <c r="VM46" s="9"/>
      <c r="VN46" s="9"/>
      <c r="VO46" s="9"/>
      <c r="VP46" s="9"/>
      <c r="VQ46" s="9" t="s">
        <v>1939</v>
      </c>
      <c r="VR46" s="9"/>
      <c r="VS46" s="9" t="s">
        <v>2466</v>
      </c>
      <c r="VT46" s="8">
        <v>0.0</v>
      </c>
      <c r="VU46" s="8">
        <v>0.0</v>
      </c>
      <c r="VV46" s="8">
        <v>0.0</v>
      </c>
      <c r="VW46" s="8">
        <v>0.0</v>
      </c>
      <c r="VX46" s="8">
        <v>0.0</v>
      </c>
      <c r="VY46" s="8">
        <v>1.0</v>
      </c>
      <c r="VZ46" s="8">
        <v>1.0</v>
      </c>
      <c r="WA46" s="8">
        <v>0.0</v>
      </c>
      <c r="WB46" s="8">
        <v>0.0</v>
      </c>
      <c r="WC46" s="8">
        <v>0.0</v>
      </c>
      <c r="WD46" s="8">
        <v>0.0</v>
      </c>
      <c r="WE46" s="8">
        <v>0.0</v>
      </c>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t="s">
        <v>2466</v>
      </c>
      <c r="YO46" s="8">
        <v>0.0</v>
      </c>
      <c r="YP46" s="8">
        <v>0.0</v>
      </c>
      <c r="YQ46" s="8">
        <v>0.0</v>
      </c>
      <c r="YR46" s="8">
        <v>0.0</v>
      </c>
      <c r="YS46" s="8">
        <v>0.0</v>
      </c>
      <c r="YT46" s="8">
        <v>1.0</v>
      </c>
      <c r="YU46" s="8">
        <v>1.0</v>
      </c>
      <c r="YV46" s="8">
        <v>0.0</v>
      </c>
      <c r="YW46" s="8">
        <v>0.0</v>
      </c>
      <c r="YX46" s="8">
        <v>0.0</v>
      </c>
      <c r="YY46" s="8">
        <v>0.0</v>
      </c>
      <c r="YZ46" s="8">
        <v>0.0</v>
      </c>
      <c r="ZA46" s="9"/>
      <c r="ZB46" s="9"/>
      <c r="ZC46" s="9"/>
      <c r="ZD46" s="9"/>
      <c r="ZE46" s="9"/>
      <c r="ZF46" s="9"/>
      <c r="ZG46" s="9"/>
      <c r="ZH46" s="9"/>
      <c r="ZI46" s="9"/>
      <c r="ZJ46" s="9"/>
      <c r="ZK46" s="9"/>
      <c r="ZL46" s="9"/>
      <c r="ZM46" s="9"/>
      <c r="ZN46" s="9"/>
      <c r="ZO46" s="9"/>
      <c r="ZP46" s="9"/>
      <c r="ZQ46" s="9"/>
      <c r="ZR46" s="9"/>
      <c r="ZS46" s="9"/>
      <c r="ZT46" s="9"/>
      <c r="ZU46" s="9"/>
      <c r="ZV46" s="8">
        <v>2.0</v>
      </c>
      <c r="ZW46" s="9"/>
      <c r="ZX46" s="9"/>
      <c r="ZY46" s="9"/>
      <c r="ZZ46" s="9"/>
      <c r="AAA46" s="9"/>
      <c r="AAB46" s="8">
        <v>2.0</v>
      </c>
      <c r="AAC46" s="9"/>
      <c r="AAD46" s="9" t="s">
        <v>1186</v>
      </c>
      <c r="AAE46" s="9"/>
      <c r="AAF46" s="9"/>
      <c r="AAG46" s="9"/>
      <c r="AAH46" s="9"/>
      <c r="AAI46" s="9"/>
      <c r="AAJ46" s="9" t="s">
        <v>905</v>
      </c>
      <c r="AAK46" s="9"/>
      <c r="AAL46" s="9" t="s">
        <v>881</v>
      </c>
      <c r="AAM46" s="9"/>
      <c r="AAN46" s="9"/>
      <c r="AAO46" s="9"/>
      <c r="AAP46" s="9"/>
      <c r="AAQ46" s="9"/>
      <c r="AAR46" s="9" t="s">
        <v>857</v>
      </c>
      <c r="AAS46" s="9" t="s">
        <v>1389</v>
      </c>
      <c r="AAT46" s="9" t="s">
        <v>2176</v>
      </c>
      <c r="AAU46" s="8">
        <v>0.0</v>
      </c>
      <c r="AAV46" s="8">
        <v>0.0</v>
      </c>
      <c r="AAW46" s="8">
        <v>0.0</v>
      </c>
      <c r="AAX46" s="8">
        <v>0.0</v>
      </c>
      <c r="AAY46" s="8">
        <v>0.0</v>
      </c>
      <c r="AAZ46" s="8">
        <v>1.0</v>
      </c>
      <c r="ABA46" s="8">
        <v>0.0</v>
      </c>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t="s">
        <v>976</v>
      </c>
      <c r="ACL46" s="8">
        <v>0.0</v>
      </c>
      <c r="ACM46" s="8">
        <v>0.0</v>
      </c>
      <c r="ACN46" s="8">
        <v>1.0</v>
      </c>
      <c r="ACO46" s="8">
        <v>1.0</v>
      </c>
      <c r="ACP46" s="8">
        <v>0.0</v>
      </c>
      <c r="ACQ46" s="8">
        <v>0.0</v>
      </c>
      <c r="ACR46" s="8">
        <v>0.0</v>
      </c>
      <c r="ACS46" s="9"/>
      <c r="ACT46" s="9" t="s">
        <v>1945</v>
      </c>
      <c r="ACU46" s="9" t="s">
        <v>1050</v>
      </c>
      <c r="ACV46" s="9" t="s">
        <v>996</v>
      </c>
      <c r="ACW46" s="9" t="s">
        <v>915</v>
      </c>
      <c r="ACX46" s="9" t="s">
        <v>916</v>
      </c>
      <c r="ACY46" s="9" t="s">
        <v>1017</v>
      </c>
      <c r="ACZ46" s="8">
        <v>1.0</v>
      </c>
      <c r="ADA46" s="8">
        <v>1.0</v>
      </c>
      <c r="ADB46" s="8">
        <v>1.0</v>
      </c>
      <c r="ADC46" s="8">
        <v>0.0</v>
      </c>
      <c r="ADD46" s="9" t="s">
        <v>917</v>
      </c>
      <c r="ADE46" s="9" t="s">
        <v>1187</v>
      </c>
      <c r="ADF46" s="9" t="s">
        <v>917</v>
      </c>
      <c r="ADG46" s="9" t="s">
        <v>917</v>
      </c>
      <c r="ADH46" s="9" t="s">
        <v>881</v>
      </c>
      <c r="ADI46" s="9"/>
      <c r="ADJ46" s="9" t="s">
        <v>918</v>
      </c>
      <c r="ADK46" s="9"/>
      <c r="ADL46" s="9"/>
      <c r="ADM46" s="9"/>
      <c r="ADN46" s="9"/>
      <c r="ADO46" s="9"/>
      <c r="ADP46" s="9"/>
      <c r="ADQ46" s="9"/>
      <c r="ADR46" s="9"/>
      <c r="ADS46" s="9"/>
      <c r="ADT46" s="9"/>
      <c r="ADU46" s="9" t="s">
        <v>2362</v>
      </c>
      <c r="ADV46" s="8">
        <v>0.0</v>
      </c>
      <c r="ADW46" s="8">
        <v>0.0</v>
      </c>
      <c r="ADX46" s="8">
        <v>0.0</v>
      </c>
      <c r="ADY46" s="8">
        <v>0.0</v>
      </c>
      <c r="ADZ46" s="8">
        <v>0.0</v>
      </c>
      <c r="AEA46" s="8">
        <v>1.0</v>
      </c>
      <c r="AEB46" s="8">
        <v>1.0</v>
      </c>
      <c r="AEC46" s="8">
        <v>0.0</v>
      </c>
      <c r="AED46" s="9" t="s">
        <v>1945</v>
      </c>
      <c r="AEE46" s="9" t="s">
        <v>872</v>
      </c>
      <c r="AEF46" s="9"/>
      <c r="AEG46" s="9" t="s">
        <v>920</v>
      </c>
      <c r="AEH46" s="9"/>
      <c r="AEI46" s="9" t="s">
        <v>1945</v>
      </c>
      <c r="AEJ46" s="9" t="s">
        <v>961</v>
      </c>
      <c r="AEK46" s="9" t="s">
        <v>2217</v>
      </c>
      <c r="AEL46" s="8">
        <v>0.0</v>
      </c>
      <c r="AEM46" s="8">
        <v>0.0</v>
      </c>
      <c r="AEN46" s="8">
        <v>0.0</v>
      </c>
      <c r="AEO46" s="8">
        <v>0.0</v>
      </c>
      <c r="AEP46" s="8">
        <v>1.0</v>
      </c>
      <c r="AEQ46" s="8">
        <v>0.0</v>
      </c>
      <c r="AER46" s="8">
        <v>1.0</v>
      </c>
      <c r="AES46" s="8">
        <v>0.0</v>
      </c>
      <c r="AET46" s="8">
        <v>0.0</v>
      </c>
      <c r="AEU46" s="8">
        <v>0.0</v>
      </c>
      <c r="AEV46" s="8">
        <v>0.0</v>
      </c>
      <c r="AEW46" s="8">
        <v>0.0</v>
      </c>
      <c r="AEX46" s="9"/>
      <c r="AEY46" s="9" t="s">
        <v>1981</v>
      </c>
      <c r="AEZ46" s="9"/>
      <c r="AFA46" s="9" t="s">
        <v>1188</v>
      </c>
      <c r="AFB46" s="9"/>
      <c r="AFC46" s="9" t="s">
        <v>2784</v>
      </c>
      <c r="AFD46" s="16" t="s">
        <v>2785</v>
      </c>
      <c r="AFE46" s="9" t="s">
        <v>2786</v>
      </c>
      <c r="AFF46" s="16" t="s">
        <v>2787</v>
      </c>
      <c r="AFG46" s="9" t="s">
        <v>2443</v>
      </c>
      <c r="AFH46" s="9"/>
      <c r="AFI46" s="21" t="s">
        <v>2788</v>
      </c>
      <c r="AFJ46" s="9"/>
      <c r="AFK46" s="9"/>
      <c r="AFL46" s="9"/>
      <c r="AFM46" s="9"/>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c r="AGV46" s="9"/>
      <c r="AGW46" s="9"/>
      <c r="AGX46" s="9"/>
      <c r="AGY46" s="9"/>
      <c r="AGZ46" s="9"/>
      <c r="AHA46" s="9"/>
      <c r="AHB46" s="9"/>
      <c r="AHC46" s="9"/>
      <c r="AHD46" s="9"/>
      <c r="AHE46" s="9"/>
      <c r="AHF46" s="9"/>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c r="AQH46" s="9"/>
      <c r="AQI46" s="9"/>
      <c r="AQJ46" s="9"/>
      <c r="AQK46" s="9"/>
      <c r="AQL46" s="9"/>
      <c r="AQM46" s="9"/>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c r="ATS46" s="9"/>
      <c r="ATT46" s="9"/>
      <c r="ATU46" s="9"/>
      <c r="ATV46" s="9"/>
      <c r="ATW46" s="9"/>
      <c r="ATX46" s="9"/>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8">
        <v>6.73449102E8</v>
      </c>
      <c r="AWB46" s="9" t="s">
        <v>2789</v>
      </c>
      <c r="AWC46" s="6">
        <v>46069.0</v>
      </c>
      <c r="AWD46" s="9"/>
      <c r="AWE46" s="9"/>
      <c r="AWF46" s="9" t="s">
        <v>1954</v>
      </c>
      <c r="AWG46" s="9"/>
      <c r="AWH46" s="9" t="s">
        <v>1989</v>
      </c>
      <c r="AWI46" s="9"/>
      <c r="AWJ46" s="9" t="s">
        <v>2790</v>
      </c>
      <c r="AWK46" s="8">
        <v>309.0</v>
      </c>
      <c r="AWL46" s="9" t="s">
        <v>2781</v>
      </c>
      <c r="AWM46" s="8">
        <v>0.0</v>
      </c>
      <c r="AWN46" s="9" t="s">
        <v>1957</v>
      </c>
      <c r="AWO46" s="33" t="b">
        <v>1</v>
      </c>
      <c r="AWP46" s="33" t="b">
        <v>1</v>
      </c>
      <c r="AWQ46" s="33" t="b">
        <v>1</v>
      </c>
      <c r="AWR46" s="33" t="b">
        <v>1</v>
      </c>
      <c r="AWS46" s="33" t="b">
        <v>1</v>
      </c>
      <c r="AWT46" s="33" t="b">
        <v>1</v>
      </c>
      <c r="AWU46" s="9"/>
      <c r="AWV46" s="8">
        <v>12.0</v>
      </c>
      <c r="AWW46" s="9"/>
      <c r="AWX46" s="9"/>
      <c r="AWY46" s="9"/>
      <c r="AWZ46" s="9"/>
    </row>
    <row r="47">
      <c r="A47" s="6">
        <v>46070.0</v>
      </c>
      <c r="B47" s="6">
        <v>46070.0</v>
      </c>
      <c r="C47" s="30" t="s">
        <v>1919</v>
      </c>
      <c r="D47" s="30" t="s">
        <v>2791</v>
      </c>
      <c r="E47" s="8">
        <f t="shared" si="2"/>
        <v>620</v>
      </c>
      <c r="F47" s="9" t="s">
        <v>2792</v>
      </c>
      <c r="G47" s="8">
        <v>-5.150341</v>
      </c>
      <c r="H47" s="8">
        <v>119.674778</v>
      </c>
      <c r="I47" s="8">
        <v>145.99</v>
      </c>
      <c r="J47" s="8">
        <v>0.8220000267</v>
      </c>
      <c r="K47" s="8">
        <v>0.0</v>
      </c>
      <c r="L47" s="9" t="s">
        <v>2793</v>
      </c>
      <c r="M47" s="8">
        <v>-5.150318</v>
      </c>
      <c r="N47" s="8">
        <v>119.674807</v>
      </c>
      <c r="O47" s="8">
        <v>143.341</v>
      </c>
      <c r="P47" s="8">
        <v>0.9470000267</v>
      </c>
      <c r="Q47" s="8">
        <v>0.0</v>
      </c>
      <c r="R47" s="9" t="s">
        <v>1923</v>
      </c>
      <c r="S47" s="8">
        <v>0.0</v>
      </c>
      <c r="T47" s="8">
        <v>0.0</v>
      </c>
      <c r="U47" s="8">
        <v>0.0</v>
      </c>
      <c r="V47" s="8">
        <v>0.0</v>
      </c>
      <c r="W47" s="8">
        <v>0.0</v>
      </c>
      <c r="X47" s="8">
        <v>0.0</v>
      </c>
      <c r="Y47" s="8">
        <v>0.0</v>
      </c>
      <c r="Z47" s="8">
        <v>0.0</v>
      </c>
      <c r="AA47" s="8">
        <v>0.0</v>
      </c>
      <c r="AB47" s="8">
        <v>1.0</v>
      </c>
      <c r="AC47" s="7" t="s">
        <v>1924</v>
      </c>
      <c r="AD47" s="7" t="s">
        <v>2088</v>
      </c>
      <c r="AE47" s="7" t="s">
        <v>2743</v>
      </c>
      <c r="AF47" s="9" t="s">
        <v>2090</v>
      </c>
      <c r="AG47" s="9" t="s">
        <v>2794</v>
      </c>
      <c r="AH47" s="8">
        <v>10.0</v>
      </c>
      <c r="AI47" s="9" t="s">
        <v>933</v>
      </c>
      <c r="AJ47" s="9" t="s">
        <v>934</v>
      </c>
      <c r="AK47" s="8">
        <v>60.0</v>
      </c>
      <c r="AL47" s="9" t="s">
        <v>847</v>
      </c>
      <c r="AM47" s="9" t="s">
        <v>848</v>
      </c>
      <c r="AN47" s="9" t="s">
        <v>1009</v>
      </c>
      <c r="AO47" s="9" t="s">
        <v>850</v>
      </c>
      <c r="AP47" s="8">
        <v>1.0</v>
      </c>
      <c r="AQ47" s="8">
        <v>0.0</v>
      </c>
      <c r="AR47" s="8">
        <v>0.0</v>
      </c>
      <c r="AS47" s="8">
        <v>0.0</v>
      </c>
      <c r="AT47" s="8">
        <v>0.0</v>
      </c>
      <c r="AU47" s="8">
        <v>0.0</v>
      </c>
      <c r="AV47" s="8">
        <v>0.0</v>
      </c>
      <c r="AW47" s="8">
        <v>0.0</v>
      </c>
      <c r="AX47" s="9"/>
      <c r="AY47" s="9" t="s">
        <v>935</v>
      </c>
      <c r="AZ47" s="8">
        <v>0.0</v>
      </c>
      <c r="BA47" s="8">
        <v>1.0</v>
      </c>
      <c r="BB47" s="8">
        <v>0.0</v>
      </c>
      <c r="BC47" s="8">
        <v>0.0</v>
      </c>
      <c r="BD47" s="8">
        <v>0.0</v>
      </c>
      <c r="BE47" s="8">
        <v>0.0</v>
      </c>
      <c r="BF47" s="8">
        <v>0.0</v>
      </c>
      <c r="BG47" s="8">
        <v>0.0</v>
      </c>
      <c r="BH47" s="11"/>
      <c r="BI47" s="9" t="s">
        <v>936</v>
      </c>
      <c r="BJ47" s="8">
        <v>1.0</v>
      </c>
      <c r="BK47" s="8">
        <v>2.0</v>
      </c>
      <c r="BL47" s="8">
        <v>0.0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1929</v>
      </c>
      <c r="CD47" s="8">
        <v>0.0</v>
      </c>
      <c r="CE47" s="8">
        <v>0.0</v>
      </c>
      <c r="CF47" s="8">
        <v>0.0</v>
      </c>
      <c r="CG47" s="8">
        <v>0.0</v>
      </c>
      <c r="CH47" s="8">
        <v>1.0</v>
      </c>
      <c r="CI47" s="8">
        <v>0.0</v>
      </c>
      <c r="CJ47" s="8">
        <v>0.0</v>
      </c>
      <c r="CK47" s="9"/>
      <c r="CL47" s="9" t="s">
        <v>857</v>
      </c>
      <c r="CM47" s="8">
        <v>2016.0</v>
      </c>
      <c r="CN47" s="9" t="s">
        <v>858</v>
      </c>
      <c r="CO47" s="9" t="s">
        <v>2405</v>
      </c>
      <c r="CP47" s="9" t="s">
        <v>860</v>
      </c>
      <c r="CQ47" s="8">
        <v>0.0</v>
      </c>
      <c r="CR47" s="8">
        <v>0.0</v>
      </c>
      <c r="CS47" s="8">
        <v>0.0</v>
      </c>
      <c r="CT47" s="8">
        <v>0.0</v>
      </c>
      <c r="CU47" s="8">
        <v>1.0</v>
      </c>
      <c r="CV47" s="8">
        <v>0.0</v>
      </c>
      <c r="CW47" s="8">
        <v>0.0</v>
      </c>
      <c r="CX47" s="8">
        <v>0.0</v>
      </c>
      <c r="CY47" s="9" t="s">
        <v>860</v>
      </c>
      <c r="CZ47" s="8">
        <v>1.0</v>
      </c>
      <c r="DA47" s="8">
        <v>0.0</v>
      </c>
      <c r="DB47" s="8">
        <v>0.0</v>
      </c>
      <c r="DC47" s="9"/>
      <c r="DD47" s="9" t="s">
        <v>860</v>
      </c>
      <c r="DE47" s="8">
        <v>1.0</v>
      </c>
      <c r="DF47" s="8">
        <v>0.0</v>
      </c>
      <c r="DG47" s="8">
        <v>0.0</v>
      </c>
      <c r="DH47" s="8">
        <v>0.0</v>
      </c>
      <c r="DI47" s="9"/>
      <c r="DJ47" s="9" t="s">
        <v>860</v>
      </c>
      <c r="DK47" s="8">
        <v>1.0</v>
      </c>
      <c r="DL47" s="8">
        <v>0.0</v>
      </c>
      <c r="DM47" s="8">
        <v>0.0</v>
      </c>
      <c r="DN47" s="8">
        <v>0.0</v>
      </c>
      <c r="DO47" s="9"/>
      <c r="DP47" s="9" t="s">
        <v>938</v>
      </c>
      <c r="DQ47" s="9" t="s">
        <v>939</v>
      </c>
      <c r="DR47" s="17" t="s">
        <v>2030</v>
      </c>
      <c r="DS47" s="9"/>
      <c r="DT47" s="9" t="s">
        <v>2795</v>
      </c>
      <c r="DU47" s="8">
        <v>1.0</v>
      </c>
      <c r="DV47" s="8">
        <v>0.0</v>
      </c>
      <c r="DW47" s="8">
        <v>0.0</v>
      </c>
      <c r="DX47" s="8">
        <v>0.0</v>
      </c>
      <c r="DY47" s="8">
        <v>1.0</v>
      </c>
      <c r="DZ47" s="8">
        <v>0.0</v>
      </c>
      <c r="EA47" s="8">
        <v>0.0</v>
      </c>
      <c r="EB47" s="8">
        <v>0.0</v>
      </c>
      <c r="EC47" s="8">
        <v>0.0</v>
      </c>
      <c r="ED47" s="8">
        <v>0.0</v>
      </c>
      <c r="EE47" s="8">
        <v>0.0</v>
      </c>
      <c r="EF47" s="8">
        <v>0.0</v>
      </c>
      <c r="EG47" s="8">
        <v>0.0</v>
      </c>
      <c r="EH47" s="8">
        <v>0.0</v>
      </c>
      <c r="EI47" s="9" t="s">
        <v>862</v>
      </c>
      <c r="EJ47" s="8">
        <v>0.0</v>
      </c>
      <c r="EK47" s="8">
        <v>0.0</v>
      </c>
      <c r="EL47" s="8">
        <v>0.0</v>
      </c>
      <c r="EM47" s="8">
        <v>1.0</v>
      </c>
      <c r="EN47" s="8">
        <v>0.0</v>
      </c>
      <c r="EO47" s="9"/>
      <c r="EP47" s="9" t="s">
        <v>863</v>
      </c>
      <c r="EQ47" s="9" t="s">
        <v>1380</v>
      </c>
      <c r="ER47" s="9" t="s">
        <v>861</v>
      </c>
      <c r="ES47" s="8">
        <v>1.0</v>
      </c>
      <c r="ET47" s="8">
        <v>0.0</v>
      </c>
      <c r="EU47" s="8">
        <v>0.0</v>
      </c>
      <c r="EV47" s="8">
        <v>0.0</v>
      </c>
      <c r="EW47" s="9"/>
      <c r="EX47" s="9" t="s">
        <v>865</v>
      </c>
      <c r="EY47" s="8">
        <v>1.0</v>
      </c>
      <c r="EZ47" s="8">
        <v>0.0</v>
      </c>
      <c r="FA47" s="8">
        <v>0.0</v>
      </c>
      <c r="FB47" s="9"/>
      <c r="FC47" s="9" t="s">
        <v>1028</v>
      </c>
      <c r="FD47" s="9" t="s">
        <v>2032</v>
      </c>
      <c r="FE47" s="9" t="s">
        <v>867</v>
      </c>
      <c r="FF47" s="9" t="s">
        <v>869</v>
      </c>
      <c r="FG47" s="9" t="s">
        <v>867</v>
      </c>
      <c r="FH47" s="9" t="s">
        <v>869</v>
      </c>
      <c r="FI47" s="9" t="s">
        <v>867</v>
      </c>
      <c r="FJ47" s="9" t="s">
        <v>868</v>
      </c>
      <c r="FK47" s="9" t="s">
        <v>867</v>
      </c>
      <c r="FL47" s="9" t="s">
        <v>868</v>
      </c>
      <c r="FM47" s="9" t="s">
        <v>867</v>
      </c>
      <c r="FN47" s="9" t="s">
        <v>943</v>
      </c>
      <c r="FO47" s="9" t="s">
        <v>867</v>
      </c>
      <c r="FP47" s="9" t="s">
        <v>943</v>
      </c>
      <c r="FQ47" s="9" t="s">
        <v>867</v>
      </c>
      <c r="FR47" s="9" t="s">
        <v>857</v>
      </c>
      <c r="FS47" s="9" t="s">
        <v>867</v>
      </c>
      <c r="FT47" s="9" t="s">
        <v>871</v>
      </c>
      <c r="FU47" s="9" t="s">
        <v>872</v>
      </c>
      <c r="FV47" s="8">
        <v>1.0</v>
      </c>
      <c r="FW47" s="8">
        <v>0.0</v>
      </c>
      <c r="FX47" s="8">
        <v>0.0</v>
      </c>
      <c r="FY47" s="8">
        <v>0.0</v>
      </c>
      <c r="FZ47" s="9" t="s">
        <v>1197</v>
      </c>
      <c r="GA47" s="9" t="s">
        <v>2783</v>
      </c>
      <c r="GB47" s="8">
        <v>1.0</v>
      </c>
      <c r="GC47" s="8">
        <v>0.0</v>
      </c>
      <c r="GD47" s="8">
        <v>1.0</v>
      </c>
      <c r="GE47" s="8">
        <v>0.0</v>
      </c>
      <c r="GF47" s="9"/>
      <c r="GG47" s="9" t="s">
        <v>1232</v>
      </c>
      <c r="GH47" s="9" t="s">
        <v>857</v>
      </c>
      <c r="GI47" s="9" t="s">
        <v>1086</v>
      </c>
      <c r="GJ47" s="8">
        <v>1.0</v>
      </c>
      <c r="GK47" s="8">
        <v>1.0</v>
      </c>
      <c r="GL47" s="8">
        <v>0.0</v>
      </c>
      <c r="GM47" s="8">
        <v>0.0</v>
      </c>
      <c r="GN47" s="9"/>
      <c r="GO47" s="8">
        <v>9.0</v>
      </c>
      <c r="GP47" s="9" t="s">
        <v>1931</v>
      </c>
      <c r="GQ47" s="21" t="s">
        <v>2796</v>
      </c>
      <c r="GR47" s="8">
        <v>1.0</v>
      </c>
      <c r="GS47" s="8">
        <v>0.0</v>
      </c>
      <c r="GT47" s="8">
        <v>0.0</v>
      </c>
      <c r="GU47" s="8">
        <v>0.0</v>
      </c>
      <c r="GV47" s="8">
        <v>0.0</v>
      </c>
      <c r="GW47" s="8">
        <v>1.0</v>
      </c>
      <c r="GX47" s="8">
        <v>0.0</v>
      </c>
      <c r="GY47" s="9"/>
      <c r="GZ47" s="9" t="s">
        <v>857</v>
      </c>
      <c r="HA47" s="9"/>
      <c r="HB47" s="9"/>
      <c r="HC47" s="9"/>
      <c r="HD47" s="9"/>
      <c r="HE47" s="8">
        <v>6.0</v>
      </c>
      <c r="HF47" s="8">
        <v>36000.0</v>
      </c>
      <c r="HG47" s="8">
        <v>3.0</v>
      </c>
      <c r="HH47" s="8">
        <v>20000.0</v>
      </c>
      <c r="HI47" s="9"/>
      <c r="HJ47" s="9"/>
      <c r="HK47" s="9"/>
      <c r="HL47" s="9"/>
      <c r="HM47" s="9"/>
      <c r="HN47" s="9"/>
      <c r="HO47" s="9"/>
      <c r="HP47" s="9"/>
      <c r="HQ47" s="8">
        <v>15.0</v>
      </c>
      <c r="HR47" s="8">
        <v>30000.0</v>
      </c>
      <c r="HS47" s="8">
        <v>5.0</v>
      </c>
      <c r="HT47" s="8">
        <v>5000.0</v>
      </c>
      <c r="HU47" s="9"/>
      <c r="HV47" s="9"/>
      <c r="HW47" s="9"/>
      <c r="HX47" s="9"/>
      <c r="HY47" s="9"/>
      <c r="HZ47" s="9"/>
      <c r="IA47" s="8">
        <v>6.0</v>
      </c>
      <c r="IB47" s="8">
        <v>16000.0</v>
      </c>
      <c r="IC47" s="9"/>
      <c r="ID47" s="9"/>
      <c r="IE47" s="9"/>
      <c r="IF47" s="9"/>
      <c r="IG47" s="8">
        <v>10.0</v>
      </c>
      <c r="IH47" s="8">
        <v>25000.0</v>
      </c>
      <c r="II47" s="9"/>
      <c r="IJ47" s="9"/>
      <c r="IK47" s="9" t="s">
        <v>1932</v>
      </c>
      <c r="IL47" s="9" t="s">
        <v>1366</v>
      </c>
      <c r="IM47" s="9" t="s">
        <v>857</v>
      </c>
      <c r="IN47" s="9" t="s">
        <v>881</v>
      </c>
      <c r="IO47" s="9" t="s">
        <v>882</v>
      </c>
      <c r="IP47" s="9" t="s">
        <v>883</v>
      </c>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5.0</v>
      </c>
      <c r="LD47" s="8">
        <v>0.0</v>
      </c>
      <c r="LE47" s="8">
        <v>0.0</v>
      </c>
      <c r="LF47" s="8">
        <v>0.0</v>
      </c>
      <c r="LG47" s="9" t="s">
        <v>857</v>
      </c>
      <c r="LH47" s="8">
        <v>150000.0</v>
      </c>
      <c r="LI47" s="9"/>
      <c r="LJ47" s="9" t="s">
        <v>1933</v>
      </c>
      <c r="LK47" s="8">
        <v>0.0</v>
      </c>
      <c r="LL47" s="8">
        <v>0.0</v>
      </c>
      <c r="LM47" s="8">
        <v>0.0</v>
      </c>
      <c r="LN47" s="8">
        <v>0.0</v>
      </c>
      <c r="LO47" s="8">
        <v>1.0</v>
      </c>
      <c r="LP47" s="8">
        <v>1.0</v>
      </c>
      <c r="LQ47" s="8">
        <v>0.0</v>
      </c>
      <c r="LR47" s="11"/>
      <c r="LS47" s="8">
        <v>15.0</v>
      </c>
      <c r="LT47" s="8">
        <v>0.0</v>
      </c>
      <c r="LU47" s="8">
        <v>0.0</v>
      </c>
      <c r="LV47" s="8">
        <v>15.0</v>
      </c>
      <c r="LW47" s="8">
        <v>0.0</v>
      </c>
      <c r="LX47" s="8">
        <v>0.0</v>
      </c>
      <c r="LY47" s="8">
        <v>5.0</v>
      </c>
      <c r="LZ47" s="8">
        <v>0.0</v>
      </c>
      <c r="MA47" s="8">
        <v>0.0</v>
      </c>
      <c r="MB47" s="9" t="s">
        <v>857</v>
      </c>
      <c r="MC47" s="8">
        <v>0.0</v>
      </c>
      <c r="MD47" s="8">
        <v>0.0</v>
      </c>
      <c r="ME47" s="8">
        <v>0.0</v>
      </c>
      <c r="MF47" s="8">
        <v>0.0</v>
      </c>
      <c r="MG47" s="8">
        <v>0.0</v>
      </c>
      <c r="MH47" s="8">
        <v>0.0</v>
      </c>
      <c r="MI47" s="9" t="s">
        <v>946</v>
      </c>
      <c r="MJ47" s="8">
        <v>0.0</v>
      </c>
      <c r="MK47" s="8">
        <v>0.0</v>
      </c>
      <c r="ML47" s="8">
        <v>1.0</v>
      </c>
      <c r="MM47" s="8">
        <v>0.0</v>
      </c>
      <c r="MN47" s="8">
        <v>0.0</v>
      </c>
      <c r="MO47" s="8">
        <v>0.0</v>
      </c>
      <c r="MP47" s="9"/>
      <c r="MQ47" s="9"/>
      <c r="MR47" s="36" t="s">
        <v>2769</v>
      </c>
      <c r="MS47" s="9"/>
      <c r="MT47" s="9" t="s">
        <v>2769</v>
      </c>
      <c r="MU47" s="9" t="s">
        <v>1030</v>
      </c>
      <c r="MV47" s="9" t="s">
        <v>949</v>
      </c>
      <c r="MW47" s="8">
        <v>1.0</v>
      </c>
      <c r="MX47" s="8">
        <v>0.0</v>
      </c>
      <c r="MY47" s="8">
        <v>0.0</v>
      </c>
      <c r="MZ47" s="8">
        <v>0.0</v>
      </c>
      <c r="NA47" s="9"/>
      <c r="NB47" s="9"/>
      <c r="NC47" s="9"/>
      <c r="ND47" s="9"/>
      <c r="NE47" s="9"/>
      <c r="NF47" s="9"/>
      <c r="NG47" s="9"/>
      <c r="NH47" s="9"/>
      <c r="NI47" s="9"/>
      <c r="NJ47" s="9"/>
      <c r="NK47" s="9"/>
      <c r="NL47" s="9" t="s">
        <v>857</v>
      </c>
      <c r="NM47" s="9" t="s">
        <v>1386</v>
      </c>
      <c r="NN47" s="17" t="s">
        <v>1975</v>
      </c>
      <c r="NO47" s="17" t="s">
        <v>994</v>
      </c>
      <c r="NP47" s="9"/>
      <c r="NQ47" s="9"/>
      <c r="NR47" s="9"/>
      <c r="NS47" s="9"/>
      <c r="NT47" s="9"/>
      <c r="NU47" s="9"/>
      <c r="NV47" s="9"/>
      <c r="NW47" s="9"/>
      <c r="NX47" s="9" t="s">
        <v>914</v>
      </c>
      <c r="NY47" s="8">
        <v>150.0</v>
      </c>
      <c r="NZ47" s="8">
        <v>0.0</v>
      </c>
      <c r="OA47" s="8">
        <v>0.0</v>
      </c>
      <c r="OB47" s="8">
        <v>0.0</v>
      </c>
      <c r="OC47" s="8">
        <v>0.0</v>
      </c>
      <c r="OD47" s="8">
        <v>0.0</v>
      </c>
      <c r="OE47" s="9" t="s">
        <v>898</v>
      </c>
      <c r="OF47" s="9" t="s">
        <v>1184</v>
      </c>
      <c r="OG47" s="9" t="s">
        <v>857</v>
      </c>
      <c r="OH47" s="8">
        <v>3.0</v>
      </c>
      <c r="OI47" s="8">
        <v>0.0</v>
      </c>
      <c r="OJ47" s="8">
        <v>0.0</v>
      </c>
      <c r="OK47" s="8">
        <v>0.0</v>
      </c>
      <c r="OL47" s="8">
        <v>0.0</v>
      </c>
      <c r="OM47" s="8">
        <v>0.0</v>
      </c>
      <c r="ON47" s="8">
        <v>6.0</v>
      </c>
      <c r="OO47" s="8">
        <v>0.0</v>
      </c>
      <c r="OP47" s="9" t="str">
        <f>VLOOKUP(AG47,'BUS 2'!$G$1:$CU$424,2,0)</f>
        <v>Sapi pedaging Ayam</v>
      </c>
      <c r="OQ47" s="8">
        <f>VLOOKUP(AG47,'BUS 2'!$G$1:$CU$424,3,0)</f>
        <v>1</v>
      </c>
      <c r="OR47" s="8">
        <f>VLOOKUP(AG47,'BUS 2'!$G$1:$CU$424,4,0)</f>
        <v>0</v>
      </c>
      <c r="OS47" s="8">
        <f>VLOOKUP(AG47,'BUS 2'!$G$1:$CU$424,5,0)</f>
        <v>0</v>
      </c>
      <c r="OT47" s="8">
        <f>VLOOKUP(AG47,'BUS 2'!$G$1:$CU$424,6,0)</f>
        <v>0</v>
      </c>
      <c r="OU47" s="8">
        <f>VLOOKUP(AG47,'BUS 2'!$G$1:$CU$424,7,0)</f>
        <v>0</v>
      </c>
      <c r="OV47" s="8">
        <f>VLOOKUP(AG47,'BUS 2'!$G$1:$CU$424,8,0)</f>
        <v>0</v>
      </c>
      <c r="OW47" s="8">
        <f>VLOOKUP(AG47,'BUS 2'!$G$1:$CU$424,9,0)</f>
        <v>1</v>
      </c>
      <c r="OX47" s="8">
        <f>VLOOKUP(AG47,'BUS 2'!$G$1:$CU$424,10,0)</f>
        <v>0</v>
      </c>
      <c r="OY47" s="8">
        <f>VLOOKUP(AG47,'BUS 2'!$G$1:$CU$424,11,0)</f>
        <v>0</v>
      </c>
      <c r="OZ47" s="8" t="str">
        <f>VLOOKUP(AG47,'BUS 2'!$G$1:$CU$424,12,0)</f>
        <v>Tidak ada</v>
      </c>
      <c r="PA47" s="8">
        <f>VLOOKUP(AG47,'BUS 2'!$G$1:$CU$424,13,0)</f>
        <v>0</v>
      </c>
      <c r="PB47" s="8">
        <f>VLOOKUP(AG47,'BUS 2'!$G$1:$CU$424,14,0)</f>
        <v>0</v>
      </c>
      <c r="PC47" s="8">
        <f>VLOOKUP(AG47,'BUS 2'!$G$1:$CU$424,15,0)</f>
        <v>0</v>
      </c>
      <c r="PD47" s="8">
        <f>VLOOKUP(AG47,'BUS 2'!$G$1:$CU$424,16,0)</f>
        <v>0</v>
      </c>
      <c r="PE47" s="8">
        <f>VLOOKUP(AG47,'BUS 2'!$G$1:$CU$424,17,0)</f>
        <v>0</v>
      </c>
      <c r="PF47" s="8">
        <f>VLOOKUP(AG47,'BUS 2'!$G$1:$CU$424,18,0)</f>
        <v>0</v>
      </c>
      <c r="PG47" s="8">
        <f>VLOOKUP(AG47,'BUS 2'!$G$1:$CU$424,19,0)</f>
        <v>0</v>
      </c>
      <c r="PH47" s="8">
        <f>VLOOKUP(AG47,'BUS 2'!$G$1:$CU$424,20,0)</f>
        <v>0</v>
      </c>
      <c r="PI47" s="8">
        <f>VLOOKUP(AG47,'BUS 2'!$G$1:$CU$424,21,0)</f>
        <v>1</v>
      </c>
      <c r="PJ47" s="8" t="str">
        <f>VLOOKUP(AG47,'BUS 2'!$G$1:$CU$424,22,0)</f>
        <v>Sapi pedaging Ayam</v>
      </c>
      <c r="PK47" s="8">
        <f>VLOOKUP(AG47,'BUS 2'!$G$1:$CU$424,23,0)</f>
        <v>1</v>
      </c>
      <c r="PL47" s="8">
        <f>VLOOKUP(AG47,'BUS 2'!$G$1:$CU$424,24,0)</f>
        <v>0</v>
      </c>
      <c r="PM47" s="8">
        <f>VLOOKUP(AG47,'BUS 2'!$G$1:$CU$424,25,0)</f>
        <v>0</v>
      </c>
      <c r="PN47" s="8">
        <f>VLOOKUP(AG47,'BUS 2'!$G$1:$CU$424,26,0)</f>
        <v>0</v>
      </c>
      <c r="PO47" s="8">
        <f>VLOOKUP(AG47,'BUS 2'!$G$1:$CU$424,27,0)</f>
        <v>0</v>
      </c>
      <c r="PP47" s="8">
        <f>VLOOKUP(AG47,'BUS 2'!$G$1:$CU$424,28,0)</f>
        <v>0</v>
      </c>
      <c r="PQ47" s="8">
        <f>VLOOKUP(AG47,'BUS 2'!$G$1:$CU$424,29,0)</f>
        <v>1</v>
      </c>
      <c r="PR47" s="8">
        <f>VLOOKUP(AG47,'BUS 2'!$G$1:$CU$424,30,0)</f>
        <v>0</v>
      </c>
      <c r="PS47" s="8">
        <f>VLOOKUP(AG47,'BUS 2'!$G$1:$CU$424,31,0)</f>
        <v>0</v>
      </c>
      <c r="PT47" s="9" t="s">
        <v>900</v>
      </c>
      <c r="PU47" s="8">
        <v>0.0</v>
      </c>
      <c r="PV47" s="8">
        <v>0.0</v>
      </c>
      <c r="PW47" s="8">
        <v>0.0</v>
      </c>
      <c r="PX47" s="8">
        <v>0.0</v>
      </c>
      <c r="PY47" s="8">
        <v>0.0</v>
      </c>
      <c r="PZ47" s="8">
        <v>1.0</v>
      </c>
      <c r="QA47" s="8">
        <v>0.0</v>
      </c>
      <c r="QB47" s="8">
        <v>0.0</v>
      </c>
      <c r="QC47" s="8">
        <v>0.0</v>
      </c>
      <c r="QD47" s="9"/>
      <c r="QE47" s="32"/>
      <c r="QF47" s="31"/>
      <c r="QG47" s="31"/>
      <c r="QH47" s="31"/>
      <c r="QI47" s="31"/>
      <c r="QJ47" s="31"/>
      <c r="QK47" s="32"/>
      <c r="QL47" s="32"/>
      <c r="QM47" s="32"/>
      <c r="QN47" s="32"/>
      <c r="QO47" s="32"/>
      <c r="QP47" s="32"/>
      <c r="QQ47" s="32"/>
      <c r="QR47" s="32"/>
      <c r="QS47" s="32"/>
      <c r="QT47" s="32"/>
      <c r="QU47" s="32"/>
      <c r="QV47" s="32"/>
      <c r="QW47" s="31"/>
      <c r="QX47" s="31"/>
      <c r="QY47" s="31"/>
      <c r="QZ47" s="31"/>
      <c r="RA47" s="31"/>
      <c r="RB47" s="32"/>
      <c r="RC47" s="32"/>
      <c r="RD47" s="32"/>
      <c r="RE47" s="32"/>
      <c r="RF47" s="32"/>
      <c r="RG47" s="9"/>
      <c r="RH47" s="31"/>
      <c r="RI47" s="31"/>
      <c r="RJ47" s="31"/>
      <c r="RK47" s="31"/>
      <c r="RL47" s="31"/>
      <c r="RM47" s="9"/>
      <c r="RN47" s="9"/>
      <c r="RO47" s="9"/>
      <c r="RP47" s="9"/>
      <c r="RQ47" s="9"/>
      <c r="RR47" s="9"/>
      <c r="RS47" s="31"/>
      <c r="RT47" s="31"/>
      <c r="RU47" s="31"/>
      <c r="RV47" s="31"/>
      <c r="RW47" s="31"/>
      <c r="RX47" s="9"/>
      <c r="RY47" s="9"/>
      <c r="RZ47" s="9"/>
      <c r="SA47" s="9"/>
      <c r="SB47" s="9"/>
      <c r="SC47" s="9" t="s">
        <v>900</v>
      </c>
      <c r="SD47" s="35">
        <v>0.0</v>
      </c>
      <c r="SE47" s="35">
        <v>0.0</v>
      </c>
      <c r="SF47" s="35">
        <v>0.0</v>
      </c>
      <c r="SG47" s="35">
        <v>0.0</v>
      </c>
      <c r="SH47" s="35">
        <v>0.0</v>
      </c>
      <c r="SI47" s="8">
        <v>1.0</v>
      </c>
      <c r="SJ47" s="8">
        <v>0.0</v>
      </c>
      <c r="SK47" s="8">
        <v>0.0</v>
      </c>
      <c r="SL47" s="8">
        <v>0.0</v>
      </c>
      <c r="SM47" s="9"/>
      <c r="SN47" s="9"/>
      <c r="SO47" s="31"/>
      <c r="SP47" s="31"/>
      <c r="SQ47" s="31"/>
      <c r="SR47" s="31"/>
      <c r="SS47" s="31"/>
      <c r="ST47" s="9"/>
      <c r="SU47" s="9"/>
      <c r="SV47" s="9"/>
      <c r="SW47" s="9"/>
      <c r="SX47" s="9"/>
      <c r="SY47" s="8">
        <f>VLOOKUP(AG47,'BUS 2'!$G$1:$CU$424,33,0)</f>
        <v>3</v>
      </c>
      <c r="SZ47" s="9" t="str">
        <f>VLOOKUP(AG47,'BUS 2'!$G$1:$CU$424,34,0)</f>
        <v/>
      </c>
      <c r="TA47" s="9" t="str">
        <f>VLOOKUP(AG47,'BUS 2'!$G$1:$CU$424,35,0)</f>
        <v/>
      </c>
      <c r="TB47" s="9" t="str">
        <f>VLOOKUP(AG47,'BUS 2'!$G$1:$CU$424,36,0)</f>
        <v/>
      </c>
      <c r="TC47" s="9" t="str">
        <f>VLOOKUP(AG47,'BUS 2'!$G$1:$CU$424,37,0)</f>
        <v/>
      </c>
      <c r="TD47" s="9" t="str">
        <f>VLOOKUP(AG47,'BUS 2'!$G$1:$CU$424,38,0)</f>
        <v/>
      </c>
      <c r="TE47" s="9">
        <f>VLOOKUP(AG47,'BUS 2'!$G$1:$CU$424,39,0)</f>
        <v>6</v>
      </c>
      <c r="TF47" s="9" t="str">
        <f>VLOOKUP(AG47,'BUS 2'!$G$1:$CU$424,40,0)</f>
        <v/>
      </c>
      <c r="TG47" s="8" t="str">
        <f>VLOOKUP(AG47,'BUS 2'!$G$1:$CU$424,42,0)</f>
        <v/>
      </c>
      <c r="TH47" s="8" t="str">
        <f>VLOOKUP(AG47,'BUS 2'!$G$1:$CU$424,43,0)</f>
        <v/>
      </c>
      <c r="TI47" s="8" t="str">
        <f>VLOOKUP(AG47,'BUS 2'!$G$1:$CU$424,44,0)</f>
        <v/>
      </c>
      <c r="TJ47" s="8" t="str">
        <f>VLOOKUP(AG47,'BUS 2'!$G$1:$CU$424,45,0)</f>
        <v/>
      </c>
      <c r="TK47" s="8" t="str">
        <f>VLOOKUP(AG47,'BUS 2'!$G$1:$CU$424,46,0)</f>
        <v/>
      </c>
      <c r="TL47" s="8" t="str">
        <f>VLOOKUP(AG47,'BUS 2'!$G$1:$CU$424,47,0)</f>
        <v/>
      </c>
      <c r="TM47" s="8" t="str">
        <f>VLOOKUP(AG47,'BUS 2'!$G$1:$CU$424,48,0)</f>
        <v/>
      </c>
      <c r="TN47" s="8" t="str">
        <f>VLOOKUP(AG47,'BUS 2'!$G$1:$CU$424,49,0)</f>
        <v/>
      </c>
      <c r="TO47" s="8">
        <f>VLOOKUP(AG47,'BUS 2'!$G$1:$CU$424,50,0)</f>
        <v>0</v>
      </c>
      <c r="TP47" s="8">
        <f>VLOOKUP(AG47,'BUS 2'!$G$1:$CU$424,51,0)</f>
        <v>0</v>
      </c>
      <c r="TQ47" s="8">
        <f>VLOOKUP(AG47,'BUS 2'!$G$1:$CU$424,52,0)</f>
        <v>4</v>
      </c>
      <c r="TR47" s="8">
        <f>VLOOKUP(AG47,'BUS 2'!$G$1:$CU$424,53,0)</f>
        <v>0</v>
      </c>
      <c r="TS47" s="9" t="str">
        <f>VLOOKUP(AG47,'BUS 2'!$G$1:$CU$424,54,0)</f>
        <v/>
      </c>
      <c r="TT47" s="9" t="str">
        <f>VLOOKUP(AG47,'BUS 2'!$G$1:$CU$424,55,0)</f>
        <v/>
      </c>
      <c r="TU47" s="9" t="str">
        <f>VLOOKUP(AG47,'BUS 2'!$G$1:$CU$424,56,0)</f>
        <v/>
      </c>
      <c r="TV47" s="9" t="str">
        <f>VLOOKUP(AG47,'BUS 2'!$G$1:$CU$424,57,0)</f>
        <v/>
      </c>
      <c r="TW47" s="9" t="str">
        <f>VLOOKUP(AG47,'BUS 2'!$G$1:$CU$424,58,0)</f>
        <v/>
      </c>
      <c r="TX47" s="9" t="str">
        <f>VLOOKUP(AG47,'BUS 2'!$G$1:$CU$424,59,0)</f>
        <v/>
      </c>
      <c r="TY47" s="9" t="str">
        <f>VLOOKUP(AG47,'BUS 2'!$G$1:$CU$424,60,0)</f>
        <v/>
      </c>
      <c r="TZ47" s="9" t="str">
        <f>VLOOKUP(AG47,'BUS 2'!$G$1:$CU$424,61,0)</f>
        <v/>
      </c>
      <c r="UA47" s="9" t="str">
        <f>VLOOKUP(AG47,'BUS 2'!$G$1:$CU$424,62,0)</f>
        <v/>
      </c>
      <c r="UB47" s="9" t="str">
        <f>VLOOKUP(AG47,'BUS 2'!$G$1:$CU$424,63,0)</f>
        <v/>
      </c>
      <c r="UC47" s="9" t="str">
        <f>VLOOKUP(AG47,'BUS 2'!$G$1:$CU$424,64,0)</f>
        <v/>
      </c>
      <c r="UD47" s="9" t="str">
        <f>VLOOKUP(AG47,'BUS 2'!$G$1:$CU$424,65,0)</f>
        <v/>
      </c>
      <c r="UE47" s="9" t="str">
        <f>VLOOKUP(AG47,'BUS 2'!$G$1:$CU$424,66,0)</f>
        <v/>
      </c>
      <c r="UF47" s="9" t="str">
        <f>VLOOKUP(AG47,'BUS 2'!$G$1:$CU$424,67,0)</f>
        <v/>
      </c>
      <c r="UG47" s="9" t="str">
        <f>VLOOKUP(AG47,'BUS 2'!$G$1:$CU$424,68,0)</f>
        <v/>
      </c>
      <c r="UH47" s="9" t="str">
        <f>VLOOKUP(AG47,'BUS 2'!$G$1:$CU$424,69,0)</f>
        <v/>
      </c>
      <c r="UI47" s="9" t="str">
        <f>VLOOKUP(AG47,'BUS 2'!$G$1:$CU$424,70,0)</f>
        <v/>
      </c>
      <c r="UJ47" s="9" t="str">
        <f>VLOOKUP(AG47,'BUS 2'!$G$1:$CU$424,71,0)</f>
        <v/>
      </c>
      <c r="UK47" s="9" t="str">
        <f>VLOOKUP(AG47,'BUS 2'!$G$1:$CU$424,72,0)</f>
        <v/>
      </c>
      <c r="UL47" s="9" t="str">
        <f>VLOOKUP(AG47,'BUS 2'!$G$1:$CU$424,73,0)</f>
        <v/>
      </c>
      <c r="UM47" s="9">
        <f>VLOOKUP(AG47,'BUS 2'!$G$1:$CU$424,74,0)</f>
        <v>0</v>
      </c>
      <c r="UN47" s="9">
        <f>VLOOKUP(AG47,'BUS 2'!$G$1:$CU$424,75,0)</f>
        <v>0</v>
      </c>
      <c r="UO47" s="9">
        <f>VLOOKUP(AG47,'BUS 2'!$G$1:$CU$424,76,0)</f>
        <v>0</v>
      </c>
      <c r="UP47" s="9">
        <f>VLOOKUP(AG47,'BUS 2'!$G$1:$CU$424,77,0)</f>
        <v>0</v>
      </c>
      <c r="UQ47" s="9" t="str">
        <f>VLOOKUP(AG47,'BUS 2'!$G$1:$CU$424,78,0)</f>
        <v/>
      </c>
      <c r="UR47" s="9" t="str">
        <f>VLOOKUP(AG47,'BUS 2'!$G$1:$CU$424,79,0)</f>
        <v/>
      </c>
      <c r="US47" s="9" t="str">
        <f>VLOOKUP(AG47,'BUS 2'!$G$1:$CU$424,80,0)</f>
        <v/>
      </c>
      <c r="UT47" s="9" t="str">
        <f>VLOOKUP(AG47,'BUS 2'!$G$1:$CU$424,81,0)</f>
        <v/>
      </c>
      <c r="UU47" s="9" t="s">
        <v>901</v>
      </c>
      <c r="UV47" s="9"/>
      <c r="UW47" s="9"/>
      <c r="UX47" s="9"/>
      <c r="UY47" s="9"/>
      <c r="UZ47" s="9"/>
      <c r="VA47" s="9" t="s">
        <v>1937</v>
      </c>
      <c r="VB47" s="9"/>
      <c r="VC47" s="9" t="s">
        <v>1938</v>
      </c>
      <c r="VD47" s="9"/>
      <c r="VE47" s="9"/>
      <c r="VF47" s="9"/>
      <c r="VG47" s="9"/>
      <c r="VH47" s="9"/>
      <c r="VI47" s="9" t="s">
        <v>1938</v>
      </c>
      <c r="VJ47" s="9"/>
      <c r="VK47" s="9" t="s">
        <v>1939</v>
      </c>
      <c r="VL47" s="9"/>
      <c r="VM47" s="9"/>
      <c r="VN47" s="9"/>
      <c r="VO47" s="9"/>
      <c r="VP47" s="9"/>
      <c r="VQ47" s="9" t="s">
        <v>1939</v>
      </c>
      <c r="VR47" s="9"/>
      <c r="VS47" s="9" t="s">
        <v>2466</v>
      </c>
      <c r="VT47" s="8">
        <v>0.0</v>
      </c>
      <c r="VU47" s="8">
        <v>0.0</v>
      </c>
      <c r="VV47" s="8">
        <v>0.0</v>
      </c>
      <c r="VW47" s="8">
        <v>0.0</v>
      </c>
      <c r="VX47" s="8">
        <v>0.0</v>
      </c>
      <c r="VY47" s="8">
        <v>1.0</v>
      </c>
      <c r="VZ47" s="8">
        <v>1.0</v>
      </c>
      <c r="WA47" s="8">
        <v>0.0</v>
      </c>
      <c r="WB47" s="8">
        <v>0.0</v>
      </c>
      <c r="WC47" s="8">
        <v>0.0</v>
      </c>
      <c r="WD47" s="8">
        <v>0.0</v>
      </c>
      <c r="WE47" s="8">
        <v>0.0</v>
      </c>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t="s">
        <v>951</v>
      </c>
      <c r="YO47" s="8">
        <v>0.0</v>
      </c>
      <c r="YP47" s="8">
        <v>0.0</v>
      </c>
      <c r="YQ47" s="8">
        <v>0.0</v>
      </c>
      <c r="YR47" s="8">
        <v>0.0</v>
      </c>
      <c r="YS47" s="8">
        <v>0.0</v>
      </c>
      <c r="YT47" s="8">
        <v>0.0</v>
      </c>
      <c r="YU47" s="8">
        <v>1.0</v>
      </c>
      <c r="YV47" s="8">
        <v>0.0</v>
      </c>
      <c r="YW47" s="8">
        <v>0.0</v>
      </c>
      <c r="YX47" s="8">
        <v>0.0</v>
      </c>
      <c r="YY47" s="8">
        <v>0.0</v>
      </c>
      <c r="YZ47" s="8">
        <v>0.0</v>
      </c>
      <c r="ZA47" s="9"/>
      <c r="ZB47" s="9"/>
      <c r="ZC47" s="9"/>
      <c r="ZD47" s="9"/>
      <c r="ZE47" s="9"/>
      <c r="ZF47" s="9"/>
      <c r="ZG47" s="9"/>
      <c r="ZH47" s="9"/>
      <c r="ZI47" s="9"/>
      <c r="ZJ47" s="9"/>
      <c r="ZK47" s="9"/>
      <c r="ZL47" s="9"/>
      <c r="ZM47" s="9"/>
      <c r="ZN47" s="9"/>
      <c r="ZO47" s="9"/>
      <c r="ZP47" s="9"/>
      <c r="ZQ47" s="9"/>
      <c r="ZR47" s="9"/>
      <c r="ZS47" s="9"/>
      <c r="ZT47" s="9"/>
      <c r="ZU47" s="9"/>
      <c r="ZV47" s="8">
        <v>2.0</v>
      </c>
      <c r="ZW47" s="9"/>
      <c r="ZX47" s="9"/>
      <c r="ZY47" s="9"/>
      <c r="ZZ47" s="9"/>
      <c r="AAA47" s="9"/>
      <c r="AAB47" s="8">
        <v>2.0</v>
      </c>
      <c r="AAC47" s="9"/>
      <c r="AAD47" s="9" t="s">
        <v>1186</v>
      </c>
      <c r="AAE47" s="9"/>
      <c r="AAF47" s="9"/>
      <c r="AAG47" s="9"/>
      <c r="AAH47" s="9"/>
      <c r="AAI47" s="9"/>
      <c r="AAJ47" s="9" t="s">
        <v>905</v>
      </c>
      <c r="AAK47" s="9"/>
      <c r="AAL47" s="9" t="s">
        <v>857</v>
      </c>
      <c r="AAM47" s="9" t="s">
        <v>1942</v>
      </c>
      <c r="AAN47" s="8">
        <v>0.0</v>
      </c>
      <c r="AAO47" s="8">
        <v>1.0</v>
      </c>
      <c r="AAP47" s="8">
        <v>10.0</v>
      </c>
      <c r="AAQ47" s="9"/>
      <c r="AAR47" s="9" t="s">
        <v>881</v>
      </c>
      <c r="AAS47" s="9" t="s">
        <v>867</v>
      </c>
      <c r="AAT47" s="9" t="s">
        <v>2797</v>
      </c>
      <c r="AAU47" s="8">
        <v>0.0</v>
      </c>
      <c r="AAV47" s="8">
        <v>1.0</v>
      </c>
      <c r="AAW47" s="8">
        <v>0.0</v>
      </c>
      <c r="AAX47" s="8">
        <v>0.0</v>
      </c>
      <c r="AAY47" s="8">
        <v>0.0</v>
      </c>
      <c r="AAZ47" s="8">
        <v>0.0</v>
      </c>
      <c r="ABA47" s="8">
        <v>0.0</v>
      </c>
      <c r="ABB47" s="9"/>
      <c r="ABC47" s="9"/>
      <c r="ABD47" s="9"/>
      <c r="ABE47" s="9"/>
      <c r="ABF47" s="9"/>
      <c r="ABG47" s="9"/>
      <c r="ABH47" s="9"/>
      <c r="ABI47" s="9" t="s">
        <v>2798</v>
      </c>
      <c r="ABJ47" s="8">
        <v>0.0</v>
      </c>
      <c r="ABK47" s="8">
        <v>1.0</v>
      </c>
      <c r="ABL47" s="8">
        <v>0.0</v>
      </c>
      <c r="ABM47" s="8">
        <v>0.0</v>
      </c>
      <c r="ABN47" s="8">
        <v>0.0</v>
      </c>
      <c r="ABO47" s="9"/>
      <c r="ABP47" s="9"/>
      <c r="ABQ47" s="9"/>
      <c r="ABR47" s="9"/>
      <c r="ABS47" s="9"/>
      <c r="ABT47" s="9"/>
      <c r="ABU47" s="9"/>
      <c r="ABV47" s="9"/>
      <c r="ABW47" s="9"/>
      <c r="ABX47" s="9"/>
      <c r="ABY47" s="9"/>
      <c r="ABZ47" s="9"/>
      <c r="ACA47" s="9"/>
      <c r="ACB47" s="9"/>
      <c r="ACC47" s="9"/>
      <c r="ACD47" s="9"/>
      <c r="ACE47" s="9"/>
      <c r="ACF47" s="9"/>
      <c r="ACG47" s="9"/>
      <c r="ACH47" s="9"/>
      <c r="ACI47" s="9" t="s">
        <v>911</v>
      </c>
      <c r="ACJ47" s="9" t="s">
        <v>911</v>
      </c>
      <c r="ACK47" s="9"/>
      <c r="ACL47" s="9"/>
      <c r="ACM47" s="9"/>
      <c r="ACN47" s="9"/>
      <c r="ACO47" s="9"/>
      <c r="ACP47" s="9"/>
      <c r="ACQ47" s="9"/>
      <c r="ACR47" s="9"/>
      <c r="ACS47" s="9"/>
      <c r="ACT47" s="9" t="s">
        <v>1945</v>
      </c>
      <c r="ACU47" s="9" t="s">
        <v>1050</v>
      </c>
      <c r="ACV47" s="9" t="s">
        <v>996</v>
      </c>
      <c r="ACW47" s="9" t="s">
        <v>915</v>
      </c>
      <c r="ACX47" s="9" t="s">
        <v>916</v>
      </c>
      <c r="ACY47" s="9" t="s">
        <v>1017</v>
      </c>
      <c r="ACZ47" s="8">
        <v>1.0</v>
      </c>
      <c r="ADA47" s="8">
        <v>1.0</v>
      </c>
      <c r="ADB47" s="8">
        <v>1.0</v>
      </c>
      <c r="ADC47" s="8">
        <v>0.0</v>
      </c>
      <c r="ADD47" s="9" t="s">
        <v>917</v>
      </c>
      <c r="ADE47" s="9" t="s">
        <v>917</v>
      </c>
      <c r="ADF47" s="9" t="s">
        <v>917</v>
      </c>
      <c r="ADG47" s="9" t="s">
        <v>917</v>
      </c>
      <c r="ADH47" s="9" t="s">
        <v>881</v>
      </c>
      <c r="ADI47" s="9"/>
      <c r="ADJ47" s="9" t="s">
        <v>917</v>
      </c>
      <c r="ADK47" s="9"/>
      <c r="ADL47" s="9"/>
      <c r="ADM47" s="9"/>
      <c r="ADN47" s="9"/>
      <c r="ADO47" s="9"/>
      <c r="ADP47" s="9"/>
      <c r="ADQ47" s="9"/>
      <c r="ADR47" s="9"/>
      <c r="ADS47" s="9"/>
      <c r="ADT47" s="9"/>
      <c r="ADU47" s="9" t="s">
        <v>2235</v>
      </c>
      <c r="ADV47" s="8">
        <v>0.0</v>
      </c>
      <c r="ADW47" s="8">
        <v>0.0</v>
      </c>
      <c r="ADX47" s="8">
        <v>0.0</v>
      </c>
      <c r="ADY47" s="8">
        <v>0.0</v>
      </c>
      <c r="ADZ47" s="8">
        <v>0.0</v>
      </c>
      <c r="AEA47" s="8">
        <v>0.0</v>
      </c>
      <c r="AEB47" s="8">
        <v>1.0</v>
      </c>
      <c r="AEC47" s="8">
        <v>0.0</v>
      </c>
      <c r="AED47" s="9" t="s">
        <v>1945</v>
      </c>
      <c r="AEE47" s="9" t="s">
        <v>872</v>
      </c>
      <c r="AEF47" s="9"/>
      <c r="AEG47" s="9" t="s">
        <v>1367</v>
      </c>
      <c r="AEH47" s="9"/>
      <c r="AEI47" s="9" t="s">
        <v>2799</v>
      </c>
      <c r="AEJ47" s="9" t="s">
        <v>871</v>
      </c>
      <c r="AEK47" s="9" t="s">
        <v>2800</v>
      </c>
      <c r="AEL47" s="8">
        <v>0.0</v>
      </c>
      <c r="AEM47" s="8">
        <v>0.0</v>
      </c>
      <c r="AEN47" s="8">
        <v>0.0</v>
      </c>
      <c r="AEO47" s="8">
        <v>1.0</v>
      </c>
      <c r="AEP47" s="8">
        <v>1.0</v>
      </c>
      <c r="AEQ47" s="8">
        <v>0.0</v>
      </c>
      <c r="AER47" s="8">
        <v>1.0</v>
      </c>
      <c r="AES47" s="8">
        <v>0.0</v>
      </c>
      <c r="AET47" s="8">
        <v>0.0</v>
      </c>
      <c r="AEU47" s="8">
        <v>0.0</v>
      </c>
      <c r="AEV47" s="8">
        <v>1.0</v>
      </c>
      <c r="AEW47" s="8">
        <v>0.0</v>
      </c>
      <c r="AEX47" s="9"/>
      <c r="AEY47" s="9" t="s">
        <v>1981</v>
      </c>
      <c r="AEZ47" s="9"/>
      <c r="AFA47" s="9" t="s">
        <v>2077</v>
      </c>
      <c r="AFB47" s="9"/>
      <c r="AFC47" s="9" t="s">
        <v>2801</v>
      </c>
      <c r="AFD47" s="16" t="s">
        <v>2802</v>
      </c>
      <c r="AFE47" s="9" t="s">
        <v>2803</v>
      </c>
      <c r="AFF47" s="16" t="s">
        <v>2804</v>
      </c>
      <c r="AFG47" s="9" t="s">
        <v>1919</v>
      </c>
      <c r="AFH47" s="9"/>
      <c r="AFI47" s="21" t="s">
        <v>2805</v>
      </c>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c r="ATS47" s="9"/>
      <c r="ATT47" s="9"/>
      <c r="ATU47" s="9"/>
      <c r="ATV47" s="9"/>
      <c r="ATW47" s="9"/>
      <c r="ATX47" s="9"/>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8">
        <v>6.73459136E8</v>
      </c>
      <c r="AWB47" s="9" t="s">
        <v>2806</v>
      </c>
      <c r="AWC47" s="6">
        <v>46069.0</v>
      </c>
      <c r="AWD47" s="9"/>
      <c r="AWE47" s="9"/>
      <c r="AWF47" s="9" t="s">
        <v>1954</v>
      </c>
      <c r="AWG47" s="9"/>
      <c r="AWH47" s="9" t="s">
        <v>1989</v>
      </c>
      <c r="AWI47" s="9"/>
      <c r="AWJ47" s="9" t="s">
        <v>2807</v>
      </c>
      <c r="AWK47" s="8">
        <v>310.0</v>
      </c>
      <c r="AWL47" s="9" t="s">
        <v>2794</v>
      </c>
      <c r="AWM47" s="8">
        <v>0.0</v>
      </c>
      <c r="AWN47" s="9" t="s">
        <v>1957</v>
      </c>
      <c r="AWO47" s="33" t="b">
        <v>1</v>
      </c>
      <c r="AWP47" s="33" t="b">
        <v>1</v>
      </c>
      <c r="AWQ47" s="33" t="b">
        <v>1</v>
      </c>
      <c r="AWR47" s="33" t="b">
        <v>1</v>
      </c>
      <c r="AWS47" s="33" t="b">
        <v>1</v>
      </c>
      <c r="AWT47" s="33" t="b">
        <v>1</v>
      </c>
      <c r="AWU47" s="9"/>
      <c r="AWV47" s="8">
        <v>3.0</v>
      </c>
      <c r="AWW47" s="9"/>
      <c r="AWX47" s="9"/>
      <c r="AWY47" s="8">
        <v>10.0</v>
      </c>
      <c r="AWZ47" s="9"/>
    </row>
    <row r="48">
      <c r="A48" s="6">
        <v>46070.0</v>
      </c>
      <c r="B48" s="6">
        <v>46070.0</v>
      </c>
      <c r="C48" s="30" t="s">
        <v>1919</v>
      </c>
      <c r="D48" s="30" t="s">
        <v>2808</v>
      </c>
      <c r="E48" s="8">
        <f>+6282343688510</f>
        <v>6282343688510</v>
      </c>
      <c r="F48" s="9" t="s">
        <v>2809</v>
      </c>
      <c r="G48" s="8">
        <v>-5.009461</v>
      </c>
      <c r="H48" s="8">
        <v>119.655489</v>
      </c>
      <c r="I48" s="8">
        <v>64.20000458</v>
      </c>
      <c r="J48" s="8">
        <v>1.050999999</v>
      </c>
      <c r="K48" s="8">
        <v>0.0</v>
      </c>
      <c r="L48" s="9" t="s">
        <v>2810</v>
      </c>
      <c r="M48" s="8">
        <v>-5.009579</v>
      </c>
      <c r="N48" s="8">
        <v>119.655919</v>
      </c>
      <c r="O48" s="8">
        <v>64.20000458</v>
      </c>
      <c r="P48" s="8">
        <v>1.146999955</v>
      </c>
      <c r="Q48" s="8">
        <v>0.0</v>
      </c>
      <c r="R48" s="9" t="s">
        <v>1923</v>
      </c>
      <c r="S48" s="8">
        <v>0.0</v>
      </c>
      <c r="T48" s="8">
        <v>0.0</v>
      </c>
      <c r="U48" s="8">
        <v>0.0</v>
      </c>
      <c r="V48" s="8">
        <v>0.0</v>
      </c>
      <c r="W48" s="8">
        <v>0.0</v>
      </c>
      <c r="X48" s="8">
        <v>0.0</v>
      </c>
      <c r="Y48" s="8">
        <v>0.0</v>
      </c>
      <c r="Z48" s="8">
        <v>0.0</v>
      </c>
      <c r="AA48" s="8">
        <v>0.0</v>
      </c>
      <c r="AB48" s="8">
        <v>1.0</v>
      </c>
      <c r="AC48" s="7" t="s">
        <v>1924</v>
      </c>
      <c r="AD48" s="7" t="s">
        <v>2209</v>
      </c>
      <c r="AE48" s="7" t="s">
        <v>2210</v>
      </c>
      <c r="AF48" s="9" t="s">
        <v>2811</v>
      </c>
      <c r="AG48" s="9" t="s">
        <v>2812</v>
      </c>
      <c r="AH48" s="8">
        <v>10.0</v>
      </c>
      <c r="AI48" s="9" t="s">
        <v>933</v>
      </c>
      <c r="AJ48" s="9" t="s">
        <v>934</v>
      </c>
      <c r="AK48" s="35">
        <v>63.0</v>
      </c>
      <c r="AL48" s="9" t="s">
        <v>847</v>
      </c>
      <c r="AM48" s="9" t="s">
        <v>848</v>
      </c>
      <c r="AN48" s="9" t="s">
        <v>1099</v>
      </c>
      <c r="AO48" s="9" t="s">
        <v>1168</v>
      </c>
      <c r="AP48" s="8">
        <v>0.0</v>
      </c>
      <c r="AQ48" s="8">
        <v>0.0</v>
      </c>
      <c r="AR48" s="8">
        <v>0.0</v>
      </c>
      <c r="AS48" s="8">
        <v>0.0</v>
      </c>
      <c r="AT48" s="8">
        <v>1.0</v>
      </c>
      <c r="AU48" s="8">
        <v>0.0</v>
      </c>
      <c r="AV48" s="8">
        <v>0.0</v>
      </c>
      <c r="AW48" s="8">
        <v>0.0</v>
      </c>
      <c r="AX48" s="9"/>
      <c r="AY48" s="9" t="s">
        <v>935</v>
      </c>
      <c r="AZ48" s="8">
        <v>0.0</v>
      </c>
      <c r="BA48" s="8">
        <v>1.0</v>
      </c>
      <c r="BB48" s="8">
        <v>0.0</v>
      </c>
      <c r="BC48" s="8">
        <v>0.0</v>
      </c>
      <c r="BD48" s="8">
        <v>0.0</v>
      </c>
      <c r="BE48" s="8">
        <v>0.0</v>
      </c>
      <c r="BF48" s="8">
        <v>0.0</v>
      </c>
      <c r="BG48" s="8">
        <v>0.0</v>
      </c>
      <c r="BH48" s="11"/>
      <c r="BI48" s="9" t="s">
        <v>1101</v>
      </c>
      <c r="BJ48" s="8">
        <v>1.0</v>
      </c>
      <c r="BK48" s="8">
        <v>1.0</v>
      </c>
      <c r="BL48" s="8">
        <v>0.0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1929</v>
      </c>
      <c r="CD48" s="8">
        <v>0.0</v>
      </c>
      <c r="CE48" s="8">
        <v>0.0</v>
      </c>
      <c r="CF48" s="8">
        <v>0.0</v>
      </c>
      <c r="CG48" s="8">
        <v>0.0</v>
      </c>
      <c r="CH48" s="8">
        <v>1.0</v>
      </c>
      <c r="CI48" s="8">
        <v>0.0</v>
      </c>
      <c r="CJ48" s="8">
        <v>0.0</v>
      </c>
      <c r="CK48" s="9"/>
      <c r="CL48" s="9" t="s">
        <v>857</v>
      </c>
      <c r="CM48" s="8">
        <v>2016.0</v>
      </c>
      <c r="CN48" s="9" t="s">
        <v>858</v>
      </c>
      <c r="CO48" s="9" t="s">
        <v>1968</v>
      </c>
      <c r="CP48" s="9" t="s">
        <v>860</v>
      </c>
      <c r="CQ48" s="8">
        <v>0.0</v>
      </c>
      <c r="CR48" s="8">
        <v>0.0</v>
      </c>
      <c r="CS48" s="8">
        <v>0.0</v>
      </c>
      <c r="CT48" s="8">
        <v>0.0</v>
      </c>
      <c r="CU48" s="8">
        <v>1.0</v>
      </c>
      <c r="CV48" s="8">
        <v>0.0</v>
      </c>
      <c r="CW48" s="8">
        <v>0.0</v>
      </c>
      <c r="CX48" s="8">
        <v>0.0</v>
      </c>
      <c r="CY48" s="9" t="s">
        <v>860</v>
      </c>
      <c r="CZ48" s="8">
        <v>1.0</v>
      </c>
      <c r="DA48" s="8">
        <v>0.0</v>
      </c>
      <c r="DB48" s="8">
        <v>0.0</v>
      </c>
      <c r="DC48" s="9"/>
      <c r="DD48" s="9" t="s">
        <v>860</v>
      </c>
      <c r="DE48" s="8">
        <v>1.0</v>
      </c>
      <c r="DF48" s="8">
        <v>0.0</v>
      </c>
      <c r="DG48" s="8">
        <v>0.0</v>
      </c>
      <c r="DH48" s="8">
        <v>0.0</v>
      </c>
      <c r="DI48" s="9"/>
      <c r="DJ48" s="9" t="s">
        <v>937</v>
      </c>
      <c r="DK48" s="8">
        <v>1.0</v>
      </c>
      <c r="DL48" s="8">
        <v>0.0</v>
      </c>
      <c r="DM48" s="8">
        <v>1.0</v>
      </c>
      <c r="DN48" s="8">
        <v>0.0</v>
      </c>
      <c r="DO48" s="9"/>
      <c r="DP48" s="9" t="s">
        <v>938</v>
      </c>
      <c r="DQ48" s="9" t="s">
        <v>939</v>
      </c>
      <c r="DR48" s="17" t="s">
        <v>987</v>
      </c>
      <c r="DS48" s="9"/>
      <c r="DT48" s="9"/>
      <c r="DU48" s="9"/>
      <c r="DV48" s="9"/>
      <c r="DW48" s="9"/>
      <c r="DX48" s="9"/>
      <c r="DY48" s="9"/>
      <c r="DZ48" s="9"/>
      <c r="EA48" s="9"/>
      <c r="EB48" s="9"/>
      <c r="EC48" s="9"/>
      <c r="ED48" s="9"/>
      <c r="EE48" s="9"/>
      <c r="EF48" s="9"/>
      <c r="EG48" s="9"/>
      <c r="EH48" s="9"/>
      <c r="EI48" s="31" t="s">
        <v>862</v>
      </c>
      <c r="EJ48" s="8">
        <v>0.0</v>
      </c>
      <c r="EK48" s="8">
        <v>0.0</v>
      </c>
      <c r="EL48" s="8">
        <v>0.0</v>
      </c>
      <c r="EM48" s="8">
        <v>1.0</v>
      </c>
      <c r="EN48" s="8">
        <v>0.0</v>
      </c>
      <c r="EO48" s="9"/>
      <c r="EP48" s="9" t="s">
        <v>1403</v>
      </c>
      <c r="EQ48" s="9" t="s">
        <v>864</v>
      </c>
      <c r="ER48" s="9" t="s">
        <v>861</v>
      </c>
      <c r="ES48" s="8">
        <v>1.0</v>
      </c>
      <c r="ET48" s="8">
        <v>0.0</v>
      </c>
      <c r="EU48" s="8">
        <v>0.0</v>
      </c>
      <c r="EV48" s="8">
        <v>0.0</v>
      </c>
      <c r="EW48" s="9"/>
      <c r="EX48" s="9" t="s">
        <v>865</v>
      </c>
      <c r="EY48" s="8">
        <v>1.0</v>
      </c>
      <c r="EZ48" s="8">
        <v>0.0</v>
      </c>
      <c r="FA48" s="8">
        <v>0.0</v>
      </c>
      <c r="FB48" s="9"/>
      <c r="FC48" s="9" t="s">
        <v>1028</v>
      </c>
      <c r="FD48" s="9"/>
      <c r="FE48" s="9" t="s">
        <v>867</v>
      </c>
      <c r="FF48" s="9" t="s">
        <v>869</v>
      </c>
      <c r="FG48" s="9" t="s">
        <v>867</v>
      </c>
      <c r="FH48" s="9" t="s">
        <v>868</v>
      </c>
      <c r="FI48" s="9" t="s">
        <v>867</v>
      </c>
      <c r="FJ48" s="9" t="s">
        <v>869</v>
      </c>
      <c r="FK48" s="9" t="s">
        <v>867</v>
      </c>
      <c r="FL48" s="9" t="s">
        <v>869</v>
      </c>
      <c r="FM48" s="9" t="s">
        <v>867</v>
      </c>
      <c r="FN48" s="9" t="s">
        <v>870</v>
      </c>
      <c r="FO48" s="9" t="s">
        <v>867</v>
      </c>
      <c r="FP48" s="9" t="s">
        <v>870</v>
      </c>
      <c r="FQ48" s="9" t="s">
        <v>867</v>
      </c>
      <c r="FR48" s="9" t="s">
        <v>857</v>
      </c>
      <c r="FS48" s="9" t="s">
        <v>867</v>
      </c>
      <c r="FT48" s="9" t="s">
        <v>871</v>
      </c>
      <c r="FU48" s="9" t="s">
        <v>2501</v>
      </c>
      <c r="FV48" s="8">
        <v>0.0</v>
      </c>
      <c r="FW48" s="8">
        <v>0.0</v>
      </c>
      <c r="FX48" s="8">
        <v>0.0</v>
      </c>
      <c r="FY48" s="8">
        <v>1.0</v>
      </c>
      <c r="FZ48" s="9" t="s">
        <v>1197</v>
      </c>
      <c r="GA48" s="9" t="s">
        <v>874</v>
      </c>
      <c r="GB48" s="8">
        <v>1.0</v>
      </c>
      <c r="GC48" s="8">
        <v>0.0</v>
      </c>
      <c r="GD48" s="8">
        <v>0.0</v>
      </c>
      <c r="GE48" s="8">
        <v>0.0</v>
      </c>
      <c r="GF48" s="9"/>
      <c r="GG48" s="9" t="s">
        <v>875</v>
      </c>
      <c r="GH48" s="9" t="s">
        <v>857</v>
      </c>
      <c r="GI48" s="9" t="s">
        <v>1930</v>
      </c>
      <c r="GJ48" s="8">
        <v>1.0</v>
      </c>
      <c r="GK48" s="8">
        <v>1.0</v>
      </c>
      <c r="GL48" s="8">
        <v>1.0</v>
      </c>
      <c r="GM48" s="8">
        <v>0.0</v>
      </c>
      <c r="GN48" s="9"/>
      <c r="GO48" s="8">
        <v>9.0</v>
      </c>
      <c r="GP48" s="34" t="s">
        <v>877</v>
      </c>
      <c r="GQ48" s="9" t="s">
        <v>1102</v>
      </c>
      <c r="GR48" s="8">
        <v>1.0</v>
      </c>
      <c r="GS48" s="8">
        <v>0.0</v>
      </c>
      <c r="GT48" s="8">
        <v>0.0</v>
      </c>
      <c r="GU48" s="8">
        <v>0.0</v>
      </c>
      <c r="GV48" s="8">
        <v>0.0</v>
      </c>
      <c r="GW48" s="8">
        <v>0.0</v>
      </c>
      <c r="GX48" s="8">
        <v>0.0</v>
      </c>
      <c r="GY48" s="9"/>
      <c r="GZ48" s="9" t="s">
        <v>857</v>
      </c>
      <c r="HA48" s="9"/>
      <c r="HB48" s="9"/>
      <c r="HC48" s="9"/>
      <c r="HD48" s="9"/>
      <c r="HE48" s="8">
        <v>6.0</v>
      </c>
      <c r="HF48" s="8">
        <v>30000.0</v>
      </c>
      <c r="HG48" s="8">
        <v>0.0</v>
      </c>
      <c r="HH48" s="35">
        <v>0.0</v>
      </c>
      <c r="HI48" s="9"/>
      <c r="HJ48" s="9"/>
      <c r="HK48" s="9"/>
      <c r="HL48" s="9"/>
      <c r="HM48" s="9"/>
      <c r="HN48" s="9"/>
      <c r="HO48" s="9"/>
      <c r="HP48" s="9"/>
      <c r="HQ48" s="9"/>
      <c r="HR48" s="9"/>
      <c r="HS48" s="9"/>
      <c r="HT48" s="9"/>
      <c r="HU48" s="9"/>
      <c r="HV48" s="9"/>
      <c r="HW48" s="9"/>
      <c r="HX48" s="9"/>
      <c r="HY48" s="9"/>
      <c r="HZ48" s="9"/>
      <c r="IA48" s="8">
        <v>6.0</v>
      </c>
      <c r="IB48" s="8">
        <v>30000.0</v>
      </c>
      <c r="IC48" s="9"/>
      <c r="ID48" s="9"/>
      <c r="IE48" s="9"/>
      <c r="IF48" s="9"/>
      <c r="IG48" s="9"/>
      <c r="IH48" s="9"/>
      <c r="II48" s="9"/>
      <c r="IJ48" s="9"/>
      <c r="IK48" s="9" t="s">
        <v>1932</v>
      </c>
      <c r="IL48" s="9" t="s">
        <v>1366</v>
      </c>
      <c r="IM48" s="9" t="s">
        <v>857</v>
      </c>
      <c r="IN48" s="9" t="s">
        <v>881</v>
      </c>
      <c r="IO48" s="9" t="s">
        <v>882</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884</v>
      </c>
      <c r="KT48" s="9" t="s">
        <v>886</v>
      </c>
      <c r="KU48" s="9" t="s">
        <v>886</v>
      </c>
      <c r="KV48" s="9" t="s">
        <v>872</v>
      </c>
      <c r="KW48" s="8">
        <v>1.0</v>
      </c>
      <c r="KX48" s="8">
        <v>0.0</v>
      </c>
      <c r="KY48" s="8">
        <v>0.0</v>
      </c>
      <c r="KZ48" s="8">
        <v>0.0</v>
      </c>
      <c r="LA48" s="9" t="s">
        <v>945</v>
      </c>
      <c r="LB48" s="9" t="s">
        <v>945</v>
      </c>
      <c r="LC48" s="8">
        <v>0.0</v>
      </c>
      <c r="LD48" s="8">
        <v>2.0</v>
      </c>
      <c r="LE48" s="8">
        <v>2.0</v>
      </c>
      <c r="LF48" s="8">
        <v>0.0</v>
      </c>
      <c r="LG48" s="9" t="s">
        <v>857</v>
      </c>
      <c r="LH48" s="8">
        <v>200000.0</v>
      </c>
      <c r="LI48" s="9"/>
      <c r="LJ48" s="9" t="s">
        <v>2813</v>
      </c>
      <c r="LK48" s="8">
        <v>0.0</v>
      </c>
      <c r="LL48" s="8">
        <v>0.0</v>
      </c>
      <c r="LM48" s="8">
        <v>1.0</v>
      </c>
      <c r="LN48" s="8">
        <v>0.0</v>
      </c>
      <c r="LO48" s="8">
        <v>0.0</v>
      </c>
      <c r="LP48" s="8">
        <v>0.0</v>
      </c>
      <c r="LQ48" s="8">
        <v>0.0</v>
      </c>
      <c r="LR48" s="11"/>
      <c r="LS48" s="8">
        <v>0.0</v>
      </c>
      <c r="LT48" s="8">
        <v>0.0</v>
      </c>
      <c r="LU48" s="8">
        <v>15.0</v>
      </c>
      <c r="LV48" s="8">
        <v>0.0</v>
      </c>
      <c r="LW48" s="8">
        <v>0.0</v>
      </c>
      <c r="LX48" s="8">
        <v>15.0</v>
      </c>
      <c r="LY48" s="8">
        <v>0.0</v>
      </c>
      <c r="LZ48" s="8">
        <v>0.0</v>
      </c>
      <c r="MA48" s="8">
        <v>5.0</v>
      </c>
      <c r="MB48" s="9" t="s">
        <v>857</v>
      </c>
      <c r="MC48" s="8">
        <v>0.0</v>
      </c>
      <c r="MD48" s="8">
        <v>0.0</v>
      </c>
      <c r="ME48" s="8">
        <v>0.0</v>
      </c>
      <c r="MF48" s="8">
        <v>0.0</v>
      </c>
      <c r="MG48" s="8">
        <v>0.0</v>
      </c>
      <c r="MH48" s="8">
        <v>0.0</v>
      </c>
      <c r="MI48" s="9" t="s">
        <v>946</v>
      </c>
      <c r="MJ48" s="8">
        <v>0.0</v>
      </c>
      <c r="MK48" s="8">
        <v>0.0</v>
      </c>
      <c r="ML48" s="8">
        <v>1.0</v>
      </c>
      <c r="MM48" s="8">
        <v>0.0</v>
      </c>
      <c r="MN48" s="8">
        <v>0.0</v>
      </c>
      <c r="MO48" s="8">
        <v>0.0</v>
      </c>
      <c r="MP48" s="9"/>
      <c r="MQ48" s="9"/>
      <c r="MR48" s="36" t="s">
        <v>2120</v>
      </c>
      <c r="MS48" s="9"/>
      <c r="MT48" s="9" t="s">
        <v>2120</v>
      </c>
      <c r="MU48" s="9" t="s">
        <v>1030</v>
      </c>
      <c r="MV48" s="9" t="s">
        <v>1104</v>
      </c>
      <c r="MW48" s="8">
        <v>1.0</v>
      </c>
      <c r="MX48" s="8">
        <v>1.0</v>
      </c>
      <c r="MY48" s="8">
        <v>0.0</v>
      </c>
      <c r="MZ48" s="8">
        <v>0.0</v>
      </c>
      <c r="NA48" s="9"/>
      <c r="NB48" s="9"/>
      <c r="NC48" s="9"/>
      <c r="ND48" s="9"/>
      <c r="NE48" s="9"/>
      <c r="NF48" s="9"/>
      <c r="NG48" s="9"/>
      <c r="NH48" s="9"/>
      <c r="NI48" s="9"/>
      <c r="NJ48" s="9"/>
      <c r="NK48" s="9"/>
      <c r="NL48" s="9" t="s">
        <v>857</v>
      </c>
      <c r="NM48" s="9" t="s">
        <v>1386</v>
      </c>
      <c r="NN48" s="17" t="s">
        <v>1975</v>
      </c>
      <c r="NO48" s="17" t="s">
        <v>1118</v>
      </c>
      <c r="NP48" s="9"/>
      <c r="NQ48" s="9"/>
      <c r="NR48" s="9"/>
      <c r="NS48" s="9"/>
      <c r="NT48" s="9"/>
      <c r="NU48" s="9"/>
      <c r="NV48" s="9"/>
      <c r="NW48" s="9"/>
      <c r="NX48" s="9" t="s">
        <v>897</v>
      </c>
      <c r="NY48" s="8">
        <v>120.0</v>
      </c>
      <c r="NZ48" s="8">
        <v>0.0</v>
      </c>
      <c r="OA48" s="8">
        <v>0.0</v>
      </c>
      <c r="OB48" s="8">
        <v>0.0</v>
      </c>
      <c r="OC48" s="8">
        <v>0.0</v>
      </c>
      <c r="OD48" s="8">
        <v>0.0</v>
      </c>
      <c r="OE48" s="9" t="s">
        <v>898</v>
      </c>
      <c r="OF48" s="9" t="s">
        <v>1184</v>
      </c>
      <c r="OG48" s="9" t="s">
        <v>857</v>
      </c>
      <c r="OH48" s="8">
        <v>0.0</v>
      </c>
      <c r="OI48" s="8">
        <v>0.0</v>
      </c>
      <c r="OJ48" s="8">
        <v>0.0</v>
      </c>
      <c r="OK48" s="8">
        <v>0.0</v>
      </c>
      <c r="OL48" s="8">
        <v>0.0</v>
      </c>
      <c r="OM48" s="8">
        <v>0.0</v>
      </c>
      <c r="ON48" s="8">
        <v>5000.0</v>
      </c>
      <c r="OO48" s="8">
        <v>0.0</v>
      </c>
      <c r="OP48" s="9" t="str">
        <f>VLOOKUP(AG48,'BUS 2'!$G$1:$CU$424,2,0)</f>
        <v>Sapi pedaging Ayam</v>
      </c>
      <c r="OQ48" s="8">
        <f>VLOOKUP(AG48,'BUS 2'!$G$1:$CU$424,3,0)</f>
        <v>1</v>
      </c>
      <c r="OR48" s="8">
        <f>VLOOKUP(AG48,'BUS 2'!$G$1:$CU$424,4,0)</f>
        <v>0</v>
      </c>
      <c r="OS48" s="8">
        <f>VLOOKUP(AG48,'BUS 2'!$G$1:$CU$424,5,0)</f>
        <v>0</v>
      </c>
      <c r="OT48" s="8">
        <f>VLOOKUP(AG48,'BUS 2'!$G$1:$CU$424,6,0)</f>
        <v>0</v>
      </c>
      <c r="OU48" s="8">
        <f>VLOOKUP(AG48,'BUS 2'!$G$1:$CU$424,7,0)</f>
        <v>0</v>
      </c>
      <c r="OV48" s="8">
        <f>VLOOKUP(AG48,'BUS 2'!$G$1:$CU$424,8,0)</f>
        <v>0</v>
      </c>
      <c r="OW48" s="8">
        <f>VLOOKUP(AG48,'BUS 2'!$G$1:$CU$424,9,0)</f>
        <v>1</v>
      </c>
      <c r="OX48" s="8">
        <f>VLOOKUP(AG48,'BUS 2'!$G$1:$CU$424,10,0)</f>
        <v>0</v>
      </c>
      <c r="OY48" s="8">
        <f>VLOOKUP(AG48,'BUS 2'!$G$1:$CU$424,11,0)</f>
        <v>0</v>
      </c>
      <c r="OZ48" s="8" t="str">
        <f>VLOOKUP(AG48,'BUS 2'!$G$1:$CU$424,12,0)</f>
        <v>Tidak ada</v>
      </c>
      <c r="PA48" s="8">
        <f>VLOOKUP(AG48,'BUS 2'!$G$1:$CU$424,13,0)</f>
        <v>0</v>
      </c>
      <c r="PB48" s="8">
        <f>VLOOKUP(AG48,'BUS 2'!$G$1:$CU$424,14,0)</f>
        <v>0</v>
      </c>
      <c r="PC48" s="8">
        <f>VLOOKUP(AG48,'BUS 2'!$G$1:$CU$424,15,0)</f>
        <v>0</v>
      </c>
      <c r="PD48" s="8">
        <f>VLOOKUP(AG48,'BUS 2'!$G$1:$CU$424,16,0)</f>
        <v>0</v>
      </c>
      <c r="PE48" s="8">
        <f>VLOOKUP(AG48,'BUS 2'!$G$1:$CU$424,17,0)</f>
        <v>0</v>
      </c>
      <c r="PF48" s="8">
        <f>VLOOKUP(AG48,'BUS 2'!$G$1:$CU$424,18,0)</f>
        <v>0</v>
      </c>
      <c r="PG48" s="8">
        <f>VLOOKUP(AG48,'BUS 2'!$G$1:$CU$424,19,0)</f>
        <v>0</v>
      </c>
      <c r="PH48" s="8">
        <f>VLOOKUP(AG48,'BUS 2'!$G$1:$CU$424,20,0)</f>
        <v>0</v>
      </c>
      <c r="PI48" s="8">
        <f>VLOOKUP(AG48,'BUS 2'!$G$1:$CU$424,21,0)</f>
        <v>1</v>
      </c>
      <c r="PJ48" s="8" t="str">
        <f>VLOOKUP(AG48,'BUS 2'!$G$1:$CU$424,22,0)</f>
        <v>Tidak ada</v>
      </c>
      <c r="PK48" s="8">
        <f>VLOOKUP(AG48,'BUS 2'!$G$1:$CU$424,23,0)</f>
        <v>0</v>
      </c>
      <c r="PL48" s="8">
        <f>VLOOKUP(AG48,'BUS 2'!$G$1:$CU$424,24,0)</f>
        <v>0</v>
      </c>
      <c r="PM48" s="8">
        <f>VLOOKUP(AG48,'BUS 2'!$G$1:$CU$424,25,0)</f>
        <v>0</v>
      </c>
      <c r="PN48" s="8">
        <f>VLOOKUP(AG48,'BUS 2'!$G$1:$CU$424,26,0)</f>
        <v>0</v>
      </c>
      <c r="PO48" s="8">
        <f>VLOOKUP(AG48,'BUS 2'!$G$1:$CU$424,27,0)</f>
        <v>0</v>
      </c>
      <c r="PP48" s="8">
        <f>VLOOKUP(AG48,'BUS 2'!$G$1:$CU$424,28,0)</f>
        <v>0</v>
      </c>
      <c r="PQ48" s="8">
        <f>VLOOKUP(AG48,'BUS 2'!$G$1:$CU$424,29,0)</f>
        <v>0</v>
      </c>
      <c r="PR48" s="8">
        <f>VLOOKUP(AG48,'BUS 2'!$G$1:$CU$424,30,0)</f>
        <v>0</v>
      </c>
      <c r="PS48" s="8">
        <f>VLOOKUP(AG48,'BUS 2'!$G$1:$CU$424,31,0)</f>
        <v>1</v>
      </c>
      <c r="PT48" s="9" t="s">
        <v>900</v>
      </c>
      <c r="PU48" s="8">
        <v>0.0</v>
      </c>
      <c r="PV48" s="8">
        <v>0.0</v>
      </c>
      <c r="PW48" s="8">
        <v>0.0</v>
      </c>
      <c r="PX48" s="8">
        <v>0.0</v>
      </c>
      <c r="PY48" s="8">
        <v>0.0</v>
      </c>
      <c r="PZ48" s="8">
        <v>1.0</v>
      </c>
      <c r="QA48" s="8">
        <v>0.0</v>
      </c>
      <c r="QB48" s="8">
        <v>0.0</v>
      </c>
      <c r="QC48" s="8">
        <v>0.0</v>
      </c>
      <c r="QD48" s="9"/>
      <c r="QE48" s="32"/>
      <c r="QF48" s="31"/>
      <c r="QG48" s="31"/>
      <c r="QH48" s="31"/>
      <c r="QI48" s="31"/>
      <c r="QJ48" s="31"/>
      <c r="QK48" s="32"/>
      <c r="QL48" s="32"/>
      <c r="QM48" s="32"/>
      <c r="QN48" s="32"/>
      <c r="QO48" s="32"/>
      <c r="QP48" s="32"/>
      <c r="QQ48" s="32"/>
      <c r="QR48" s="32"/>
      <c r="QS48" s="32"/>
      <c r="QT48" s="32"/>
      <c r="QU48" s="32"/>
      <c r="QV48" s="32"/>
      <c r="QW48" s="31"/>
      <c r="QX48" s="31"/>
      <c r="QY48" s="31"/>
      <c r="QZ48" s="31"/>
      <c r="RA48" s="31"/>
      <c r="RB48" s="32"/>
      <c r="RC48" s="32"/>
      <c r="RD48" s="32"/>
      <c r="RE48" s="32"/>
      <c r="RF48" s="32"/>
      <c r="RG48" s="9"/>
      <c r="RH48" s="31"/>
      <c r="RI48" s="31"/>
      <c r="RJ48" s="31"/>
      <c r="RK48" s="31"/>
      <c r="RL48" s="31"/>
      <c r="RM48" s="9"/>
      <c r="RN48" s="9"/>
      <c r="RO48" s="9"/>
      <c r="RP48" s="9"/>
      <c r="RQ48" s="9"/>
      <c r="RR48" s="9"/>
      <c r="RS48" s="31"/>
      <c r="RT48" s="31"/>
      <c r="RU48" s="31"/>
      <c r="RV48" s="31"/>
      <c r="RW48" s="31"/>
      <c r="RX48" s="9"/>
      <c r="RY48" s="9"/>
      <c r="RZ48" s="9"/>
      <c r="SA48" s="9"/>
      <c r="SB48" s="9"/>
      <c r="SC48" s="9" t="s">
        <v>900</v>
      </c>
      <c r="SD48" s="35">
        <v>0.0</v>
      </c>
      <c r="SE48" s="35">
        <v>0.0</v>
      </c>
      <c r="SF48" s="35">
        <v>0.0</v>
      </c>
      <c r="SG48" s="35">
        <v>0.0</v>
      </c>
      <c r="SH48" s="35">
        <v>0.0</v>
      </c>
      <c r="SI48" s="8">
        <v>1.0</v>
      </c>
      <c r="SJ48" s="8">
        <v>0.0</v>
      </c>
      <c r="SK48" s="8">
        <v>0.0</v>
      </c>
      <c r="SL48" s="8">
        <v>0.0</v>
      </c>
      <c r="SM48" s="9"/>
      <c r="SN48" s="9"/>
      <c r="SO48" s="31"/>
      <c r="SP48" s="31"/>
      <c r="SQ48" s="31"/>
      <c r="SR48" s="31"/>
      <c r="SS48" s="31"/>
      <c r="ST48" s="9"/>
      <c r="SU48" s="9"/>
      <c r="SV48" s="9"/>
      <c r="SW48" s="9"/>
      <c r="SX48" s="9"/>
      <c r="SY48" s="8">
        <f>VLOOKUP(AG48,'BUS 2'!$G$1:$CU$424,33,0)</f>
        <v>2</v>
      </c>
      <c r="SZ48" s="9" t="str">
        <f>VLOOKUP(AG48,'BUS 2'!$G$1:$CU$424,34,0)</f>
        <v/>
      </c>
      <c r="TA48" s="9" t="str">
        <f>VLOOKUP(AG48,'BUS 2'!$G$1:$CU$424,35,0)</f>
        <v/>
      </c>
      <c r="TB48" s="9" t="str">
        <f>VLOOKUP(AG48,'BUS 2'!$G$1:$CU$424,36,0)</f>
        <v/>
      </c>
      <c r="TC48" s="9" t="str">
        <f>VLOOKUP(AG48,'BUS 2'!$G$1:$CU$424,37,0)</f>
        <v/>
      </c>
      <c r="TD48" s="9" t="str">
        <f>VLOOKUP(AG48,'BUS 2'!$G$1:$CU$424,38,0)</f>
        <v/>
      </c>
      <c r="TE48" s="9">
        <f>VLOOKUP(AG48,'BUS 2'!$G$1:$CU$424,39,0)</f>
        <v>3000</v>
      </c>
      <c r="TF48" s="9" t="str">
        <f>VLOOKUP(AG48,'BUS 2'!$G$1:$CU$424,40,0)</f>
        <v/>
      </c>
      <c r="TG48" s="8" t="str">
        <f>VLOOKUP(AG48,'BUS 2'!$G$1:$CU$424,42,0)</f>
        <v/>
      </c>
      <c r="TH48" s="8" t="str">
        <f>VLOOKUP(AG48,'BUS 2'!$G$1:$CU$424,43,0)</f>
        <v/>
      </c>
      <c r="TI48" s="8" t="str">
        <f>VLOOKUP(AG48,'BUS 2'!$G$1:$CU$424,44,0)</f>
        <v/>
      </c>
      <c r="TJ48" s="8" t="str">
        <f>VLOOKUP(AG48,'BUS 2'!$G$1:$CU$424,45,0)</f>
        <v/>
      </c>
      <c r="TK48" s="8" t="str">
        <f>VLOOKUP(AG48,'BUS 2'!$G$1:$CU$424,46,0)</f>
        <v/>
      </c>
      <c r="TL48" s="8" t="str">
        <f>VLOOKUP(AG48,'BUS 2'!$G$1:$CU$424,47,0)</f>
        <v/>
      </c>
      <c r="TM48" s="8" t="str">
        <f>VLOOKUP(AG48,'BUS 2'!$G$1:$CU$424,48,0)</f>
        <v/>
      </c>
      <c r="TN48" s="8" t="str">
        <f>VLOOKUP(AG48,'BUS 2'!$G$1:$CU$424,49,0)</f>
        <v/>
      </c>
      <c r="TO48" s="8" t="str">
        <f>VLOOKUP(AG48,'BUS 2'!$G$1:$CU$424,50,0)</f>
        <v/>
      </c>
      <c r="TP48" s="8" t="str">
        <f>VLOOKUP(AG48,'BUS 2'!$G$1:$CU$424,51,0)</f>
        <v/>
      </c>
      <c r="TQ48" s="8" t="str">
        <f>VLOOKUP(AG48,'BUS 2'!$G$1:$CU$424,52,0)</f>
        <v/>
      </c>
      <c r="TR48" s="8" t="str">
        <f>VLOOKUP(AG48,'BUS 2'!$G$1:$CU$424,53,0)</f>
        <v/>
      </c>
      <c r="TS48" s="9" t="str">
        <f>VLOOKUP(AG48,'BUS 2'!$G$1:$CU$424,54,0)</f>
        <v/>
      </c>
      <c r="TT48" s="9" t="str">
        <f>VLOOKUP(AG48,'BUS 2'!$G$1:$CU$424,55,0)</f>
        <v/>
      </c>
      <c r="TU48" s="9" t="str">
        <f>VLOOKUP(AG48,'BUS 2'!$G$1:$CU$424,56,0)</f>
        <v/>
      </c>
      <c r="TV48" s="9" t="str">
        <f>VLOOKUP(AG48,'BUS 2'!$G$1:$CU$424,57,0)</f>
        <v/>
      </c>
      <c r="TW48" s="9" t="str">
        <f>VLOOKUP(AG48,'BUS 2'!$G$1:$CU$424,58,0)</f>
        <v/>
      </c>
      <c r="TX48" s="9" t="str">
        <f>VLOOKUP(AG48,'BUS 2'!$G$1:$CU$424,59,0)</f>
        <v/>
      </c>
      <c r="TY48" s="9" t="str">
        <f>VLOOKUP(AG48,'BUS 2'!$G$1:$CU$424,60,0)</f>
        <v/>
      </c>
      <c r="TZ48" s="9" t="str">
        <f>VLOOKUP(AG48,'BUS 2'!$G$1:$CU$424,61,0)</f>
        <v/>
      </c>
      <c r="UA48" s="9" t="str">
        <f>VLOOKUP(AG48,'BUS 2'!$G$1:$CU$424,62,0)</f>
        <v/>
      </c>
      <c r="UB48" s="9" t="str">
        <f>VLOOKUP(AG48,'BUS 2'!$G$1:$CU$424,63,0)</f>
        <v/>
      </c>
      <c r="UC48" s="9" t="str">
        <f>VLOOKUP(AG48,'BUS 2'!$G$1:$CU$424,64,0)</f>
        <v/>
      </c>
      <c r="UD48" s="9" t="str">
        <f>VLOOKUP(AG48,'BUS 2'!$G$1:$CU$424,65,0)</f>
        <v/>
      </c>
      <c r="UE48" s="9" t="str">
        <f>VLOOKUP(AG48,'BUS 2'!$G$1:$CU$424,66,0)</f>
        <v/>
      </c>
      <c r="UF48" s="9" t="str">
        <f>VLOOKUP(AG48,'BUS 2'!$G$1:$CU$424,67,0)</f>
        <v/>
      </c>
      <c r="UG48" s="9" t="str">
        <f>VLOOKUP(AG48,'BUS 2'!$G$1:$CU$424,68,0)</f>
        <v/>
      </c>
      <c r="UH48" s="9" t="str">
        <f>VLOOKUP(AG48,'BUS 2'!$G$1:$CU$424,69,0)</f>
        <v/>
      </c>
      <c r="UI48" s="9" t="str">
        <f>VLOOKUP(AG48,'BUS 2'!$G$1:$CU$424,70,0)</f>
        <v/>
      </c>
      <c r="UJ48" s="9" t="str">
        <f>VLOOKUP(AG48,'BUS 2'!$G$1:$CU$424,71,0)</f>
        <v/>
      </c>
      <c r="UK48" s="9" t="str">
        <f>VLOOKUP(AG48,'BUS 2'!$G$1:$CU$424,72,0)</f>
        <v/>
      </c>
      <c r="UL48" s="9" t="str">
        <f>VLOOKUP(AG48,'BUS 2'!$G$1:$CU$424,73,0)</f>
        <v/>
      </c>
      <c r="UM48" s="9" t="str">
        <f>VLOOKUP(AG48,'BUS 2'!$G$1:$CU$424,74,0)</f>
        <v/>
      </c>
      <c r="UN48" s="9" t="str">
        <f>VLOOKUP(AG48,'BUS 2'!$G$1:$CU$424,75,0)</f>
        <v/>
      </c>
      <c r="UO48" s="9" t="str">
        <f>VLOOKUP(AG48,'BUS 2'!$G$1:$CU$424,76,0)</f>
        <v/>
      </c>
      <c r="UP48" s="9" t="str">
        <f>VLOOKUP(AG48,'BUS 2'!$G$1:$CU$424,77,0)</f>
        <v/>
      </c>
      <c r="UQ48" s="9" t="str">
        <f>VLOOKUP(AG48,'BUS 2'!$G$1:$CU$424,78,0)</f>
        <v/>
      </c>
      <c r="UR48" s="9" t="str">
        <f>VLOOKUP(AG48,'BUS 2'!$G$1:$CU$424,79,0)</f>
        <v/>
      </c>
      <c r="US48" s="9" t="str">
        <f>VLOOKUP(AG48,'BUS 2'!$G$1:$CU$424,80,0)</f>
        <v/>
      </c>
      <c r="UT48" s="9" t="str">
        <f>VLOOKUP(AG48,'BUS 2'!$G$1:$CU$424,81,0)</f>
        <v/>
      </c>
      <c r="UU48" s="9"/>
      <c r="UV48" s="9"/>
      <c r="UW48" s="9"/>
      <c r="UX48" s="9"/>
      <c r="UY48" s="9"/>
      <c r="UZ48" s="9"/>
      <c r="VA48" s="9" t="s">
        <v>901</v>
      </c>
      <c r="VB48" s="9"/>
      <c r="VC48" s="9"/>
      <c r="VD48" s="9"/>
      <c r="VE48" s="9"/>
      <c r="VF48" s="9"/>
      <c r="VG48" s="9"/>
      <c r="VH48" s="9"/>
      <c r="VI48" s="9" t="s">
        <v>1938</v>
      </c>
      <c r="VJ48" s="9"/>
      <c r="VK48" s="9"/>
      <c r="VL48" s="9"/>
      <c r="VM48" s="9"/>
      <c r="VN48" s="9"/>
      <c r="VO48" s="9"/>
      <c r="VP48" s="9"/>
      <c r="VQ48" s="9" t="s">
        <v>1939</v>
      </c>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t="s">
        <v>2361</v>
      </c>
      <c r="YO48" s="8">
        <v>0.0</v>
      </c>
      <c r="YP48" s="8">
        <v>0.0</v>
      </c>
      <c r="YQ48" s="8">
        <v>0.0</v>
      </c>
      <c r="YR48" s="8">
        <v>0.0</v>
      </c>
      <c r="YS48" s="8">
        <v>0.0</v>
      </c>
      <c r="YT48" s="8">
        <v>0.0</v>
      </c>
      <c r="YU48" s="8">
        <v>0.0</v>
      </c>
      <c r="YV48" s="8">
        <v>0.0</v>
      </c>
      <c r="YW48" s="8">
        <v>1.0</v>
      </c>
      <c r="YX48" s="8">
        <v>0.0</v>
      </c>
      <c r="YY48" s="8">
        <v>0.0</v>
      </c>
      <c r="YZ48" s="8">
        <v>0.0</v>
      </c>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8">
        <v>2.0</v>
      </c>
      <c r="AAC48" s="9"/>
      <c r="AAD48" s="9"/>
      <c r="AAE48" s="9"/>
      <c r="AAF48" s="9"/>
      <c r="AAG48" s="9"/>
      <c r="AAH48" s="9"/>
      <c r="AAI48" s="9"/>
      <c r="AAJ48" s="9" t="s">
        <v>905</v>
      </c>
      <c r="AAK48" s="9"/>
      <c r="AAL48" s="9" t="s">
        <v>881</v>
      </c>
      <c r="AAM48" s="9"/>
      <c r="AAN48" s="9"/>
      <c r="AAO48" s="9"/>
      <c r="AAP48" s="9"/>
      <c r="AAQ48" s="9"/>
      <c r="AAR48" s="9" t="s">
        <v>881</v>
      </c>
      <c r="AAS48" s="9" t="s">
        <v>867</v>
      </c>
      <c r="AAT48" s="9" t="s">
        <v>2176</v>
      </c>
      <c r="AAU48" s="8">
        <v>0.0</v>
      </c>
      <c r="AAV48" s="8">
        <v>0.0</v>
      </c>
      <c r="AAW48" s="8">
        <v>0.0</v>
      </c>
      <c r="AAX48" s="8">
        <v>0.0</v>
      </c>
      <c r="AAY48" s="8">
        <v>0.0</v>
      </c>
      <c r="AAZ48" s="8">
        <v>1.0</v>
      </c>
      <c r="ABA48" s="8">
        <v>0.0</v>
      </c>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t="s">
        <v>2156</v>
      </c>
      <c r="ACL48" s="8">
        <v>0.0</v>
      </c>
      <c r="ACM48" s="8">
        <v>0.0</v>
      </c>
      <c r="ACN48" s="8">
        <v>1.0</v>
      </c>
      <c r="ACO48" s="8">
        <v>0.0</v>
      </c>
      <c r="ACP48" s="8">
        <v>0.0</v>
      </c>
      <c r="ACQ48" s="8">
        <v>0.0</v>
      </c>
      <c r="ACR48" s="8">
        <v>0.0</v>
      </c>
      <c r="ACS48" s="9"/>
      <c r="ACT48" s="9" t="s">
        <v>1945</v>
      </c>
      <c r="ACU48" s="9" t="s">
        <v>913</v>
      </c>
      <c r="ACV48" s="9" t="s">
        <v>996</v>
      </c>
      <c r="ACW48" s="9" t="s">
        <v>915</v>
      </c>
      <c r="ACX48" s="9" t="s">
        <v>916</v>
      </c>
      <c r="ACY48" s="9" t="s">
        <v>1017</v>
      </c>
      <c r="ACZ48" s="8">
        <v>1.0</v>
      </c>
      <c r="ADA48" s="8">
        <v>1.0</v>
      </c>
      <c r="ADB48" s="8">
        <v>1.0</v>
      </c>
      <c r="ADC48" s="8">
        <v>0.0</v>
      </c>
      <c r="ADD48" s="9" t="s">
        <v>917</v>
      </c>
      <c r="ADE48" s="9" t="s">
        <v>917</v>
      </c>
      <c r="ADF48" s="9" t="s">
        <v>917</v>
      </c>
      <c r="ADG48" s="9" t="s">
        <v>917</v>
      </c>
      <c r="ADH48" s="9" t="s">
        <v>881</v>
      </c>
      <c r="ADI48" s="9"/>
      <c r="ADJ48" s="9" t="s">
        <v>917</v>
      </c>
      <c r="ADK48" s="9"/>
      <c r="ADL48" s="9"/>
      <c r="ADM48" s="9"/>
      <c r="ADN48" s="9"/>
      <c r="ADO48" s="9"/>
      <c r="ADP48" s="9"/>
      <c r="ADQ48" s="9"/>
      <c r="ADR48" s="9"/>
      <c r="ADS48" s="9"/>
      <c r="ADT48" s="9"/>
      <c r="ADU48" s="9" t="s">
        <v>2046</v>
      </c>
      <c r="ADV48" s="8">
        <v>0.0</v>
      </c>
      <c r="ADW48" s="8">
        <v>0.0</v>
      </c>
      <c r="ADX48" s="8">
        <v>0.0</v>
      </c>
      <c r="ADY48" s="8">
        <v>0.0</v>
      </c>
      <c r="ADZ48" s="8">
        <v>0.0</v>
      </c>
      <c r="AEA48" s="8">
        <v>1.0</v>
      </c>
      <c r="AEB48" s="8">
        <v>0.0</v>
      </c>
      <c r="AEC48" s="8">
        <v>0.0</v>
      </c>
      <c r="AED48" s="9" t="s">
        <v>1945</v>
      </c>
      <c r="AEE48" s="9" t="s">
        <v>2814</v>
      </c>
      <c r="AEF48" s="9"/>
      <c r="AEG48" s="9" t="s">
        <v>1367</v>
      </c>
      <c r="AEH48" s="9"/>
      <c r="AEI48" s="9" t="s">
        <v>1945</v>
      </c>
      <c r="AEJ48" s="9" t="s">
        <v>871</v>
      </c>
      <c r="AEK48" s="9" t="s">
        <v>2815</v>
      </c>
      <c r="AEL48" s="8">
        <v>0.0</v>
      </c>
      <c r="AEM48" s="8">
        <v>0.0</v>
      </c>
      <c r="AEN48" s="8">
        <v>0.0</v>
      </c>
      <c r="AEO48" s="8">
        <v>1.0</v>
      </c>
      <c r="AEP48" s="8">
        <v>0.0</v>
      </c>
      <c r="AEQ48" s="8">
        <v>0.0</v>
      </c>
      <c r="AER48" s="8">
        <v>0.0</v>
      </c>
      <c r="AES48" s="8">
        <v>0.0</v>
      </c>
      <c r="AET48" s="8">
        <v>0.0</v>
      </c>
      <c r="AEU48" s="8">
        <v>0.0</v>
      </c>
      <c r="AEV48" s="8">
        <v>1.0</v>
      </c>
      <c r="AEW48" s="8">
        <v>0.0</v>
      </c>
      <c r="AEX48" s="9"/>
      <c r="AEY48" s="9" t="s">
        <v>1305</v>
      </c>
      <c r="AEZ48" s="9"/>
      <c r="AFA48" s="9" t="s">
        <v>1188</v>
      </c>
      <c r="AFB48" s="9"/>
      <c r="AFC48" s="9" t="s">
        <v>2816</v>
      </c>
      <c r="AFD48" s="16" t="s">
        <v>2817</v>
      </c>
      <c r="AFE48" s="9" t="s">
        <v>2818</v>
      </c>
      <c r="AFF48" s="16" t="s">
        <v>2819</v>
      </c>
      <c r="AFG48" s="9" t="s">
        <v>1919</v>
      </c>
      <c r="AFH48" s="9"/>
      <c r="AFI48" s="21" t="s">
        <v>2820</v>
      </c>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8">
        <v>6.7346944E8</v>
      </c>
      <c r="AWB48" s="9" t="s">
        <v>2821</v>
      </c>
      <c r="AWC48" s="6">
        <v>46069.0</v>
      </c>
      <c r="AWD48" s="9"/>
      <c r="AWE48" s="9"/>
      <c r="AWF48" s="9" t="s">
        <v>1954</v>
      </c>
      <c r="AWG48" s="9"/>
      <c r="AWH48" s="9" t="s">
        <v>1989</v>
      </c>
      <c r="AWI48" s="9"/>
      <c r="AWJ48" s="9" t="s">
        <v>2822</v>
      </c>
      <c r="AWK48" s="8">
        <v>311.0</v>
      </c>
      <c r="AWL48" s="9" t="s">
        <v>2812</v>
      </c>
      <c r="AWM48" s="8">
        <v>0.0</v>
      </c>
      <c r="AWN48" s="9" t="s">
        <v>1957</v>
      </c>
      <c r="AWO48" s="33" t="b">
        <v>1</v>
      </c>
      <c r="AWP48" s="33" t="b">
        <v>1</v>
      </c>
      <c r="AWQ48" s="33" t="b">
        <v>1</v>
      </c>
      <c r="AWR48" s="33" t="b">
        <v>1</v>
      </c>
      <c r="AWS48" s="33" t="b">
        <v>1</v>
      </c>
      <c r="AWT48" s="33" t="b">
        <v>1</v>
      </c>
      <c r="AWU48" s="9"/>
      <c r="AWV48" s="8">
        <v>6.0</v>
      </c>
      <c r="AWW48" s="9"/>
      <c r="AWX48" s="9"/>
      <c r="AWY48" s="9"/>
      <c r="AWZ48" s="9"/>
    </row>
    <row r="49">
      <c r="A49" s="6">
        <v>46061.0</v>
      </c>
      <c r="B49" s="6">
        <v>46070.0</v>
      </c>
      <c r="C49" s="30" t="s">
        <v>1919</v>
      </c>
      <c r="D49" s="30" t="s">
        <v>2823</v>
      </c>
      <c r="E49" s="8">
        <f>+620</f>
        <v>620</v>
      </c>
      <c r="F49" s="9" t="s">
        <v>2824</v>
      </c>
      <c r="G49" s="8">
        <v>-5.141335</v>
      </c>
      <c r="H49" s="8">
        <v>119.684675</v>
      </c>
      <c r="I49" s="8">
        <v>87.88</v>
      </c>
      <c r="J49" s="8">
        <v>1.830000043</v>
      </c>
      <c r="K49" s="8">
        <v>0.0</v>
      </c>
      <c r="L49" s="9" t="s">
        <v>2825</v>
      </c>
      <c r="M49" s="8">
        <v>-5.141648</v>
      </c>
      <c r="N49" s="8">
        <v>119.684568</v>
      </c>
      <c r="O49" s="8">
        <v>69.425</v>
      </c>
      <c r="P49" s="8">
        <v>1.062000036</v>
      </c>
      <c r="Q49" s="8">
        <v>0.0</v>
      </c>
      <c r="R49" s="9" t="s">
        <v>1923</v>
      </c>
      <c r="S49" s="8">
        <v>0.0</v>
      </c>
      <c r="T49" s="8">
        <v>0.0</v>
      </c>
      <c r="U49" s="8">
        <v>0.0</v>
      </c>
      <c r="V49" s="8">
        <v>0.0</v>
      </c>
      <c r="W49" s="8">
        <v>0.0</v>
      </c>
      <c r="X49" s="8">
        <v>0.0</v>
      </c>
      <c r="Y49" s="8">
        <v>0.0</v>
      </c>
      <c r="Z49" s="8">
        <v>0.0</v>
      </c>
      <c r="AA49" s="8">
        <v>0.0</v>
      </c>
      <c r="AB49" s="8">
        <v>1.0</v>
      </c>
      <c r="AC49" s="7" t="s">
        <v>1924</v>
      </c>
      <c r="AD49" s="7" t="s">
        <v>2088</v>
      </c>
      <c r="AE49" s="7" t="s">
        <v>2088</v>
      </c>
      <c r="AF49" s="9" t="s">
        <v>2090</v>
      </c>
      <c r="AG49" s="9" t="s">
        <v>2826</v>
      </c>
      <c r="AH49" s="8">
        <v>9.0</v>
      </c>
      <c r="AI49" s="9" t="s">
        <v>845</v>
      </c>
      <c r="AJ49" s="9" t="s">
        <v>934</v>
      </c>
      <c r="AK49" s="35">
        <v>65.0</v>
      </c>
      <c r="AL49" s="9" t="s">
        <v>1444</v>
      </c>
      <c r="AM49" s="9" t="s">
        <v>848</v>
      </c>
      <c r="AN49" s="9" t="s">
        <v>1967</v>
      </c>
      <c r="AO49" s="9" t="s">
        <v>850</v>
      </c>
      <c r="AP49" s="8">
        <v>1.0</v>
      </c>
      <c r="AQ49" s="8">
        <v>0.0</v>
      </c>
      <c r="AR49" s="8">
        <v>0.0</v>
      </c>
      <c r="AS49" s="8">
        <v>0.0</v>
      </c>
      <c r="AT49" s="8">
        <v>0.0</v>
      </c>
      <c r="AU49" s="8">
        <v>0.0</v>
      </c>
      <c r="AV49" s="8">
        <v>0.0</v>
      </c>
      <c r="AW49" s="8">
        <v>0.0</v>
      </c>
      <c r="AX49" s="9"/>
      <c r="AY49" s="9" t="s">
        <v>999</v>
      </c>
      <c r="AZ49" s="8">
        <v>0.0</v>
      </c>
      <c r="BA49" s="8">
        <v>0.0</v>
      </c>
      <c r="BB49" s="8">
        <v>0.0</v>
      </c>
      <c r="BC49" s="8">
        <v>0.0</v>
      </c>
      <c r="BD49" s="8">
        <v>0.0</v>
      </c>
      <c r="BE49" s="8">
        <v>0.0</v>
      </c>
      <c r="BF49" s="8">
        <v>0.0</v>
      </c>
      <c r="BG49" s="8">
        <v>1.0</v>
      </c>
      <c r="BH49" s="11"/>
      <c r="BI49" s="9" t="s">
        <v>2118</v>
      </c>
      <c r="BJ49" s="8">
        <v>1.0</v>
      </c>
      <c r="BK49" s="8">
        <v>1.0</v>
      </c>
      <c r="BL49" s="8">
        <v>0.0</v>
      </c>
      <c r="BM49" s="8">
        <v>0.0</v>
      </c>
      <c r="BN49" s="9" t="s">
        <v>853</v>
      </c>
      <c r="BO49" s="9" t="s">
        <v>2064</v>
      </c>
      <c r="BP49" s="8">
        <v>0.0</v>
      </c>
      <c r="BQ49" s="8">
        <v>0.0</v>
      </c>
      <c r="BR49" s="8">
        <v>1.0</v>
      </c>
      <c r="BS49" s="8">
        <v>0.0</v>
      </c>
      <c r="BT49" s="8">
        <v>0.0</v>
      </c>
      <c r="BU49" s="9"/>
      <c r="BV49" s="9" t="s">
        <v>2065</v>
      </c>
      <c r="BW49" s="8">
        <v>1.0</v>
      </c>
      <c r="BX49" s="8">
        <v>0.0</v>
      </c>
      <c r="BY49" s="8">
        <v>0.0</v>
      </c>
      <c r="BZ49" s="8">
        <v>0.0</v>
      </c>
      <c r="CA49" s="8">
        <v>0.0</v>
      </c>
      <c r="CB49" s="9"/>
      <c r="CC49" s="9" t="s">
        <v>1929</v>
      </c>
      <c r="CD49" s="8">
        <v>0.0</v>
      </c>
      <c r="CE49" s="8">
        <v>0.0</v>
      </c>
      <c r="CF49" s="8">
        <v>0.0</v>
      </c>
      <c r="CG49" s="8">
        <v>0.0</v>
      </c>
      <c r="CH49" s="8">
        <v>1.0</v>
      </c>
      <c r="CI49" s="8">
        <v>0.0</v>
      </c>
      <c r="CJ49" s="8">
        <v>0.0</v>
      </c>
      <c r="CK49" s="9"/>
      <c r="CL49" s="9" t="s">
        <v>857</v>
      </c>
      <c r="CM49" s="8">
        <v>2017.0</v>
      </c>
      <c r="CN49" s="9" t="s">
        <v>858</v>
      </c>
      <c r="CO49" s="9" t="s">
        <v>1968</v>
      </c>
      <c r="CP49" s="9" t="s">
        <v>860</v>
      </c>
      <c r="CQ49" s="8">
        <v>0.0</v>
      </c>
      <c r="CR49" s="8">
        <v>0.0</v>
      </c>
      <c r="CS49" s="8">
        <v>0.0</v>
      </c>
      <c r="CT49" s="8">
        <v>0.0</v>
      </c>
      <c r="CU49" s="8">
        <v>1.0</v>
      </c>
      <c r="CV49" s="8">
        <v>0.0</v>
      </c>
      <c r="CW49" s="8">
        <v>0.0</v>
      </c>
      <c r="CX49" s="8">
        <v>0.0</v>
      </c>
      <c r="CY49" s="9" t="s">
        <v>860</v>
      </c>
      <c r="CZ49" s="8">
        <v>1.0</v>
      </c>
      <c r="DA49" s="8">
        <v>0.0</v>
      </c>
      <c r="DB49" s="8">
        <v>0.0</v>
      </c>
      <c r="DC49" s="9"/>
      <c r="DD49" s="9" t="s">
        <v>860</v>
      </c>
      <c r="DE49" s="8">
        <v>1.0</v>
      </c>
      <c r="DF49" s="8">
        <v>0.0</v>
      </c>
      <c r="DG49" s="8">
        <v>0.0</v>
      </c>
      <c r="DH49" s="8">
        <v>0.0</v>
      </c>
      <c r="DI49" s="9"/>
      <c r="DJ49" s="9" t="s">
        <v>861</v>
      </c>
      <c r="DK49" s="8">
        <v>0.0</v>
      </c>
      <c r="DL49" s="8">
        <v>0.0</v>
      </c>
      <c r="DM49" s="8">
        <v>1.0</v>
      </c>
      <c r="DN49" s="8">
        <v>0.0</v>
      </c>
      <c r="DO49" s="9"/>
      <c r="DP49" s="9" t="s">
        <v>938</v>
      </c>
      <c r="DQ49" s="9" t="s">
        <v>939</v>
      </c>
      <c r="DR49" s="17" t="s">
        <v>987</v>
      </c>
      <c r="DS49" s="9"/>
      <c r="DT49" s="9"/>
      <c r="DU49" s="9"/>
      <c r="DV49" s="9"/>
      <c r="DW49" s="9"/>
      <c r="DX49" s="9"/>
      <c r="DY49" s="9"/>
      <c r="DZ49" s="9"/>
      <c r="EA49" s="9"/>
      <c r="EB49" s="9"/>
      <c r="EC49" s="9"/>
      <c r="ED49" s="9"/>
      <c r="EE49" s="9"/>
      <c r="EF49" s="9"/>
      <c r="EG49" s="9"/>
      <c r="EH49" s="9"/>
      <c r="EI49" s="31" t="s">
        <v>862</v>
      </c>
      <c r="EJ49" s="8">
        <v>0.0</v>
      </c>
      <c r="EK49" s="8">
        <v>0.0</v>
      </c>
      <c r="EL49" s="8">
        <v>0.0</v>
      </c>
      <c r="EM49" s="8">
        <v>1.0</v>
      </c>
      <c r="EN49" s="8">
        <v>0.0</v>
      </c>
      <c r="EO49" s="9"/>
      <c r="EP49" s="9" t="s">
        <v>863</v>
      </c>
      <c r="EQ49" s="9" t="s">
        <v>1380</v>
      </c>
      <c r="ER49" s="9" t="s">
        <v>969</v>
      </c>
      <c r="ES49" s="8">
        <v>0.0</v>
      </c>
      <c r="ET49" s="8">
        <v>0.0</v>
      </c>
      <c r="EU49" s="8">
        <v>0.0</v>
      </c>
      <c r="EV49" s="8">
        <v>1.0</v>
      </c>
      <c r="EW49" s="9" t="s">
        <v>2343</v>
      </c>
      <c r="EX49" s="9" t="s">
        <v>865</v>
      </c>
      <c r="EY49" s="8">
        <v>1.0</v>
      </c>
      <c r="EZ49" s="8">
        <v>0.0</v>
      </c>
      <c r="FA49" s="8">
        <v>0.0</v>
      </c>
      <c r="FB49" s="9"/>
      <c r="FC49" s="9" t="s">
        <v>942</v>
      </c>
      <c r="FD49" s="9"/>
      <c r="FE49" s="9" t="s">
        <v>867</v>
      </c>
      <c r="FF49" s="9" t="s">
        <v>868</v>
      </c>
      <c r="FG49" s="9" t="s">
        <v>867</v>
      </c>
      <c r="FH49" s="9" t="s">
        <v>869</v>
      </c>
      <c r="FI49" s="9" t="s">
        <v>867</v>
      </c>
      <c r="FJ49" s="9" t="s">
        <v>868</v>
      </c>
      <c r="FK49" s="9" t="s">
        <v>867</v>
      </c>
      <c r="FL49" s="9" t="s">
        <v>869</v>
      </c>
      <c r="FM49" s="9" t="s">
        <v>867</v>
      </c>
      <c r="FN49" s="9" t="s">
        <v>869</v>
      </c>
      <c r="FO49" s="9" t="s">
        <v>867</v>
      </c>
      <c r="FP49" s="9" t="s">
        <v>869</v>
      </c>
      <c r="FQ49" s="9" t="s">
        <v>867</v>
      </c>
      <c r="FR49" s="9" t="s">
        <v>857</v>
      </c>
      <c r="FS49" s="9" t="s">
        <v>867</v>
      </c>
      <c r="FT49" s="9" t="s">
        <v>1130</v>
      </c>
      <c r="FU49" s="9" t="s">
        <v>872</v>
      </c>
      <c r="FV49" s="8">
        <v>1.0</v>
      </c>
      <c r="FW49" s="8">
        <v>0.0</v>
      </c>
      <c r="FX49" s="8">
        <v>0.0</v>
      </c>
      <c r="FY49" s="8">
        <v>0.0</v>
      </c>
      <c r="FZ49" s="9" t="s">
        <v>873</v>
      </c>
      <c r="GA49" s="9" t="s">
        <v>1264</v>
      </c>
      <c r="GB49" s="8">
        <v>0.0</v>
      </c>
      <c r="GC49" s="8">
        <v>0.0</v>
      </c>
      <c r="GD49" s="8">
        <v>1.0</v>
      </c>
      <c r="GE49" s="8">
        <v>0.0</v>
      </c>
      <c r="GF49" s="9"/>
      <c r="GG49" s="9" t="s">
        <v>961</v>
      </c>
      <c r="GH49" s="9" t="s">
        <v>881</v>
      </c>
      <c r="GI49" s="9"/>
      <c r="GJ49" s="9"/>
      <c r="GK49" s="9"/>
      <c r="GL49" s="9"/>
      <c r="GM49" s="9"/>
      <c r="GN49" s="9"/>
      <c r="GO49" s="9"/>
      <c r="GP49" s="34" t="s">
        <v>1931</v>
      </c>
      <c r="GQ49" s="9" t="s">
        <v>1102</v>
      </c>
      <c r="GR49" s="8">
        <v>1.0</v>
      </c>
      <c r="GS49" s="8">
        <v>0.0</v>
      </c>
      <c r="GT49" s="8">
        <v>0.0</v>
      </c>
      <c r="GU49" s="8">
        <v>0.0</v>
      </c>
      <c r="GV49" s="8">
        <v>0.0</v>
      </c>
      <c r="GW49" s="8">
        <v>0.0</v>
      </c>
      <c r="GX49" s="8">
        <v>0.0</v>
      </c>
      <c r="GY49" s="9"/>
      <c r="GZ49" s="9" t="s">
        <v>857</v>
      </c>
      <c r="HA49" s="9"/>
      <c r="HB49" s="9"/>
      <c r="HC49" s="9"/>
      <c r="HD49" s="9"/>
      <c r="HE49" s="8">
        <v>6.0</v>
      </c>
      <c r="HF49" s="39">
        <v>38000.0</v>
      </c>
      <c r="HG49" s="8">
        <v>3.0</v>
      </c>
      <c r="HH49" s="8">
        <v>23000.0</v>
      </c>
      <c r="HI49" s="9"/>
      <c r="HJ49" s="9"/>
      <c r="HK49" s="9"/>
      <c r="HL49" s="9"/>
      <c r="HM49" s="9"/>
      <c r="HN49" s="9"/>
      <c r="HO49" s="9"/>
      <c r="HP49" s="9"/>
      <c r="HQ49" s="9"/>
      <c r="HR49" s="9"/>
      <c r="HS49" s="9"/>
      <c r="HT49" s="9"/>
      <c r="HU49" s="9"/>
      <c r="HV49" s="9"/>
      <c r="HW49" s="9"/>
      <c r="HX49" s="9"/>
      <c r="HY49" s="9"/>
      <c r="HZ49" s="9"/>
      <c r="IA49" s="35">
        <v>3.0</v>
      </c>
      <c r="IB49" s="35">
        <v>15.0</v>
      </c>
      <c r="IC49" s="9"/>
      <c r="ID49" s="9"/>
      <c r="IE49" s="9"/>
      <c r="IF49" s="9"/>
      <c r="IG49" s="9"/>
      <c r="IH49" s="9"/>
      <c r="II49" s="9"/>
      <c r="IJ49" s="9"/>
      <c r="IK49" s="9" t="s">
        <v>971</v>
      </c>
      <c r="IL49" s="9" t="s">
        <v>1366</v>
      </c>
      <c r="IM49" s="9" t="s">
        <v>857</v>
      </c>
      <c r="IN49" s="9" t="s">
        <v>881</v>
      </c>
      <c r="IO49" s="9" t="s">
        <v>882</v>
      </c>
      <c r="IP49" s="9"/>
      <c r="IQ49" s="9" t="s">
        <v>883</v>
      </c>
      <c r="IR49" s="9"/>
      <c r="IS49" s="9"/>
      <c r="IT49" s="9"/>
      <c r="IU49" s="9"/>
      <c r="IV49" s="9"/>
      <c r="IW49" s="9"/>
      <c r="IX49" s="9"/>
      <c r="IY49" s="9"/>
      <c r="IZ49" s="9" t="s">
        <v>883</v>
      </c>
      <c r="JA49" s="9"/>
      <c r="JB49" s="9"/>
      <c r="JC49" s="9"/>
      <c r="JD49" s="9"/>
      <c r="JE49" s="9"/>
      <c r="JF49" s="9"/>
      <c r="JG49" s="9"/>
      <c r="JH49" s="9"/>
      <c r="JI49" s="9" t="s">
        <v>883</v>
      </c>
      <c r="JJ49" s="9"/>
      <c r="JK49" s="9"/>
      <c r="JL49" s="9"/>
      <c r="JM49" s="9"/>
      <c r="JN49" s="9"/>
      <c r="JO49" s="9"/>
      <c r="JP49" s="9"/>
      <c r="JQ49" s="9"/>
      <c r="JR49" s="9" t="s">
        <v>883</v>
      </c>
      <c r="JS49" s="9"/>
      <c r="JT49" s="9"/>
      <c r="JU49" s="9"/>
      <c r="JV49" s="9"/>
      <c r="JW49" s="9"/>
      <c r="JX49" s="9"/>
      <c r="JY49" s="9"/>
      <c r="JZ49" s="9"/>
      <c r="KA49" s="9" t="s">
        <v>883</v>
      </c>
      <c r="KB49" s="9"/>
      <c r="KC49" s="9"/>
      <c r="KD49" s="9"/>
      <c r="KE49" s="9"/>
      <c r="KF49" s="9"/>
      <c r="KG49" s="9"/>
      <c r="KH49" s="9"/>
      <c r="KI49" s="9"/>
      <c r="KJ49" s="9" t="s">
        <v>883</v>
      </c>
      <c r="KK49" s="9"/>
      <c r="KL49" s="9"/>
      <c r="KM49" s="9"/>
      <c r="KN49" s="9"/>
      <c r="KO49" s="9"/>
      <c r="KP49" s="9"/>
      <c r="KQ49" s="9"/>
      <c r="KR49" s="9"/>
      <c r="KS49" s="9" t="s">
        <v>884</v>
      </c>
      <c r="KT49" s="9" t="s">
        <v>886</v>
      </c>
      <c r="KU49" s="9" t="s">
        <v>886</v>
      </c>
      <c r="KV49" s="9" t="s">
        <v>999</v>
      </c>
      <c r="KW49" s="8">
        <v>0.0</v>
      </c>
      <c r="KX49" s="8">
        <v>0.0</v>
      </c>
      <c r="KY49" s="8">
        <v>0.0</v>
      </c>
      <c r="KZ49" s="8">
        <v>1.0</v>
      </c>
      <c r="LA49" s="9" t="s">
        <v>884</v>
      </c>
      <c r="LB49" s="9" t="s">
        <v>884</v>
      </c>
      <c r="LC49" s="8">
        <v>6.0</v>
      </c>
      <c r="LD49" s="8">
        <v>2.0</v>
      </c>
      <c r="LE49" s="8">
        <v>0.0</v>
      </c>
      <c r="LF49" s="8">
        <v>0.0</v>
      </c>
      <c r="LG49" s="9" t="s">
        <v>881</v>
      </c>
      <c r="LH49" s="9"/>
      <c r="LI49" s="8">
        <v>0.0</v>
      </c>
      <c r="LJ49" s="9" t="s">
        <v>969</v>
      </c>
      <c r="LK49" s="8">
        <v>0.0</v>
      </c>
      <c r="LL49" s="8">
        <v>0.0</v>
      </c>
      <c r="LM49" s="8">
        <v>0.0</v>
      </c>
      <c r="LN49" s="8">
        <v>0.0</v>
      </c>
      <c r="LO49" s="8">
        <v>0.0</v>
      </c>
      <c r="LP49" s="8">
        <v>0.0</v>
      </c>
      <c r="LQ49" s="8">
        <v>1.0</v>
      </c>
      <c r="LR49" s="11" t="s">
        <v>1973</v>
      </c>
      <c r="LS49" s="8">
        <v>15.0</v>
      </c>
      <c r="LT49" s="8">
        <v>0.0</v>
      </c>
      <c r="LU49" s="8">
        <v>0.0</v>
      </c>
      <c r="LV49" s="8">
        <v>5.0</v>
      </c>
      <c r="LW49" s="8">
        <v>0.0</v>
      </c>
      <c r="LX49" s="8">
        <v>0.0</v>
      </c>
      <c r="LY49" s="8">
        <v>10.0</v>
      </c>
      <c r="LZ49" s="8">
        <v>0.0</v>
      </c>
      <c r="MA49" s="8">
        <v>0.0</v>
      </c>
      <c r="MB49" s="9" t="s">
        <v>881</v>
      </c>
      <c r="MC49" s="8">
        <v>0.0</v>
      </c>
      <c r="MD49" s="8">
        <v>0.0</v>
      </c>
      <c r="ME49" s="8">
        <v>0.0</v>
      </c>
      <c r="MF49" s="8">
        <v>0.0</v>
      </c>
      <c r="MG49" s="8">
        <v>0.0</v>
      </c>
      <c r="MH49" s="8">
        <v>0.0</v>
      </c>
      <c r="MI49" s="9"/>
      <c r="MJ49" s="9"/>
      <c r="MK49" s="9"/>
      <c r="ML49" s="9"/>
      <c r="MM49" s="9"/>
      <c r="MN49" s="9"/>
      <c r="MO49" s="9"/>
      <c r="MP49" s="9"/>
      <c r="MQ49" s="9"/>
      <c r="MR49" s="17" t="s">
        <v>2035</v>
      </c>
      <c r="MS49" s="9"/>
      <c r="MT49" s="9" t="s">
        <v>2035</v>
      </c>
      <c r="MU49" s="9" t="s">
        <v>881</v>
      </c>
      <c r="MV49" s="9"/>
      <c r="MW49" s="9"/>
      <c r="MX49" s="9"/>
      <c r="MY49" s="9"/>
      <c r="MZ49" s="9"/>
      <c r="NA49" s="9"/>
      <c r="NB49" s="9"/>
      <c r="NC49" s="9"/>
      <c r="ND49" s="9"/>
      <c r="NE49" s="9"/>
      <c r="NF49" s="9"/>
      <c r="NG49" s="9"/>
      <c r="NH49" s="9"/>
      <c r="NI49" s="9"/>
      <c r="NJ49" s="9"/>
      <c r="NK49" s="9"/>
      <c r="NL49" s="9" t="s">
        <v>857</v>
      </c>
      <c r="NM49" s="9" t="s">
        <v>1386</v>
      </c>
      <c r="NN49" s="17" t="s">
        <v>1975</v>
      </c>
      <c r="NO49" s="17" t="s">
        <v>895</v>
      </c>
      <c r="NP49" s="9"/>
      <c r="NQ49" s="9"/>
      <c r="NR49" s="9"/>
      <c r="NS49" s="9"/>
      <c r="NT49" s="9"/>
      <c r="NU49" s="9"/>
      <c r="NV49" s="9"/>
      <c r="NW49" s="9"/>
      <c r="NX49" s="9" t="s">
        <v>897</v>
      </c>
      <c r="NY49" s="8">
        <v>60.0</v>
      </c>
      <c r="NZ49" s="8">
        <v>5.0</v>
      </c>
      <c r="OA49" s="8">
        <v>0.0</v>
      </c>
      <c r="OB49" s="8">
        <v>0.0</v>
      </c>
      <c r="OC49" s="8">
        <v>20.0</v>
      </c>
      <c r="OD49" s="8">
        <v>0.0</v>
      </c>
      <c r="OE49" s="9" t="s">
        <v>898</v>
      </c>
      <c r="OF49" s="9" t="s">
        <v>899</v>
      </c>
      <c r="OG49" s="9" t="s">
        <v>857</v>
      </c>
      <c r="OH49" s="39">
        <v>0.0</v>
      </c>
      <c r="OI49" s="39">
        <v>0.0</v>
      </c>
      <c r="OJ49" s="39">
        <v>0.0</v>
      </c>
      <c r="OK49" s="39">
        <v>0.0</v>
      </c>
      <c r="OL49" s="39">
        <v>0.0</v>
      </c>
      <c r="OM49" s="39">
        <v>0.0</v>
      </c>
      <c r="ON49" s="39">
        <v>0.0</v>
      </c>
      <c r="OO49" s="39">
        <v>0.0</v>
      </c>
      <c r="OP49" s="9" t="str">
        <f>VLOOKUP(AG49,'BUS 2'!$G$1:$CU$424,2,0)</f>
        <v>Sapi pedaging</v>
      </c>
      <c r="OQ49" s="8">
        <f>VLOOKUP(AG49,'BUS 2'!$G$1:$CU$424,3,0)</f>
        <v>1</v>
      </c>
      <c r="OR49" s="8">
        <f>VLOOKUP(AG49,'BUS 2'!$G$1:$CU$424,4,0)</f>
        <v>0</v>
      </c>
      <c r="OS49" s="8">
        <f>VLOOKUP(AG49,'BUS 2'!$G$1:$CU$424,5,0)</f>
        <v>0</v>
      </c>
      <c r="OT49" s="8">
        <f>VLOOKUP(AG49,'BUS 2'!$G$1:$CU$424,6,0)</f>
        <v>0</v>
      </c>
      <c r="OU49" s="8">
        <f>VLOOKUP(AG49,'BUS 2'!$G$1:$CU$424,7,0)</f>
        <v>0</v>
      </c>
      <c r="OV49" s="8">
        <f>VLOOKUP(AG49,'BUS 2'!$G$1:$CU$424,8,0)</f>
        <v>0</v>
      </c>
      <c r="OW49" s="8">
        <f>VLOOKUP(AG49,'BUS 2'!$G$1:$CU$424,9,0)</f>
        <v>0</v>
      </c>
      <c r="OX49" s="8">
        <f>VLOOKUP(AG49,'BUS 2'!$G$1:$CU$424,10,0)</f>
        <v>0</v>
      </c>
      <c r="OY49" s="8">
        <f>VLOOKUP(AG49,'BUS 2'!$G$1:$CU$424,11,0)</f>
        <v>0</v>
      </c>
      <c r="OZ49" s="8" t="str">
        <f>VLOOKUP(AG49,'BUS 2'!$G$1:$CU$424,12,0)</f>
        <v>Sapi pedaging</v>
      </c>
      <c r="PA49" s="8">
        <f>VLOOKUP(AG49,'BUS 2'!$G$1:$CU$424,13,0)</f>
        <v>1</v>
      </c>
      <c r="PB49" s="8">
        <f>VLOOKUP(AG49,'BUS 2'!$G$1:$CU$424,14,0)</f>
        <v>0</v>
      </c>
      <c r="PC49" s="8">
        <f>VLOOKUP(AG49,'BUS 2'!$G$1:$CU$424,15,0)</f>
        <v>0</v>
      </c>
      <c r="PD49" s="8">
        <f>VLOOKUP(AG49,'BUS 2'!$G$1:$CU$424,16,0)</f>
        <v>0</v>
      </c>
      <c r="PE49" s="8">
        <f>VLOOKUP(AG49,'BUS 2'!$G$1:$CU$424,17,0)</f>
        <v>0</v>
      </c>
      <c r="PF49" s="8">
        <f>VLOOKUP(AG49,'BUS 2'!$G$1:$CU$424,18,0)</f>
        <v>0</v>
      </c>
      <c r="PG49" s="8">
        <f>VLOOKUP(AG49,'BUS 2'!$G$1:$CU$424,19,0)</f>
        <v>0</v>
      </c>
      <c r="PH49" s="8">
        <f>VLOOKUP(AG49,'BUS 2'!$G$1:$CU$424,20,0)</f>
        <v>0</v>
      </c>
      <c r="PI49" s="8">
        <f>VLOOKUP(AG49,'BUS 2'!$G$1:$CU$424,21,0)</f>
        <v>0</v>
      </c>
      <c r="PJ49" s="8" t="str">
        <f>VLOOKUP(AG49,'BUS 2'!$G$1:$CU$424,22,0)</f>
        <v>Sapi pedaging</v>
      </c>
      <c r="PK49" s="8">
        <f>VLOOKUP(AG49,'BUS 2'!$G$1:$CU$424,23,0)</f>
        <v>1</v>
      </c>
      <c r="PL49" s="8">
        <f>VLOOKUP(AG49,'BUS 2'!$G$1:$CU$424,24,0)</f>
        <v>0</v>
      </c>
      <c r="PM49" s="8">
        <f>VLOOKUP(AG49,'BUS 2'!$G$1:$CU$424,25,0)</f>
        <v>0</v>
      </c>
      <c r="PN49" s="8">
        <f>VLOOKUP(AG49,'BUS 2'!$G$1:$CU$424,26,0)</f>
        <v>0</v>
      </c>
      <c r="PO49" s="8">
        <f>VLOOKUP(AG49,'BUS 2'!$G$1:$CU$424,27,0)</f>
        <v>0</v>
      </c>
      <c r="PP49" s="8">
        <f>VLOOKUP(AG49,'BUS 2'!$G$1:$CU$424,28,0)</f>
        <v>0</v>
      </c>
      <c r="PQ49" s="8">
        <f>VLOOKUP(AG49,'BUS 2'!$G$1:$CU$424,29,0)</f>
        <v>0</v>
      </c>
      <c r="PR49" s="8">
        <f>VLOOKUP(AG49,'BUS 2'!$G$1:$CU$424,30,0)</f>
        <v>0</v>
      </c>
      <c r="PS49" s="8">
        <f>VLOOKUP(AG49,'BUS 2'!$G$1:$CU$424,31,0)</f>
        <v>0</v>
      </c>
      <c r="PT49" s="9" t="s">
        <v>900</v>
      </c>
      <c r="PU49" s="8">
        <v>0.0</v>
      </c>
      <c r="PV49" s="8">
        <v>0.0</v>
      </c>
      <c r="PW49" s="8">
        <v>0.0</v>
      </c>
      <c r="PX49" s="8">
        <v>0.0</v>
      </c>
      <c r="PY49" s="8">
        <v>0.0</v>
      </c>
      <c r="PZ49" s="8">
        <v>1.0</v>
      </c>
      <c r="QA49" s="8">
        <v>0.0</v>
      </c>
      <c r="QB49" s="8">
        <v>0.0</v>
      </c>
      <c r="QC49" s="8">
        <v>0.0</v>
      </c>
      <c r="QD49" s="9"/>
      <c r="QE49" s="32"/>
      <c r="QF49" s="31"/>
      <c r="QG49" s="31"/>
      <c r="QH49" s="31"/>
      <c r="QI49" s="31"/>
      <c r="QJ49" s="31"/>
      <c r="QK49" s="32"/>
      <c r="QL49" s="32"/>
      <c r="QM49" s="32"/>
      <c r="QN49" s="32"/>
      <c r="QO49" s="32"/>
      <c r="QP49" s="32"/>
      <c r="QQ49" s="32"/>
      <c r="QR49" s="32"/>
      <c r="QS49" s="32"/>
      <c r="QT49" s="32"/>
      <c r="QU49" s="32"/>
      <c r="QV49" s="32"/>
      <c r="QW49" s="31"/>
      <c r="QX49" s="31"/>
      <c r="QY49" s="31"/>
      <c r="QZ49" s="31"/>
      <c r="RA49" s="31"/>
      <c r="RB49" s="32"/>
      <c r="RC49" s="32"/>
      <c r="RD49" s="32"/>
      <c r="RE49" s="32"/>
      <c r="RF49" s="32"/>
      <c r="RG49" s="9"/>
      <c r="RH49" s="31"/>
      <c r="RI49" s="31"/>
      <c r="RJ49" s="31"/>
      <c r="RK49" s="31"/>
      <c r="RL49" s="31"/>
      <c r="RM49" s="9"/>
      <c r="RN49" s="9"/>
      <c r="RO49" s="9"/>
      <c r="RP49" s="9"/>
      <c r="RQ49" s="9"/>
      <c r="RR49" s="9"/>
      <c r="RS49" s="31"/>
      <c r="RT49" s="31"/>
      <c r="RU49" s="31"/>
      <c r="RV49" s="31"/>
      <c r="RW49" s="31"/>
      <c r="RX49" s="9"/>
      <c r="RY49" s="9"/>
      <c r="RZ49" s="9"/>
      <c r="SA49" s="9"/>
      <c r="SB49" s="9"/>
      <c r="SC49" s="9"/>
      <c r="SD49" s="31"/>
      <c r="SE49" s="31"/>
      <c r="SF49" s="31"/>
      <c r="SG49" s="31"/>
      <c r="SH49" s="31"/>
      <c r="SI49" s="9"/>
      <c r="SJ49" s="9"/>
      <c r="SK49" s="9"/>
      <c r="SL49" s="9"/>
      <c r="SM49" s="9"/>
      <c r="SN49" s="9"/>
      <c r="SO49" s="31"/>
      <c r="SP49" s="31"/>
      <c r="SQ49" s="31"/>
      <c r="SR49" s="31"/>
      <c r="SS49" s="31"/>
      <c r="ST49" s="9"/>
      <c r="SU49" s="9"/>
      <c r="SV49" s="9"/>
      <c r="SW49" s="9"/>
      <c r="SX49" s="9"/>
      <c r="SY49" s="8">
        <f>VLOOKUP(AG49,'BUS 2'!$G$1:$CU$424,33,0)</f>
        <v>3</v>
      </c>
      <c r="SZ49" s="9" t="str">
        <f>VLOOKUP(AG49,'BUS 2'!$G$1:$CU$424,34,0)</f>
        <v/>
      </c>
      <c r="TA49" s="9" t="str">
        <f>VLOOKUP(AG49,'BUS 2'!$G$1:$CU$424,35,0)</f>
        <v/>
      </c>
      <c r="TB49" s="9" t="str">
        <f>VLOOKUP(AG49,'BUS 2'!$G$1:$CU$424,36,0)</f>
        <v/>
      </c>
      <c r="TC49" s="9" t="str">
        <f>VLOOKUP(AG49,'BUS 2'!$G$1:$CU$424,37,0)</f>
        <v/>
      </c>
      <c r="TD49" s="9" t="str">
        <f>VLOOKUP(AG49,'BUS 2'!$G$1:$CU$424,38,0)</f>
        <v/>
      </c>
      <c r="TE49" s="9" t="str">
        <f>VLOOKUP(AG49,'BUS 2'!$G$1:$CU$424,39,0)</f>
        <v/>
      </c>
      <c r="TF49" s="9" t="str">
        <f>VLOOKUP(AG49,'BUS 2'!$G$1:$CU$424,40,0)</f>
        <v/>
      </c>
      <c r="TG49" s="8">
        <f>VLOOKUP(AG49,'BUS 2'!$G$1:$CU$424,42,0)</f>
        <v>3</v>
      </c>
      <c r="TH49" s="8" t="str">
        <f>VLOOKUP(AG49,'BUS 2'!$G$1:$CU$424,43,0)</f>
        <v/>
      </c>
      <c r="TI49" s="8" t="str">
        <f>VLOOKUP(AG49,'BUS 2'!$G$1:$CU$424,44,0)</f>
        <v/>
      </c>
      <c r="TJ49" s="8" t="str">
        <f>VLOOKUP(AG49,'BUS 2'!$G$1:$CU$424,45,0)</f>
        <v/>
      </c>
      <c r="TK49" s="8" t="str">
        <f>VLOOKUP(AG49,'BUS 2'!$G$1:$CU$424,46,0)</f>
        <v/>
      </c>
      <c r="TL49" s="8" t="str">
        <f>VLOOKUP(AG49,'BUS 2'!$G$1:$CU$424,47,0)</f>
        <v/>
      </c>
      <c r="TM49" s="8" t="str">
        <f>VLOOKUP(AG49,'BUS 2'!$G$1:$CU$424,48,0)</f>
        <v/>
      </c>
      <c r="TN49" s="8" t="str">
        <f>VLOOKUP(AG49,'BUS 2'!$G$1:$CU$424,49,0)</f>
        <v/>
      </c>
      <c r="TO49" s="8">
        <f>VLOOKUP(AG49,'BUS 2'!$G$1:$CU$424,50,0)</f>
        <v>0</v>
      </c>
      <c r="TP49" s="8">
        <f>VLOOKUP(AG49,'BUS 2'!$G$1:$CU$424,51,0)</f>
        <v>0</v>
      </c>
      <c r="TQ49" s="8">
        <f>VLOOKUP(AG49,'BUS 2'!$G$1:$CU$424,52,0)</f>
        <v>0</v>
      </c>
      <c r="TR49" s="8">
        <f>VLOOKUP(AG49,'BUS 2'!$G$1:$CU$424,53,0)</f>
        <v>0</v>
      </c>
      <c r="TS49" s="9" t="str">
        <f>VLOOKUP(AG49,'BUS 2'!$G$1:$CU$424,54,0)</f>
        <v/>
      </c>
      <c r="TT49" s="9" t="str">
        <f>VLOOKUP(AG49,'BUS 2'!$G$1:$CU$424,55,0)</f>
        <v/>
      </c>
      <c r="TU49" s="9" t="str">
        <f>VLOOKUP(AG49,'BUS 2'!$G$1:$CU$424,56,0)</f>
        <v/>
      </c>
      <c r="TV49" s="9" t="str">
        <f>VLOOKUP(AG49,'BUS 2'!$G$1:$CU$424,57,0)</f>
        <v/>
      </c>
      <c r="TW49" s="9" t="str">
        <f>VLOOKUP(AG49,'BUS 2'!$G$1:$CU$424,58,0)</f>
        <v/>
      </c>
      <c r="TX49" s="9" t="str">
        <f>VLOOKUP(AG49,'BUS 2'!$G$1:$CU$424,59,0)</f>
        <v/>
      </c>
      <c r="TY49" s="9" t="str">
        <f>VLOOKUP(AG49,'BUS 2'!$G$1:$CU$424,60,0)</f>
        <v/>
      </c>
      <c r="TZ49" s="9" t="str">
        <f>VLOOKUP(AG49,'BUS 2'!$G$1:$CU$424,61,0)</f>
        <v/>
      </c>
      <c r="UA49" s="9" t="str">
        <f>VLOOKUP(AG49,'BUS 2'!$G$1:$CU$424,62,0)</f>
        <v/>
      </c>
      <c r="UB49" s="9" t="str">
        <f>VLOOKUP(AG49,'BUS 2'!$G$1:$CU$424,63,0)</f>
        <v/>
      </c>
      <c r="UC49" s="9" t="str">
        <f>VLOOKUP(AG49,'BUS 2'!$G$1:$CU$424,64,0)</f>
        <v/>
      </c>
      <c r="UD49" s="9" t="str">
        <f>VLOOKUP(AG49,'BUS 2'!$G$1:$CU$424,65,0)</f>
        <v/>
      </c>
      <c r="UE49" s="9" t="str">
        <f>VLOOKUP(AG49,'BUS 2'!$G$1:$CU$424,66,0)</f>
        <v/>
      </c>
      <c r="UF49" s="9" t="str">
        <f>VLOOKUP(AG49,'BUS 2'!$G$1:$CU$424,67,0)</f>
        <v/>
      </c>
      <c r="UG49" s="9" t="str">
        <f>VLOOKUP(AG49,'BUS 2'!$G$1:$CU$424,68,0)</f>
        <v/>
      </c>
      <c r="UH49" s="9" t="str">
        <f>VLOOKUP(AG49,'BUS 2'!$G$1:$CU$424,69,0)</f>
        <v/>
      </c>
      <c r="UI49" s="9" t="str">
        <f>VLOOKUP(AG49,'BUS 2'!$G$1:$CU$424,70,0)</f>
        <v/>
      </c>
      <c r="UJ49" s="9" t="str">
        <f>VLOOKUP(AG49,'BUS 2'!$G$1:$CU$424,71,0)</f>
        <v/>
      </c>
      <c r="UK49" s="9" t="str">
        <f>VLOOKUP(AG49,'BUS 2'!$G$1:$CU$424,72,0)</f>
        <v/>
      </c>
      <c r="UL49" s="9" t="str">
        <f>VLOOKUP(AG49,'BUS 2'!$G$1:$CU$424,73,0)</f>
        <v/>
      </c>
      <c r="UM49" s="9" t="str">
        <f>VLOOKUP(AG49,'BUS 2'!$G$1:$CU$424,74,0)</f>
        <v/>
      </c>
      <c r="UN49" s="9" t="str">
        <f>VLOOKUP(AG49,'BUS 2'!$G$1:$CU$424,75,0)</f>
        <v/>
      </c>
      <c r="UO49" s="9" t="str">
        <f>VLOOKUP(AG49,'BUS 2'!$G$1:$CU$424,76,0)</f>
        <v/>
      </c>
      <c r="UP49" s="9" t="str">
        <f>VLOOKUP(AG49,'BUS 2'!$G$1:$CU$424,77,0)</f>
        <v/>
      </c>
      <c r="UQ49" s="9" t="str">
        <f>VLOOKUP(AG49,'BUS 2'!$G$1:$CU$424,78,0)</f>
        <v/>
      </c>
      <c r="UR49" s="9" t="str">
        <f>VLOOKUP(AG49,'BUS 2'!$G$1:$CU$424,79,0)</f>
        <v/>
      </c>
      <c r="US49" s="9" t="str">
        <f>VLOOKUP(AG49,'BUS 2'!$G$1:$CU$424,80,0)</f>
        <v/>
      </c>
      <c r="UT49" s="9" t="str">
        <f>VLOOKUP(AG49,'BUS 2'!$G$1:$CU$424,81,0)</f>
        <v/>
      </c>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t="s">
        <v>881</v>
      </c>
      <c r="AAM49" s="9"/>
      <c r="AAN49" s="9"/>
      <c r="AAO49" s="9"/>
      <c r="AAP49" s="9"/>
      <c r="AAQ49" s="9"/>
      <c r="AAR49" s="9" t="s">
        <v>881</v>
      </c>
      <c r="AAS49" s="9" t="s">
        <v>1389</v>
      </c>
      <c r="AAT49" s="9" t="s">
        <v>2176</v>
      </c>
      <c r="AAU49" s="8">
        <v>0.0</v>
      </c>
      <c r="AAV49" s="8">
        <v>0.0</v>
      </c>
      <c r="AAW49" s="8">
        <v>0.0</v>
      </c>
      <c r="AAX49" s="8">
        <v>0.0</v>
      </c>
      <c r="AAY49" s="8">
        <v>0.0</v>
      </c>
      <c r="AAZ49" s="8">
        <v>1.0</v>
      </c>
      <c r="ABA49" s="8">
        <v>0.0</v>
      </c>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t="s">
        <v>955</v>
      </c>
      <c r="ACL49" s="8">
        <v>0.0</v>
      </c>
      <c r="ACM49" s="8">
        <v>0.0</v>
      </c>
      <c r="ACN49" s="8">
        <v>0.0</v>
      </c>
      <c r="ACO49" s="8">
        <v>1.0</v>
      </c>
      <c r="ACP49" s="8">
        <v>0.0</v>
      </c>
      <c r="ACQ49" s="8">
        <v>0.0</v>
      </c>
      <c r="ACR49" s="8">
        <v>0.0</v>
      </c>
      <c r="ACS49" s="9"/>
      <c r="ACT49" s="9" t="s">
        <v>1945</v>
      </c>
      <c r="ACU49" s="9" t="s">
        <v>913</v>
      </c>
      <c r="ACV49" s="9" t="s">
        <v>914</v>
      </c>
      <c r="ACW49" s="9" t="s">
        <v>915</v>
      </c>
      <c r="ACX49" s="9" t="s">
        <v>958</v>
      </c>
      <c r="ACY49" s="9" t="s">
        <v>1035</v>
      </c>
      <c r="ACZ49" s="8">
        <v>1.0</v>
      </c>
      <c r="ADA49" s="8">
        <v>1.0</v>
      </c>
      <c r="ADB49" s="8">
        <v>0.0</v>
      </c>
      <c r="ADC49" s="8">
        <v>0.0</v>
      </c>
      <c r="ADD49" s="9" t="s">
        <v>918</v>
      </c>
      <c r="ADE49" s="9" t="s">
        <v>918</v>
      </c>
      <c r="ADF49" s="9" t="s">
        <v>918</v>
      </c>
      <c r="ADG49" s="9" t="s">
        <v>918</v>
      </c>
      <c r="ADH49" s="9" t="s">
        <v>881</v>
      </c>
      <c r="ADI49" s="9"/>
      <c r="ADJ49" s="9" t="s">
        <v>918</v>
      </c>
      <c r="ADK49" s="9"/>
      <c r="ADL49" s="9"/>
      <c r="ADM49" s="9"/>
      <c r="ADN49" s="9"/>
      <c r="ADO49" s="9"/>
      <c r="ADP49" s="9"/>
      <c r="ADQ49" s="9"/>
      <c r="ADR49" s="9"/>
      <c r="ADS49" s="9"/>
      <c r="ADT49" s="9"/>
      <c r="ADU49" s="9" t="s">
        <v>2046</v>
      </c>
      <c r="ADV49" s="8">
        <v>0.0</v>
      </c>
      <c r="ADW49" s="8">
        <v>0.0</v>
      </c>
      <c r="ADX49" s="8">
        <v>0.0</v>
      </c>
      <c r="ADY49" s="8">
        <v>0.0</v>
      </c>
      <c r="ADZ49" s="8">
        <v>0.0</v>
      </c>
      <c r="AEA49" s="8">
        <v>1.0</v>
      </c>
      <c r="AEB49" s="8">
        <v>0.0</v>
      </c>
      <c r="AEC49" s="8">
        <v>0.0</v>
      </c>
      <c r="AED49" s="9" t="s">
        <v>1945</v>
      </c>
      <c r="AEE49" s="9" t="s">
        <v>872</v>
      </c>
      <c r="AEF49" s="9"/>
      <c r="AEG49" s="9" t="s">
        <v>920</v>
      </c>
      <c r="AEH49" s="9"/>
      <c r="AEI49" s="9" t="s">
        <v>1945</v>
      </c>
      <c r="AEJ49" s="9" t="s">
        <v>961</v>
      </c>
      <c r="AEK49" s="9" t="s">
        <v>2827</v>
      </c>
      <c r="AEL49" s="8">
        <v>0.0</v>
      </c>
      <c r="AEM49" s="8">
        <v>1.0</v>
      </c>
      <c r="AEN49" s="8">
        <v>0.0</v>
      </c>
      <c r="AEO49" s="8">
        <v>0.0</v>
      </c>
      <c r="AEP49" s="8">
        <v>1.0</v>
      </c>
      <c r="AEQ49" s="8">
        <v>0.0</v>
      </c>
      <c r="AER49" s="8">
        <v>1.0</v>
      </c>
      <c r="AES49" s="8">
        <v>0.0</v>
      </c>
      <c r="AET49" s="8">
        <v>1.0</v>
      </c>
      <c r="AEU49" s="8">
        <v>0.0</v>
      </c>
      <c r="AEV49" s="8">
        <v>0.0</v>
      </c>
      <c r="AEW49" s="8">
        <v>0.0</v>
      </c>
      <c r="AEX49" s="9"/>
      <c r="AEY49" s="9" t="s">
        <v>1305</v>
      </c>
      <c r="AEZ49" s="9"/>
      <c r="AFA49" s="9" t="s">
        <v>2077</v>
      </c>
      <c r="AFB49" s="9"/>
      <c r="AFC49" s="9" t="s">
        <v>2828</v>
      </c>
      <c r="AFD49" s="16" t="s">
        <v>2829</v>
      </c>
      <c r="AFE49" s="9" t="s">
        <v>2830</v>
      </c>
      <c r="AFF49" s="16" t="s">
        <v>2831</v>
      </c>
      <c r="AFG49" s="9" t="s">
        <v>1919</v>
      </c>
      <c r="AFH49" s="9"/>
      <c r="AFI49" s="21" t="s">
        <v>2832</v>
      </c>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8">
        <v>6.7350516E8</v>
      </c>
      <c r="AWB49" s="9" t="s">
        <v>2833</v>
      </c>
      <c r="AWC49" s="6">
        <v>46070.0</v>
      </c>
      <c r="AWD49" s="9"/>
      <c r="AWE49" s="9"/>
      <c r="AWF49" s="9" t="s">
        <v>1954</v>
      </c>
      <c r="AWG49" s="9"/>
      <c r="AWH49" s="9" t="s">
        <v>1989</v>
      </c>
      <c r="AWI49" s="9"/>
      <c r="AWJ49" s="9" t="s">
        <v>2834</v>
      </c>
      <c r="AWK49" s="8">
        <v>321.0</v>
      </c>
      <c r="AWL49" s="9" t="s">
        <v>2826</v>
      </c>
      <c r="AWM49" s="8">
        <v>0.0</v>
      </c>
      <c r="AWN49" s="9" t="s">
        <v>1957</v>
      </c>
      <c r="AWO49" s="33" t="b">
        <v>1</v>
      </c>
      <c r="AWP49" s="33" t="b">
        <v>1</v>
      </c>
      <c r="AWQ49" s="33" t="b">
        <v>1</v>
      </c>
      <c r="AWR49" s="33" t="b">
        <v>1</v>
      </c>
      <c r="AWS49" s="33" t="b">
        <v>1</v>
      </c>
      <c r="AWT49" s="33" t="b">
        <v>1</v>
      </c>
      <c r="AWU49" s="9"/>
      <c r="AWV49" s="8">
        <v>3.0</v>
      </c>
      <c r="AWW49" s="9"/>
      <c r="AWX49" s="9"/>
      <c r="AWY49" s="9"/>
      <c r="AWZ49" s="9"/>
    </row>
    <row r="50">
      <c r="A50" s="6">
        <v>46063.0</v>
      </c>
      <c r="B50" s="6">
        <v>46070.0</v>
      </c>
      <c r="C50" s="30" t="s">
        <v>2443</v>
      </c>
      <c r="D50" s="30" t="s">
        <v>2835</v>
      </c>
      <c r="E50" s="8">
        <f>+6285255778172</f>
        <v>6285255778172</v>
      </c>
      <c r="F50" s="9" t="s">
        <v>2836</v>
      </c>
      <c r="G50" s="8">
        <v>-5.140263</v>
      </c>
      <c r="H50" s="8">
        <v>119.684451</v>
      </c>
      <c r="I50" s="8">
        <v>113.3000031</v>
      </c>
      <c r="J50" s="8">
        <v>22.8029995</v>
      </c>
      <c r="K50" s="8">
        <v>0.0</v>
      </c>
      <c r="L50" s="9" t="s">
        <v>2837</v>
      </c>
      <c r="M50" s="8">
        <v>-5.140045</v>
      </c>
      <c r="N50" s="8">
        <v>119.683907</v>
      </c>
      <c r="O50" s="8">
        <v>115.1999969</v>
      </c>
      <c r="P50" s="8">
        <v>0.875</v>
      </c>
      <c r="Q50" s="8">
        <v>0.0</v>
      </c>
      <c r="R50" s="9" t="s">
        <v>1923</v>
      </c>
      <c r="S50" s="8">
        <v>0.0</v>
      </c>
      <c r="T50" s="8">
        <v>0.0</v>
      </c>
      <c r="U50" s="8">
        <v>0.0</v>
      </c>
      <c r="V50" s="8">
        <v>0.0</v>
      </c>
      <c r="W50" s="8">
        <v>0.0</v>
      </c>
      <c r="X50" s="8">
        <v>0.0</v>
      </c>
      <c r="Y50" s="8">
        <v>0.0</v>
      </c>
      <c r="Z50" s="8">
        <v>0.0</v>
      </c>
      <c r="AA50" s="8">
        <v>0.0</v>
      </c>
      <c r="AB50" s="8">
        <v>1.0</v>
      </c>
      <c r="AC50" s="7" t="s">
        <v>1924</v>
      </c>
      <c r="AD50" s="7" t="s">
        <v>2088</v>
      </c>
      <c r="AE50" s="7" t="s">
        <v>2088</v>
      </c>
      <c r="AF50" s="9" t="s">
        <v>2090</v>
      </c>
      <c r="AG50" s="9" t="s">
        <v>2838</v>
      </c>
      <c r="AH50" s="8">
        <v>9.0</v>
      </c>
      <c r="AI50" s="9" t="s">
        <v>845</v>
      </c>
      <c r="AJ50" s="9" t="s">
        <v>934</v>
      </c>
      <c r="AK50" s="8">
        <v>56.0</v>
      </c>
      <c r="AL50" s="9" t="s">
        <v>847</v>
      </c>
      <c r="AM50" s="9" t="s">
        <v>848</v>
      </c>
      <c r="AN50" s="9" t="s">
        <v>849</v>
      </c>
      <c r="AO50" s="9" t="s">
        <v>850</v>
      </c>
      <c r="AP50" s="8">
        <v>1.0</v>
      </c>
      <c r="AQ50" s="8">
        <v>0.0</v>
      </c>
      <c r="AR50" s="8">
        <v>0.0</v>
      </c>
      <c r="AS50" s="8">
        <v>0.0</v>
      </c>
      <c r="AT50" s="8">
        <v>0.0</v>
      </c>
      <c r="AU50" s="8">
        <v>0.0</v>
      </c>
      <c r="AV50" s="8">
        <v>0.0</v>
      </c>
      <c r="AW50" s="8">
        <v>0.0</v>
      </c>
      <c r="AX50" s="9"/>
      <c r="AY50" s="9" t="s">
        <v>935</v>
      </c>
      <c r="AZ50" s="8">
        <v>0.0</v>
      </c>
      <c r="BA50" s="8">
        <v>1.0</v>
      </c>
      <c r="BB50" s="8">
        <v>0.0</v>
      </c>
      <c r="BC50" s="8">
        <v>0.0</v>
      </c>
      <c r="BD50" s="8">
        <v>0.0</v>
      </c>
      <c r="BE50" s="8">
        <v>0.0</v>
      </c>
      <c r="BF50" s="8">
        <v>0.0</v>
      </c>
      <c r="BG50" s="8">
        <v>0.0</v>
      </c>
      <c r="BH50" s="11"/>
      <c r="BI50" s="9" t="s">
        <v>2118</v>
      </c>
      <c r="BJ50" s="8">
        <v>1.0</v>
      </c>
      <c r="BK50" s="8">
        <v>1.0</v>
      </c>
      <c r="BL50" s="8">
        <v>0.0</v>
      </c>
      <c r="BM50" s="8">
        <v>0.0</v>
      </c>
      <c r="BN50" s="9" t="s">
        <v>853</v>
      </c>
      <c r="BO50" s="9" t="s">
        <v>2000</v>
      </c>
      <c r="BP50" s="8">
        <v>0.0</v>
      </c>
      <c r="BQ50" s="8">
        <v>1.0</v>
      </c>
      <c r="BR50" s="8">
        <v>0.0</v>
      </c>
      <c r="BS50" s="8">
        <v>0.0</v>
      </c>
      <c r="BT50" s="8">
        <v>0.0</v>
      </c>
      <c r="BU50" s="9"/>
      <c r="BV50" s="9" t="s">
        <v>2065</v>
      </c>
      <c r="BW50" s="8">
        <v>1.0</v>
      </c>
      <c r="BX50" s="8">
        <v>0.0</v>
      </c>
      <c r="BY50" s="8">
        <v>0.0</v>
      </c>
      <c r="BZ50" s="8">
        <v>0.0</v>
      </c>
      <c r="CA50" s="8">
        <v>0.0</v>
      </c>
      <c r="CB50" s="9"/>
      <c r="CC50" s="9" t="s">
        <v>1929</v>
      </c>
      <c r="CD50" s="8">
        <v>0.0</v>
      </c>
      <c r="CE50" s="8">
        <v>0.0</v>
      </c>
      <c r="CF50" s="8">
        <v>0.0</v>
      </c>
      <c r="CG50" s="8">
        <v>0.0</v>
      </c>
      <c r="CH50" s="8">
        <v>1.0</v>
      </c>
      <c r="CI50" s="8">
        <v>0.0</v>
      </c>
      <c r="CJ50" s="8">
        <v>0.0</v>
      </c>
      <c r="CK50" s="9"/>
      <c r="CL50" s="9" t="s">
        <v>857</v>
      </c>
      <c r="CM50" s="8">
        <v>2017.0</v>
      </c>
      <c r="CN50" s="9" t="s">
        <v>858</v>
      </c>
      <c r="CO50" s="9" t="s">
        <v>1968</v>
      </c>
      <c r="CP50" s="9" t="s">
        <v>860</v>
      </c>
      <c r="CQ50" s="8">
        <v>0.0</v>
      </c>
      <c r="CR50" s="8">
        <v>0.0</v>
      </c>
      <c r="CS50" s="8">
        <v>0.0</v>
      </c>
      <c r="CT50" s="8">
        <v>0.0</v>
      </c>
      <c r="CU50" s="8">
        <v>1.0</v>
      </c>
      <c r="CV50" s="8">
        <v>0.0</v>
      </c>
      <c r="CW50" s="8">
        <v>0.0</v>
      </c>
      <c r="CX50" s="8">
        <v>0.0</v>
      </c>
      <c r="CY50" s="9" t="s">
        <v>860</v>
      </c>
      <c r="CZ50" s="8">
        <v>1.0</v>
      </c>
      <c r="DA50" s="8">
        <v>0.0</v>
      </c>
      <c r="DB50" s="8">
        <v>0.0</v>
      </c>
      <c r="DC50" s="9"/>
      <c r="DD50" s="9" t="s">
        <v>860</v>
      </c>
      <c r="DE50" s="8">
        <v>1.0</v>
      </c>
      <c r="DF50" s="8">
        <v>0.0</v>
      </c>
      <c r="DG50" s="8">
        <v>0.0</v>
      </c>
      <c r="DH50" s="8">
        <v>0.0</v>
      </c>
      <c r="DI50" s="9"/>
      <c r="DJ50" s="9" t="s">
        <v>861</v>
      </c>
      <c r="DK50" s="8">
        <v>0.0</v>
      </c>
      <c r="DL50" s="8">
        <v>0.0</v>
      </c>
      <c r="DM50" s="8">
        <v>1.0</v>
      </c>
      <c r="DN50" s="8">
        <v>0.0</v>
      </c>
      <c r="DO50" s="9"/>
      <c r="DP50" s="9" t="s">
        <v>938</v>
      </c>
      <c r="DQ50" s="9" t="s">
        <v>939</v>
      </c>
      <c r="DR50" s="17" t="s">
        <v>2030</v>
      </c>
      <c r="DS50" s="9"/>
      <c r="DT50" s="9" t="s">
        <v>2839</v>
      </c>
      <c r="DU50" s="8">
        <v>1.0</v>
      </c>
      <c r="DV50" s="8">
        <v>0.0</v>
      </c>
      <c r="DW50" s="8">
        <v>0.0</v>
      </c>
      <c r="DX50" s="8">
        <v>0.0</v>
      </c>
      <c r="DY50" s="8">
        <v>0.0</v>
      </c>
      <c r="DZ50" s="8">
        <v>0.0</v>
      </c>
      <c r="EA50" s="8">
        <v>0.0</v>
      </c>
      <c r="EB50" s="8">
        <v>0.0</v>
      </c>
      <c r="EC50" s="8">
        <v>0.0</v>
      </c>
      <c r="ED50" s="8">
        <v>1.0</v>
      </c>
      <c r="EE50" s="8">
        <v>0.0</v>
      </c>
      <c r="EF50" s="8">
        <v>0.0</v>
      </c>
      <c r="EG50" s="8">
        <v>0.0</v>
      </c>
      <c r="EH50" s="8">
        <v>0.0</v>
      </c>
      <c r="EI50" s="9" t="s">
        <v>862</v>
      </c>
      <c r="EJ50" s="8">
        <v>0.0</v>
      </c>
      <c r="EK50" s="8">
        <v>0.0</v>
      </c>
      <c r="EL50" s="8">
        <v>0.0</v>
      </c>
      <c r="EM50" s="8">
        <v>1.0</v>
      </c>
      <c r="EN50" s="8">
        <v>0.0</v>
      </c>
      <c r="EO50" s="9"/>
      <c r="EP50" s="9" t="s">
        <v>863</v>
      </c>
      <c r="EQ50" s="9" t="s">
        <v>1380</v>
      </c>
      <c r="ER50" s="9" t="s">
        <v>861</v>
      </c>
      <c r="ES50" s="8">
        <v>1.0</v>
      </c>
      <c r="ET50" s="8">
        <v>0.0</v>
      </c>
      <c r="EU50" s="8">
        <v>0.0</v>
      </c>
      <c r="EV50" s="8">
        <v>0.0</v>
      </c>
      <c r="EW50" s="9"/>
      <c r="EX50" s="9" t="s">
        <v>865</v>
      </c>
      <c r="EY50" s="8">
        <v>1.0</v>
      </c>
      <c r="EZ50" s="8">
        <v>0.0</v>
      </c>
      <c r="FA50" s="8">
        <v>0.0</v>
      </c>
      <c r="FB50" s="9"/>
      <c r="FC50" s="9" t="s">
        <v>866</v>
      </c>
      <c r="FD50" s="9" t="s">
        <v>2032</v>
      </c>
      <c r="FE50" s="9" t="s">
        <v>867</v>
      </c>
      <c r="FF50" s="9" t="s">
        <v>868</v>
      </c>
      <c r="FG50" s="9" t="s">
        <v>867</v>
      </c>
      <c r="FH50" s="9" t="s">
        <v>869</v>
      </c>
      <c r="FI50" s="9" t="s">
        <v>867</v>
      </c>
      <c r="FJ50" s="9" t="s">
        <v>868</v>
      </c>
      <c r="FK50" s="9" t="s">
        <v>867</v>
      </c>
      <c r="FL50" s="9" t="s">
        <v>869</v>
      </c>
      <c r="FM50" s="9" t="s">
        <v>867</v>
      </c>
      <c r="FN50" s="9" t="s">
        <v>868</v>
      </c>
      <c r="FO50" s="9" t="s">
        <v>867</v>
      </c>
      <c r="FP50" s="9" t="s">
        <v>868</v>
      </c>
      <c r="FQ50" s="9" t="s">
        <v>867</v>
      </c>
      <c r="FR50" s="9" t="s">
        <v>857</v>
      </c>
      <c r="FS50" s="9" t="s">
        <v>867</v>
      </c>
      <c r="FT50" s="9" t="s">
        <v>871</v>
      </c>
      <c r="FU50" s="9" t="s">
        <v>872</v>
      </c>
      <c r="FV50" s="8">
        <v>1.0</v>
      </c>
      <c r="FW50" s="8">
        <v>0.0</v>
      </c>
      <c r="FX50" s="8">
        <v>0.0</v>
      </c>
      <c r="FY50" s="8">
        <v>0.0</v>
      </c>
      <c r="FZ50" s="9" t="s">
        <v>1197</v>
      </c>
      <c r="GA50" s="9" t="s">
        <v>874</v>
      </c>
      <c r="GB50" s="8">
        <v>1.0</v>
      </c>
      <c r="GC50" s="8">
        <v>0.0</v>
      </c>
      <c r="GD50" s="8">
        <v>0.0</v>
      </c>
      <c r="GE50" s="8">
        <v>0.0</v>
      </c>
      <c r="GF50" s="9"/>
      <c r="GG50" s="9" t="s">
        <v>961</v>
      </c>
      <c r="GH50" s="9" t="s">
        <v>857</v>
      </c>
      <c r="GI50" s="9" t="s">
        <v>1264</v>
      </c>
      <c r="GJ50" s="8">
        <v>0.0</v>
      </c>
      <c r="GK50" s="8">
        <v>1.0</v>
      </c>
      <c r="GL50" s="8">
        <v>0.0</v>
      </c>
      <c r="GM50" s="8">
        <v>0.0</v>
      </c>
      <c r="GN50" s="9"/>
      <c r="GO50" s="8">
        <v>10.0</v>
      </c>
      <c r="GP50" s="9" t="s">
        <v>1931</v>
      </c>
      <c r="GQ50" s="9" t="s">
        <v>1102</v>
      </c>
      <c r="GR50" s="8">
        <v>1.0</v>
      </c>
      <c r="GS50" s="8">
        <v>0.0</v>
      </c>
      <c r="GT50" s="8">
        <v>0.0</v>
      </c>
      <c r="GU50" s="8">
        <v>0.0</v>
      </c>
      <c r="GV50" s="8">
        <v>0.0</v>
      </c>
      <c r="GW50" s="8">
        <v>0.0</v>
      </c>
      <c r="GX50" s="8">
        <v>0.0</v>
      </c>
      <c r="GY50" s="9"/>
      <c r="GZ50" s="9" t="s">
        <v>857</v>
      </c>
      <c r="HA50" s="9"/>
      <c r="HB50" s="9"/>
      <c r="HC50" s="9"/>
      <c r="HD50" s="9"/>
      <c r="HE50" s="8">
        <v>15.0</v>
      </c>
      <c r="HF50" s="8">
        <v>75000.0</v>
      </c>
      <c r="HG50" s="8">
        <v>9.0</v>
      </c>
      <c r="HH50" s="8">
        <v>60000.0</v>
      </c>
      <c r="HI50" s="9"/>
      <c r="HJ50" s="9"/>
      <c r="HK50" s="9"/>
      <c r="HL50" s="9"/>
      <c r="HM50" s="9"/>
      <c r="HN50" s="9"/>
      <c r="HO50" s="9"/>
      <c r="HP50" s="9"/>
      <c r="HQ50" s="9"/>
      <c r="HR50" s="9"/>
      <c r="HS50" s="9"/>
      <c r="HT50" s="9"/>
      <c r="HU50" s="9"/>
      <c r="HV50" s="9"/>
      <c r="HW50" s="9"/>
      <c r="HX50" s="9"/>
      <c r="HY50" s="9"/>
      <c r="HZ50" s="9"/>
      <c r="IA50" s="8">
        <v>6.0</v>
      </c>
      <c r="IB50" s="8">
        <v>15000.0</v>
      </c>
      <c r="IC50" s="9"/>
      <c r="ID50" s="9"/>
      <c r="IE50" s="9"/>
      <c r="IF50" s="9"/>
      <c r="IG50" s="9"/>
      <c r="IH50" s="9"/>
      <c r="II50" s="9"/>
      <c r="IJ50" s="9"/>
      <c r="IK50" s="9" t="s">
        <v>1932</v>
      </c>
      <c r="IL50" s="9" t="s">
        <v>1366</v>
      </c>
      <c r="IM50" s="9" t="s">
        <v>857</v>
      </c>
      <c r="IN50" s="9" t="s">
        <v>881</v>
      </c>
      <c r="IO50" s="9" t="s">
        <v>882</v>
      </c>
      <c r="IP50" s="9"/>
      <c r="IQ50" s="9" t="s">
        <v>883</v>
      </c>
      <c r="IR50" s="9"/>
      <c r="IS50" s="9"/>
      <c r="IT50" s="9"/>
      <c r="IU50" s="9"/>
      <c r="IV50" s="9"/>
      <c r="IW50" s="9"/>
      <c r="IX50" s="9"/>
      <c r="IY50" s="9"/>
      <c r="IZ50" s="9" t="s">
        <v>883</v>
      </c>
      <c r="JA50" s="9"/>
      <c r="JB50" s="9"/>
      <c r="JC50" s="9"/>
      <c r="JD50" s="9"/>
      <c r="JE50" s="9"/>
      <c r="JF50" s="9"/>
      <c r="JG50" s="9"/>
      <c r="JH50" s="9"/>
      <c r="JI50" s="9" t="s">
        <v>883</v>
      </c>
      <c r="JJ50" s="9"/>
      <c r="JK50" s="9"/>
      <c r="JL50" s="9"/>
      <c r="JM50" s="9"/>
      <c r="JN50" s="9"/>
      <c r="JO50" s="9"/>
      <c r="JP50" s="9"/>
      <c r="JQ50" s="9"/>
      <c r="JR50" s="9" t="s">
        <v>883</v>
      </c>
      <c r="JS50" s="9"/>
      <c r="JT50" s="9"/>
      <c r="JU50" s="9"/>
      <c r="JV50" s="9"/>
      <c r="JW50" s="9"/>
      <c r="JX50" s="9"/>
      <c r="JY50" s="9"/>
      <c r="JZ50" s="9"/>
      <c r="KA50" s="9" t="s">
        <v>883</v>
      </c>
      <c r="KB50" s="9"/>
      <c r="KC50" s="9"/>
      <c r="KD50" s="9"/>
      <c r="KE50" s="9"/>
      <c r="KF50" s="9"/>
      <c r="KG50" s="9"/>
      <c r="KH50" s="9"/>
      <c r="KI50" s="9"/>
      <c r="KJ50" s="9" t="s">
        <v>883</v>
      </c>
      <c r="KK50" s="9"/>
      <c r="KL50" s="9"/>
      <c r="KM50" s="9"/>
      <c r="KN50" s="9"/>
      <c r="KO50" s="9"/>
      <c r="KP50" s="9"/>
      <c r="KQ50" s="9"/>
      <c r="KR50" s="9"/>
      <c r="KS50" s="9" t="s">
        <v>884</v>
      </c>
      <c r="KT50" s="9" t="s">
        <v>886</v>
      </c>
      <c r="KU50" s="9" t="s">
        <v>886</v>
      </c>
      <c r="KV50" s="9" t="s">
        <v>999</v>
      </c>
      <c r="KW50" s="8">
        <v>0.0</v>
      </c>
      <c r="KX50" s="8">
        <v>0.0</v>
      </c>
      <c r="KY50" s="8">
        <v>0.0</v>
      </c>
      <c r="KZ50" s="8">
        <v>1.0</v>
      </c>
      <c r="LA50" s="9" t="s">
        <v>1180</v>
      </c>
      <c r="LB50" s="9" t="s">
        <v>1180</v>
      </c>
      <c r="LC50" s="8">
        <v>4.0</v>
      </c>
      <c r="LD50" s="8">
        <v>1.0</v>
      </c>
      <c r="LE50" s="8">
        <v>0.0</v>
      </c>
      <c r="LF50" s="8">
        <v>0.0</v>
      </c>
      <c r="LG50" s="9" t="s">
        <v>857</v>
      </c>
      <c r="LH50" s="8">
        <v>100000.0</v>
      </c>
      <c r="LI50" s="9"/>
      <c r="LJ50" s="9" t="s">
        <v>887</v>
      </c>
      <c r="LK50" s="8">
        <v>0.0</v>
      </c>
      <c r="LL50" s="8">
        <v>0.0</v>
      </c>
      <c r="LM50" s="8">
        <v>0.0</v>
      </c>
      <c r="LN50" s="8">
        <v>0.0</v>
      </c>
      <c r="LO50" s="8">
        <v>1.0</v>
      </c>
      <c r="LP50" s="8">
        <v>0.0</v>
      </c>
      <c r="LQ50" s="8">
        <v>0.0</v>
      </c>
      <c r="LR50" s="11"/>
      <c r="LS50" s="8">
        <v>10.0</v>
      </c>
      <c r="LT50" s="8">
        <v>0.0</v>
      </c>
      <c r="LU50" s="8">
        <v>0.0</v>
      </c>
      <c r="LV50" s="8">
        <v>10.0</v>
      </c>
      <c r="LW50" s="8">
        <v>0.0</v>
      </c>
      <c r="LX50" s="8">
        <v>0.0</v>
      </c>
      <c r="LY50" s="8">
        <v>10.0</v>
      </c>
      <c r="LZ50" s="8">
        <v>0.0</v>
      </c>
      <c r="MA50" s="8">
        <v>0.0</v>
      </c>
      <c r="MB50" s="9" t="s">
        <v>881</v>
      </c>
      <c r="MC50" s="8">
        <v>0.0</v>
      </c>
      <c r="MD50" s="8">
        <v>0.0</v>
      </c>
      <c r="ME50" s="8">
        <v>0.0</v>
      </c>
      <c r="MF50" s="8">
        <v>0.0</v>
      </c>
      <c r="MG50" s="8">
        <v>0.0</v>
      </c>
      <c r="MH50" s="8">
        <v>0.0</v>
      </c>
      <c r="MI50" s="9"/>
      <c r="MJ50" s="9"/>
      <c r="MK50" s="9"/>
      <c r="ML50" s="9"/>
      <c r="MM50" s="9"/>
      <c r="MN50" s="9"/>
      <c r="MO50" s="9"/>
      <c r="MP50" s="9"/>
      <c r="MQ50" s="9"/>
      <c r="MR50" s="17" t="s">
        <v>2035</v>
      </c>
      <c r="MS50" s="9"/>
      <c r="MT50" s="9" t="s">
        <v>2035</v>
      </c>
      <c r="MU50" s="9" t="s">
        <v>1030</v>
      </c>
      <c r="MV50" s="9" t="s">
        <v>949</v>
      </c>
      <c r="MW50" s="8">
        <v>1.0</v>
      </c>
      <c r="MX50" s="8">
        <v>0.0</v>
      </c>
      <c r="MY50" s="8">
        <v>0.0</v>
      </c>
      <c r="MZ50" s="8">
        <v>0.0</v>
      </c>
      <c r="NA50" s="9"/>
      <c r="NB50" s="9"/>
      <c r="NC50" s="9"/>
      <c r="ND50" s="9"/>
      <c r="NE50" s="9"/>
      <c r="NF50" s="9"/>
      <c r="NG50" s="9"/>
      <c r="NH50" s="9"/>
      <c r="NI50" s="9"/>
      <c r="NJ50" s="9"/>
      <c r="NK50" s="9"/>
      <c r="NL50" s="9" t="s">
        <v>857</v>
      </c>
      <c r="NM50" s="9" t="s">
        <v>893</v>
      </c>
      <c r="NN50" s="17" t="s">
        <v>2069</v>
      </c>
      <c r="NO50" s="17" t="s">
        <v>895</v>
      </c>
      <c r="NP50" s="9"/>
      <c r="NQ50" s="9"/>
      <c r="NR50" s="9"/>
      <c r="NS50" s="9"/>
      <c r="NT50" s="9"/>
      <c r="NU50" s="9"/>
      <c r="NV50" s="17" t="s">
        <v>896</v>
      </c>
      <c r="NW50" s="9"/>
      <c r="NX50" s="9" t="s">
        <v>914</v>
      </c>
      <c r="NY50" s="8">
        <v>180.0</v>
      </c>
      <c r="NZ50" s="8">
        <v>0.0</v>
      </c>
      <c r="OA50" s="8">
        <v>0.0</v>
      </c>
      <c r="OB50" s="8">
        <v>30.0</v>
      </c>
      <c r="OC50" s="8">
        <v>15.0</v>
      </c>
      <c r="OD50" s="8">
        <v>0.0</v>
      </c>
      <c r="OE50" s="9" t="s">
        <v>945</v>
      </c>
      <c r="OF50" s="9" t="s">
        <v>1388</v>
      </c>
      <c r="OG50" s="9" t="s">
        <v>857</v>
      </c>
      <c r="OH50" s="8">
        <v>6.0</v>
      </c>
      <c r="OI50" s="8">
        <v>0.0</v>
      </c>
      <c r="OJ50" s="8">
        <v>0.0</v>
      </c>
      <c r="OK50" s="8">
        <v>0.0</v>
      </c>
      <c r="OL50" s="8">
        <v>4.0</v>
      </c>
      <c r="OM50" s="8">
        <v>0.0</v>
      </c>
      <c r="ON50" s="8">
        <v>10.0</v>
      </c>
      <c r="OO50" s="8">
        <v>0.0</v>
      </c>
      <c r="OP50" s="9" t="str">
        <f>VLOOKUP(AG50,'BUS 2'!$G$1:$CU$424,2,0)</f>
        <v>#N/A</v>
      </c>
      <c r="OQ50" s="8" t="str">
        <f>VLOOKUP(AG50,'BUS 2'!$G$1:$CU$424,3,0)</f>
        <v>#N/A</v>
      </c>
      <c r="OR50" s="8" t="str">
        <f>VLOOKUP(AG50,'BUS 2'!$G$1:$CU$424,4,0)</f>
        <v>#N/A</v>
      </c>
      <c r="OS50" s="8" t="str">
        <f>VLOOKUP(AG50,'BUS 2'!$G$1:$CU$424,5,0)</f>
        <v>#N/A</v>
      </c>
      <c r="OT50" s="8" t="str">
        <f>VLOOKUP(AG50,'BUS 2'!$G$1:$CU$424,6,0)</f>
        <v>#N/A</v>
      </c>
      <c r="OU50" s="8" t="str">
        <f>VLOOKUP(AG50,'BUS 2'!$G$1:$CU$424,7,0)</f>
        <v>#N/A</v>
      </c>
      <c r="OV50" s="8" t="str">
        <f>VLOOKUP(AG50,'BUS 2'!$G$1:$CU$424,8,0)</f>
        <v>#N/A</v>
      </c>
      <c r="OW50" s="8" t="str">
        <f>VLOOKUP(AG50,'BUS 2'!$G$1:$CU$424,9,0)</f>
        <v>#N/A</v>
      </c>
      <c r="OX50" s="8" t="str">
        <f>VLOOKUP(AG50,'BUS 2'!$G$1:$CU$424,10,0)</f>
        <v>#N/A</v>
      </c>
      <c r="OY50" s="8" t="str">
        <f>VLOOKUP(AG50,'BUS 2'!$G$1:$CU$424,11,0)</f>
        <v>#N/A</v>
      </c>
      <c r="OZ50" s="8" t="str">
        <f>VLOOKUP(AG50,'BUS 2'!$G$1:$CU$424,12,0)</f>
        <v>#N/A</v>
      </c>
      <c r="PA50" s="8" t="str">
        <f>VLOOKUP(AG50,'BUS 2'!$G$1:$CU$424,13,0)</f>
        <v>#N/A</v>
      </c>
      <c r="PB50" s="8" t="str">
        <f>VLOOKUP(AG50,'BUS 2'!$G$1:$CU$424,14,0)</f>
        <v>#N/A</v>
      </c>
      <c r="PC50" s="8" t="str">
        <f>VLOOKUP(AG50,'BUS 2'!$G$1:$CU$424,15,0)</f>
        <v>#N/A</v>
      </c>
      <c r="PD50" s="8" t="str">
        <f>VLOOKUP(AG50,'BUS 2'!$G$1:$CU$424,16,0)</f>
        <v>#N/A</v>
      </c>
      <c r="PE50" s="8" t="str">
        <f>VLOOKUP(AG50,'BUS 2'!$G$1:$CU$424,17,0)</f>
        <v>#N/A</v>
      </c>
      <c r="PF50" s="8" t="str">
        <f>VLOOKUP(AG50,'BUS 2'!$G$1:$CU$424,18,0)</f>
        <v>#N/A</v>
      </c>
      <c r="PG50" s="8" t="str">
        <f>VLOOKUP(AG50,'BUS 2'!$G$1:$CU$424,19,0)</f>
        <v>#N/A</v>
      </c>
      <c r="PH50" s="8" t="str">
        <f>VLOOKUP(AG50,'BUS 2'!$G$1:$CU$424,20,0)</f>
        <v>#N/A</v>
      </c>
      <c r="PI50" s="8" t="str">
        <f>VLOOKUP(AG50,'BUS 2'!$G$1:$CU$424,21,0)</f>
        <v>#N/A</v>
      </c>
      <c r="PJ50" s="8" t="str">
        <f>VLOOKUP(AG50,'BUS 2'!$G$1:$CU$424,22,0)</f>
        <v>#N/A</v>
      </c>
      <c r="PK50" s="8" t="str">
        <f>VLOOKUP(AG50,'BUS 2'!$G$1:$CU$424,23,0)</f>
        <v>#N/A</v>
      </c>
      <c r="PL50" s="8" t="str">
        <f>VLOOKUP(AG50,'BUS 2'!$G$1:$CU$424,24,0)</f>
        <v>#N/A</v>
      </c>
      <c r="PM50" s="8" t="str">
        <f>VLOOKUP(AG50,'BUS 2'!$G$1:$CU$424,25,0)</f>
        <v>#N/A</v>
      </c>
      <c r="PN50" s="8" t="str">
        <f>VLOOKUP(AG50,'BUS 2'!$G$1:$CU$424,26,0)</f>
        <v>#N/A</v>
      </c>
      <c r="PO50" s="8" t="str">
        <f>VLOOKUP(AG50,'BUS 2'!$G$1:$CU$424,27,0)</f>
        <v>#N/A</v>
      </c>
      <c r="PP50" s="8" t="str">
        <f>VLOOKUP(AG50,'BUS 2'!$G$1:$CU$424,28,0)</f>
        <v>#N/A</v>
      </c>
      <c r="PQ50" s="8" t="str">
        <f>VLOOKUP(AG50,'BUS 2'!$G$1:$CU$424,29,0)</f>
        <v>#N/A</v>
      </c>
      <c r="PR50" s="8" t="str">
        <f>VLOOKUP(AG50,'BUS 2'!$G$1:$CU$424,30,0)</f>
        <v>#N/A</v>
      </c>
      <c r="PS50" s="8" t="str">
        <f>VLOOKUP(AG50,'BUS 2'!$G$1:$CU$424,31,0)</f>
        <v>#N/A</v>
      </c>
      <c r="PT50" s="9" t="s">
        <v>900</v>
      </c>
      <c r="PU50" s="8">
        <v>0.0</v>
      </c>
      <c r="PV50" s="8">
        <v>0.0</v>
      </c>
      <c r="PW50" s="8">
        <v>0.0</v>
      </c>
      <c r="PX50" s="8">
        <v>0.0</v>
      </c>
      <c r="PY50" s="8">
        <v>0.0</v>
      </c>
      <c r="PZ50" s="8">
        <v>1.0</v>
      </c>
      <c r="QA50" s="8">
        <v>0.0</v>
      </c>
      <c r="QB50" s="8">
        <v>0.0</v>
      </c>
      <c r="QC50" s="8">
        <v>0.0</v>
      </c>
      <c r="QD50" s="9"/>
      <c r="QE50" s="32"/>
      <c r="QF50" s="31"/>
      <c r="QG50" s="31"/>
      <c r="QH50" s="31"/>
      <c r="QI50" s="31"/>
      <c r="QJ50" s="31"/>
      <c r="QK50" s="32"/>
      <c r="QL50" s="32"/>
      <c r="QM50" s="32"/>
      <c r="QN50" s="32"/>
      <c r="QO50" s="32"/>
      <c r="QP50" s="32"/>
      <c r="QQ50" s="32"/>
      <c r="QR50" s="32"/>
      <c r="QS50" s="32"/>
      <c r="QT50" s="32"/>
      <c r="QU50" s="32"/>
      <c r="QV50" s="32"/>
      <c r="QW50" s="31"/>
      <c r="QX50" s="31"/>
      <c r="QY50" s="31"/>
      <c r="QZ50" s="31"/>
      <c r="RA50" s="31"/>
      <c r="RB50" s="32"/>
      <c r="RC50" s="32"/>
      <c r="RD50" s="32"/>
      <c r="RE50" s="32"/>
      <c r="RF50" s="32"/>
      <c r="RG50" s="9" t="s">
        <v>900</v>
      </c>
      <c r="RH50" s="35">
        <v>0.0</v>
      </c>
      <c r="RI50" s="35">
        <v>0.0</v>
      </c>
      <c r="RJ50" s="35">
        <v>0.0</v>
      </c>
      <c r="RK50" s="35">
        <v>0.0</v>
      </c>
      <c r="RL50" s="35">
        <v>0.0</v>
      </c>
      <c r="RM50" s="8">
        <v>1.0</v>
      </c>
      <c r="RN50" s="8">
        <v>0.0</v>
      </c>
      <c r="RO50" s="8">
        <v>0.0</v>
      </c>
      <c r="RP50" s="8">
        <v>0.0</v>
      </c>
      <c r="RQ50" s="9"/>
      <c r="RR50" s="9"/>
      <c r="RS50" s="31"/>
      <c r="RT50" s="31"/>
      <c r="RU50" s="31"/>
      <c r="RV50" s="31"/>
      <c r="RW50" s="31"/>
      <c r="RX50" s="9"/>
      <c r="RY50" s="9"/>
      <c r="RZ50" s="9"/>
      <c r="SA50" s="9"/>
      <c r="SB50" s="9"/>
      <c r="SC50" s="9" t="s">
        <v>900</v>
      </c>
      <c r="SD50" s="35">
        <v>0.0</v>
      </c>
      <c r="SE50" s="35">
        <v>0.0</v>
      </c>
      <c r="SF50" s="35">
        <v>0.0</v>
      </c>
      <c r="SG50" s="35">
        <v>0.0</v>
      </c>
      <c r="SH50" s="35">
        <v>0.0</v>
      </c>
      <c r="SI50" s="8">
        <v>1.0</v>
      </c>
      <c r="SJ50" s="8">
        <v>0.0</v>
      </c>
      <c r="SK50" s="8">
        <v>0.0</v>
      </c>
      <c r="SL50" s="8">
        <v>0.0</v>
      </c>
      <c r="SM50" s="9"/>
      <c r="SN50" s="9"/>
      <c r="SO50" s="31"/>
      <c r="SP50" s="31"/>
      <c r="SQ50" s="31"/>
      <c r="SR50" s="31"/>
      <c r="SS50" s="31"/>
      <c r="ST50" s="9"/>
      <c r="SU50" s="9"/>
      <c r="SV50" s="9"/>
      <c r="SW50" s="9"/>
      <c r="SX50" s="9"/>
      <c r="SY50" s="8" t="str">
        <f>VLOOKUP(AG50,'BUS 2'!$G$1:$CU$424,33,0)</f>
        <v>#N/A</v>
      </c>
      <c r="SZ50" s="9" t="str">
        <f>VLOOKUP(AG50,'BUS 2'!$G$1:$CU$424,34,0)</f>
        <v>#N/A</v>
      </c>
      <c r="TA50" s="9" t="str">
        <f>VLOOKUP(AG50,'BUS 2'!$G$1:$CU$424,35,0)</f>
        <v>#N/A</v>
      </c>
      <c r="TB50" s="9" t="str">
        <f>VLOOKUP(AG50,'BUS 2'!$G$1:$CU$424,36,0)</f>
        <v>#N/A</v>
      </c>
      <c r="TC50" s="9" t="str">
        <f>VLOOKUP(AG50,'BUS 2'!$G$1:$CU$424,37,0)</f>
        <v>#N/A</v>
      </c>
      <c r="TD50" s="9" t="str">
        <f>VLOOKUP(AG50,'BUS 2'!$G$1:$CU$424,38,0)</f>
        <v>#N/A</v>
      </c>
      <c r="TE50" s="9" t="str">
        <f>VLOOKUP(AG50,'BUS 2'!$G$1:$CU$424,39,0)</f>
        <v>#N/A</v>
      </c>
      <c r="TF50" s="9" t="str">
        <f>VLOOKUP(AG50,'BUS 2'!$G$1:$CU$424,40,0)</f>
        <v>#N/A</v>
      </c>
      <c r="TG50" s="8" t="str">
        <f>VLOOKUP(AG50,'BUS 2'!$G$1:$CU$424,42,0)</f>
        <v>#N/A</v>
      </c>
      <c r="TH50" s="8" t="str">
        <f>VLOOKUP(AG50,'BUS 2'!$G$1:$CU$424,43,0)</f>
        <v>#N/A</v>
      </c>
      <c r="TI50" s="8" t="str">
        <f>VLOOKUP(AG50,'BUS 2'!$G$1:$CU$424,44,0)</f>
        <v>#N/A</v>
      </c>
      <c r="TJ50" s="8" t="str">
        <f>VLOOKUP(AG50,'BUS 2'!$G$1:$CU$424,45,0)</f>
        <v>#N/A</v>
      </c>
      <c r="TK50" s="8" t="str">
        <f>VLOOKUP(AG50,'BUS 2'!$G$1:$CU$424,46,0)</f>
        <v>#N/A</v>
      </c>
      <c r="TL50" s="8" t="str">
        <f>VLOOKUP(AG50,'BUS 2'!$G$1:$CU$424,47,0)</f>
        <v>#N/A</v>
      </c>
      <c r="TM50" s="8" t="str">
        <f>VLOOKUP(AG50,'BUS 2'!$G$1:$CU$424,48,0)</f>
        <v>#N/A</v>
      </c>
      <c r="TN50" s="8" t="str">
        <f>VLOOKUP(AG50,'BUS 2'!$G$1:$CU$424,49,0)</f>
        <v>#N/A</v>
      </c>
      <c r="TO50" s="8" t="str">
        <f>VLOOKUP(AG50,'BUS 2'!$G$1:$CU$424,50,0)</f>
        <v>#N/A</v>
      </c>
      <c r="TP50" s="8" t="str">
        <f>VLOOKUP(AG50,'BUS 2'!$G$1:$CU$424,51,0)</f>
        <v>#N/A</v>
      </c>
      <c r="TQ50" s="8" t="str">
        <f>VLOOKUP(AG50,'BUS 2'!$G$1:$CU$424,52,0)</f>
        <v>#N/A</v>
      </c>
      <c r="TR50" s="8" t="str">
        <f>VLOOKUP(AG50,'BUS 2'!$G$1:$CU$424,53,0)</f>
        <v>#N/A</v>
      </c>
      <c r="TS50" s="9" t="str">
        <f>VLOOKUP(AG50,'BUS 2'!$G$1:$CU$424,54,0)</f>
        <v>#N/A</v>
      </c>
      <c r="TT50" s="9" t="str">
        <f>VLOOKUP(AG50,'BUS 2'!$G$1:$CU$424,55,0)</f>
        <v>#N/A</v>
      </c>
      <c r="TU50" s="9" t="str">
        <f>VLOOKUP(AG50,'BUS 2'!$G$1:$CU$424,56,0)</f>
        <v>#N/A</v>
      </c>
      <c r="TV50" s="9" t="str">
        <f>VLOOKUP(AG50,'BUS 2'!$G$1:$CU$424,57,0)</f>
        <v>#N/A</v>
      </c>
      <c r="TW50" s="9" t="str">
        <f>VLOOKUP(AG50,'BUS 2'!$G$1:$CU$424,58,0)</f>
        <v>#N/A</v>
      </c>
      <c r="TX50" s="9" t="str">
        <f>VLOOKUP(AG50,'BUS 2'!$G$1:$CU$424,59,0)</f>
        <v>#N/A</v>
      </c>
      <c r="TY50" s="9" t="str">
        <f>VLOOKUP(AG50,'BUS 2'!$G$1:$CU$424,60,0)</f>
        <v>#N/A</v>
      </c>
      <c r="TZ50" s="9" t="str">
        <f>VLOOKUP(AG50,'BUS 2'!$G$1:$CU$424,61,0)</f>
        <v>#N/A</v>
      </c>
      <c r="UA50" s="9" t="str">
        <f>VLOOKUP(AG50,'BUS 2'!$G$1:$CU$424,62,0)</f>
        <v>#N/A</v>
      </c>
      <c r="UB50" s="9" t="str">
        <f>VLOOKUP(AG50,'BUS 2'!$G$1:$CU$424,63,0)</f>
        <v>#N/A</v>
      </c>
      <c r="UC50" s="9" t="str">
        <f>VLOOKUP(AG50,'BUS 2'!$G$1:$CU$424,64,0)</f>
        <v>#N/A</v>
      </c>
      <c r="UD50" s="9" t="str">
        <f>VLOOKUP(AG50,'BUS 2'!$G$1:$CU$424,65,0)</f>
        <v>#N/A</v>
      </c>
      <c r="UE50" s="9" t="str">
        <f>VLOOKUP(AG50,'BUS 2'!$G$1:$CU$424,66,0)</f>
        <v>#N/A</v>
      </c>
      <c r="UF50" s="9" t="str">
        <f>VLOOKUP(AG50,'BUS 2'!$G$1:$CU$424,67,0)</f>
        <v>#N/A</v>
      </c>
      <c r="UG50" s="9" t="str">
        <f>VLOOKUP(AG50,'BUS 2'!$G$1:$CU$424,68,0)</f>
        <v>#N/A</v>
      </c>
      <c r="UH50" s="9" t="str">
        <f>VLOOKUP(AG50,'BUS 2'!$G$1:$CU$424,69,0)</f>
        <v>#N/A</v>
      </c>
      <c r="UI50" s="9" t="str">
        <f>VLOOKUP(AG50,'BUS 2'!$G$1:$CU$424,70,0)</f>
        <v>#N/A</v>
      </c>
      <c r="UJ50" s="9" t="str">
        <f>VLOOKUP(AG50,'BUS 2'!$G$1:$CU$424,71,0)</f>
        <v>#N/A</v>
      </c>
      <c r="UK50" s="9" t="str">
        <f>VLOOKUP(AG50,'BUS 2'!$G$1:$CU$424,72,0)</f>
        <v>#N/A</v>
      </c>
      <c r="UL50" s="9" t="str">
        <f>VLOOKUP(AG50,'BUS 2'!$G$1:$CU$424,73,0)</f>
        <v>#N/A</v>
      </c>
      <c r="UM50" s="9" t="str">
        <f>VLOOKUP(AG50,'BUS 2'!$G$1:$CU$424,74,0)</f>
        <v>#N/A</v>
      </c>
      <c r="UN50" s="9" t="str">
        <f>VLOOKUP(AG50,'BUS 2'!$G$1:$CU$424,75,0)</f>
        <v>#N/A</v>
      </c>
      <c r="UO50" s="9" t="str">
        <f>VLOOKUP(AG50,'BUS 2'!$G$1:$CU$424,76,0)</f>
        <v>#N/A</v>
      </c>
      <c r="UP50" s="9" t="str">
        <f>VLOOKUP(AG50,'BUS 2'!$G$1:$CU$424,77,0)</f>
        <v>#N/A</v>
      </c>
      <c r="UQ50" s="9" t="str">
        <f>VLOOKUP(AG50,'BUS 2'!$G$1:$CU$424,78,0)</f>
        <v>#N/A</v>
      </c>
      <c r="UR50" s="9" t="str">
        <f>VLOOKUP(AG50,'BUS 2'!$G$1:$CU$424,79,0)</f>
        <v>#N/A</v>
      </c>
      <c r="US50" s="9" t="str">
        <f>VLOOKUP(AG50,'BUS 2'!$G$1:$CU$424,80,0)</f>
        <v>#N/A</v>
      </c>
      <c r="UT50" s="9" t="str">
        <f>VLOOKUP(AG50,'BUS 2'!$G$1:$CU$424,81,0)</f>
        <v>#N/A</v>
      </c>
      <c r="UU50" s="9" t="s">
        <v>1976</v>
      </c>
      <c r="UV50" s="9"/>
      <c r="UW50" s="9"/>
      <c r="UX50" s="9"/>
      <c r="UY50" s="9" t="s">
        <v>901</v>
      </c>
      <c r="UZ50" s="9"/>
      <c r="VA50" s="9" t="s">
        <v>1937</v>
      </c>
      <c r="VB50" s="9"/>
      <c r="VC50" s="9" t="s">
        <v>1938</v>
      </c>
      <c r="VD50" s="9"/>
      <c r="VE50" s="9"/>
      <c r="VF50" s="9"/>
      <c r="VG50" s="9" t="s">
        <v>1938</v>
      </c>
      <c r="VH50" s="9"/>
      <c r="VI50" s="9" t="s">
        <v>1938</v>
      </c>
      <c r="VJ50" s="9"/>
      <c r="VK50" s="9"/>
      <c r="VL50" s="9"/>
      <c r="VM50" s="9"/>
      <c r="VN50" s="9"/>
      <c r="VO50" s="9" t="s">
        <v>1939</v>
      </c>
      <c r="VP50" s="9"/>
      <c r="VQ50" s="9" t="s">
        <v>1939</v>
      </c>
      <c r="VR50" s="9"/>
      <c r="VS50" s="9" t="s">
        <v>2325</v>
      </c>
      <c r="VT50" s="8">
        <v>0.0</v>
      </c>
      <c r="VU50" s="8">
        <v>0.0</v>
      </c>
      <c r="VV50" s="8">
        <v>0.0</v>
      </c>
      <c r="VW50" s="8">
        <v>0.0</v>
      </c>
      <c r="VX50" s="8">
        <v>0.0</v>
      </c>
      <c r="VY50" s="8">
        <v>0.0</v>
      </c>
      <c r="VZ50" s="8">
        <v>0.0</v>
      </c>
      <c r="WA50" s="8">
        <v>0.0</v>
      </c>
      <c r="WB50" s="8">
        <v>0.0</v>
      </c>
      <c r="WC50" s="8">
        <v>1.0</v>
      </c>
      <c r="WD50" s="8">
        <v>0.0</v>
      </c>
      <c r="WE50" s="8">
        <v>0.0</v>
      </c>
      <c r="WF50" s="9"/>
      <c r="WG50" s="9"/>
      <c r="WH50" s="9"/>
      <c r="WI50" s="9"/>
      <c r="WJ50" s="9"/>
      <c r="WK50" s="9"/>
      <c r="WL50" s="9"/>
      <c r="WM50" s="9"/>
      <c r="WN50" s="9"/>
      <c r="WO50" s="9"/>
      <c r="WP50" s="9"/>
      <c r="WQ50" s="9"/>
      <c r="WR50" s="9"/>
      <c r="WS50" s="9"/>
      <c r="WT50" s="9"/>
      <c r="WU50" s="9"/>
      <c r="WV50" s="9"/>
      <c r="WW50" s="9"/>
      <c r="WX50" s="9"/>
      <c r="WY50" s="9"/>
      <c r="WZ50" s="9"/>
      <c r="XA50" s="9"/>
      <c r="XB50" s="9"/>
      <c r="XC50" s="9"/>
      <c r="XD50" s="9"/>
      <c r="XE50" s="9"/>
      <c r="XF50" s="9"/>
      <c r="XG50" s="9"/>
      <c r="XH50" s="9"/>
      <c r="XI50" s="9"/>
      <c r="XJ50" s="9"/>
      <c r="XK50" s="9"/>
      <c r="XL50" s="9"/>
      <c r="XM50" s="9"/>
      <c r="XN50" s="9" t="s">
        <v>1940</v>
      </c>
      <c r="XO50" s="8">
        <v>0.0</v>
      </c>
      <c r="XP50" s="8">
        <v>0.0</v>
      </c>
      <c r="XQ50" s="8">
        <v>0.0</v>
      </c>
      <c r="XR50" s="8">
        <v>0.0</v>
      </c>
      <c r="XS50" s="8">
        <v>0.0</v>
      </c>
      <c r="XT50" s="8">
        <v>1.0</v>
      </c>
      <c r="XU50" s="8">
        <v>0.0</v>
      </c>
      <c r="XV50" s="8">
        <v>0.0</v>
      </c>
      <c r="XW50" s="8">
        <v>0.0</v>
      </c>
      <c r="XX50" s="8">
        <v>0.0</v>
      </c>
      <c r="XY50" s="8">
        <v>0.0</v>
      </c>
      <c r="XZ50" s="8">
        <v>0.0</v>
      </c>
      <c r="YA50" s="9"/>
      <c r="YB50" s="9"/>
      <c r="YC50" s="9"/>
      <c r="YD50" s="9"/>
      <c r="YE50" s="9"/>
      <c r="YF50" s="9"/>
      <c r="YG50" s="9"/>
      <c r="YH50" s="9"/>
      <c r="YI50" s="9"/>
      <c r="YJ50" s="9"/>
      <c r="YK50" s="9"/>
      <c r="YL50" s="9"/>
      <c r="YM50" s="9"/>
      <c r="YN50" s="9" t="s">
        <v>2361</v>
      </c>
      <c r="YO50" s="8">
        <v>0.0</v>
      </c>
      <c r="YP50" s="8">
        <v>0.0</v>
      </c>
      <c r="YQ50" s="8">
        <v>0.0</v>
      </c>
      <c r="YR50" s="8">
        <v>0.0</v>
      </c>
      <c r="YS50" s="8">
        <v>0.0</v>
      </c>
      <c r="YT50" s="8">
        <v>0.0</v>
      </c>
      <c r="YU50" s="8">
        <v>0.0</v>
      </c>
      <c r="YV50" s="8">
        <v>0.0</v>
      </c>
      <c r="YW50" s="8">
        <v>1.0</v>
      </c>
      <c r="YX50" s="8">
        <v>0.0</v>
      </c>
      <c r="YY50" s="8">
        <v>0.0</v>
      </c>
      <c r="YZ50" s="8">
        <v>0.0</v>
      </c>
      <c r="ZA50" s="9"/>
      <c r="ZB50" s="9"/>
      <c r="ZC50" s="9"/>
      <c r="ZD50" s="9"/>
      <c r="ZE50" s="9"/>
      <c r="ZF50" s="9"/>
      <c r="ZG50" s="9"/>
      <c r="ZH50" s="9"/>
      <c r="ZI50" s="9"/>
      <c r="ZJ50" s="9"/>
      <c r="ZK50" s="9"/>
      <c r="ZL50" s="9"/>
      <c r="ZM50" s="9"/>
      <c r="ZN50" s="8">
        <v>80.0</v>
      </c>
      <c r="ZO50" s="9"/>
      <c r="ZP50" s="9"/>
      <c r="ZQ50" s="9"/>
      <c r="ZR50" s="9"/>
      <c r="ZS50" s="9"/>
      <c r="ZT50" s="9"/>
      <c r="ZU50" s="9"/>
      <c r="ZV50" s="8">
        <v>2.0</v>
      </c>
      <c r="ZW50" s="9"/>
      <c r="ZX50" s="9"/>
      <c r="ZY50" s="9"/>
      <c r="ZZ50" s="8">
        <v>2.0</v>
      </c>
      <c r="AAA50" s="9"/>
      <c r="AAB50" s="8">
        <v>2.0</v>
      </c>
      <c r="AAC50" s="9"/>
      <c r="AAD50" s="9" t="s">
        <v>1186</v>
      </c>
      <c r="AAE50" s="9"/>
      <c r="AAF50" s="9"/>
      <c r="AAG50" s="9"/>
      <c r="AAH50" s="9" t="s">
        <v>1186</v>
      </c>
      <c r="AAI50" s="9"/>
      <c r="AAJ50" s="9" t="s">
        <v>905</v>
      </c>
      <c r="AAK50" s="9"/>
      <c r="AAL50" s="9" t="s">
        <v>857</v>
      </c>
      <c r="AAM50" s="9" t="s">
        <v>1942</v>
      </c>
      <c r="AAN50" s="8">
        <v>0.0</v>
      </c>
      <c r="AAO50" s="8">
        <v>1.0</v>
      </c>
      <c r="AAP50" s="8">
        <v>5.0</v>
      </c>
      <c r="AAQ50" s="9"/>
      <c r="AAR50" s="9" t="s">
        <v>857</v>
      </c>
      <c r="AAS50" s="9" t="s">
        <v>867</v>
      </c>
      <c r="AAT50" s="9" t="s">
        <v>906</v>
      </c>
      <c r="AAU50" s="8">
        <v>1.0</v>
      </c>
      <c r="AAV50" s="8">
        <v>0.0</v>
      </c>
      <c r="AAW50" s="8">
        <v>0.0</v>
      </c>
      <c r="AAX50" s="8">
        <v>0.0</v>
      </c>
      <c r="AAY50" s="8">
        <v>0.0</v>
      </c>
      <c r="AAZ50" s="8">
        <v>0.0</v>
      </c>
      <c r="ABA50" s="8">
        <v>0.0</v>
      </c>
      <c r="ABB50" s="9" t="s">
        <v>907</v>
      </c>
      <c r="ABC50" s="8">
        <v>1.0</v>
      </c>
      <c r="ABD50" s="8">
        <v>0.0</v>
      </c>
      <c r="ABE50" s="8">
        <v>0.0</v>
      </c>
      <c r="ABF50" s="8">
        <v>0.0</v>
      </c>
      <c r="ABG50" s="8">
        <v>0.0</v>
      </c>
      <c r="ABH50" s="9"/>
      <c r="ABI50" s="9"/>
      <c r="ABJ50" s="9"/>
      <c r="ABK50" s="9"/>
      <c r="ABL50" s="9"/>
      <c r="ABM50" s="9"/>
      <c r="ABN50" s="9"/>
      <c r="ABO50" s="9"/>
      <c r="ABP50" s="9"/>
      <c r="ABQ50" s="9" t="s">
        <v>2840</v>
      </c>
      <c r="ABR50" s="9" t="s">
        <v>1075</v>
      </c>
      <c r="ABS50" s="8">
        <v>200.0</v>
      </c>
      <c r="ABT50" s="9"/>
      <c r="ABU50" s="8">
        <v>5.0</v>
      </c>
      <c r="ABV50" s="8">
        <v>0.0</v>
      </c>
      <c r="ABW50" s="9" t="s">
        <v>1199</v>
      </c>
      <c r="ABX50" s="9"/>
      <c r="ABY50" s="8">
        <v>1.0</v>
      </c>
      <c r="ABZ50" s="8">
        <v>6000.0</v>
      </c>
      <c r="ACA50" s="8">
        <v>0.0</v>
      </c>
      <c r="ACB50" s="8">
        <v>6500.0</v>
      </c>
      <c r="ACC50" s="8">
        <v>0.0</v>
      </c>
      <c r="ACD50" s="8">
        <v>0.0</v>
      </c>
      <c r="ACE50" s="9" t="s">
        <v>881</v>
      </c>
      <c r="ACF50" s="9" t="s">
        <v>911</v>
      </c>
      <c r="ACG50" s="9" t="s">
        <v>911</v>
      </c>
      <c r="ACH50" s="9" t="s">
        <v>911</v>
      </c>
      <c r="ACI50" s="9"/>
      <c r="ACJ50" s="9"/>
      <c r="ACK50" s="9"/>
      <c r="ACL50" s="9"/>
      <c r="ACM50" s="9"/>
      <c r="ACN50" s="9"/>
      <c r="ACO50" s="9"/>
      <c r="ACP50" s="9"/>
      <c r="ACQ50" s="9"/>
      <c r="ACR50" s="9"/>
      <c r="ACS50" s="9"/>
      <c r="ACT50" s="9" t="s">
        <v>999</v>
      </c>
      <c r="ACU50" s="9" t="s">
        <v>913</v>
      </c>
      <c r="ACV50" s="9" t="s">
        <v>914</v>
      </c>
      <c r="ACW50" s="9" t="s">
        <v>915</v>
      </c>
      <c r="ACX50" s="9" t="s">
        <v>916</v>
      </c>
      <c r="ACY50" s="9" t="s">
        <v>1035</v>
      </c>
      <c r="ACZ50" s="8">
        <v>1.0</v>
      </c>
      <c r="ADA50" s="8">
        <v>1.0</v>
      </c>
      <c r="ADB50" s="8">
        <v>0.0</v>
      </c>
      <c r="ADC50" s="8">
        <v>0.0</v>
      </c>
      <c r="ADD50" s="9" t="s">
        <v>1187</v>
      </c>
      <c r="ADE50" s="9" t="s">
        <v>1187</v>
      </c>
      <c r="ADF50" s="9" t="s">
        <v>1187</v>
      </c>
      <c r="ADG50" s="9" t="s">
        <v>1187</v>
      </c>
      <c r="ADH50" s="9" t="s">
        <v>881</v>
      </c>
      <c r="ADI50" s="9"/>
      <c r="ADJ50" s="9" t="s">
        <v>917</v>
      </c>
      <c r="ADK50" s="9"/>
      <c r="ADL50" s="9"/>
      <c r="ADM50" s="9"/>
      <c r="ADN50" s="9"/>
      <c r="ADO50" s="9"/>
      <c r="ADP50" s="9"/>
      <c r="ADQ50" s="9"/>
      <c r="ADR50" s="9"/>
      <c r="ADS50" s="9"/>
      <c r="ADT50" s="9"/>
      <c r="ADU50" s="9" t="s">
        <v>2235</v>
      </c>
      <c r="ADV50" s="8">
        <v>0.0</v>
      </c>
      <c r="ADW50" s="8">
        <v>0.0</v>
      </c>
      <c r="ADX50" s="8">
        <v>0.0</v>
      </c>
      <c r="ADY50" s="8">
        <v>0.0</v>
      </c>
      <c r="ADZ50" s="8">
        <v>0.0</v>
      </c>
      <c r="AEA50" s="8">
        <v>0.0</v>
      </c>
      <c r="AEB50" s="8">
        <v>1.0</v>
      </c>
      <c r="AEC50" s="8">
        <v>0.0</v>
      </c>
      <c r="AED50" s="9" t="s">
        <v>1945</v>
      </c>
      <c r="AEE50" s="9" t="s">
        <v>872</v>
      </c>
      <c r="AEF50" s="9"/>
      <c r="AEG50" s="9" t="s">
        <v>920</v>
      </c>
      <c r="AEH50" s="9"/>
      <c r="AEI50" s="9" t="s">
        <v>2841</v>
      </c>
      <c r="AEJ50" s="9" t="s">
        <v>961</v>
      </c>
      <c r="AEK50" s="9" t="s">
        <v>2842</v>
      </c>
      <c r="AEL50" s="8">
        <v>1.0</v>
      </c>
      <c r="AEM50" s="8">
        <v>0.0</v>
      </c>
      <c r="AEN50" s="8">
        <v>0.0</v>
      </c>
      <c r="AEO50" s="8">
        <v>0.0</v>
      </c>
      <c r="AEP50" s="8">
        <v>1.0</v>
      </c>
      <c r="AEQ50" s="8">
        <v>0.0</v>
      </c>
      <c r="AER50" s="8">
        <v>1.0</v>
      </c>
      <c r="AES50" s="8">
        <v>0.0</v>
      </c>
      <c r="AET50" s="8">
        <v>1.0</v>
      </c>
      <c r="AEU50" s="8">
        <v>0.0</v>
      </c>
      <c r="AEV50" s="8">
        <v>0.0</v>
      </c>
      <c r="AEW50" s="8">
        <v>0.0</v>
      </c>
      <c r="AEX50" s="9"/>
      <c r="AEY50" s="9" t="s">
        <v>1981</v>
      </c>
      <c r="AEZ50" s="9"/>
      <c r="AFA50" s="9" t="s">
        <v>2077</v>
      </c>
      <c r="AFB50" s="9"/>
      <c r="AFC50" s="9" t="s">
        <v>2843</v>
      </c>
      <c r="AFD50" s="16" t="s">
        <v>2844</v>
      </c>
      <c r="AFE50" s="9" t="s">
        <v>2845</v>
      </c>
      <c r="AFF50" s="16" t="s">
        <v>2846</v>
      </c>
      <c r="AFG50" s="9" t="s">
        <v>2443</v>
      </c>
      <c r="AFH50" s="9"/>
      <c r="AFI50" s="21" t="s">
        <v>2847</v>
      </c>
      <c r="AFJ50" s="9"/>
      <c r="AFK50" s="9"/>
      <c r="AFL50" s="9"/>
      <c r="AFM50" s="9"/>
      <c r="AFN50" s="9"/>
      <c r="AFO50" s="9"/>
      <c r="AFP50" s="9"/>
      <c r="AFQ50" s="9"/>
      <c r="AFR50" s="9"/>
      <c r="AFS50" s="9"/>
      <c r="AFT50" s="9"/>
      <c r="AFU50" s="9"/>
      <c r="AFV50" s="9"/>
      <c r="AFW50" s="9"/>
      <c r="AFX50" s="9"/>
      <c r="AFY50" s="9"/>
      <c r="AFZ50" s="9"/>
      <c r="AGA50" s="9"/>
      <c r="AGB50" s="9"/>
      <c r="AGC50" s="9"/>
      <c r="AGD50" s="9"/>
      <c r="AGE50" s="9"/>
      <c r="AGF50" s="9"/>
      <c r="AGG50" s="9"/>
      <c r="AGH50" s="9"/>
      <c r="AGI50" s="9"/>
      <c r="AGJ50" s="9"/>
      <c r="AGK50" s="9"/>
      <c r="AGL50" s="9"/>
      <c r="AGM50" s="9"/>
      <c r="AGN50" s="9"/>
      <c r="AGO50" s="9"/>
      <c r="AGP50" s="9"/>
      <c r="AGQ50" s="9"/>
      <c r="AGR50" s="9"/>
      <c r="AGS50" s="9"/>
      <c r="AGT50" s="9"/>
      <c r="AGU50" s="9"/>
      <c r="AGV50" s="9"/>
      <c r="AGW50" s="9"/>
      <c r="AGX50" s="9"/>
      <c r="AGY50" s="9"/>
      <c r="AGZ50" s="9"/>
      <c r="AHA50" s="9"/>
      <c r="AHB50" s="9"/>
      <c r="AHC50" s="9"/>
      <c r="AHD50" s="9"/>
      <c r="AHE50" s="9"/>
      <c r="AHF50" s="9"/>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9"/>
      <c r="AII50" s="9"/>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9"/>
      <c r="ALO50" s="9"/>
      <c r="ALP50" s="9"/>
      <c r="ALQ50" s="9"/>
      <c r="ALR50" s="9"/>
      <c r="ALS50" s="9"/>
      <c r="ALT50" s="9"/>
      <c r="ALU50" s="9"/>
      <c r="ALV50" s="9"/>
      <c r="ALW50" s="9"/>
      <c r="ALX50" s="9"/>
      <c r="ALY50" s="9"/>
      <c r="ALZ50" s="9"/>
      <c r="AMA50" s="9"/>
      <c r="AMB50" s="9"/>
      <c r="AMC50" s="9"/>
      <c r="AMD50" s="9"/>
      <c r="AME50" s="9"/>
      <c r="AMF50" s="9"/>
      <c r="AMG50" s="9"/>
      <c r="AMH50" s="9"/>
      <c r="AMI50" s="9"/>
      <c r="AMJ50" s="9"/>
      <c r="AMK50" s="9"/>
      <c r="AML50" s="9"/>
      <c r="AMM50" s="9"/>
      <c r="AMN50" s="9"/>
      <c r="AMO50" s="9"/>
      <c r="AMP50" s="9"/>
      <c r="AMQ50" s="9"/>
      <c r="AMR50" s="9"/>
      <c r="AMS50" s="9"/>
      <c r="AMT50" s="9"/>
      <c r="AMU50" s="9"/>
      <c r="AMV50" s="9"/>
      <c r="AMW50" s="9"/>
      <c r="AMX50" s="9"/>
      <c r="AMY50" s="9"/>
      <c r="AMZ50" s="9"/>
      <c r="ANA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c r="AQH50" s="9"/>
      <c r="AQI50" s="9"/>
      <c r="AQJ50" s="9"/>
      <c r="AQK50" s="9"/>
      <c r="AQL50" s="9"/>
      <c r="AQM50" s="9"/>
      <c r="AQN50" s="9"/>
      <c r="AQO50" s="9"/>
      <c r="AQP50" s="9"/>
      <c r="AQQ50" s="9"/>
      <c r="AQR50" s="9"/>
      <c r="AQS50" s="9"/>
      <c r="AQT50" s="9"/>
      <c r="AQU50" s="9"/>
      <c r="AQV50" s="9"/>
      <c r="AQW50" s="9"/>
      <c r="AQX50" s="9"/>
      <c r="AQY50" s="9"/>
      <c r="AQZ50" s="9"/>
      <c r="ARA50" s="9"/>
      <c r="ARB50" s="9"/>
      <c r="ARC50" s="9"/>
      <c r="ARD50" s="9"/>
      <c r="ARE50" s="9"/>
      <c r="ARF50" s="9"/>
      <c r="ARG50" s="9"/>
      <c r="ARH50" s="9"/>
      <c r="ARI50" s="9"/>
      <c r="ARJ50" s="9"/>
      <c r="ARK50" s="9"/>
      <c r="ARL50" s="9"/>
      <c r="ARM50" s="9"/>
      <c r="ARN50" s="9"/>
      <c r="ARO50" s="9"/>
      <c r="ARP50" s="9"/>
      <c r="ARQ50" s="9"/>
      <c r="ARR50" s="9"/>
      <c r="ARS50" s="9"/>
      <c r="ART50" s="9"/>
      <c r="ARU50" s="9"/>
      <c r="ARV50" s="9"/>
      <c r="ARW50" s="9"/>
      <c r="ARX50" s="9"/>
      <c r="ARY50" s="9"/>
      <c r="ARZ50" s="9"/>
      <c r="ASA50" s="9"/>
      <c r="ASB50" s="9"/>
      <c r="ASC50" s="9"/>
      <c r="ASD50" s="9"/>
      <c r="ASE50" s="9"/>
      <c r="ASF50" s="9"/>
      <c r="ASG50" s="9"/>
      <c r="ASH50" s="9"/>
      <c r="ASI50" s="9"/>
      <c r="ASJ50" s="9"/>
      <c r="ASK50" s="9"/>
      <c r="ASL50" s="9"/>
      <c r="ASM50" s="9"/>
      <c r="ASN50" s="9"/>
      <c r="ASO50" s="9"/>
      <c r="ASP50" s="9"/>
      <c r="ASQ50" s="9"/>
      <c r="ASR50" s="9"/>
      <c r="ASS50" s="9"/>
      <c r="AST50" s="9"/>
      <c r="ASU50" s="9"/>
      <c r="ASV50" s="9"/>
      <c r="ASW50" s="9"/>
      <c r="ASX50" s="9"/>
      <c r="ASY50" s="9"/>
      <c r="ASZ50" s="9"/>
      <c r="ATA50" s="9"/>
      <c r="ATB50" s="9"/>
      <c r="ATC50" s="9"/>
      <c r="ATD50" s="9"/>
      <c r="ATE50" s="9"/>
      <c r="ATF50" s="9"/>
      <c r="ATG50" s="9"/>
      <c r="ATH50" s="9"/>
      <c r="ATI50" s="9"/>
      <c r="ATJ50" s="9"/>
      <c r="ATK50" s="9"/>
      <c r="ATL50" s="9"/>
      <c r="ATM50" s="9"/>
      <c r="ATN50" s="9"/>
      <c r="ATO50" s="9"/>
      <c r="ATP50" s="9"/>
      <c r="ATQ50" s="9"/>
      <c r="ATR50" s="9"/>
      <c r="ATS50" s="9"/>
      <c r="ATT50" s="9"/>
      <c r="ATU50" s="9"/>
      <c r="ATV50" s="9"/>
      <c r="ATW50" s="9"/>
      <c r="ATX50" s="9"/>
      <c r="ATY50" s="9"/>
      <c r="ATZ50" s="9"/>
      <c r="AUA50" s="9"/>
      <c r="AUB50" s="9"/>
      <c r="AUC50" s="9"/>
      <c r="AUD50" s="9"/>
      <c r="AUE50" s="9"/>
      <c r="AUF50" s="9"/>
      <c r="AUG50" s="9"/>
      <c r="AUH50" s="9"/>
      <c r="AUI50" s="9"/>
      <c r="AUJ50" s="9"/>
      <c r="AUK50" s="9"/>
      <c r="AUL50" s="9"/>
      <c r="AUM50" s="9"/>
      <c r="AUN50" s="9"/>
      <c r="AUO50" s="9"/>
      <c r="AUP50" s="9"/>
      <c r="AUQ50" s="9"/>
      <c r="AUR50" s="9"/>
      <c r="AUS50" s="9"/>
      <c r="AUT50" s="9"/>
      <c r="AUU50" s="9"/>
      <c r="AUV50" s="9"/>
      <c r="AUW50" s="9"/>
      <c r="AUX50" s="9"/>
      <c r="AUY50" s="9"/>
      <c r="AUZ50" s="9"/>
      <c r="AVA50" s="9"/>
      <c r="AVB50" s="9"/>
      <c r="AVC50" s="9"/>
      <c r="AVD50" s="9"/>
      <c r="AVE50" s="9"/>
      <c r="AVF50" s="9"/>
      <c r="AVG50" s="9"/>
      <c r="AVH50" s="9"/>
      <c r="AVI50" s="9"/>
      <c r="AVJ50" s="9"/>
      <c r="AVK50" s="9"/>
      <c r="AVL50" s="9"/>
      <c r="AVM50" s="9"/>
      <c r="AVN50" s="9"/>
      <c r="AVO50" s="9"/>
      <c r="AVP50" s="9"/>
      <c r="AVQ50" s="9"/>
      <c r="AVR50" s="9"/>
      <c r="AVS50" s="9"/>
      <c r="AVT50" s="9"/>
      <c r="AVU50" s="9"/>
      <c r="AVV50" s="9"/>
      <c r="AVW50" s="9"/>
      <c r="AVX50" s="9"/>
      <c r="AVY50" s="9"/>
      <c r="AVZ50" s="9"/>
      <c r="AWA50" s="8">
        <v>6.73511039E8</v>
      </c>
      <c r="AWB50" s="9" t="s">
        <v>2848</v>
      </c>
      <c r="AWC50" s="6">
        <v>46070.0</v>
      </c>
      <c r="AWD50" s="9"/>
      <c r="AWE50" s="9"/>
      <c r="AWF50" s="9" t="s">
        <v>1954</v>
      </c>
      <c r="AWG50" s="9"/>
      <c r="AWH50" s="9" t="s">
        <v>1989</v>
      </c>
      <c r="AWI50" s="9"/>
      <c r="AWJ50" s="9" t="s">
        <v>2849</v>
      </c>
      <c r="AWK50" s="8">
        <v>323.0</v>
      </c>
      <c r="AWL50" s="9" t="s">
        <v>2838</v>
      </c>
      <c r="AWM50" s="8">
        <v>0.0</v>
      </c>
      <c r="AWN50" s="9" t="s">
        <v>1957</v>
      </c>
      <c r="AWO50" s="33" t="b">
        <v>1</v>
      </c>
      <c r="AWP50" s="33" t="b">
        <v>1</v>
      </c>
      <c r="AWQ50" s="33" t="b">
        <v>1</v>
      </c>
      <c r="AWR50" s="33" t="b">
        <v>1</v>
      </c>
      <c r="AWS50" s="33" t="b">
        <v>1</v>
      </c>
      <c r="AWT50" s="33" t="b">
        <v>1</v>
      </c>
      <c r="AWU50" s="9"/>
      <c r="AWV50" s="8">
        <v>6.0</v>
      </c>
      <c r="AWW50" s="9"/>
      <c r="AWX50" s="9"/>
      <c r="AWY50" s="9"/>
      <c r="AWZ50" s="9"/>
    </row>
    <row r="51">
      <c r="A51" s="6">
        <v>46070.0</v>
      </c>
      <c r="B51" s="6">
        <v>46070.0</v>
      </c>
      <c r="C51" s="30" t="s">
        <v>1919</v>
      </c>
      <c r="D51" s="30" t="s">
        <v>2850</v>
      </c>
      <c r="E51" s="8">
        <f>+6285341474776</f>
        <v>6285341474776</v>
      </c>
      <c r="F51" s="9" t="s">
        <v>2851</v>
      </c>
      <c r="G51" s="8">
        <v>-5.151466</v>
      </c>
      <c r="H51" s="8">
        <v>119.678372</v>
      </c>
      <c r="I51" s="8">
        <v>156.488</v>
      </c>
      <c r="J51" s="8">
        <v>1.529999971</v>
      </c>
      <c r="K51" s="8">
        <v>0.0</v>
      </c>
      <c r="L51" s="9" t="s">
        <v>2852</v>
      </c>
      <c r="M51" s="8">
        <v>-5.151435</v>
      </c>
      <c r="N51" s="8">
        <v>119.678155</v>
      </c>
      <c r="O51" s="8">
        <v>178.199</v>
      </c>
      <c r="P51" s="8">
        <v>1.251000047</v>
      </c>
      <c r="Q51" s="8">
        <v>0.0</v>
      </c>
      <c r="R51" s="9" t="s">
        <v>1923</v>
      </c>
      <c r="S51" s="8">
        <v>0.0</v>
      </c>
      <c r="T51" s="8">
        <v>0.0</v>
      </c>
      <c r="U51" s="8">
        <v>0.0</v>
      </c>
      <c r="V51" s="8">
        <v>0.0</v>
      </c>
      <c r="W51" s="8">
        <v>0.0</v>
      </c>
      <c r="X51" s="8">
        <v>0.0</v>
      </c>
      <c r="Y51" s="8">
        <v>0.0</v>
      </c>
      <c r="Z51" s="8">
        <v>0.0</v>
      </c>
      <c r="AA51" s="8">
        <v>0.0</v>
      </c>
      <c r="AB51" s="8">
        <v>1.0</v>
      </c>
      <c r="AC51" s="7" t="s">
        <v>1924</v>
      </c>
      <c r="AD51" s="7" t="s">
        <v>2088</v>
      </c>
      <c r="AE51" s="7" t="s">
        <v>2743</v>
      </c>
      <c r="AF51" s="9" t="s">
        <v>2062</v>
      </c>
      <c r="AG51" s="9" t="s">
        <v>2853</v>
      </c>
      <c r="AH51" s="8">
        <v>13.0</v>
      </c>
      <c r="AI51" s="9" t="s">
        <v>933</v>
      </c>
      <c r="AJ51" s="9" t="s">
        <v>934</v>
      </c>
      <c r="AK51" s="8">
        <v>49.0</v>
      </c>
      <c r="AL51" s="9" t="s">
        <v>847</v>
      </c>
      <c r="AM51" s="9" t="s">
        <v>848</v>
      </c>
      <c r="AN51" s="9" t="s">
        <v>1099</v>
      </c>
      <c r="AO51" s="9" t="s">
        <v>1168</v>
      </c>
      <c r="AP51" s="8">
        <v>0.0</v>
      </c>
      <c r="AQ51" s="8">
        <v>0.0</v>
      </c>
      <c r="AR51" s="8">
        <v>0.0</v>
      </c>
      <c r="AS51" s="8">
        <v>0.0</v>
      </c>
      <c r="AT51" s="8">
        <v>1.0</v>
      </c>
      <c r="AU51" s="8">
        <v>0.0</v>
      </c>
      <c r="AV51" s="8">
        <v>0.0</v>
      </c>
      <c r="AW51" s="8">
        <v>0.0</v>
      </c>
      <c r="AX51" s="9"/>
      <c r="AY51" s="9" t="s">
        <v>999</v>
      </c>
      <c r="AZ51" s="8">
        <v>0.0</v>
      </c>
      <c r="BA51" s="8">
        <v>0.0</v>
      </c>
      <c r="BB51" s="8">
        <v>0.0</v>
      </c>
      <c r="BC51" s="8">
        <v>0.0</v>
      </c>
      <c r="BD51" s="8">
        <v>0.0</v>
      </c>
      <c r="BE51" s="8">
        <v>0.0</v>
      </c>
      <c r="BF51" s="8">
        <v>0.0</v>
      </c>
      <c r="BG51" s="8">
        <v>1.0</v>
      </c>
      <c r="BH51" s="11"/>
      <c r="BI51" s="9" t="s">
        <v>1101</v>
      </c>
      <c r="BJ51" s="8">
        <v>0.0</v>
      </c>
      <c r="BK51" s="8">
        <v>0.0</v>
      </c>
      <c r="BL51" s="8">
        <v>0.0</v>
      </c>
      <c r="BM51" s="8">
        <v>0.0</v>
      </c>
      <c r="BN51" s="9" t="s">
        <v>2854</v>
      </c>
      <c r="BO51" s="9" t="s">
        <v>854</v>
      </c>
      <c r="BP51" s="8">
        <v>1.0</v>
      </c>
      <c r="BQ51" s="8">
        <v>0.0</v>
      </c>
      <c r="BR51" s="8">
        <v>0.0</v>
      </c>
      <c r="BS51" s="8">
        <v>0.0</v>
      </c>
      <c r="BT51" s="8">
        <v>0.0</v>
      </c>
      <c r="BU51" s="9"/>
      <c r="BV51" s="9" t="s">
        <v>855</v>
      </c>
      <c r="BW51" s="8">
        <v>0.0</v>
      </c>
      <c r="BX51" s="8">
        <v>0.0</v>
      </c>
      <c r="BY51" s="8">
        <v>1.0</v>
      </c>
      <c r="BZ51" s="8">
        <v>0.0</v>
      </c>
      <c r="CA51" s="8">
        <v>0.0</v>
      </c>
      <c r="CB51" s="9"/>
      <c r="CC51" s="9" t="s">
        <v>1929</v>
      </c>
      <c r="CD51" s="8">
        <v>0.0</v>
      </c>
      <c r="CE51" s="8">
        <v>0.0</v>
      </c>
      <c r="CF51" s="8">
        <v>0.0</v>
      </c>
      <c r="CG51" s="8">
        <v>0.0</v>
      </c>
      <c r="CH51" s="8">
        <v>1.0</v>
      </c>
      <c r="CI51" s="8">
        <v>0.0</v>
      </c>
      <c r="CJ51" s="8">
        <v>0.0</v>
      </c>
      <c r="CK51" s="9"/>
      <c r="CL51" s="9" t="s">
        <v>857</v>
      </c>
      <c r="CM51" s="8">
        <v>2013.0</v>
      </c>
      <c r="CN51" s="9" t="s">
        <v>858</v>
      </c>
      <c r="CO51" s="9" t="s">
        <v>2356</v>
      </c>
      <c r="CP51" s="9" t="s">
        <v>969</v>
      </c>
      <c r="CQ51" s="8">
        <v>0.0</v>
      </c>
      <c r="CR51" s="8">
        <v>0.0</v>
      </c>
      <c r="CS51" s="8">
        <v>0.0</v>
      </c>
      <c r="CT51" s="8">
        <v>0.0</v>
      </c>
      <c r="CU51" s="8">
        <v>0.0</v>
      </c>
      <c r="CV51" s="8">
        <v>0.0</v>
      </c>
      <c r="CW51" s="8">
        <v>0.0</v>
      </c>
      <c r="CX51" s="8">
        <v>1.0</v>
      </c>
      <c r="CY51" s="9" t="s">
        <v>969</v>
      </c>
      <c r="CZ51" s="8">
        <v>0.0</v>
      </c>
      <c r="DA51" s="8">
        <v>0.0</v>
      </c>
      <c r="DB51" s="8">
        <v>1.0</v>
      </c>
      <c r="DC51" s="9" t="s">
        <v>994</v>
      </c>
      <c r="DD51" s="9" t="s">
        <v>969</v>
      </c>
      <c r="DE51" s="8">
        <v>0.0</v>
      </c>
      <c r="DF51" s="8">
        <v>0.0</v>
      </c>
      <c r="DG51" s="8">
        <v>0.0</v>
      </c>
      <c r="DH51" s="8">
        <v>1.0</v>
      </c>
      <c r="DI51" s="9" t="s">
        <v>994</v>
      </c>
      <c r="DJ51" s="9" t="s">
        <v>969</v>
      </c>
      <c r="DK51" s="8">
        <v>0.0</v>
      </c>
      <c r="DL51" s="8">
        <v>0.0</v>
      </c>
      <c r="DM51" s="8">
        <v>0.0</v>
      </c>
      <c r="DN51" s="8">
        <v>1.0</v>
      </c>
      <c r="DO51" s="9" t="s">
        <v>994</v>
      </c>
      <c r="DP51" s="9" t="s">
        <v>938</v>
      </c>
      <c r="DQ51" s="9" t="s">
        <v>939</v>
      </c>
      <c r="DR51" s="17" t="s">
        <v>940</v>
      </c>
      <c r="DS51" s="9"/>
      <c r="DT51" s="9"/>
      <c r="DU51" s="9"/>
      <c r="DV51" s="9"/>
      <c r="DW51" s="9"/>
      <c r="DX51" s="9"/>
      <c r="DY51" s="9"/>
      <c r="DZ51" s="9"/>
      <c r="EA51" s="9"/>
      <c r="EB51" s="9"/>
      <c r="EC51" s="9"/>
      <c r="ED51" s="9"/>
      <c r="EE51" s="9"/>
      <c r="EF51" s="9"/>
      <c r="EG51" s="9"/>
      <c r="EH51" s="9"/>
      <c r="EI51" s="21" t="s">
        <v>2855</v>
      </c>
      <c r="EJ51" s="8">
        <v>0.0</v>
      </c>
      <c r="EK51" s="8">
        <v>1.0</v>
      </c>
      <c r="EL51" s="8">
        <v>0.0</v>
      </c>
      <c r="EM51" s="8">
        <v>0.0</v>
      </c>
      <c r="EN51" s="8">
        <v>0.0</v>
      </c>
      <c r="EO51" s="9"/>
      <c r="EP51" s="9" t="s">
        <v>1403</v>
      </c>
      <c r="EQ51" s="9" t="s">
        <v>864</v>
      </c>
      <c r="ER51" s="9" t="s">
        <v>2066</v>
      </c>
      <c r="ES51" s="8">
        <v>1.0</v>
      </c>
      <c r="ET51" s="8">
        <v>0.0</v>
      </c>
      <c r="EU51" s="8">
        <v>0.0</v>
      </c>
      <c r="EV51" s="8">
        <v>1.0</v>
      </c>
      <c r="EW51" s="9" t="s">
        <v>994</v>
      </c>
      <c r="EX51" s="9" t="s">
        <v>865</v>
      </c>
      <c r="EY51" s="8">
        <v>1.0</v>
      </c>
      <c r="EZ51" s="8">
        <v>0.0</v>
      </c>
      <c r="FA51" s="8">
        <v>0.0</v>
      </c>
      <c r="FB51" s="9"/>
      <c r="FC51" s="9" t="s">
        <v>1028</v>
      </c>
      <c r="FD51" s="9"/>
      <c r="FE51" s="9" t="s">
        <v>867</v>
      </c>
      <c r="FF51" s="9" t="s">
        <v>870</v>
      </c>
      <c r="FG51" s="9" t="s">
        <v>867</v>
      </c>
      <c r="FH51" s="9" t="s">
        <v>870</v>
      </c>
      <c r="FI51" s="9" t="s">
        <v>867</v>
      </c>
      <c r="FJ51" s="9" t="s">
        <v>943</v>
      </c>
      <c r="FK51" s="9" t="s">
        <v>867</v>
      </c>
      <c r="FL51" s="9" t="s">
        <v>943</v>
      </c>
      <c r="FM51" s="9" t="s">
        <v>867</v>
      </c>
      <c r="FN51" s="9" t="s">
        <v>870</v>
      </c>
      <c r="FO51" s="9" t="s">
        <v>867</v>
      </c>
      <c r="FP51" s="9" t="s">
        <v>943</v>
      </c>
      <c r="FQ51" s="9" t="s">
        <v>867</v>
      </c>
      <c r="FR51" s="9" t="s">
        <v>857</v>
      </c>
      <c r="FS51" s="9" t="s">
        <v>867</v>
      </c>
      <c r="FT51" s="9" t="s">
        <v>871</v>
      </c>
      <c r="FU51" s="9" t="s">
        <v>2501</v>
      </c>
      <c r="FV51" s="8">
        <v>0.0</v>
      </c>
      <c r="FW51" s="8">
        <v>0.0</v>
      </c>
      <c r="FX51" s="8">
        <v>0.0</v>
      </c>
      <c r="FY51" s="8">
        <v>1.0</v>
      </c>
      <c r="FZ51" s="9" t="s">
        <v>1197</v>
      </c>
      <c r="GA51" s="9" t="s">
        <v>969</v>
      </c>
      <c r="GB51" s="8">
        <v>0.0</v>
      </c>
      <c r="GC51" s="8">
        <v>0.0</v>
      </c>
      <c r="GD51" s="8">
        <v>0.0</v>
      </c>
      <c r="GE51" s="8">
        <v>1.0</v>
      </c>
      <c r="GF51" s="9" t="s">
        <v>994</v>
      </c>
      <c r="GG51" s="9" t="s">
        <v>961</v>
      </c>
      <c r="GH51" s="9" t="s">
        <v>857</v>
      </c>
      <c r="GI51" s="9" t="s">
        <v>1264</v>
      </c>
      <c r="GJ51" s="8">
        <v>0.0</v>
      </c>
      <c r="GK51" s="8">
        <v>1.0</v>
      </c>
      <c r="GL51" s="8">
        <v>0.0</v>
      </c>
      <c r="GM51" s="8">
        <v>0.0</v>
      </c>
      <c r="GN51" s="9"/>
      <c r="GO51" s="8">
        <v>8.0</v>
      </c>
      <c r="GP51" s="34" t="s">
        <v>1931</v>
      </c>
      <c r="GQ51" s="9" t="s">
        <v>1102</v>
      </c>
      <c r="GR51" s="8">
        <v>1.0</v>
      </c>
      <c r="GS51" s="8">
        <v>0.0</v>
      </c>
      <c r="GT51" s="8">
        <v>0.0</v>
      </c>
      <c r="GU51" s="8">
        <v>0.0</v>
      </c>
      <c r="GV51" s="8">
        <v>0.0</v>
      </c>
      <c r="GW51" s="8">
        <v>0.0</v>
      </c>
      <c r="GX51" s="8">
        <v>0.0</v>
      </c>
      <c r="GY51" s="9"/>
      <c r="GZ51" s="9" t="s">
        <v>857</v>
      </c>
      <c r="HA51" s="9"/>
      <c r="HB51" s="9"/>
      <c r="HC51" s="9"/>
      <c r="HD51" s="9"/>
      <c r="HE51" s="8">
        <v>6.0</v>
      </c>
      <c r="HF51" s="8">
        <v>30000.0</v>
      </c>
      <c r="HG51" s="8">
        <v>0.0</v>
      </c>
      <c r="HH51" s="8">
        <v>20000.0</v>
      </c>
      <c r="HI51" s="9"/>
      <c r="HJ51" s="9"/>
      <c r="HK51" s="9"/>
      <c r="HL51" s="9"/>
      <c r="HM51" s="9"/>
      <c r="HN51" s="9"/>
      <c r="HO51" s="9"/>
      <c r="HP51" s="9"/>
      <c r="HQ51" s="9"/>
      <c r="HR51" s="9"/>
      <c r="HS51" s="9"/>
      <c r="HT51" s="9"/>
      <c r="HU51" s="9"/>
      <c r="HV51" s="9"/>
      <c r="HW51" s="9"/>
      <c r="HX51" s="9"/>
      <c r="HY51" s="9"/>
      <c r="HZ51" s="9"/>
      <c r="IA51" s="8">
        <v>3.0</v>
      </c>
      <c r="IB51" s="8">
        <v>10000.0</v>
      </c>
      <c r="IC51" s="9"/>
      <c r="ID51" s="9"/>
      <c r="IE51" s="9"/>
      <c r="IF51" s="9"/>
      <c r="IG51" s="9"/>
      <c r="IH51" s="9"/>
      <c r="II51" s="9"/>
      <c r="IJ51" s="9"/>
      <c r="IK51" s="9" t="s">
        <v>879</v>
      </c>
      <c r="IL51" s="9" t="s">
        <v>1366</v>
      </c>
      <c r="IM51" s="9" t="s">
        <v>857</v>
      </c>
      <c r="IN51" s="9" t="s">
        <v>881</v>
      </c>
      <c r="IO51" s="9" t="s">
        <v>882</v>
      </c>
      <c r="IP51" s="9"/>
      <c r="IQ51" s="9" t="s">
        <v>883</v>
      </c>
      <c r="IR51" s="9"/>
      <c r="IS51" s="9"/>
      <c r="IT51" s="9"/>
      <c r="IU51" s="9"/>
      <c r="IV51" s="9"/>
      <c r="IW51" s="9"/>
      <c r="IX51" s="9"/>
      <c r="IY51" s="9"/>
      <c r="IZ51" s="9" t="s">
        <v>883</v>
      </c>
      <c r="JA51" s="9"/>
      <c r="JB51" s="9"/>
      <c r="JC51" s="9"/>
      <c r="JD51" s="9"/>
      <c r="JE51" s="9"/>
      <c r="JF51" s="9"/>
      <c r="JG51" s="9"/>
      <c r="JH51" s="9"/>
      <c r="JI51" s="9" t="s">
        <v>883</v>
      </c>
      <c r="JJ51" s="9"/>
      <c r="JK51" s="9"/>
      <c r="JL51" s="9"/>
      <c r="JM51" s="9"/>
      <c r="JN51" s="9"/>
      <c r="JO51" s="9"/>
      <c r="JP51" s="9"/>
      <c r="JQ51" s="9"/>
      <c r="JR51" s="9" t="s">
        <v>883</v>
      </c>
      <c r="JS51" s="9"/>
      <c r="JT51" s="9"/>
      <c r="JU51" s="9"/>
      <c r="JV51" s="9"/>
      <c r="JW51" s="9"/>
      <c r="JX51" s="9"/>
      <c r="JY51" s="9"/>
      <c r="JZ51" s="9"/>
      <c r="KA51" s="9" t="s">
        <v>883</v>
      </c>
      <c r="KB51" s="9"/>
      <c r="KC51" s="9"/>
      <c r="KD51" s="9"/>
      <c r="KE51" s="9"/>
      <c r="KF51" s="9"/>
      <c r="KG51" s="9"/>
      <c r="KH51" s="9"/>
      <c r="KI51" s="9"/>
      <c r="KJ51" s="9" t="s">
        <v>883</v>
      </c>
      <c r="KK51" s="9"/>
      <c r="KL51" s="9"/>
      <c r="KM51" s="9"/>
      <c r="KN51" s="9"/>
      <c r="KO51" s="9"/>
      <c r="KP51" s="9"/>
      <c r="KQ51" s="9"/>
      <c r="KR51" s="9"/>
      <c r="KS51" s="9" t="s">
        <v>884</v>
      </c>
      <c r="KT51" s="9" t="s">
        <v>886</v>
      </c>
      <c r="KU51" s="9" t="s">
        <v>886</v>
      </c>
      <c r="KV51" s="9" t="s">
        <v>999</v>
      </c>
      <c r="KW51" s="8">
        <v>0.0</v>
      </c>
      <c r="KX51" s="8">
        <v>0.0</v>
      </c>
      <c r="KY51" s="8">
        <v>0.0</v>
      </c>
      <c r="KZ51" s="8">
        <v>1.0</v>
      </c>
      <c r="LA51" s="9" t="s">
        <v>1180</v>
      </c>
      <c r="LB51" s="9" t="s">
        <v>1180</v>
      </c>
      <c r="LC51" s="8">
        <v>0.0</v>
      </c>
      <c r="LD51" s="8">
        <v>0.0</v>
      </c>
      <c r="LE51" s="8">
        <v>0.0</v>
      </c>
      <c r="LF51" s="8">
        <v>0.0</v>
      </c>
      <c r="LG51" s="9" t="s">
        <v>881</v>
      </c>
      <c r="LH51" s="9"/>
      <c r="LI51" s="8">
        <v>0.0</v>
      </c>
      <c r="LJ51" s="9" t="s">
        <v>969</v>
      </c>
      <c r="LK51" s="8">
        <v>0.0</v>
      </c>
      <c r="LL51" s="8">
        <v>0.0</v>
      </c>
      <c r="LM51" s="8">
        <v>0.0</v>
      </c>
      <c r="LN51" s="8">
        <v>0.0</v>
      </c>
      <c r="LO51" s="8">
        <v>0.0</v>
      </c>
      <c r="LP51" s="8">
        <v>0.0</v>
      </c>
      <c r="LQ51" s="8">
        <v>1.0</v>
      </c>
      <c r="LR51" s="11" t="s">
        <v>1973</v>
      </c>
      <c r="LS51" s="8">
        <v>0.0</v>
      </c>
      <c r="LT51" s="8">
        <v>0.0</v>
      </c>
      <c r="LU51" s="8">
        <v>15.0</v>
      </c>
      <c r="LV51" s="8">
        <v>0.0</v>
      </c>
      <c r="LW51" s="8">
        <v>0.0</v>
      </c>
      <c r="LX51" s="8">
        <v>10.0</v>
      </c>
      <c r="LY51" s="8">
        <v>0.0</v>
      </c>
      <c r="LZ51" s="8">
        <v>0.0</v>
      </c>
      <c r="MA51" s="8">
        <v>10.0</v>
      </c>
      <c r="MB51" s="9" t="s">
        <v>857</v>
      </c>
      <c r="MC51" s="8">
        <v>0.0</v>
      </c>
      <c r="MD51" s="8">
        <v>0.0</v>
      </c>
      <c r="ME51" s="8">
        <v>0.0</v>
      </c>
      <c r="MF51" s="8">
        <v>0.0</v>
      </c>
      <c r="MG51" s="8">
        <v>0.0</v>
      </c>
      <c r="MH51" s="8">
        <v>0.0</v>
      </c>
      <c r="MI51" s="9" t="s">
        <v>946</v>
      </c>
      <c r="MJ51" s="8">
        <v>0.0</v>
      </c>
      <c r="MK51" s="8">
        <v>0.0</v>
      </c>
      <c r="ML51" s="8">
        <v>1.0</v>
      </c>
      <c r="MM51" s="8">
        <v>0.0</v>
      </c>
      <c r="MN51" s="8">
        <v>0.0</v>
      </c>
      <c r="MO51" s="8">
        <v>0.0</v>
      </c>
      <c r="MP51" s="9"/>
      <c r="MQ51" s="9"/>
      <c r="MR51" s="36" t="s">
        <v>2120</v>
      </c>
      <c r="MS51" s="9"/>
      <c r="MT51" s="9" t="s">
        <v>2120</v>
      </c>
      <c r="MU51" s="9" t="s">
        <v>890</v>
      </c>
      <c r="MV51" s="9" t="s">
        <v>1031</v>
      </c>
      <c r="MW51" s="8">
        <v>0.0</v>
      </c>
      <c r="MX51" s="8">
        <v>1.0</v>
      </c>
      <c r="MY51" s="8">
        <v>0.0</v>
      </c>
      <c r="MZ51" s="8">
        <v>0.0</v>
      </c>
      <c r="NA51" s="9"/>
      <c r="NB51" s="8">
        <v>3.0</v>
      </c>
      <c r="NC51" s="9"/>
      <c r="ND51" s="9"/>
      <c r="NE51" s="9"/>
      <c r="NF51" s="9"/>
      <c r="NG51" s="9"/>
      <c r="NH51" s="9"/>
      <c r="NI51" s="9"/>
      <c r="NJ51" s="9"/>
      <c r="NK51" s="9"/>
      <c r="NL51" s="9" t="s">
        <v>857</v>
      </c>
      <c r="NM51" s="9" t="s">
        <v>1386</v>
      </c>
      <c r="NN51" s="17" t="s">
        <v>1975</v>
      </c>
      <c r="NO51" s="17" t="s">
        <v>994</v>
      </c>
      <c r="NP51" s="9"/>
      <c r="NQ51" s="9"/>
      <c r="NR51" s="9"/>
      <c r="NS51" s="9"/>
      <c r="NT51" s="9"/>
      <c r="NU51" s="9"/>
      <c r="NV51" s="9"/>
      <c r="NW51" s="9"/>
      <c r="NX51" s="9" t="s">
        <v>897</v>
      </c>
      <c r="NY51" s="8">
        <v>0.0</v>
      </c>
      <c r="NZ51" s="8">
        <v>0.0</v>
      </c>
      <c r="OA51" s="8">
        <v>0.0</v>
      </c>
      <c r="OB51" s="8">
        <v>0.0</v>
      </c>
      <c r="OC51" s="8">
        <v>10.0</v>
      </c>
      <c r="OD51" s="8">
        <v>0.0</v>
      </c>
      <c r="OE51" s="9" t="s">
        <v>898</v>
      </c>
      <c r="OF51" s="9" t="s">
        <v>1184</v>
      </c>
      <c r="OG51" s="9" t="s">
        <v>881</v>
      </c>
      <c r="OH51" s="35">
        <v>1436.0</v>
      </c>
      <c r="OI51" s="8">
        <v>0.0</v>
      </c>
      <c r="OJ51" s="8">
        <v>0.0</v>
      </c>
      <c r="OK51" s="8">
        <v>0.0</v>
      </c>
      <c r="OL51" s="8">
        <v>0.0</v>
      </c>
      <c r="OM51" s="8">
        <v>120.0</v>
      </c>
      <c r="ON51" s="8">
        <v>0.0</v>
      </c>
      <c r="OO51" s="8">
        <v>0.0</v>
      </c>
      <c r="OP51" s="9" t="str">
        <f>VLOOKUP(AG51,'BUS 2'!$G$1:$CU$424,2,0)</f>
        <v>#N/A</v>
      </c>
      <c r="OQ51" s="8" t="str">
        <f>VLOOKUP(AG51,'BUS 2'!$G$1:$CU$424,3,0)</f>
        <v>#N/A</v>
      </c>
      <c r="OR51" s="8" t="str">
        <f>VLOOKUP(AG51,'BUS 2'!$G$1:$CU$424,4,0)</f>
        <v>#N/A</v>
      </c>
      <c r="OS51" s="8" t="str">
        <f>VLOOKUP(AG51,'BUS 2'!$G$1:$CU$424,5,0)</f>
        <v>#N/A</v>
      </c>
      <c r="OT51" s="8" t="str">
        <f>VLOOKUP(AG51,'BUS 2'!$G$1:$CU$424,6,0)</f>
        <v>#N/A</v>
      </c>
      <c r="OU51" s="8" t="str">
        <f>VLOOKUP(AG51,'BUS 2'!$G$1:$CU$424,7,0)</f>
        <v>#N/A</v>
      </c>
      <c r="OV51" s="8" t="str">
        <f>VLOOKUP(AG51,'BUS 2'!$G$1:$CU$424,8,0)</f>
        <v>#N/A</v>
      </c>
      <c r="OW51" s="8" t="str">
        <f>VLOOKUP(AG51,'BUS 2'!$G$1:$CU$424,9,0)</f>
        <v>#N/A</v>
      </c>
      <c r="OX51" s="8" t="str">
        <f>VLOOKUP(AG51,'BUS 2'!$G$1:$CU$424,10,0)</f>
        <v>#N/A</v>
      </c>
      <c r="OY51" s="8" t="str">
        <f>VLOOKUP(AG51,'BUS 2'!$G$1:$CU$424,11,0)</f>
        <v>#N/A</v>
      </c>
      <c r="OZ51" s="8" t="str">
        <f>VLOOKUP(AG51,'BUS 2'!$G$1:$CU$424,12,0)</f>
        <v>#N/A</v>
      </c>
      <c r="PA51" s="8" t="str">
        <f>VLOOKUP(AG51,'BUS 2'!$G$1:$CU$424,13,0)</f>
        <v>#N/A</v>
      </c>
      <c r="PB51" s="8" t="str">
        <f>VLOOKUP(AG51,'BUS 2'!$G$1:$CU$424,14,0)</f>
        <v>#N/A</v>
      </c>
      <c r="PC51" s="8" t="str">
        <f>VLOOKUP(AG51,'BUS 2'!$G$1:$CU$424,15,0)</f>
        <v>#N/A</v>
      </c>
      <c r="PD51" s="8" t="str">
        <f>VLOOKUP(AG51,'BUS 2'!$G$1:$CU$424,16,0)</f>
        <v>#N/A</v>
      </c>
      <c r="PE51" s="8" t="str">
        <f>VLOOKUP(AG51,'BUS 2'!$G$1:$CU$424,17,0)</f>
        <v>#N/A</v>
      </c>
      <c r="PF51" s="8" t="str">
        <f>VLOOKUP(AG51,'BUS 2'!$G$1:$CU$424,18,0)</f>
        <v>#N/A</v>
      </c>
      <c r="PG51" s="8" t="str">
        <f>VLOOKUP(AG51,'BUS 2'!$G$1:$CU$424,19,0)</f>
        <v>#N/A</v>
      </c>
      <c r="PH51" s="8" t="str">
        <f>VLOOKUP(AG51,'BUS 2'!$G$1:$CU$424,20,0)</f>
        <v>#N/A</v>
      </c>
      <c r="PI51" s="8" t="str">
        <f>VLOOKUP(AG51,'BUS 2'!$G$1:$CU$424,21,0)</f>
        <v>#N/A</v>
      </c>
      <c r="PJ51" s="8" t="str">
        <f>VLOOKUP(AG51,'BUS 2'!$G$1:$CU$424,22,0)</f>
        <v>#N/A</v>
      </c>
      <c r="PK51" s="8" t="str">
        <f>VLOOKUP(AG51,'BUS 2'!$G$1:$CU$424,23,0)</f>
        <v>#N/A</v>
      </c>
      <c r="PL51" s="8" t="str">
        <f>VLOOKUP(AG51,'BUS 2'!$G$1:$CU$424,24,0)</f>
        <v>#N/A</v>
      </c>
      <c r="PM51" s="8" t="str">
        <f>VLOOKUP(AG51,'BUS 2'!$G$1:$CU$424,25,0)</f>
        <v>#N/A</v>
      </c>
      <c r="PN51" s="8" t="str">
        <f>VLOOKUP(AG51,'BUS 2'!$G$1:$CU$424,26,0)</f>
        <v>#N/A</v>
      </c>
      <c r="PO51" s="8" t="str">
        <f>VLOOKUP(AG51,'BUS 2'!$G$1:$CU$424,27,0)</f>
        <v>#N/A</v>
      </c>
      <c r="PP51" s="8" t="str">
        <f>VLOOKUP(AG51,'BUS 2'!$G$1:$CU$424,28,0)</f>
        <v>#N/A</v>
      </c>
      <c r="PQ51" s="8" t="str">
        <f>VLOOKUP(AG51,'BUS 2'!$G$1:$CU$424,29,0)</f>
        <v>#N/A</v>
      </c>
      <c r="PR51" s="8" t="str">
        <f>VLOOKUP(AG51,'BUS 2'!$G$1:$CU$424,30,0)</f>
        <v>#N/A</v>
      </c>
      <c r="PS51" s="8" t="str">
        <f>VLOOKUP(AG51,'BUS 2'!$G$1:$CU$424,31,0)</f>
        <v>#N/A</v>
      </c>
      <c r="PT51" s="9" t="s">
        <v>2856</v>
      </c>
      <c r="PU51" s="8">
        <v>0.0</v>
      </c>
      <c r="PV51" s="8">
        <v>0.0</v>
      </c>
      <c r="PW51" s="8">
        <v>0.0</v>
      </c>
      <c r="PX51" s="8">
        <v>0.0</v>
      </c>
      <c r="PY51" s="8">
        <v>0.0</v>
      </c>
      <c r="PZ51" s="8">
        <v>1.0</v>
      </c>
      <c r="QA51" s="8">
        <v>0.0</v>
      </c>
      <c r="QB51" s="8">
        <v>1.0</v>
      </c>
      <c r="QC51" s="8">
        <v>0.0</v>
      </c>
      <c r="QD51" s="9"/>
      <c r="QE51" s="32"/>
      <c r="QF51" s="31"/>
      <c r="QG51" s="31"/>
      <c r="QH51" s="31"/>
      <c r="QI51" s="31"/>
      <c r="QJ51" s="31"/>
      <c r="QK51" s="32"/>
      <c r="QL51" s="32"/>
      <c r="QM51" s="32"/>
      <c r="QN51" s="32"/>
      <c r="QO51" s="32"/>
      <c r="QP51" s="32"/>
      <c r="QQ51" s="32"/>
      <c r="QR51" s="32"/>
      <c r="QS51" s="32"/>
      <c r="QT51" s="32"/>
      <c r="QU51" s="32"/>
      <c r="QV51" s="32"/>
      <c r="QW51" s="31"/>
      <c r="QX51" s="31"/>
      <c r="QY51" s="31"/>
      <c r="QZ51" s="31"/>
      <c r="RA51" s="31"/>
      <c r="RB51" s="32"/>
      <c r="RC51" s="32"/>
      <c r="RD51" s="32"/>
      <c r="RE51" s="32"/>
      <c r="RF51" s="32"/>
      <c r="RG51" s="9"/>
      <c r="RH51" s="31"/>
      <c r="RI51" s="31"/>
      <c r="RJ51" s="31"/>
      <c r="RK51" s="31"/>
      <c r="RL51" s="31"/>
      <c r="RM51" s="9"/>
      <c r="RN51" s="9"/>
      <c r="RO51" s="9"/>
      <c r="RP51" s="9"/>
      <c r="RQ51" s="9"/>
      <c r="RR51" s="9" t="s">
        <v>2856</v>
      </c>
      <c r="RS51" s="35">
        <v>0.0</v>
      </c>
      <c r="RT51" s="35">
        <v>0.0</v>
      </c>
      <c r="RU51" s="35">
        <v>0.0</v>
      </c>
      <c r="RV51" s="35">
        <v>0.0</v>
      </c>
      <c r="RW51" s="35">
        <v>0.0</v>
      </c>
      <c r="RX51" s="8">
        <v>1.0</v>
      </c>
      <c r="RY51" s="8">
        <v>0.0</v>
      </c>
      <c r="RZ51" s="8">
        <v>1.0</v>
      </c>
      <c r="SA51" s="8">
        <v>0.0</v>
      </c>
      <c r="SB51" s="9"/>
      <c r="SC51" s="9"/>
      <c r="SD51" s="31"/>
      <c r="SE51" s="31"/>
      <c r="SF51" s="31"/>
      <c r="SG51" s="31"/>
      <c r="SH51" s="31"/>
      <c r="SI51" s="9"/>
      <c r="SJ51" s="9"/>
      <c r="SK51" s="9"/>
      <c r="SL51" s="9"/>
      <c r="SM51" s="9"/>
      <c r="SN51" s="9"/>
      <c r="SO51" s="31"/>
      <c r="SP51" s="31"/>
      <c r="SQ51" s="31"/>
      <c r="SR51" s="31"/>
      <c r="SS51" s="31"/>
      <c r="ST51" s="9"/>
      <c r="SU51" s="9"/>
      <c r="SV51" s="9"/>
      <c r="SW51" s="9"/>
      <c r="SX51" s="9"/>
      <c r="SY51" s="8" t="str">
        <f>VLOOKUP(AG51,'BUS 2'!$G$1:$CU$424,33,0)</f>
        <v>#N/A</v>
      </c>
      <c r="SZ51" s="9" t="str">
        <f>VLOOKUP(AG51,'BUS 2'!$G$1:$CU$424,34,0)</f>
        <v>#N/A</v>
      </c>
      <c r="TA51" s="9" t="str">
        <f>VLOOKUP(AG51,'BUS 2'!$G$1:$CU$424,35,0)</f>
        <v>#N/A</v>
      </c>
      <c r="TB51" s="9" t="str">
        <f>VLOOKUP(AG51,'BUS 2'!$G$1:$CU$424,36,0)</f>
        <v>#N/A</v>
      </c>
      <c r="TC51" s="9" t="str">
        <f>VLOOKUP(AG51,'BUS 2'!$G$1:$CU$424,37,0)</f>
        <v>#N/A</v>
      </c>
      <c r="TD51" s="9" t="str">
        <f>VLOOKUP(AG51,'BUS 2'!$G$1:$CU$424,38,0)</f>
        <v>#N/A</v>
      </c>
      <c r="TE51" s="9" t="str">
        <f>VLOOKUP(AG51,'BUS 2'!$G$1:$CU$424,39,0)</f>
        <v>#N/A</v>
      </c>
      <c r="TF51" s="9" t="str">
        <f>VLOOKUP(AG51,'BUS 2'!$G$1:$CU$424,40,0)</f>
        <v>#N/A</v>
      </c>
      <c r="TG51" s="8" t="str">
        <f>VLOOKUP(AG51,'BUS 2'!$G$1:$CU$424,42,0)</f>
        <v>#N/A</v>
      </c>
      <c r="TH51" s="8" t="str">
        <f>VLOOKUP(AG51,'BUS 2'!$G$1:$CU$424,43,0)</f>
        <v>#N/A</v>
      </c>
      <c r="TI51" s="8" t="str">
        <f>VLOOKUP(AG51,'BUS 2'!$G$1:$CU$424,44,0)</f>
        <v>#N/A</v>
      </c>
      <c r="TJ51" s="8" t="str">
        <f>VLOOKUP(AG51,'BUS 2'!$G$1:$CU$424,45,0)</f>
        <v>#N/A</v>
      </c>
      <c r="TK51" s="8" t="str">
        <f>VLOOKUP(AG51,'BUS 2'!$G$1:$CU$424,46,0)</f>
        <v>#N/A</v>
      </c>
      <c r="TL51" s="8" t="str">
        <f>VLOOKUP(AG51,'BUS 2'!$G$1:$CU$424,47,0)</f>
        <v>#N/A</v>
      </c>
      <c r="TM51" s="8" t="str">
        <f>VLOOKUP(AG51,'BUS 2'!$G$1:$CU$424,48,0)</f>
        <v>#N/A</v>
      </c>
      <c r="TN51" s="8" t="str">
        <f>VLOOKUP(AG51,'BUS 2'!$G$1:$CU$424,49,0)</f>
        <v>#N/A</v>
      </c>
      <c r="TO51" s="8" t="str">
        <f>VLOOKUP(AG51,'BUS 2'!$G$1:$CU$424,50,0)</f>
        <v>#N/A</v>
      </c>
      <c r="TP51" s="8" t="str">
        <f>VLOOKUP(AG51,'BUS 2'!$G$1:$CU$424,51,0)</f>
        <v>#N/A</v>
      </c>
      <c r="TQ51" s="8" t="str">
        <f>VLOOKUP(AG51,'BUS 2'!$G$1:$CU$424,52,0)</f>
        <v>#N/A</v>
      </c>
      <c r="TR51" s="8" t="str">
        <f>VLOOKUP(AG51,'BUS 2'!$G$1:$CU$424,53,0)</f>
        <v>#N/A</v>
      </c>
      <c r="TS51" s="9" t="str">
        <f>VLOOKUP(AG51,'BUS 2'!$G$1:$CU$424,54,0)</f>
        <v>#N/A</v>
      </c>
      <c r="TT51" s="9" t="str">
        <f>VLOOKUP(AG51,'BUS 2'!$G$1:$CU$424,55,0)</f>
        <v>#N/A</v>
      </c>
      <c r="TU51" s="9" t="str">
        <f>VLOOKUP(AG51,'BUS 2'!$G$1:$CU$424,56,0)</f>
        <v>#N/A</v>
      </c>
      <c r="TV51" s="9" t="str">
        <f>VLOOKUP(AG51,'BUS 2'!$G$1:$CU$424,57,0)</f>
        <v>#N/A</v>
      </c>
      <c r="TW51" s="9" t="str">
        <f>VLOOKUP(AG51,'BUS 2'!$G$1:$CU$424,58,0)</f>
        <v>#N/A</v>
      </c>
      <c r="TX51" s="9" t="str">
        <f>VLOOKUP(AG51,'BUS 2'!$G$1:$CU$424,59,0)</f>
        <v>#N/A</v>
      </c>
      <c r="TY51" s="9" t="str">
        <f>VLOOKUP(AG51,'BUS 2'!$G$1:$CU$424,60,0)</f>
        <v>#N/A</v>
      </c>
      <c r="TZ51" s="9" t="str">
        <f>VLOOKUP(AG51,'BUS 2'!$G$1:$CU$424,61,0)</f>
        <v>#N/A</v>
      </c>
      <c r="UA51" s="9" t="str">
        <f>VLOOKUP(AG51,'BUS 2'!$G$1:$CU$424,62,0)</f>
        <v>#N/A</v>
      </c>
      <c r="UB51" s="9" t="str">
        <f>VLOOKUP(AG51,'BUS 2'!$G$1:$CU$424,63,0)</f>
        <v>#N/A</v>
      </c>
      <c r="UC51" s="9" t="str">
        <f>VLOOKUP(AG51,'BUS 2'!$G$1:$CU$424,64,0)</f>
        <v>#N/A</v>
      </c>
      <c r="UD51" s="9" t="str">
        <f>VLOOKUP(AG51,'BUS 2'!$G$1:$CU$424,65,0)</f>
        <v>#N/A</v>
      </c>
      <c r="UE51" s="9" t="str">
        <f>VLOOKUP(AG51,'BUS 2'!$G$1:$CU$424,66,0)</f>
        <v>#N/A</v>
      </c>
      <c r="UF51" s="9" t="str">
        <f>VLOOKUP(AG51,'BUS 2'!$G$1:$CU$424,67,0)</f>
        <v>#N/A</v>
      </c>
      <c r="UG51" s="9" t="str">
        <f>VLOOKUP(AG51,'BUS 2'!$G$1:$CU$424,68,0)</f>
        <v>#N/A</v>
      </c>
      <c r="UH51" s="9" t="str">
        <f>VLOOKUP(AG51,'BUS 2'!$G$1:$CU$424,69,0)</f>
        <v>#N/A</v>
      </c>
      <c r="UI51" s="9" t="str">
        <f>VLOOKUP(AG51,'BUS 2'!$G$1:$CU$424,70,0)</f>
        <v>#N/A</v>
      </c>
      <c r="UJ51" s="9" t="str">
        <f>VLOOKUP(AG51,'BUS 2'!$G$1:$CU$424,71,0)</f>
        <v>#N/A</v>
      </c>
      <c r="UK51" s="9" t="str">
        <f>VLOOKUP(AG51,'BUS 2'!$G$1:$CU$424,72,0)</f>
        <v>#N/A</v>
      </c>
      <c r="UL51" s="9" t="str">
        <f>VLOOKUP(AG51,'BUS 2'!$G$1:$CU$424,73,0)</f>
        <v>#N/A</v>
      </c>
      <c r="UM51" s="9" t="str">
        <f>VLOOKUP(AG51,'BUS 2'!$G$1:$CU$424,74,0)</f>
        <v>#N/A</v>
      </c>
      <c r="UN51" s="9" t="str">
        <f>VLOOKUP(AG51,'BUS 2'!$G$1:$CU$424,75,0)</f>
        <v>#N/A</v>
      </c>
      <c r="UO51" s="9" t="str">
        <f>VLOOKUP(AG51,'BUS 2'!$G$1:$CU$424,76,0)</f>
        <v>#N/A</v>
      </c>
      <c r="UP51" s="9" t="str">
        <f>VLOOKUP(AG51,'BUS 2'!$G$1:$CU$424,77,0)</f>
        <v>#N/A</v>
      </c>
      <c r="UQ51" s="9" t="str">
        <f>VLOOKUP(AG51,'BUS 2'!$G$1:$CU$424,78,0)</f>
        <v>#N/A</v>
      </c>
      <c r="UR51" s="9" t="str">
        <f>VLOOKUP(AG51,'BUS 2'!$G$1:$CU$424,79,0)</f>
        <v>#N/A</v>
      </c>
      <c r="US51" s="9" t="str">
        <f>VLOOKUP(AG51,'BUS 2'!$G$1:$CU$424,80,0)</f>
        <v>#N/A</v>
      </c>
      <c r="UT51" s="9" t="str">
        <f>VLOOKUP(AG51,'BUS 2'!$G$1:$CU$424,81,0)</f>
        <v>#N/A</v>
      </c>
      <c r="UU51" s="9" t="s">
        <v>901</v>
      </c>
      <c r="UV51" s="9"/>
      <c r="UW51" s="9"/>
      <c r="UX51" s="9"/>
      <c r="UY51" s="9"/>
      <c r="UZ51" s="9" t="s">
        <v>901</v>
      </c>
      <c r="VA51" s="9"/>
      <c r="VB51" s="9"/>
      <c r="VC51" s="9" t="s">
        <v>1938</v>
      </c>
      <c r="VD51" s="9"/>
      <c r="VE51" s="9"/>
      <c r="VF51" s="9"/>
      <c r="VG51" s="9"/>
      <c r="VH51" s="9" t="s">
        <v>1938</v>
      </c>
      <c r="VI51" s="9"/>
      <c r="VJ51" s="9"/>
      <c r="VK51" s="9" t="s">
        <v>1939</v>
      </c>
      <c r="VL51" s="9"/>
      <c r="VM51" s="9"/>
      <c r="VN51" s="9"/>
      <c r="VO51" s="9"/>
      <c r="VP51" s="9" t="s">
        <v>1939</v>
      </c>
      <c r="VQ51" s="9"/>
      <c r="VR51" s="9"/>
      <c r="VS51" s="9" t="s">
        <v>2857</v>
      </c>
      <c r="VT51" s="8">
        <v>0.0</v>
      </c>
      <c r="VU51" s="8">
        <v>0.0</v>
      </c>
      <c r="VV51" s="8">
        <v>0.0</v>
      </c>
      <c r="VW51" s="8">
        <v>0.0</v>
      </c>
      <c r="VX51" s="8">
        <v>0.0</v>
      </c>
      <c r="VY51" s="8">
        <v>0.0</v>
      </c>
      <c r="VZ51" s="8">
        <v>1.0</v>
      </c>
      <c r="WA51" s="8">
        <v>0.0</v>
      </c>
      <c r="WB51" s="8">
        <v>0.0</v>
      </c>
      <c r="WC51" s="8">
        <v>0.0</v>
      </c>
      <c r="WD51" s="8">
        <v>0.0</v>
      </c>
      <c r="WE51" s="8">
        <v>1.0</v>
      </c>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t="s">
        <v>2858</v>
      </c>
      <c r="YB51" s="8">
        <v>0.0</v>
      </c>
      <c r="YC51" s="8">
        <v>0.0</v>
      </c>
      <c r="YD51" s="8">
        <v>0.0</v>
      </c>
      <c r="YE51" s="8">
        <v>0.0</v>
      </c>
      <c r="YF51" s="8">
        <v>0.0</v>
      </c>
      <c r="YG51" s="8">
        <v>1.0</v>
      </c>
      <c r="YH51" s="8">
        <v>0.0</v>
      </c>
      <c r="YI51" s="8">
        <v>0.0</v>
      </c>
      <c r="YJ51" s="8">
        <v>0.0</v>
      </c>
      <c r="YK51" s="8">
        <v>0.0</v>
      </c>
      <c r="YL51" s="8">
        <v>0.0</v>
      </c>
      <c r="YM51" s="8">
        <v>1.0</v>
      </c>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8">
        <v>2.0</v>
      </c>
      <c r="ZW51" s="9"/>
      <c r="ZX51" s="9"/>
      <c r="ZY51" s="9"/>
      <c r="ZZ51" s="9"/>
      <c r="AAA51" s="8">
        <v>2.0</v>
      </c>
      <c r="AAB51" s="9"/>
      <c r="AAC51" s="9"/>
      <c r="AAD51" s="9" t="s">
        <v>1186</v>
      </c>
      <c r="AAE51" s="9"/>
      <c r="AAF51" s="9"/>
      <c r="AAG51" s="9"/>
      <c r="AAH51" s="9"/>
      <c r="AAI51" s="9" t="s">
        <v>1186</v>
      </c>
      <c r="AAJ51" s="9"/>
      <c r="AAK51" s="9"/>
      <c r="AAL51" s="9" t="s">
        <v>857</v>
      </c>
      <c r="AAM51" s="9" t="s">
        <v>1942</v>
      </c>
      <c r="AAN51" s="8">
        <v>0.0</v>
      </c>
      <c r="AAO51" s="8">
        <v>1.0</v>
      </c>
      <c r="AAP51" s="8">
        <v>15.0</v>
      </c>
      <c r="AAQ51" s="9"/>
      <c r="AAR51" s="9" t="s">
        <v>857</v>
      </c>
      <c r="AAS51" s="9" t="s">
        <v>867</v>
      </c>
      <c r="AAT51" s="9" t="s">
        <v>2101</v>
      </c>
      <c r="AAU51" s="8">
        <v>0.0</v>
      </c>
      <c r="AAV51" s="8">
        <v>0.0</v>
      </c>
      <c r="AAW51" s="8">
        <v>0.0</v>
      </c>
      <c r="AAX51" s="8">
        <v>1.0</v>
      </c>
      <c r="AAY51" s="8">
        <v>0.0</v>
      </c>
      <c r="AAZ51" s="8">
        <v>0.0</v>
      </c>
      <c r="ABA51" s="8">
        <v>0.0</v>
      </c>
      <c r="ABB51" s="9"/>
      <c r="ABC51" s="9"/>
      <c r="ABD51" s="9"/>
      <c r="ABE51" s="9"/>
      <c r="ABF51" s="9"/>
      <c r="ABG51" s="9"/>
      <c r="ABH51" s="9"/>
      <c r="ABI51" s="9"/>
      <c r="ABJ51" s="9"/>
      <c r="ABK51" s="9"/>
      <c r="ABL51" s="9"/>
      <c r="ABM51" s="9"/>
      <c r="ABN51" s="9"/>
      <c r="ABO51" s="9"/>
      <c r="ABP51" s="9"/>
      <c r="ABQ51" s="9" t="s">
        <v>2859</v>
      </c>
      <c r="ABR51" s="9" t="s">
        <v>909</v>
      </c>
      <c r="ABS51" s="9"/>
      <c r="ABT51" s="8">
        <v>1000.0</v>
      </c>
      <c r="ABU51" s="9"/>
      <c r="ABV51" s="9"/>
      <c r="ABW51" s="9"/>
      <c r="ABX51" s="9"/>
      <c r="ABY51" s="9"/>
      <c r="ABZ51" s="9"/>
      <c r="ACA51" s="9"/>
      <c r="ACB51" s="9"/>
      <c r="ACC51" s="9"/>
      <c r="ACD51" s="9"/>
      <c r="ACE51" s="9"/>
      <c r="ACF51" s="9"/>
      <c r="ACG51" s="9"/>
      <c r="ACH51" s="9"/>
      <c r="ACI51" s="9"/>
      <c r="ACJ51" s="9"/>
      <c r="ACK51" s="9" t="s">
        <v>2156</v>
      </c>
      <c r="ACL51" s="8">
        <v>0.0</v>
      </c>
      <c r="ACM51" s="8">
        <v>0.0</v>
      </c>
      <c r="ACN51" s="8">
        <v>1.0</v>
      </c>
      <c r="ACO51" s="8">
        <v>0.0</v>
      </c>
      <c r="ACP51" s="8">
        <v>0.0</v>
      </c>
      <c r="ACQ51" s="8">
        <v>0.0</v>
      </c>
      <c r="ACR51" s="8">
        <v>0.0</v>
      </c>
      <c r="ACS51" s="9"/>
      <c r="ACT51" s="9" t="s">
        <v>1945</v>
      </c>
      <c r="ACU51" s="9" t="s">
        <v>1050</v>
      </c>
      <c r="ACV51" s="9"/>
      <c r="ACW51" s="9" t="s">
        <v>915</v>
      </c>
      <c r="ACX51" s="9" t="s">
        <v>916</v>
      </c>
      <c r="ACY51" s="9" t="s">
        <v>896</v>
      </c>
      <c r="ACZ51" s="8">
        <v>1.0</v>
      </c>
      <c r="ADA51" s="8">
        <v>0.0</v>
      </c>
      <c r="ADB51" s="8">
        <v>0.0</v>
      </c>
      <c r="ADC51" s="8">
        <v>0.0</v>
      </c>
      <c r="ADD51" s="9" t="s">
        <v>917</v>
      </c>
      <c r="ADE51" s="9" t="s">
        <v>917</v>
      </c>
      <c r="ADF51" s="9" t="s">
        <v>917</v>
      </c>
      <c r="ADG51" s="9" t="s">
        <v>917</v>
      </c>
      <c r="ADH51" s="9" t="s">
        <v>881</v>
      </c>
      <c r="ADI51" s="9"/>
      <c r="ADJ51" s="9" t="s">
        <v>917</v>
      </c>
      <c r="ADK51" s="9"/>
      <c r="ADL51" s="9"/>
      <c r="ADM51" s="9"/>
      <c r="ADN51" s="9"/>
      <c r="ADO51" s="9"/>
      <c r="ADP51" s="9"/>
      <c r="ADQ51" s="9"/>
      <c r="ADR51" s="9"/>
      <c r="ADS51" s="9"/>
      <c r="ADT51" s="9"/>
      <c r="ADU51" s="9" t="s">
        <v>2235</v>
      </c>
      <c r="ADV51" s="8">
        <v>0.0</v>
      </c>
      <c r="ADW51" s="8">
        <v>0.0</v>
      </c>
      <c r="ADX51" s="8">
        <v>0.0</v>
      </c>
      <c r="ADY51" s="8">
        <v>0.0</v>
      </c>
      <c r="ADZ51" s="8">
        <v>0.0</v>
      </c>
      <c r="AEA51" s="8">
        <v>0.0</v>
      </c>
      <c r="AEB51" s="8">
        <v>1.0</v>
      </c>
      <c r="AEC51" s="8">
        <v>0.0</v>
      </c>
      <c r="AED51" s="9" t="s">
        <v>1945</v>
      </c>
      <c r="AEE51" s="9" t="s">
        <v>2814</v>
      </c>
      <c r="AEF51" s="9"/>
      <c r="AEG51" s="9" t="s">
        <v>1367</v>
      </c>
      <c r="AEH51" s="9"/>
      <c r="AEI51" s="9" t="s">
        <v>2860</v>
      </c>
      <c r="AEJ51" s="9" t="s">
        <v>871</v>
      </c>
      <c r="AEK51" s="9" t="s">
        <v>2393</v>
      </c>
      <c r="AEL51" s="8">
        <v>0.0</v>
      </c>
      <c r="AEM51" s="8">
        <v>0.0</v>
      </c>
      <c r="AEN51" s="8">
        <v>0.0</v>
      </c>
      <c r="AEO51" s="8">
        <v>0.0</v>
      </c>
      <c r="AEP51" s="8">
        <v>1.0</v>
      </c>
      <c r="AEQ51" s="8">
        <v>0.0</v>
      </c>
      <c r="AER51" s="8">
        <v>0.0</v>
      </c>
      <c r="AES51" s="8">
        <v>0.0</v>
      </c>
      <c r="AET51" s="8">
        <v>0.0</v>
      </c>
      <c r="AEU51" s="8">
        <v>0.0</v>
      </c>
      <c r="AEV51" s="8">
        <v>0.0</v>
      </c>
      <c r="AEW51" s="8">
        <v>0.0</v>
      </c>
      <c r="AEX51" s="9"/>
      <c r="AEY51" s="9" t="s">
        <v>1273</v>
      </c>
      <c r="AEZ51" s="9"/>
      <c r="AFA51" s="9" t="s">
        <v>1188</v>
      </c>
      <c r="AFB51" s="9"/>
      <c r="AFC51" s="9" t="s">
        <v>2861</v>
      </c>
      <c r="AFD51" s="16" t="s">
        <v>2862</v>
      </c>
      <c r="AFE51" s="9" t="s">
        <v>2863</v>
      </c>
      <c r="AFF51" s="16" t="s">
        <v>2864</v>
      </c>
      <c r="AFG51" s="9" t="s">
        <v>1919</v>
      </c>
      <c r="AFH51" s="9"/>
      <c r="AFI51" s="21" t="s">
        <v>2865</v>
      </c>
      <c r="AFJ51" s="9"/>
      <c r="AFK51" s="9"/>
      <c r="AFL51" s="9"/>
      <c r="AFM51" s="9"/>
      <c r="AFN51" s="9"/>
      <c r="AFO51" s="9"/>
      <c r="AFP51" s="9"/>
      <c r="AFQ51" s="9"/>
      <c r="AFR51" s="9"/>
      <c r="AFS51" s="9"/>
      <c r="AFT51" s="9"/>
      <c r="AFU51" s="9"/>
      <c r="AFV51" s="9"/>
      <c r="AFW51" s="9"/>
      <c r="AFX51" s="9"/>
      <c r="AFY51" s="9"/>
      <c r="AFZ51" s="9"/>
      <c r="AGA51" s="9"/>
      <c r="AGB51" s="9"/>
      <c r="AGC51" s="9"/>
      <c r="AGD51" s="9"/>
      <c r="AGE51" s="9"/>
      <c r="AGF51" s="9"/>
      <c r="AGG51" s="9"/>
      <c r="AGH51" s="9"/>
      <c r="AGI51" s="9"/>
      <c r="AGJ51" s="9"/>
      <c r="AGK51" s="9"/>
      <c r="AGL51" s="9"/>
      <c r="AGM51" s="9"/>
      <c r="AGN51" s="9"/>
      <c r="AGO51" s="9"/>
      <c r="AGP51" s="9"/>
      <c r="AGQ51" s="9"/>
      <c r="AGR51" s="9"/>
      <c r="AGS51" s="9"/>
      <c r="AGT51" s="9"/>
      <c r="AGU51" s="9"/>
      <c r="AGV51" s="9"/>
      <c r="AGW51" s="9"/>
      <c r="AGX51" s="9"/>
      <c r="AGY51" s="9"/>
      <c r="AGZ51" s="9"/>
      <c r="AHA51" s="9"/>
      <c r="AHB51" s="9"/>
      <c r="AHC51" s="9"/>
      <c r="AHD51" s="9"/>
      <c r="AHE51" s="9"/>
      <c r="AHF51" s="9"/>
      <c r="AHG51" s="9"/>
      <c r="AHH51" s="9"/>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c r="AMK51" s="9"/>
      <c r="AML51" s="9"/>
      <c r="AMM51" s="9"/>
      <c r="AMN51" s="9"/>
      <c r="AMO51" s="9"/>
      <c r="AMP51" s="9"/>
      <c r="AMQ51" s="9"/>
      <c r="AMR51" s="9"/>
      <c r="AMS51" s="9"/>
      <c r="AMT51" s="9"/>
      <c r="AMU51" s="9"/>
      <c r="AMV51" s="9"/>
      <c r="AMW51" s="9"/>
      <c r="AMX51" s="9"/>
      <c r="AMY51" s="9"/>
      <c r="AMZ51" s="9"/>
      <c r="ANA51" s="9"/>
      <c r="ANB51" s="9"/>
      <c r="ANC51" s="9"/>
      <c r="AND51" s="9"/>
      <c r="ANE51" s="9"/>
      <c r="ANF51" s="9"/>
      <c r="ANG51" s="9"/>
      <c r="ANH51" s="9"/>
      <c r="ANI51" s="9"/>
      <c r="ANJ51" s="9"/>
      <c r="ANK51" s="9"/>
      <c r="ANL51" s="9"/>
      <c r="ANM51" s="9"/>
      <c r="ANN51" s="9"/>
      <c r="ANO51" s="9"/>
      <c r="ANP51" s="9"/>
      <c r="ANQ51" s="9"/>
      <c r="ANR51" s="9"/>
      <c r="ANS51" s="9"/>
      <c r="ANT51" s="9"/>
      <c r="ANU51" s="9"/>
      <c r="ANV51" s="9"/>
      <c r="ANW51" s="9"/>
      <c r="ANX51" s="9"/>
      <c r="ANY51" s="9"/>
      <c r="ANZ51" s="9"/>
      <c r="AOA51" s="9"/>
      <c r="AOB51" s="9"/>
      <c r="AOC51" s="9"/>
      <c r="AOD51" s="9"/>
      <c r="AOE51" s="9"/>
      <c r="AOF51" s="9"/>
      <c r="AOG51" s="9"/>
      <c r="AOH51" s="9"/>
      <c r="AOI51" s="9"/>
      <c r="AOJ51" s="9"/>
      <c r="AOK51" s="9"/>
      <c r="AOL51" s="9"/>
      <c r="AOM51" s="9"/>
      <c r="AON51" s="9"/>
      <c r="AOO51" s="9"/>
      <c r="AOP51" s="9"/>
      <c r="AOQ51" s="9"/>
      <c r="AOR51" s="9"/>
      <c r="AOS51" s="9"/>
      <c r="AOT51" s="9"/>
      <c r="AOU51" s="9"/>
      <c r="AOV51" s="9"/>
      <c r="AOW51" s="9"/>
      <c r="AOX51" s="9"/>
      <c r="AOY51" s="9"/>
      <c r="AOZ51" s="9"/>
      <c r="APA51" s="9"/>
      <c r="APB51" s="9"/>
      <c r="APC51" s="9"/>
      <c r="APD51" s="9"/>
      <c r="APE51" s="9"/>
      <c r="APF51" s="9"/>
      <c r="APG51" s="9"/>
      <c r="APH51" s="9"/>
      <c r="API51" s="9"/>
      <c r="APJ51" s="9"/>
      <c r="APK51" s="9"/>
      <c r="APL51" s="9"/>
      <c r="APM51" s="9"/>
      <c r="APN51" s="9"/>
      <c r="APO51" s="9"/>
      <c r="APP51" s="9"/>
      <c r="APQ51" s="9"/>
      <c r="APR51" s="9"/>
      <c r="APS51" s="9"/>
      <c r="APT51" s="9"/>
      <c r="APU51" s="9"/>
      <c r="APV51" s="9"/>
      <c r="APW51" s="9"/>
      <c r="APX51" s="9"/>
      <c r="APY51" s="9"/>
      <c r="APZ51" s="9"/>
      <c r="AQA51" s="9"/>
      <c r="AQB51" s="9"/>
      <c r="AQC51" s="9"/>
      <c r="AQD51" s="9"/>
      <c r="AQE51" s="9"/>
      <c r="AQF51" s="9"/>
      <c r="AQG51" s="9"/>
      <c r="AQH51" s="9"/>
      <c r="AQI51" s="9"/>
      <c r="AQJ51" s="9"/>
      <c r="AQK51" s="9"/>
      <c r="AQL51" s="9"/>
      <c r="AQM51" s="9"/>
      <c r="AQN51" s="9"/>
      <c r="AQO51" s="9"/>
      <c r="AQP51" s="9"/>
      <c r="AQQ51" s="9"/>
      <c r="AQR51" s="9"/>
      <c r="AQS51" s="9"/>
      <c r="AQT51" s="9"/>
      <c r="AQU51" s="9"/>
      <c r="AQV51" s="9"/>
      <c r="AQW51" s="9"/>
      <c r="AQX51" s="9"/>
      <c r="AQY51" s="9"/>
      <c r="AQZ51" s="9"/>
      <c r="ARA51" s="9"/>
      <c r="ARB51" s="9"/>
      <c r="ARC51" s="9"/>
      <c r="ARD51" s="9"/>
      <c r="ARE51" s="9"/>
      <c r="ARF51" s="9"/>
      <c r="ARG51" s="9"/>
      <c r="ARH51" s="9"/>
      <c r="ARI51" s="9"/>
      <c r="ARJ51" s="9"/>
      <c r="ARK51" s="9"/>
      <c r="ARL51" s="9"/>
      <c r="ARM51" s="9"/>
      <c r="ARN51" s="9"/>
      <c r="ARO51" s="9"/>
      <c r="ARP51" s="9"/>
      <c r="ARQ51" s="9"/>
      <c r="ARR51" s="9"/>
      <c r="ARS51" s="9"/>
      <c r="ART51" s="9"/>
      <c r="ARU51" s="9"/>
      <c r="ARV51" s="9"/>
      <c r="ARW51" s="9"/>
      <c r="ARX51" s="9"/>
      <c r="ARY51" s="9"/>
      <c r="ARZ51" s="9"/>
      <c r="ASA51" s="9"/>
      <c r="ASB51" s="9"/>
      <c r="ASC51" s="9"/>
      <c r="ASD51" s="9"/>
      <c r="ASE51" s="9"/>
      <c r="ASF51" s="9"/>
      <c r="ASG51" s="9"/>
      <c r="ASH51" s="9"/>
      <c r="ASI51" s="9"/>
      <c r="ASJ51" s="9"/>
      <c r="ASK51" s="9"/>
      <c r="ASL51" s="9"/>
      <c r="ASM51" s="9"/>
      <c r="ASN51" s="9"/>
      <c r="ASO51" s="9"/>
      <c r="ASP51" s="9"/>
      <c r="ASQ51" s="9"/>
      <c r="ASR51" s="9"/>
      <c r="ASS51" s="9"/>
      <c r="AST51" s="9"/>
      <c r="ASU51" s="9"/>
      <c r="ASV51" s="9"/>
      <c r="ASW51" s="9"/>
      <c r="ASX51" s="9"/>
      <c r="ASY51" s="9"/>
      <c r="ASZ51" s="9"/>
      <c r="ATA51" s="9"/>
      <c r="ATB51" s="9"/>
      <c r="ATC51" s="9"/>
      <c r="ATD51" s="9"/>
      <c r="ATE51" s="9"/>
      <c r="ATF51" s="9"/>
      <c r="ATG51" s="9"/>
      <c r="ATH51" s="9"/>
      <c r="ATI51" s="9"/>
      <c r="ATJ51" s="9"/>
      <c r="ATK51" s="9"/>
      <c r="ATL51" s="9"/>
      <c r="ATM51" s="9"/>
      <c r="ATN51" s="9"/>
      <c r="ATO51" s="9"/>
      <c r="ATP51" s="9"/>
      <c r="ATQ51" s="9"/>
      <c r="ATR51" s="9"/>
      <c r="ATS51" s="9"/>
      <c r="ATT51" s="9"/>
      <c r="ATU51" s="9"/>
      <c r="ATV51" s="9"/>
      <c r="ATW51" s="9"/>
      <c r="ATX51" s="9"/>
      <c r="ATY51" s="9"/>
      <c r="ATZ51" s="9"/>
      <c r="AUA51" s="9"/>
      <c r="AUB51" s="9"/>
      <c r="AUC51" s="9"/>
      <c r="AUD51" s="9"/>
      <c r="AUE51" s="9"/>
      <c r="AUF51" s="9"/>
      <c r="AUG51" s="9"/>
      <c r="AUH51" s="9"/>
      <c r="AUI51" s="9"/>
      <c r="AUJ51" s="9"/>
      <c r="AUK51" s="9"/>
      <c r="AUL51" s="9"/>
      <c r="AUM51" s="9"/>
      <c r="AUN51" s="9"/>
      <c r="AUO51" s="9"/>
      <c r="AUP51" s="9"/>
      <c r="AUQ51" s="9"/>
      <c r="AUR51" s="9"/>
      <c r="AUS51" s="9"/>
      <c r="AUT51" s="9"/>
      <c r="AUU51" s="9"/>
      <c r="AUV51" s="9"/>
      <c r="AUW51" s="9"/>
      <c r="AUX51" s="9"/>
      <c r="AUY51" s="9"/>
      <c r="AUZ51" s="9"/>
      <c r="AVA51" s="9"/>
      <c r="AVB51" s="9"/>
      <c r="AVC51" s="9"/>
      <c r="AVD51" s="9"/>
      <c r="AVE51" s="9"/>
      <c r="AVF51" s="9"/>
      <c r="AVG51" s="9"/>
      <c r="AVH51" s="9"/>
      <c r="AVI51" s="9"/>
      <c r="AVJ51" s="9"/>
      <c r="AVK51" s="9"/>
      <c r="AVL51" s="9"/>
      <c r="AVM51" s="9"/>
      <c r="AVN51" s="9"/>
      <c r="AVO51" s="9"/>
      <c r="AVP51" s="9"/>
      <c r="AVQ51" s="9"/>
      <c r="AVR51" s="9"/>
      <c r="AVS51" s="9"/>
      <c r="AVT51" s="9"/>
      <c r="AVU51" s="9"/>
      <c r="AVV51" s="9"/>
      <c r="AVW51" s="9"/>
      <c r="AVX51" s="9"/>
      <c r="AVY51" s="9"/>
      <c r="AVZ51" s="9"/>
      <c r="AWA51" s="8">
        <v>6.73518857E8</v>
      </c>
      <c r="AWB51" s="9" t="s">
        <v>2866</v>
      </c>
      <c r="AWC51" s="6">
        <v>46070.0</v>
      </c>
      <c r="AWD51" s="9"/>
      <c r="AWE51" s="9"/>
      <c r="AWF51" s="9" t="s">
        <v>1954</v>
      </c>
      <c r="AWG51" s="9"/>
      <c r="AWH51" s="9" t="s">
        <v>1989</v>
      </c>
      <c r="AWI51" s="9"/>
      <c r="AWJ51" s="9" t="s">
        <v>2867</v>
      </c>
      <c r="AWK51" s="8">
        <v>327.0</v>
      </c>
      <c r="AWL51" s="9" t="s">
        <v>2853</v>
      </c>
      <c r="AWM51" s="8">
        <v>0.0</v>
      </c>
      <c r="AWN51" s="9" t="s">
        <v>1957</v>
      </c>
      <c r="AWO51" s="33" t="b">
        <v>1</v>
      </c>
      <c r="AWP51" s="37" t="b">
        <v>0</v>
      </c>
      <c r="AWQ51" s="33" t="b">
        <v>1</v>
      </c>
      <c r="AWR51" s="33" t="b">
        <v>1</v>
      </c>
      <c r="AWS51" s="33" t="b">
        <v>1</v>
      </c>
      <c r="AWT51" s="33" t="b">
        <v>1</v>
      </c>
      <c r="AWU51" s="9"/>
      <c r="AWV51" s="8">
        <v>3.0</v>
      </c>
      <c r="AWW51" s="9"/>
      <c r="AWX51" s="9"/>
      <c r="AWY51" s="9"/>
      <c r="AWZ51" s="9"/>
    </row>
    <row r="52">
      <c r="A52" s="6">
        <v>46070.0</v>
      </c>
      <c r="B52" s="6">
        <v>46070.0</v>
      </c>
      <c r="C52" s="30" t="s">
        <v>1919</v>
      </c>
      <c r="D52" s="30" t="s">
        <v>2868</v>
      </c>
      <c r="E52" s="8">
        <f>+620</f>
        <v>620</v>
      </c>
      <c r="F52" s="9" t="s">
        <v>2869</v>
      </c>
      <c r="G52" s="8">
        <v>-4.837875</v>
      </c>
      <c r="H52" s="8">
        <v>119.594758</v>
      </c>
      <c r="I52" s="8">
        <v>36.65</v>
      </c>
      <c r="J52" s="8">
        <v>1.878999949</v>
      </c>
      <c r="K52" s="8">
        <v>0.0</v>
      </c>
      <c r="L52" s="9" t="s">
        <v>2870</v>
      </c>
      <c r="M52" s="8">
        <v>-4.837885</v>
      </c>
      <c r="N52" s="8">
        <v>119.59459</v>
      </c>
      <c r="O52" s="8">
        <v>65.20000458</v>
      </c>
      <c r="P52" s="8">
        <v>20.89999962</v>
      </c>
      <c r="Q52" s="8">
        <v>0.0</v>
      </c>
      <c r="R52" s="9" t="s">
        <v>1923</v>
      </c>
      <c r="S52" s="8">
        <v>0.0</v>
      </c>
      <c r="T52" s="8">
        <v>0.0</v>
      </c>
      <c r="U52" s="8">
        <v>0.0</v>
      </c>
      <c r="V52" s="8">
        <v>0.0</v>
      </c>
      <c r="W52" s="8">
        <v>0.0</v>
      </c>
      <c r="X52" s="8">
        <v>0.0</v>
      </c>
      <c r="Y52" s="8">
        <v>0.0</v>
      </c>
      <c r="Z52" s="8">
        <v>0.0</v>
      </c>
      <c r="AA52" s="8">
        <v>0.0</v>
      </c>
      <c r="AB52" s="8">
        <v>1.0</v>
      </c>
      <c r="AC52" s="7" t="s">
        <v>2871</v>
      </c>
      <c r="AD52" s="7" t="s">
        <v>2872</v>
      </c>
      <c r="AE52" s="7" t="s">
        <v>2873</v>
      </c>
      <c r="AF52" s="9" t="s">
        <v>1927</v>
      </c>
      <c r="AG52" s="9" t="s">
        <v>2874</v>
      </c>
      <c r="AH52" s="8">
        <v>4.0</v>
      </c>
      <c r="AI52" s="9" t="s">
        <v>845</v>
      </c>
      <c r="AJ52" s="9" t="s">
        <v>846</v>
      </c>
      <c r="AK52" s="8">
        <v>60.0</v>
      </c>
      <c r="AL52" s="9" t="s">
        <v>847</v>
      </c>
      <c r="AM52" s="9" t="s">
        <v>848</v>
      </c>
      <c r="AN52" s="9" t="s">
        <v>986</v>
      </c>
      <c r="AO52" s="9" t="s">
        <v>1168</v>
      </c>
      <c r="AP52" s="8">
        <v>0.0</v>
      </c>
      <c r="AQ52" s="8">
        <v>0.0</v>
      </c>
      <c r="AR52" s="8">
        <v>0.0</v>
      </c>
      <c r="AS52" s="8">
        <v>0.0</v>
      </c>
      <c r="AT52" s="8">
        <v>1.0</v>
      </c>
      <c r="AU52" s="8">
        <v>0.0</v>
      </c>
      <c r="AV52" s="8">
        <v>0.0</v>
      </c>
      <c r="AW52" s="8">
        <v>0.0</v>
      </c>
      <c r="AX52" s="9"/>
      <c r="AY52" s="9" t="s">
        <v>850</v>
      </c>
      <c r="AZ52" s="8">
        <v>1.0</v>
      </c>
      <c r="BA52" s="8">
        <v>0.0</v>
      </c>
      <c r="BB52" s="8">
        <v>0.0</v>
      </c>
      <c r="BC52" s="8">
        <v>0.0</v>
      </c>
      <c r="BD52" s="8">
        <v>0.0</v>
      </c>
      <c r="BE52" s="8">
        <v>0.0</v>
      </c>
      <c r="BF52" s="8">
        <v>0.0</v>
      </c>
      <c r="BG52" s="8">
        <v>0.0</v>
      </c>
      <c r="BH52" s="11"/>
      <c r="BI52" s="9" t="s">
        <v>852</v>
      </c>
      <c r="BJ52" s="8">
        <v>1.0</v>
      </c>
      <c r="BK52" s="8">
        <v>2.0</v>
      </c>
      <c r="BL52" s="8">
        <v>0.0</v>
      </c>
      <c r="BM52" s="8">
        <v>0.0</v>
      </c>
      <c r="BN52" s="9" t="s">
        <v>853</v>
      </c>
      <c r="BO52" s="9" t="s">
        <v>2875</v>
      </c>
      <c r="BP52" s="8">
        <v>1.0</v>
      </c>
      <c r="BQ52" s="8">
        <v>1.0</v>
      </c>
      <c r="BR52" s="8">
        <v>0.0</v>
      </c>
      <c r="BS52" s="8">
        <v>0.0</v>
      </c>
      <c r="BT52" s="8">
        <v>0.0</v>
      </c>
      <c r="BU52" s="9"/>
      <c r="BV52" s="9" t="s">
        <v>2731</v>
      </c>
      <c r="BW52" s="8">
        <v>1.0</v>
      </c>
      <c r="BX52" s="8">
        <v>0.0</v>
      </c>
      <c r="BY52" s="8">
        <v>1.0</v>
      </c>
      <c r="BZ52" s="8">
        <v>0.0</v>
      </c>
      <c r="CA52" s="8">
        <v>0.0</v>
      </c>
      <c r="CB52" s="9"/>
      <c r="CC52" s="9" t="s">
        <v>1929</v>
      </c>
      <c r="CD52" s="8">
        <v>0.0</v>
      </c>
      <c r="CE52" s="8">
        <v>0.0</v>
      </c>
      <c r="CF52" s="8">
        <v>0.0</v>
      </c>
      <c r="CG52" s="8">
        <v>0.0</v>
      </c>
      <c r="CH52" s="8">
        <v>1.0</v>
      </c>
      <c r="CI52" s="8">
        <v>0.0</v>
      </c>
      <c r="CJ52" s="8">
        <v>0.0</v>
      </c>
      <c r="CK52" s="9"/>
      <c r="CL52" s="9" t="s">
        <v>857</v>
      </c>
      <c r="CM52" s="8">
        <v>2022.0</v>
      </c>
      <c r="CN52" s="9" t="s">
        <v>858</v>
      </c>
      <c r="CO52" s="9" t="s">
        <v>859</v>
      </c>
      <c r="CP52" s="9" t="s">
        <v>860</v>
      </c>
      <c r="CQ52" s="8">
        <v>0.0</v>
      </c>
      <c r="CR52" s="8">
        <v>0.0</v>
      </c>
      <c r="CS52" s="8">
        <v>0.0</v>
      </c>
      <c r="CT52" s="8">
        <v>0.0</v>
      </c>
      <c r="CU52" s="8">
        <v>1.0</v>
      </c>
      <c r="CV52" s="8">
        <v>0.0</v>
      </c>
      <c r="CW52" s="8">
        <v>0.0</v>
      </c>
      <c r="CX52" s="8">
        <v>0.0</v>
      </c>
      <c r="CY52" s="9" t="s">
        <v>860</v>
      </c>
      <c r="CZ52" s="8">
        <v>1.0</v>
      </c>
      <c r="DA52" s="8">
        <v>0.0</v>
      </c>
      <c r="DB52" s="8">
        <v>0.0</v>
      </c>
      <c r="DC52" s="9"/>
      <c r="DD52" s="9" t="s">
        <v>860</v>
      </c>
      <c r="DE52" s="8">
        <v>1.0</v>
      </c>
      <c r="DF52" s="8">
        <v>0.0</v>
      </c>
      <c r="DG52" s="8">
        <v>0.0</v>
      </c>
      <c r="DH52" s="8">
        <v>0.0</v>
      </c>
      <c r="DI52" s="9"/>
      <c r="DJ52" s="9" t="s">
        <v>861</v>
      </c>
      <c r="DK52" s="8">
        <v>0.0</v>
      </c>
      <c r="DL52" s="8">
        <v>0.0</v>
      </c>
      <c r="DM52" s="8">
        <v>1.0</v>
      </c>
      <c r="DN52" s="8">
        <v>0.0</v>
      </c>
      <c r="DO52" s="9"/>
      <c r="DP52" s="9" t="s">
        <v>857</v>
      </c>
      <c r="DQ52" s="9"/>
      <c r="DR52" s="9"/>
      <c r="DS52" s="9"/>
      <c r="DT52" s="9"/>
      <c r="DU52" s="9"/>
      <c r="DV52" s="9"/>
      <c r="DW52" s="9"/>
      <c r="DX52" s="9"/>
      <c r="DY52" s="9"/>
      <c r="DZ52" s="9"/>
      <c r="EA52" s="9"/>
      <c r="EB52" s="9"/>
      <c r="EC52" s="9"/>
      <c r="ED52" s="9"/>
      <c r="EE52" s="9"/>
      <c r="EF52" s="9"/>
      <c r="EG52" s="9"/>
      <c r="EH52" s="9"/>
      <c r="EI52" s="9" t="s">
        <v>862</v>
      </c>
      <c r="EJ52" s="8">
        <v>0.0</v>
      </c>
      <c r="EK52" s="8">
        <v>0.0</v>
      </c>
      <c r="EL52" s="8">
        <v>0.0</v>
      </c>
      <c r="EM52" s="8">
        <v>1.0</v>
      </c>
      <c r="EN52" s="8">
        <v>0.0</v>
      </c>
      <c r="EO52" s="9"/>
      <c r="EP52" s="9" t="s">
        <v>1403</v>
      </c>
      <c r="EQ52" s="9" t="s">
        <v>864</v>
      </c>
      <c r="ER52" s="9" t="s">
        <v>1046</v>
      </c>
      <c r="ES52" s="8">
        <v>1.0</v>
      </c>
      <c r="ET52" s="8">
        <v>1.0</v>
      </c>
      <c r="EU52" s="8">
        <v>0.0</v>
      </c>
      <c r="EV52" s="8">
        <v>0.0</v>
      </c>
      <c r="EW52" s="9"/>
      <c r="EX52" s="9" t="s">
        <v>865</v>
      </c>
      <c r="EY52" s="8">
        <v>1.0</v>
      </c>
      <c r="EZ52" s="8">
        <v>0.0</v>
      </c>
      <c r="FA52" s="8">
        <v>0.0</v>
      </c>
      <c r="FB52" s="9"/>
      <c r="FC52" s="9" t="s">
        <v>1028</v>
      </c>
      <c r="FD52" s="9"/>
      <c r="FE52" s="9" t="s">
        <v>867</v>
      </c>
      <c r="FF52" s="9" t="s">
        <v>868</v>
      </c>
      <c r="FG52" s="9" t="s">
        <v>867</v>
      </c>
      <c r="FH52" s="9" t="s">
        <v>869</v>
      </c>
      <c r="FI52" s="9" t="s">
        <v>867</v>
      </c>
      <c r="FJ52" s="9" t="s">
        <v>868</v>
      </c>
      <c r="FK52" s="9" t="s">
        <v>867</v>
      </c>
      <c r="FL52" s="9" t="s">
        <v>943</v>
      </c>
      <c r="FM52" s="9" t="s">
        <v>867</v>
      </c>
      <c r="FN52" s="9" t="s">
        <v>943</v>
      </c>
      <c r="FO52" s="9" t="s">
        <v>867</v>
      </c>
      <c r="FP52" s="9" t="s">
        <v>943</v>
      </c>
      <c r="FQ52" s="9" t="s">
        <v>867</v>
      </c>
      <c r="FR52" s="9" t="s">
        <v>857</v>
      </c>
      <c r="FS52" s="9" t="s">
        <v>867</v>
      </c>
      <c r="FT52" s="9" t="s">
        <v>871</v>
      </c>
      <c r="FU52" s="9" t="s">
        <v>872</v>
      </c>
      <c r="FV52" s="8">
        <v>1.0</v>
      </c>
      <c r="FW52" s="8">
        <v>0.0</v>
      </c>
      <c r="FX52" s="8">
        <v>0.0</v>
      </c>
      <c r="FY52" s="8">
        <v>0.0</v>
      </c>
      <c r="FZ52" s="9" t="s">
        <v>1197</v>
      </c>
      <c r="GA52" s="9" t="s">
        <v>874</v>
      </c>
      <c r="GB52" s="8">
        <v>1.0</v>
      </c>
      <c r="GC52" s="8">
        <v>0.0</v>
      </c>
      <c r="GD52" s="8">
        <v>0.0</v>
      </c>
      <c r="GE52" s="8">
        <v>0.0</v>
      </c>
      <c r="GF52" s="9"/>
      <c r="GG52" s="9" t="s">
        <v>875</v>
      </c>
      <c r="GH52" s="9" t="s">
        <v>857</v>
      </c>
      <c r="GI52" s="9" t="s">
        <v>1930</v>
      </c>
      <c r="GJ52" s="8">
        <v>1.0</v>
      </c>
      <c r="GK52" s="8">
        <v>1.0</v>
      </c>
      <c r="GL52" s="8">
        <v>1.0</v>
      </c>
      <c r="GM52" s="8">
        <v>0.0</v>
      </c>
      <c r="GN52" s="9"/>
      <c r="GO52" s="8">
        <v>10.0</v>
      </c>
      <c r="GP52" s="9" t="s">
        <v>1931</v>
      </c>
      <c r="GQ52" s="9" t="s">
        <v>1102</v>
      </c>
      <c r="GR52" s="8">
        <v>1.0</v>
      </c>
      <c r="GS52" s="8">
        <v>0.0</v>
      </c>
      <c r="GT52" s="8">
        <v>0.0</v>
      </c>
      <c r="GU52" s="8">
        <v>0.0</v>
      </c>
      <c r="GV52" s="8">
        <v>0.0</v>
      </c>
      <c r="GW52" s="8">
        <v>0.0</v>
      </c>
      <c r="GX52" s="8">
        <v>0.0</v>
      </c>
      <c r="GY52" s="9"/>
      <c r="GZ52" s="9" t="s">
        <v>857</v>
      </c>
      <c r="HA52" s="9"/>
      <c r="HB52" s="9"/>
      <c r="HC52" s="9"/>
      <c r="HD52" s="9"/>
      <c r="HE52" s="8">
        <v>12.0</v>
      </c>
      <c r="HF52" s="8">
        <v>76000.0</v>
      </c>
      <c r="HG52" s="8">
        <v>3.0</v>
      </c>
      <c r="HH52" s="8">
        <v>22000.0</v>
      </c>
      <c r="HI52" s="9"/>
      <c r="HJ52" s="9"/>
      <c r="HK52" s="9"/>
      <c r="HL52" s="9"/>
      <c r="HM52" s="9"/>
      <c r="HN52" s="9"/>
      <c r="HO52" s="9"/>
      <c r="HP52" s="9"/>
      <c r="HQ52" s="9"/>
      <c r="HR52" s="9"/>
      <c r="HS52" s="9"/>
      <c r="HT52" s="9"/>
      <c r="HU52" s="9"/>
      <c r="HV52" s="9"/>
      <c r="HW52" s="9"/>
      <c r="HX52" s="9"/>
      <c r="HY52" s="9"/>
      <c r="HZ52" s="9"/>
      <c r="IA52" s="8">
        <v>9.0</v>
      </c>
      <c r="IB52" s="8">
        <v>54000.0</v>
      </c>
      <c r="IC52" s="9"/>
      <c r="ID52" s="9"/>
      <c r="IE52" s="9"/>
      <c r="IF52" s="9"/>
      <c r="IG52" s="9"/>
      <c r="IH52" s="9"/>
      <c r="II52" s="9"/>
      <c r="IJ52" s="9"/>
      <c r="IK52" s="9" t="s">
        <v>879</v>
      </c>
      <c r="IL52" s="9" t="s">
        <v>1366</v>
      </c>
      <c r="IM52" s="9" t="s">
        <v>857</v>
      </c>
      <c r="IN52" s="9" t="s">
        <v>857</v>
      </c>
      <c r="IO52" s="9" t="s">
        <v>882</v>
      </c>
      <c r="IP52" s="9"/>
      <c r="IQ52" s="9" t="s">
        <v>883</v>
      </c>
      <c r="IR52" s="9"/>
      <c r="IS52" s="9"/>
      <c r="IT52" s="9"/>
      <c r="IU52" s="9"/>
      <c r="IV52" s="9"/>
      <c r="IW52" s="9"/>
      <c r="IX52" s="9"/>
      <c r="IY52" s="9"/>
      <c r="IZ52" s="9" t="s">
        <v>883</v>
      </c>
      <c r="JA52" s="9"/>
      <c r="JB52" s="9"/>
      <c r="JC52" s="9"/>
      <c r="JD52" s="9"/>
      <c r="JE52" s="9"/>
      <c r="JF52" s="9"/>
      <c r="JG52" s="9"/>
      <c r="JH52" s="9"/>
      <c r="JI52" s="9" t="s">
        <v>883</v>
      </c>
      <c r="JJ52" s="9"/>
      <c r="JK52" s="9"/>
      <c r="JL52" s="9"/>
      <c r="JM52" s="9"/>
      <c r="JN52" s="9"/>
      <c r="JO52" s="9"/>
      <c r="JP52" s="9"/>
      <c r="JQ52" s="9"/>
      <c r="JR52" s="9" t="s">
        <v>883</v>
      </c>
      <c r="JS52" s="9"/>
      <c r="JT52" s="9"/>
      <c r="JU52" s="9"/>
      <c r="JV52" s="9"/>
      <c r="JW52" s="9"/>
      <c r="JX52" s="9"/>
      <c r="JY52" s="9"/>
      <c r="JZ52" s="9"/>
      <c r="KA52" s="9" t="s">
        <v>883</v>
      </c>
      <c r="KB52" s="9"/>
      <c r="KC52" s="9"/>
      <c r="KD52" s="9"/>
      <c r="KE52" s="9"/>
      <c r="KF52" s="9"/>
      <c r="KG52" s="9"/>
      <c r="KH52" s="9"/>
      <c r="KI52" s="9"/>
      <c r="KJ52" s="9" t="s">
        <v>883</v>
      </c>
      <c r="KK52" s="9"/>
      <c r="KL52" s="9"/>
      <c r="KM52" s="9"/>
      <c r="KN52" s="9"/>
      <c r="KO52" s="9"/>
      <c r="KP52" s="9"/>
      <c r="KQ52" s="9"/>
      <c r="KR52" s="9"/>
      <c r="KS52" s="9" t="s">
        <v>1180</v>
      </c>
      <c r="KT52" s="9" t="s">
        <v>886</v>
      </c>
      <c r="KU52" s="9" t="s">
        <v>886</v>
      </c>
      <c r="KV52" s="9" t="s">
        <v>1014</v>
      </c>
      <c r="KW52" s="8">
        <v>0.0</v>
      </c>
      <c r="KX52" s="8">
        <v>1.0</v>
      </c>
      <c r="KY52" s="8">
        <v>0.0</v>
      </c>
      <c r="KZ52" s="8">
        <v>0.0</v>
      </c>
      <c r="LA52" s="9" t="s">
        <v>1180</v>
      </c>
      <c r="LB52" s="9" t="s">
        <v>1180</v>
      </c>
      <c r="LC52" s="8">
        <v>4.0</v>
      </c>
      <c r="LD52" s="8">
        <v>2.0</v>
      </c>
      <c r="LE52" s="8">
        <v>0.0</v>
      </c>
      <c r="LF52" s="8">
        <v>0.0</v>
      </c>
      <c r="LG52" s="9" t="s">
        <v>857</v>
      </c>
      <c r="LH52" s="8">
        <v>150000.0</v>
      </c>
      <c r="LI52" s="9"/>
      <c r="LJ52" s="9" t="s">
        <v>887</v>
      </c>
      <c r="LK52" s="8">
        <v>0.0</v>
      </c>
      <c r="LL52" s="8">
        <v>0.0</v>
      </c>
      <c r="LM52" s="8">
        <v>0.0</v>
      </c>
      <c r="LN52" s="8">
        <v>0.0</v>
      </c>
      <c r="LO52" s="8">
        <v>1.0</v>
      </c>
      <c r="LP52" s="8">
        <v>0.0</v>
      </c>
      <c r="LQ52" s="8">
        <v>0.0</v>
      </c>
      <c r="LR52" s="11"/>
      <c r="LS52" s="8">
        <v>10.0</v>
      </c>
      <c r="LT52" s="8">
        <v>0.0</v>
      </c>
      <c r="LU52" s="8">
        <v>0.0</v>
      </c>
      <c r="LV52" s="8">
        <v>10.0</v>
      </c>
      <c r="LW52" s="8">
        <v>0.0</v>
      </c>
      <c r="LX52" s="8">
        <v>0.0</v>
      </c>
      <c r="LY52" s="8">
        <v>15.0</v>
      </c>
      <c r="LZ52" s="8">
        <v>0.0</v>
      </c>
      <c r="MA52" s="8">
        <v>0.0</v>
      </c>
      <c r="MB52" s="9" t="s">
        <v>857</v>
      </c>
      <c r="MC52" s="8">
        <v>0.0</v>
      </c>
      <c r="MD52" s="8">
        <v>0.0</v>
      </c>
      <c r="ME52" s="8">
        <v>0.0</v>
      </c>
      <c r="MF52" s="8">
        <v>0.0</v>
      </c>
      <c r="MG52" s="8">
        <v>0.0</v>
      </c>
      <c r="MH52" s="8">
        <v>0.0</v>
      </c>
      <c r="MI52" s="9" t="s">
        <v>946</v>
      </c>
      <c r="MJ52" s="8">
        <v>0.0</v>
      </c>
      <c r="MK52" s="8">
        <v>0.0</v>
      </c>
      <c r="ML52" s="8">
        <v>1.0</v>
      </c>
      <c r="MM52" s="8">
        <v>0.0</v>
      </c>
      <c r="MN52" s="8">
        <v>0.0</v>
      </c>
      <c r="MO52" s="8">
        <v>0.0</v>
      </c>
      <c r="MP52" s="9"/>
      <c r="MQ52" s="9"/>
      <c r="MR52" s="36" t="s">
        <v>2120</v>
      </c>
      <c r="MS52" s="9"/>
      <c r="MT52" s="9" t="s">
        <v>2120</v>
      </c>
      <c r="MU52" s="9" t="s">
        <v>1030</v>
      </c>
      <c r="MV52" s="9" t="s">
        <v>1104</v>
      </c>
      <c r="MW52" s="8">
        <v>1.0</v>
      </c>
      <c r="MX52" s="8">
        <v>1.0</v>
      </c>
      <c r="MY52" s="8">
        <v>0.0</v>
      </c>
      <c r="MZ52" s="8">
        <v>0.0</v>
      </c>
      <c r="NA52" s="9"/>
      <c r="NB52" s="9"/>
      <c r="NC52" s="9"/>
      <c r="ND52" s="9"/>
      <c r="NE52" s="9"/>
      <c r="NF52" s="9"/>
      <c r="NG52" s="9"/>
      <c r="NH52" s="9"/>
      <c r="NI52" s="9"/>
      <c r="NJ52" s="9"/>
      <c r="NK52" s="9"/>
      <c r="NL52" s="9" t="s">
        <v>857</v>
      </c>
      <c r="NM52" s="9" t="s">
        <v>1386</v>
      </c>
      <c r="NN52" s="17" t="s">
        <v>1975</v>
      </c>
      <c r="NO52" s="17" t="s">
        <v>994</v>
      </c>
      <c r="NP52" s="9"/>
      <c r="NQ52" s="9"/>
      <c r="NR52" s="9"/>
      <c r="NS52" s="9"/>
      <c r="NT52" s="9"/>
      <c r="NU52" s="9"/>
      <c r="NV52" s="9"/>
      <c r="NW52" s="9"/>
      <c r="NX52" s="9" t="s">
        <v>897</v>
      </c>
      <c r="NY52" s="8">
        <v>150.0</v>
      </c>
      <c r="NZ52" s="8">
        <v>0.0</v>
      </c>
      <c r="OA52" s="8">
        <v>0.0</v>
      </c>
      <c r="OB52" s="8">
        <v>0.0</v>
      </c>
      <c r="OC52" s="8">
        <v>10.0</v>
      </c>
      <c r="OD52" s="8">
        <v>0.0</v>
      </c>
      <c r="OE52" s="9" t="s">
        <v>898</v>
      </c>
      <c r="OF52" s="9" t="s">
        <v>1184</v>
      </c>
      <c r="OG52" s="9" t="s">
        <v>881</v>
      </c>
      <c r="OH52" s="8">
        <v>4.0</v>
      </c>
      <c r="OI52" s="8">
        <v>0.0</v>
      </c>
      <c r="OJ52" s="8">
        <v>0.0</v>
      </c>
      <c r="OK52" s="8">
        <v>0.0</v>
      </c>
      <c r="OL52" s="8">
        <v>0.0</v>
      </c>
      <c r="OM52" s="8">
        <v>0.0</v>
      </c>
      <c r="ON52" s="8">
        <v>0.0</v>
      </c>
      <c r="OO52" s="8">
        <v>0.0</v>
      </c>
      <c r="OP52" s="9" t="str">
        <f>VLOOKUP(AG52,'BUS 2'!$G$1:$CU$424,2,0)</f>
        <v>Sapi pedaging</v>
      </c>
      <c r="OQ52" s="8">
        <f>VLOOKUP(AG52,'BUS 2'!$G$1:$CU$424,3,0)</f>
        <v>1</v>
      </c>
      <c r="OR52" s="8">
        <f>VLOOKUP(AG52,'BUS 2'!$G$1:$CU$424,4,0)</f>
        <v>0</v>
      </c>
      <c r="OS52" s="8">
        <f>VLOOKUP(AG52,'BUS 2'!$G$1:$CU$424,5,0)</f>
        <v>0</v>
      </c>
      <c r="OT52" s="8">
        <f>VLOOKUP(AG52,'BUS 2'!$G$1:$CU$424,6,0)</f>
        <v>0</v>
      </c>
      <c r="OU52" s="8">
        <f>VLOOKUP(AG52,'BUS 2'!$G$1:$CU$424,7,0)</f>
        <v>0</v>
      </c>
      <c r="OV52" s="8">
        <f>VLOOKUP(AG52,'BUS 2'!$G$1:$CU$424,8,0)</f>
        <v>0</v>
      </c>
      <c r="OW52" s="8">
        <f>VLOOKUP(AG52,'BUS 2'!$G$1:$CU$424,9,0)</f>
        <v>0</v>
      </c>
      <c r="OX52" s="8">
        <f>VLOOKUP(AG52,'BUS 2'!$G$1:$CU$424,10,0)</f>
        <v>0</v>
      </c>
      <c r="OY52" s="8">
        <f>VLOOKUP(AG52,'BUS 2'!$G$1:$CU$424,11,0)</f>
        <v>0</v>
      </c>
      <c r="OZ52" s="8" t="str">
        <f>VLOOKUP(AG52,'BUS 2'!$G$1:$CU$424,12,0)</f>
        <v>Sapi pedaging</v>
      </c>
      <c r="PA52" s="8">
        <f>VLOOKUP(AG52,'BUS 2'!$G$1:$CU$424,13,0)</f>
        <v>1</v>
      </c>
      <c r="PB52" s="8">
        <f>VLOOKUP(AG52,'BUS 2'!$G$1:$CU$424,14,0)</f>
        <v>0</v>
      </c>
      <c r="PC52" s="8">
        <f>VLOOKUP(AG52,'BUS 2'!$G$1:$CU$424,15,0)</f>
        <v>0</v>
      </c>
      <c r="PD52" s="8">
        <f>VLOOKUP(AG52,'BUS 2'!$G$1:$CU$424,16,0)</f>
        <v>0</v>
      </c>
      <c r="PE52" s="8">
        <f>VLOOKUP(AG52,'BUS 2'!$G$1:$CU$424,17,0)</f>
        <v>0</v>
      </c>
      <c r="PF52" s="8">
        <f>VLOOKUP(AG52,'BUS 2'!$G$1:$CU$424,18,0)</f>
        <v>0</v>
      </c>
      <c r="PG52" s="8">
        <f>VLOOKUP(AG52,'BUS 2'!$G$1:$CU$424,19,0)</f>
        <v>0</v>
      </c>
      <c r="PH52" s="8">
        <f>VLOOKUP(AG52,'BUS 2'!$G$1:$CU$424,20,0)</f>
        <v>0</v>
      </c>
      <c r="PI52" s="8">
        <f>VLOOKUP(AG52,'BUS 2'!$G$1:$CU$424,21,0)</f>
        <v>0</v>
      </c>
      <c r="PJ52" s="8" t="str">
        <f>VLOOKUP(AG52,'BUS 2'!$G$1:$CU$424,22,0)</f>
        <v>Tidak ada</v>
      </c>
      <c r="PK52" s="8">
        <f>VLOOKUP(AG52,'BUS 2'!$G$1:$CU$424,23,0)</f>
        <v>0</v>
      </c>
      <c r="PL52" s="8">
        <f>VLOOKUP(AG52,'BUS 2'!$G$1:$CU$424,24,0)</f>
        <v>0</v>
      </c>
      <c r="PM52" s="8">
        <f>VLOOKUP(AG52,'BUS 2'!$G$1:$CU$424,25,0)</f>
        <v>0</v>
      </c>
      <c r="PN52" s="8">
        <f>VLOOKUP(AG52,'BUS 2'!$G$1:$CU$424,26,0)</f>
        <v>0</v>
      </c>
      <c r="PO52" s="8">
        <f>VLOOKUP(AG52,'BUS 2'!$G$1:$CU$424,27,0)</f>
        <v>0</v>
      </c>
      <c r="PP52" s="8">
        <f>VLOOKUP(AG52,'BUS 2'!$G$1:$CU$424,28,0)</f>
        <v>0</v>
      </c>
      <c r="PQ52" s="8">
        <f>VLOOKUP(AG52,'BUS 2'!$G$1:$CU$424,29,0)</f>
        <v>0</v>
      </c>
      <c r="PR52" s="8">
        <f>VLOOKUP(AG52,'BUS 2'!$G$1:$CU$424,30,0)</f>
        <v>0</v>
      </c>
      <c r="PS52" s="8">
        <f>VLOOKUP(AG52,'BUS 2'!$G$1:$CU$424,31,0)</f>
        <v>1</v>
      </c>
      <c r="PT52" s="9" t="s">
        <v>900</v>
      </c>
      <c r="PU52" s="8">
        <v>0.0</v>
      </c>
      <c r="PV52" s="8">
        <v>0.0</v>
      </c>
      <c r="PW52" s="8">
        <v>0.0</v>
      </c>
      <c r="PX52" s="8">
        <v>0.0</v>
      </c>
      <c r="PY52" s="8">
        <v>0.0</v>
      </c>
      <c r="PZ52" s="8">
        <v>1.0</v>
      </c>
      <c r="QA52" s="8">
        <v>0.0</v>
      </c>
      <c r="QB52" s="8">
        <v>0.0</v>
      </c>
      <c r="QC52" s="8">
        <v>0.0</v>
      </c>
      <c r="QD52" s="9"/>
      <c r="QE52" s="32"/>
      <c r="QF52" s="31"/>
      <c r="QG52" s="31"/>
      <c r="QH52" s="31"/>
      <c r="QI52" s="31"/>
      <c r="QJ52" s="31"/>
      <c r="QK52" s="32"/>
      <c r="QL52" s="32"/>
      <c r="QM52" s="32"/>
      <c r="QN52" s="32"/>
      <c r="QO52" s="32"/>
      <c r="QP52" s="32"/>
      <c r="QQ52" s="32"/>
      <c r="QR52" s="32"/>
      <c r="QS52" s="32"/>
      <c r="QT52" s="32"/>
      <c r="QU52" s="32"/>
      <c r="QV52" s="32"/>
      <c r="QW52" s="31"/>
      <c r="QX52" s="31"/>
      <c r="QY52" s="31"/>
      <c r="QZ52" s="31"/>
      <c r="RA52" s="31"/>
      <c r="RB52" s="32"/>
      <c r="RC52" s="32"/>
      <c r="RD52" s="32"/>
      <c r="RE52" s="32"/>
      <c r="RF52" s="32"/>
      <c r="RG52" s="9"/>
      <c r="RH52" s="31"/>
      <c r="RI52" s="31"/>
      <c r="RJ52" s="31"/>
      <c r="RK52" s="31"/>
      <c r="RL52" s="31"/>
      <c r="RM52" s="9"/>
      <c r="RN52" s="9"/>
      <c r="RO52" s="9"/>
      <c r="RP52" s="9"/>
      <c r="RQ52" s="9"/>
      <c r="RR52" s="9"/>
      <c r="RS52" s="31"/>
      <c r="RT52" s="31"/>
      <c r="RU52" s="31"/>
      <c r="RV52" s="31"/>
      <c r="RW52" s="31"/>
      <c r="RX52" s="9"/>
      <c r="RY52" s="9"/>
      <c r="RZ52" s="9"/>
      <c r="SA52" s="9"/>
      <c r="SB52" s="9"/>
      <c r="SC52" s="9"/>
      <c r="SD52" s="31"/>
      <c r="SE52" s="31"/>
      <c r="SF52" s="31"/>
      <c r="SG52" s="31"/>
      <c r="SH52" s="31"/>
      <c r="SI52" s="9"/>
      <c r="SJ52" s="9"/>
      <c r="SK52" s="9"/>
      <c r="SL52" s="9"/>
      <c r="SM52" s="9"/>
      <c r="SN52" s="9"/>
      <c r="SO52" s="31"/>
      <c r="SP52" s="31"/>
      <c r="SQ52" s="31"/>
      <c r="SR52" s="31"/>
      <c r="SS52" s="31"/>
      <c r="ST52" s="9"/>
      <c r="SU52" s="9"/>
      <c r="SV52" s="9"/>
      <c r="SW52" s="9"/>
      <c r="SX52" s="9"/>
      <c r="SY52" s="8">
        <f>VLOOKUP(AG52,'BUS 2'!$G$1:$CU$424,33,0)</f>
        <v>4</v>
      </c>
      <c r="SZ52" s="9" t="str">
        <f>VLOOKUP(AG52,'BUS 2'!$G$1:$CU$424,34,0)</f>
        <v/>
      </c>
      <c r="TA52" s="9" t="str">
        <f>VLOOKUP(AG52,'BUS 2'!$G$1:$CU$424,35,0)</f>
        <v/>
      </c>
      <c r="TB52" s="9" t="str">
        <f>VLOOKUP(AG52,'BUS 2'!$G$1:$CU$424,36,0)</f>
        <v/>
      </c>
      <c r="TC52" s="9" t="str">
        <f>VLOOKUP(AG52,'BUS 2'!$G$1:$CU$424,37,0)</f>
        <v/>
      </c>
      <c r="TD52" s="9" t="str">
        <f>VLOOKUP(AG52,'BUS 2'!$G$1:$CU$424,38,0)</f>
        <v/>
      </c>
      <c r="TE52" s="9" t="str">
        <f>VLOOKUP(AG52,'BUS 2'!$G$1:$CU$424,39,0)</f>
        <v/>
      </c>
      <c r="TF52" s="9" t="str">
        <f>VLOOKUP(AG52,'BUS 2'!$G$1:$CU$424,40,0)</f>
        <v/>
      </c>
      <c r="TG52" s="8">
        <f>VLOOKUP(AG52,'BUS 2'!$G$1:$CU$424,42,0)</f>
        <v>4</v>
      </c>
      <c r="TH52" s="8" t="str">
        <f>VLOOKUP(AG52,'BUS 2'!$G$1:$CU$424,43,0)</f>
        <v/>
      </c>
      <c r="TI52" s="8" t="str">
        <f>VLOOKUP(AG52,'BUS 2'!$G$1:$CU$424,44,0)</f>
        <v/>
      </c>
      <c r="TJ52" s="8" t="str">
        <f>VLOOKUP(AG52,'BUS 2'!$G$1:$CU$424,45,0)</f>
        <v/>
      </c>
      <c r="TK52" s="8" t="str">
        <f>VLOOKUP(AG52,'BUS 2'!$G$1:$CU$424,46,0)</f>
        <v/>
      </c>
      <c r="TL52" s="8" t="str">
        <f>VLOOKUP(AG52,'BUS 2'!$G$1:$CU$424,47,0)</f>
        <v/>
      </c>
      <c r="TM52" s="8" t="str">
        <f>VLOOKUP(AG52,'BUS 2'!$G$1:$CU$424,48,0)</f>
        <v/>
      </c>
      <c r="TN52" s="8" t="str">
        <f>VLOOKUP(AG52,'BUS 2'!$G$1:$CU$424,49,0)</f>
        <v/>
      </c>
      <c r="TO52" s="8" t="str">
        <f>VLOOKUP(AG52,'BUS 2'!$G$1:$CU$424,50,0)</f>
        <v/>
      </c>
      <c r="TP52" s="8" t="str">
        <f>VLOOKUP(AG52,'BUS 2'!$G$1:$CU$424,51,0)</f>
        <v/>
      </c>
      <c r="TQ52" s="8" t="str">
        <f>VLOOKUP(AG52,'BUS 2'!$G$1:$CU$424,52,0)</f>
        <v/>
      </c>
      <c r="TR52" s="8" t="str">
        <f>VLOOKUP(AG52,'BUS 2'!$G$1:$CU$424,53,0)</f>
        <v/>
      </c>
      <c r="TS52" s="9" t="str">
        <f>VLOOKUP(AG52,'BUS 2'!$G$1:$CU$424,54,0)</f>
        <v/>
      </c>
      <c r="TT52" s="9" t="str">
        <f>VLOOKUP(AG52,'BUS 2'!$G$1:$CU$424,55,0)</f>
        <v/>
      </c>
      <c r="TU52" s="9" t="str">
        <f>VLOOKUP(AG52,'BUS 2'!$G$1:$CU$424,56,0)</f>
        <v/>
      </c>
      <c r="TV52" s="9" t="str">
        <f>VLOOKUP(AG52,'BUS 2'!$G$1:$CU$424,57,0)</f>
        <v/>
      </c>
      <c r="TW52" s="9" t="str">
        <f>VLOOKUP(AG52,'BUS 2'!$G$1:$CU$424,58,0)</f>
        <v/>
      </c>
      <c r="TX52" s="9" t="str">
        <f>VLOOKUP(AG52,'BUS 2'!$G$1:$CU$424,59,0)</f>
        <v/>
      </c>
      <c r="TY52" s="9" t="str">
        <f>VLOOKUP(AG52,'BUS 2'!$G$1:$CU$424,60,0)</f>
        <v/>
      </c>
      <c r="TZ52" s="9" t="str">
        <f>VLOOKUP(AG52,'BUS 2'!$G$1:$CU$424,61,0)</f>
        <v/>
      </c>
      <c r="UA52" s="9" t="str">
        <f>VLOOKUP(AG52,'BUS 2'!$G$1:$CU$424,62,0)</f>
        <v/>
      </c>
      <c r="UB52" s="9" t="str">
        <f>VLOOKUP(AG52,'BUS 2'!$G$1:$CU$424,63,0)</f>
        <v/>
      </c>
      <c r="UC52" s="9" t="str">
        <f>VLOOKUP(AG52,'BUS 2'!$G$1:$CU$424,64,0)</f>
        <v/>
      </c>
      <c r="UD52" s="9" t="str">
        <f>VLOOKUP(AG52,'BUS 2'!$G$1:$CU$424,65,0)</f>
        <v/>
      </c>
      <c r="UE52" s="9" t="str">
        <f>VLOOKUP(AG52,'BUS 2'!$G$1:$CU$424,66,0)</f>
        <v/>
      </c>
      <c r="UF52" s="9" t="str">
        <f>VLOOKUP(AG52,'BUS 2'!$G$1:$CU$424,67,0)</f>
        <v/>
      </c>
      <c r="UG52" s="9" t="str">
        <f>VLOOKUP(AG52,'BUS 2'!$G$1:$CU$424,68,0)</f>
        <v/>
      </c>
      <c r="UH52" s="9" t="str">
        <f>VLOOKUP(AG52,'BUS 2'!$G$1:$CU$424,69,0)</f>
        <v/>
      </c>
      <c r="UI52" s="9" t="str">
        <f>VLOOKUP(AG52,'BUS 2'!$G$1:$CU$424,70,0)</f>
        <v/>
      </c>
      <c r="UJ52" s="9" t="str">
        <f>VLOOKUP(AG52,'BUS 2'!$G$1:$CU$424,71,0)</f>
        <v/>
      </c>
      <c r="UK52" s="9" t="str">
        <f>VLOOKUP(AG52,'BUS 2'!$G$1:$CU$424,72,0)</f>
        <v/>
      </c>
      <c r="UL52" s="9" t="str">
        <f>VLOOKUP(AG52,'BUS 2'!$G$1:$CU$424,73,0)</f>
        <v/>
      </c>
      <c r="UM52" s="9" t="str">
        <f>VLOOKUP(AG52,'BUS 2'!$G$1:$CU$424,74,0)</f>
        <v/>
      </c>
      <c r="UN52" s="9" t="str">
        <f>VLOOKUP(AG52,'BUS 2'!$G$1:$CU$424,75,0)</f>
        <v/>
      </c>
      <c r="UO52" s="9" t="str">
        <f>VLOOKUP(AG52,'BUS 2'!$G$1:$CU$424,76,0)</f>
        <v/>
      </c>
      <c r="UP52" s="9" t="str">
        <f>VLOOKUP(AG52,'BUS 2'!$G$1:$CU$424,77,0)</f>
        <v/>
      </c>
      <c r="UQ52" s="9" t="str">
        <f>VLOOKUP(AG52,'BUS 2'!$G$1:$CU$424,78,0)</f>
        <v/>
      </c>
      <c r="UR52" s="9" t="str">
        <f>VLOOKUP(AG52,'BUS 2'!$G$1:$CU$424,79,0)</f>
        <v/>
      </c>
      <c r="US52" s="9" t="str">
        <f>VLOOKUP(AG52,'BUS 2'!$G$1:$CU$424,80,0)</f>
        <v/>
      </c>
      <c r="UT52" s="9" t="str">
        <f>VLOOKUP(AG52,'BUS 2'!$G$1:$CU$424,81,0)</f>
        <v/>
      </c>
      <c r="UU52" s="9" t="s">
        <v>901</v>
      </c>
      <c r="UV52" s="9"/>
      <c r="UW52" s="9"/>
      <c r="UX52" s="9"/>
      <c r="UY52" s="9"/>
      <c r="UZ52" s="9"/>
      <c r="VA52" s="9"/>
      <c r="VB52" s="9"/>
      <c r="VC52" s="9" t="s">
        <v>1938</v>
      </c>
      <c r="VD52" s="9"/>
      <c r="VE52" s="9"/>
      <c r="VF52" s="9"/>
      <c r="VG52" s="9"/>
      <c r="VH52" s="9"/>
      <c r="VI52" s="9"/>
      <c r="VJ52" s="9"/>
      <c r="VK52" s="9" t="s">
        <v>1939</v>
      </c>
      <c r="VL52" s="9"/>
      <c r="VM52" s="9"/>
      <c r="VN52" s="9"/>
      <c r="VO52" s="9"/>
      <c r="VP52" s="9"/>
      <c r="VQ52" s="9"/>
      <c r="VR52" s="9"/>
      <c r="VS52" s="9" t="s">
        <v>1340</v>
      </c>
      <c r="VT52" s="8">
        <v>0.0</v>
      </c>
      <c r="VU52" s="8">
        <v>0.0</v>
      </c>
      <c r="VV52" s="8">
        <v>0.0</v>
      </c>
      <c r="VW52" s="8">
        <v>0.0</v>
      </c>
      <c r="VX52" s="8">
        <v>0.0</v>
      </c>
      <c r="VY52" s="8">
        <v>0.0</v>
      </c>
      <c r="VZ52" s="8">
        <v>1.0</v>
      </c>
      <c r="WA52" s="8">
        <v>0.0</v>
      </c>
      <c r="WB52" s="8">
        <v>1.0</v>
      </c>
      <c r="WC52" s="8">
        <v>0.0</v>
      </c>
      <c r="WD52" s="8">
        <v>0.0</v>
      </c>
      <c r="WE52" s="8">
        <v>0.0</v>
      </c>
      <c r="WF52" s="9"/>
      <c r="WG52" s="9"/>
      <c r="WH52" s="9"/>
      <c r="WI52" s="9"/>
      <c r="WJ52" s="9"/>
      <c r="WK52" s="9"/>
      <c r="WL52" s="9"/>
      <c r="WM52" s="9"/>
      <c r="WN52" s="9"/>
      <c r="WO52" s="9"/>
      <c r="WP52" s="9"/>
      <c r="WQ52" s="9"/>
      <c r="WR52" s="9"/>
      <c r="WS52" s="9"/>
      <c r="WT52" s="9"/>
      <c r="WU52" s="9"/>
      <c r="WV52" s="9"/>
      <c r="WW52" s="9"/>
      <c r="WX52" s="9"/>
      <c r="WY52" s="9"/>
      <c r="WZ52" s="9"/>
      <c r="XA52" s="9"/>
      <c r="XB52" s="9"/>
      <c r="XC52" s="9"/>
      <c r="XD52" s="9"/>
      <c r="XE52" s="9"/>
      <c r="XF52" s="9"/>
      <c r="XG52" s="9"/>
      <c r="XH52" s="9"/>
      <c r="XI52" s="9"/>
      <c r="XJ52" s="9"/>
      <c r="XK52" s="9"/>
      <c r="XL52" s="9"/>
      <c r="XM52" s="9"/>
      <c r="XN52" s="9"/>
      <c r="XO52" s="9"/>
      <c r="XP52" s="9"/>
      <c r="XQ52" s="9"/>
      <c r="XR52" s="9"/>
      <c r="XS52" s="9"/>
      <c r="XT52" s="9"/>
      <c r="XU52" s="9"/>
      <c r="XV52" s="9"/>
      <c r="XW52" s="9"/>
      <c r="XX52" s="9"/>
      <c r="XY52" s="9"/>
      <c r="XZ52" s="9"/>
      <c r="YA52" s="9"/>
      <c r="YB52" s="9"/>
      <c r="YC52" s="9"/>
      <c r="YD52" s="9"/>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8">
        <v>2.0</v>
      </c>
      <c r="ZW52" s="9"/>
      <c r="ZX52" s="9"/>
      <c r="ZY52" s="9"/>
      <c r="ZZ52" s="9"/>
      <c r="AAA52" s="9"/>
      <c r="AAB52" s="9"/>
      <c r="AAC52" s="9"/>
      <c r="AAD52" s="9" t="s">
        <v>1186</v>
      </c>
      <c r="AAE52" s="9"/>
      <c r="AAF52" s="9"/>
      <c r="AAG52" s="9"/>
      <c r="AAH52" s="9"/>
      <c r="AAI52" s="9"/>
      <c r="AAJ52" s="9"/>
      <c r="AAK52" s="9"/>
      <c r="AAL52" s="9" t="s">
        <v>857</v>
      </c>
      <c r="AAM52" s="9" t="s">
        <v>1942</v>
      </c>
      <c r="AAN52" s="8">
        <v>0.0</v>
      </c>
      <c r="AAO52" s="8">
        <v>1.0</v>
      </c>
      <c r="AAP52" s="8">
        <v>15.0</v>
      </c>
      <c r="AAQ52" s="9"/>
      <c r="AAR52" s="9" t="s">
        <v>857</v>
      </c>
      <c r="AAS52" s="9" t="s">
        <v>867</v>
      </c>
      <c r="AAT52" s="9" t="s">
        <v>2101</v>
      </c>
      <c r="AAU52" s="8">
        <v>0.0</v>
      </c>
      <c r="AAV52" s="8">
        <v>0.0</v>
      </c>
      <c r="AAW52" s="8">
        <v>0.0</v>
      </c>
      <c r="AAX52" s="8">
        <v>1.0</v>
      </c>
      <c r="AAY52" s="8">
        <v>0.0</v>
      </c>
      <c r="AAZ52" s="8">
        <v>0.0</v>
      </c>
      <c r="ABA52" s="8">
        <v>0.0</v>
      </c>
      <c r="ABB52" s="9"/>
      <c r="ABC52" s="9"/>
      <c r="ABD52" s="9"/>
      <c r="ABE52" s="9"/>
      <c r="ABF52" s="9"/>
      <c r="ABG52" s="9"/>
      <c r="ABH52" s="9"/>
      <c r="ABI52" s="9"/>
      <c r="ABJ52" s="9"/>
      <c r="ABK52" s="9"/>
      <c r="ABL52" s="9"/>
      <c r="ABM52" s="9"/>
      <c r="ABN52" s="9"/>
      <c r="ABO52" s="9"/>
      <c r="ABP52" s="9"/>
      <c r="ABQ52" s="9" t="s">
        <v>2876</v>
      </c>
      <c r="ABR52" s="9" t="s">
        <v>909</v>
      </c>
      <c r="ABS52" s="9"/>
      <c r="ABT52" s="8">
        <v>75.0</v>
      </c>
      <c r="ABU52" s="9"/>
      <c r="ABV52" s="9"/>
      <c r="ABW52" s="9"/>
      <c r="ABX52" s="9"/>
      <c r="ABY52" s="9"/>
      <c r="ABZ52" s="9"/>
      <c r="ACA52" s="9"/>
      <c r="ACB52" s="9"/>
      <c r="ACC52" s="9"/>
      <c r="ACD52" s="9"/>
      <c r="ACE52" s="9"/>
      <c r="ACF52" s="9"/>
      <c r="ACG52" s="9"/>
      <c r="ACH52" s="9"/>
      <c r="ACI52" s="9"/>
      <c r="ACJ52" s="9"/>
      <c r="ACK52" s="9" t="s">
        <v>2156</v>
      </c>
      <c r="ACL52" s="8">
        <v>0.0</v>
      </c>
      <c r="ACM52" s="8">
        <v>0.0</v>
      </c>
      <c r="ACN52" s="8">
        <v>1.0</v>
      </c>
      <c r="ACO52" s="8">
        <v>0.0</v>
      </c>
      <c r="ACP52" s="8">
        <v>0.0</v>
      </c>
      <c r="ACQ52" s="8">
        <v>0.0</v>
      </c>
      <c r="ACR52" s="8">
        <v>0.0</v>
      </c>
      <c r="ACS52" s="9"/>
      <c r="ACT52" s="9" t="s">
        <v>1945</v>
      </c>
      <c r="ACU52" s="9" t="s">
        <v>1050</v>
      </c>
      <c r="ACV52" s="9" t="s">
        <v>996</v>
      </c>
      <c r="ACW52" s="9" t="s">
        <v>915</v>
      </c>
      <c r="ACX52" s="9" t="s">
        <v>916</v>
      </c>
      <c r="ACY52" s="9" t="s">
        <v>1017</v>
      </c>
      <c r="ACZ52" s="8">
        <v>1.0</v>
      </c>
      <c r="ADA52" s="8">
        <v>1.0</v>
      </c>
      <c r="ADB52" s="8">
        <v>1.0</v>
      </c>
      <c r="ADC52" s="8">
        <v>0.0</v>
      </c>
      <c r="ADD52" s="9" t="s">
        <v>917</v>
      </c>
      <c r="ADE52" s="9" t="s">
        <v>917</v>
      </c>
      <c r="ADF52" s="9" t="s">
        <v>1187</v>
      </c>
      <c r="ADG52" s="9" t="s">
        <v>1187</v>
      </c>
      <c r="ADH52" s="9" t="s">
        <v>881</v>
      </c>
      <c r="ADI52" s="9"/>
      <c r="ADJ52" s="9" t="s">
        <v>917</v>
      </c>
      <c r="ADK52" s="9"/>
      <c r="ADL52" s="9"/>
      <c r="ADM52" s="9"/>
      <c r="ADN52" s="9"/>
      <c r="ADO52" s="9"/>
      <c r="ADP52" s="9"/>
      <c r="ADQ52" s="9"/>
      <c r="ADR52" s="9"/>
      <c r="ADS52" s="9"/>
      <c r="ADT52" s="9"/>
      <c r="ADU52" s="9" t="s">
        <v>2046</v>
      </c>
      <c r="ADV52" s="8">
        <v>0.0</v>
      </c>
      <c r="ADW52" s="8">
        <v>0.0</v>
      </c>
      <c r="ADX52" s="8">
        <v>0.0</v>
      </c>
      <c r="ADY52" s="8">
        <v>0.0</v>
      </c>
      <c r="ADZ52" s="8">
        <v>0.0</v>
      </c>
      <c r="AEA52" s="8">
        <v>1.0</v>
      </c>
      <c r="AEB52" s="8">
        <v>0.0</v>
      </c>
      <c r="AEC52" s="8">
        <v>0.0</v>
      </c>
      <c r="AED52" s="9" t="s">
        <v>1945</v>
      </c>
      <c r="AEE52" s="9" t="s">
        <v>872</v>
      </c>
      <c r="AEF52" s="9"/>
      <c r="AEG52" s="9" t="s">
        <v>920</v>
      </c>
      <c r="AEH52" s="9"/>
      <c r="AEI52" s="9" t="s">
        <v>2877</v>
      </c>
      <c r="AEJ52" s="9" t="s">
        <v>871</v>
      </c>
      <c r="AEK52" s="9" t="s">
        <v>2423</v>
      </c>
      <c r="AEL52" s="8">
        <v>0.0</v>
      </c>
      <c r="AEM52" s="8">
        <v>0.0</v>
      </c>
      <c r="AEN52" s="8">
        <v>0.0</v>
      </c>
      <c r="AEO52" s="8">
        <v>0.0</v>
      </c>
      <c r="AEP52" s="8">
        <v>1.0</v>
      </c>
      <c r="AEQ52" s="8">
        <v>0.0</v>
      </c>
      <c r="AER52" s="8">
        <v>1.0</v>
      </c>
      <c r="AES52" s="8">
        <v>0.0</v>
      </c>
      <c r="AET52" s="8">
        <v>0.0</v>
      </c>
      <c r="AEU52" s="8">
        <v>0.0</v>
      </c>
      <c r="AEV52" s="8">
        <v>1.0</v>
      </c>
      <c r="AEW52" s="8">
        <v>0.0</v>
      </c>
      <c r="AEX52" s="9"/>
      <c r="AEY52" s="9" t="s">
        <v>923</v>
      </c>
      <c r="AEZ52" s="9"/>
      <c r="AFA52" s="9" t="s">
        <v>1188</v>
      </c>
      <c r="AFB52" s="9"/>
      <c r="AFC52" s="9" t="s">
        <v>2878</v>
      </c>
      <c r="AFD52" s="16" t="s">
        <v>2879</v>
      </c>
      <c r="AFE52" s="9" t="s">
        <v>2880</v>
      </c>
      <c r="AFF52" s="16" t="s">
        <v>2881</v>
      </c>
      <c r="AFG52" s="9" t="s">
        <v>1919</v>
      </c>
      <c r="AFH52" s="9"/>
      <c r="AFI52" s="21" t="s">
        <v>1945</v>
      </c>
      <c r="AFJ52" s="9"/>
      <c r="AFK52" s="9"/>
      <c r="AFL52" s="9"/>
      <c r="AFM52" s="9"/>
      <c r="AFN52" s="9"/>
      <c r="AFO52" s="9"/>
      <c r="AFP52" s="9"/>
      <c r="AFQ52" s="9"/>
      <c r="AFR52" s="9"/>
      <c r="AFS52" s="9"/>
      <c r="AFT52" s="9"/>
      <c r="AFU52" s="9"/>
      <c r="AFV52" s="9"/>
      <c r="AFW52" s="9"/>
      <c r="AFX52" s="9"/>
      <c r="AFY52" s="9"/>
      <c r="AFZ52" s="9"/>
      <c r="AGA52" s="9"/>
      <c r="AGB52" s="9"/>
      <c r="AGC52" s="9"/>
      <c r="AGD52" s="9"/>
      <c r="AGE52" s="9"/>
      <c r="AGF52" s="9"/>
      <c r="AGG52" s="9"/>
      <c r="AGH52" s="9"/>
      <c r="AGI52" s="9"/>
      <c r="AGJ52" s="9"/>
      <c r="AGK52" s="9"/>
      <c r="AGL52" s="9"/>
      <c r="AGM52" s="9"/>
      <c r="AGN52" s="9"/>
      <c r="AGO52" s="9"/>
      <c r="AGP52" s="9"/>
      <c r="AGQ52" s="9"/>
      <c r="AGR52" s="9"/>
      <c r="AGS52" s="9"/>
      <c r="AGT52" s="9"/>
      <c r="AGU52" s="9"/>
      <c r="AGV52" s="9"/>
      <c r="AGW52" s="9"/>
      <c r="AGX52" s="9"/>
      <c r="AGY52" s="9"/>
      <c r="AGZ52" s="9"/>
      <c r="AHA52" s="9"/>
      <c r="AHB52" s="9"/>
      <c r="AHC52" s="9"/>
      <c r="AHD52" s="9"/>
      <c r="AHE52" s="9"/>
      <c r="AHF52" s="9"/>
      <c r="AHG52" s="9"/>
      <c r="AHH52" s="9"/>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c r="AMK52" s="9"/>
      <c r="AML52" s="9"/>
      <c r="AMM52" s="9"/>
      <c r="AMN52" s="9"/>
      <c r="AMO52" s="9"/>
      <c r="AMP52" s="9"/>
      <c r="AMQ52" s="9"/>
      <c r="AMR52" s="9"/>
      <c r="AMS52" s="9"/>
      <c r="AMT52" s="9"/>
      <c r="AMU52" s="9"/>
      <c r="AMV52" s="9"/>
      <c r="AMW52" s="9"/>
      <c r="AMX52" s="9"/>
      <c r="AMY52" s="9"/>
      <c r="AMZ52" s="9"/>
      <c r="ANA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c r="AQH52" s="9"/>
      <c r="AQI52" s="9"/>
      <c r="AQJ52" s="9"/>
      <c r="AQK52" s="9"/>
      <c r="AQL52" s="9"/>
      <c r="AQM52" s="9"/>
      <c r="AQN52" s="9"/>
      <c r="AQO52" s="9"/>
      <c r="AQP52" s="9"/>
      <c r="AQQ52" s="9"/>
      <c r="AQR52" s="9"/>
      <c r="AQS52" s="9"/>
      <c r="AQT52" s="9"/>
      <c r="AQU52" s="9"/>
      <c r="AQV52" s="9"/>
      <c r="AQW52" s="9"/>
      <c r="AQX52" s="9"/>
      <c r="AQY52" s="9"/>
      <c r="AQZ52" s="9"/>
      <c r="ARA52" s="9"/>
      <c r="ARB52" s="9"/>
      <c r="ARC52" s="9"/>
      <c r="ARD52" s="9"/>
      <c r="ARE52" s="9"/>
      <c r="ARF52" s="9"/>
      <c r="ARG52" s="9"/>
      <c r="ARH52" s="9"/>
      <c r="ARI52" s="9"/>
      <c r="ARJ52" s="9"/>
      <c r="ARK52" s="9"/>
      <c r="ARL52" s="9"/>
      <c r="ARM52" s="9"/>
      <c r="ARN52" s="9"/>
      <c r="ARO52" s="9"/>
      <c r="ARP52" s="9"/>
      <c r="ARQ52" s="9"/>
      <c r="ARR52" s="9"/>
      <c r="ARS52" s="9"/>
      <c r="ART52" s="9"/>
      <c r="ARU52" s="9"/>
      <c r="ARV52" s="9"/>
      <c r="ARW52" s="9"/>
      <c r="ARX52" s="9"/>
      <c r="ARY52" s="9"/>
      <c r="ARZ52" s="9"/>
      <c r="ASA52" s="9"/>
      <c r="ASB52" s="9"/>
      <c r="ASC52" s="9"/>
      <c r="ASD52" s="9"/>
      <c r="ASE52" s="9"/>
      <c r="ASF52" s="9"/>
      <c r="ASG52" s="9"/>
      <c r="ASH52" s="9"/>
      <c r="ASI52" s="9"/>
      <c r="ASJ52" s="9"/>
      <c r="ASK52" s="9"/>
      <c r="ASL52" s="9"/>
      <c r="ASM52" s="9"/>
      <c r="ASN52" s="9"/>
      <c r="ASO52" s="9"/>
      <c r="ASP52" s="9"/>
      <c r="ASQ52" s="9"/>
      <c r="ASR52" s="9"/>
      <c r="ASS52" s="9"/>
      <c r="AST52" s="9"/>
      <c r="ASU52" s="9"/>
      <c r="ASV52" s="9"/>
      <c r="ASW52" s="9"/>
      <c r="ASX52" s="9"/>
      <c r="ASY52" s="9"/>
      <c r="ASZ52" s="9"/>
      <c r="ATA52" s="9"/>
      <c r="ATB52" s="9"/>
      <c r="ATC52" s="9"/>
      <c r="ATD52" s="9"/>
      <c r="ATE52" s="9"/>
      <c r="ATF52" s="9"/>
      <c r="ATG52" s="9"/>
      <c r="ATH52" s="9"/>
      <c r="ATI52" s="9"/>
      <c r="ATJ52" s="9"/>
      <c r="ATK52" s="9"/>
      <c r="ATL52" s="9"/>
      <c r="ATM52" s="9"/>
      <c r="ATN52" s="9"/>
      <c r="ATO52" s="9"/>
      <c r="ATP52" s="9"/>
      <c r="ATQ52" s="9"/>
      <c r="ATR52" s="9"/>
      <c r="ATS52" s="9"/>
      <c r="ATT52" s="9"/>
      <c r="ATU52" s="9"/>
      <c r="ATV52" s="9"/>
      <c r="ATW52" s="9"/>
      <c r="ATX52" s="9"/>
      <c r="ATY52" s="9"/>
      <c r="ATZ52" s="9"/>
      <c r="AUA52" s="9"/>
      <c r="AUB52" s="9"/>
      <c r="AUC52" s="9"/>
      <c r="AUD52" s="9"/>
      <c r="AUE52" s="9"/>
      <c r="AUF52" s="9"/>
      <c r="AUG52" s="9"/>
      <c r="AUH52" s="9"/>
      <c r="AUI52" s="9"/>
      <c r="AUJ52" s="9"/>
      <c r="AUK52" s="9"/>
      <c r="AUL52" s="9"/>
      <c r="AUM52" s="9"/>
      <c r="AUN52" s="9"/>
      <c r="AUO52" s="9"/>
      <c r="AUP52" s="9"/>
      <c r="AUQ52" s="9"/>
      <c r="AUR52" s="9"/>
      <c r="AUS52" s="9"/>
      <c r="AUT52" s="9"/>
      <c r="AUU52" s="9"/>
      <c r="AUV52" s="9"/>
      <c r="AUW52" s="9"/>
      <c r="AUX52" s="9"/>
      <c r="AUY52" s="9"/>
      <c r="AUZ52" s="9"/>
      <c r="AVA52" s="9"/>
      <c r="AVB52" s="9"/>
      <c r="AVC52" s="9"/>
      <c r="AVD52" s="9"/>
      <c r="AVE52" s="9"/>
      <c r="AVF52" s="9"/>
      <c r="AVG52" s="9"/>
      <c r="AVH52" s="9"/>
      <c r="AVI52" s="9"/>
      <c r="AVJ52" s="9"/>
      <c r="AVK52" s="9"/>
      <c r="AVL52" s="9"/>
      <c r="AVM52" s="9"/>
      <c r="AVN52" s="9"/>
      <c r="AVO52" s="9"/>
      <c r="AVP52" s="9"/>
      <c r="AVQ52" s="9"/>
      <c r="AVR52" s="9"/>
      <c r="AVS52" s="9"/>
      <c r="AVT52" s="9"/>
      <c r="AVU52" s="9"/>
      <c r="AVV52" s="9"/>
      <c r="AVW52" s="9"/>
      <c r="AVX52" s="9"/>
      <c r="AVY52" s="9"/>
      <c r="AVZ52" s="9"/>
      <c r="AWA52" s="8">
        <v>6.7352547E8</v>
      </c>
      <c r="AWB52" s="9" t="s">
        <v>2882</v>
      </c>
      <c r="AWC52" s="6">
        <v>46070.0</v>
      </c>
      <c r="AWD52" s="9"/>
      <c r="AWE52" s="9"/>
      <c r="AWF52" s="9" t="s">
        <v>1954</v>
      </c>
      <c r="AWG52" s="9"/>
      <c r="AWH52" s="9" t="s">
        <v>1989</v>
      </c>
      <c r="AWI52" s="9"/>
      <c r="AWJ52" s="9" t="s">
        <v>2883</v>
      </c>
      <c r="AWK52" s="8">
        <v>329.0</v>
      </c>
      <c r="AWL52" s="9" t="s">
        <v>2874</v>
      </c>
      <c r="AWM52" s="8">
        <v>0.0</v>
      </c>
      <c r="AWN52" s="9" t="s">
        <v>1957</v>
      </c>
      <c r="AWO52" s="33" t="b">
        <v>1</v>
      </c>
      <c r="AWP52" s="33" t="b">
        <v>1</v>
      </c>
      <c r="AWQ52" s="33" t="b">
        <v>1</v>
      </c>
      <c r="AWR52" s="33" t="b">
        <v>1</v>
      </c>
      <c r="AWS52" s="33" t="b">
        <v>1</v>
      </c>
      <c r="AWT52" s="33" t="b">
        <v>1</v>
      </c>
      <c r="AWU52" s="9"/>
      <c r="AWV52" s="8">
        <v>9.0</v>
      </c>
      <c r="AWW52" s="9"/>
      <c r="AWX52" s="9"/>
      <c r="AWY52" s="9"/>
      <c r="AWZ52" s="9"/>
    </row>
    <row r="53">
      <c r="A53" s="22">
        <v>46061.0</v>
      </c>
      <c r="B53" s="22">
        <v>46072.0</v>
      </c>
      <c r="C53" s="30" t="s">
        <v>1958</v>
      </c>
      <c r="D53" s="30" t="s">
        <v>2884</v>
      </c>
      <c r="E53" s="24">
        <f>+6285242438561</f>
        <v>6285242438561</v>
      </c>
      <c r="F53" s="14" t="s">
        <v>2885</v>
      </c>
      <c r="G53" s="24">
        <v>-5.390819</v>
      </c>
      <c r="H53" s="24">
        <v>119.54855</v>
      </c>
      <c r="I53" s="24">
        <v>97.30266622</v>
      </c>
      <c r="J53" s="24">
        <v>3.789999962</v>
      </c>
      <c r="K53" s="24">
        <v>0.0</v>
      </c>
      <c r="L53" s="14" t="s">
        <v>2886</v>
      </c>
      <c r="M53" s="24">
        <v>-5.39085</v>
      </c>
      <c r="N53" s="24">
        <v>119.548464</v>
      </c>
      <c r="O53" s="24">
        <v>105.4000015</v>
      </c>
      <c r="P53" s="24">
        <v>3.789999962</v>
      </c>
      <c r="Q53" s="24">
        <v>0.0</v>
      </c>
      <c r="R53" s="14" t="s">
        <v>1923</v>
      </c>
      <c r="S53" s="24">
        <v>0.0</v>
      </c>
      <c r="T53" s="24">
        <v>0.0</v>
      </c>
      <c r="U53" s="24">
        <v>0.0</v>
      </c>
      <c r="V53" s="24">
        <v>0.0</v>
      </c>
      <c r="W53" s="24">
        <v>0.0</v>
      </c>
      <c r="X53" s="24">
        <v>0.0</v>
      </c>
      <c r="Y53" s="24">
        <v>0.0</v>
      </c>
      <c r="Z53" s="24">
        <v>0.0</v>
      </c>
      <c r="AA53" s="24">
        <v>0.0</v>
      </c>
      <c r="AB53" s="24">
        <v>1.0</v>
      </c>
      <c r="AC53" s="23" t="s">
        <v>2113</v>
      </c>
      <c r="AD53" s="23" t="s">
        <v>2887</v>
      </c>
      <c r="AE53" s="23" t="s">
        <v>2588</v>
      </c>
      <c r="AF53" s="14" t="s">
        <v>2303</v>
      </c>
      <c r="AG53" s="14" t="s">
        <v>2888</v>
      </c>
      <c r="AH53" s="24">
        <v>11.0</v>
      </c>
      <c r="AI53" s="14" t="s">
        <v>933</v>
      </c>
      <c r="AJ53" s="14" t="s">
        <v>934</v>
      </c>
      <c r="AK53" s="35">
        <v>69.0</v>
      </c>
      <c r="AL53" s="14" t="s">
        <v>847</v>
      </c>
      <c r="AM53" s="14" t="s">
        <v>1098</v>
      </c>
      <c r="AN53" s="14" t="s">
        <v>849</v>
      </c>
      <c r="AO53" s="14" t="s">
        <v>850</v>
      </c>
      <c r="AP53" s="24">
        <v>1.0</v>
      </c>
      <c r="AQ53" s="24">
        <v>0.0</v>
      </c>
      <c r="AR53" s="24">
        <v>0.0</v>
      </c>
      <c r="AS53" s="24">
        <v>0.0</v>
      </c>
      <c r="AT53" s="24">
        <v>0.0</v>
      </c>
      <c r="AU53" s="24">
        <v>0.0</v>
      </c>
      <c r="AV53" s="24">
        <v>0.0</v>
      </c>
      <c r="AW53" s="24">
        <v>0.0</v>
      </c>
      <c r="AX53" s="14"/>
      <c r="AY53" s="14" t="s">
        <v>999</v>
      </c>
      <c r="AZ53" s="24">
        <v>0.0</v>
      </c>
      <c r="BA53" s="24">
        <v>0.0</v>
      </c>
      <c r="BB53" s="24">
        <v>0.0</v>
      </c>
      <c r="BC53" s="24">
        <v>0.0</v>
      </c>
      <c r="BD53" s="24">
        <v>0.0</v>
      </c>
      <c r="BE53" s="24">
        <v>0.0</v>
      </c>
      <c r="BF53" s="24">
        <v>0.0</v>
      </c>
      <c r="BG53" s="24">
        <v>1.0</v>
      </c>
      <c r="BH53" s="14"/>
      <c r="BI53" s="14" t="s">
        <v>936</v>
      </c>
      <c r="BJ53" s="24">
        <v>0.0</v>
      </c>
      <c r="BK53" s="24">
        <v>2.0</v>
      </c>
      <c r="BL53" s="24">
        <v>0.0</v>
      </c>
      <c r="BM53" s="24">
        <v>1.0</v>
      </c>
      <c r="BN53" s="14" t="s">
        <v>853</v>
      </c>
      <c r="BO53" s="14" t="s">
        <v>854</v>
      </c>
      <c r="BP53" s="24">
        <v>1.0</v>
      </c>
      <c r="BQ53" s="24">
        <v>0.0</v>
      </c>
      <c r="BR53" s="24">
        <v>0.0</v>
      </c>
      <c r="BS53" s="24">
        <v>0.0</v>
      </c>
      <c r="BT53" s="24">
        <v>0.0</v>
      </c>
      <c r="BU53" s="14"/>
      <c r="BV53" s="14" t="s">
        <v>855</v>
      </c>
      <c r="BW53" s="24">
        <v>0.0</v>
      </c>
      <c r="BX53" s="24">
        <v>0.0</v>
      </c>
      <c r="BY53" s="24">
        <v>1.0</v>
      </c>
      <c r="BZ53" s="24">
        <v>0.0</v>
      </c>
      <c r="CA53" s="24">
        <v>0.0</v>
      </c>
      <c r="CB53" s="14"/>
      <c r="CC53" s="14" t="s">
        <v>1929</v>
      </c>
      <c r="CD53" s="24">
        <v>0.0</v>
      </c>
      <c r="CE53" s="24">
        <v>0.0</v>
      </c>
      <c r="CF53" s="24">
        <v>0.0</v>
      </c>
      <c r="CG53" s="24">
        <v>0.0</v>
      </c>
      <c r="CH53" s="24">
        <v>1.0</v>
      </c>
      <c r="CI53" s="24">
        <v>0.0</v>
      </c>
      <c r="CJ53" s="24">
        <v>0.0</v>
      </c>
      <c r="CK53" s="14"/>
      <c r="CL53" s="14" t="s">
        <v>857</v>
      </c>
      <c r="CM53" s="24">
        <v>2014.0</v>
      </c>
      <c r="CN53" s="14" t="s">
        <v>858</v>
      </c>
      <c r="CO53" s="14" t="s">
        <v>1968</v>
      </c>
      <c r="CP53" s="14" t="s">
        <v>969</v>
      </c>
      <c r="CQ53" s="24">
        <v>0.0</v>
      </c>
      <c r="CR53" s="24">
        <v>0.0</v>
      </c>
      <c r="CS53" s="24">
        <v>0.0</v>
      </c>
      <c r="CT53" s="24">
        <v>0.0</v>
      </c>
      <c r="CU53" s="24">
        <v>0.0</v>
      </c>
      <c r="CV53" s="24">
        <v>0.0</v>
      </c>
      <c r="CW53" s="24">
        <v>0.0</v>
      </c>
      <c r="CX53" s="24">
        <v>1.0</v>
      </c>
      <c r="CY53" s="14" t="s">
        <v>860</v>
      </c>
      <c r="CZ53" s="24">
        <v>1.0</v>
      </c>
      <c r="DA53" s="24">
        <v>0.0</v>
      </c>
      <c r="DB53" s="24">
        <v>0.0</v>
      </c>
      <c r="DC53" s="14"/>
      <c r="DD53" s="14" t="s">
        <v>860</v>
      </c>
      <c r="DE53" s="24">
        <v>1.0</v>
      </c>
      <c r="DF53" s="24">
        <v>0.0</v>
      </c>
      <c r="DG53" s="24">
        <v>0.0</v>
      </c>
      <c r="DH53" s="24">
        <v>0.0</v>
      </c>
      <c r="DI53" s="14"/>
      <c r="DJ53" s="14" t="s">
        <v>937</v>
      </c>
      <c r="DK53" s="24">
        <v>1.0</v>
      </c>
      <c r="DL53" s="24">
        <v>0.0</v>
      </c>
      <c r="DM53" s="24">
        <v>1.0</v>
      </c>
      <c r="DN53" s="24">
        <v>0.0</v>
      </c>
      <c r="DO53" s="14"/>
      <c r="DP53" s="14" t="s">
        <v>938</v>
      </c>
      <c r="DQ53" s="14" t="s">
        <v>939</v>
      </c>
      <c r="DR53" s="13" t="s">
        <v>987</v>
      </c>
      <c r="DS53" s="14"/>
      <c r="DT53" s="14"/>
      <c r="DU53" s="14"/>
      <c r="DV53" s="14"/>
      <c r="DW53" s="14"/>
      <c r="DX53" s="14"/>
      <c r="DY53" s="14"/>
      <c r="DZ53" s="14"/>
      <c r="EA53" s="14"/>
      <c r="EB53" s="14"/>
      <c r="EC53" s="14"/>
      <c r="ED53" s="14"/>
      <c r="EE53" s="14"/>
      <c r="EF53" s="14"/>
      <c r="EG53" s="14"/>
      <c r="EH53" s="14"/>
      <c r="EI53" s="42" t="s">
        <v>969</v>
      </c>
      <c r="EJ53" s="39">
        <v>0.0</v>
      </c>
      <c r="EK53" s="39">
        <v>0.0</v>
      </c>
      <c r="EL53" s="39">
        <v>0.0</v>
      </c>
      <c r="EM53" s="39">
        <v>0.0</v>
      </c>
      <c r="EN53" s="39">
        <v>1.0</v>
      </c>
      <c r="EO53" s="21" t="s">
        <v>2889</v>
      </c>
      <c r="EP53" s="14" t="s">
        <v>863</v>
      </c>
      <c r="EQ53" s="14" t="s">
        <v>1380</v>
      </c>
      <c r="ER53" s="14" t="s">
        <v>861</v>
      </c>
      <c r="ES53" s="24">
        <v>1.0</v>
      </c>
      <c r="ET53" s="24">
        <v>0.0</v>
      </c>
      <c r="EU53" s="24">
        <v>0.0</v>
      </c>
      <c r="EV53" s="24">
        <v>0.0</v>
      </c>
      <c r="EW53" s="14"/>
      <c r="EX53" s="14" t="s">
        <v>865</v>
      </c>
      <c r="EY53" s="24">
        <v>1.0</v>
      </c>
      <c r="EZ53" s="24">
        <v>0.0</v>
      </c>
      <c r="FA53" s="24">
        <v>0.0</v>
      </c>
      <c r="FB53" s="14"/>
      <c r="FC53" s="14" t="s">
        <v>1072</v>
      </c>
      <c r="FD53" s="14"/>
      <c r="FE53" s="14" t="s">
        <v>867</v>
      </c>
      <c r="FF53" s="14" t="s">
        <v>868</v>
      </c>
      <c r="FG53" s="14" t="s">
        <v>867</v>
      </c>
      <c r="FH53" s="14" t="s">
        <v>868</v>
      </c>
      <c r="FI53" s="14" t="s">
        <v>867</v>
      </c>
      <c r="FJ53" s="14" t="s">
        <v>868</v>
      </c>
      <c r="FK53" s="14" t="s">
        <v>867</v>
      </c>
      <c r="FL53" s="14" t="s">
        <v>870</v>
      </c>
      <c r="FM53" s="14" t="s">
        <v>867</v>
      </c>
      <c r="FN53" s="14" t="s">
        <v>870</v>
      </c>
      <c r="FO53" s="14" t="s">
        <v>867</v>
      </c>
      <c r="FP53" s="14" t="s">
        <v>883</v>
      </c>
      <c r="FQ53" s="14" t="s">
        <v>867</v>
      </c>
      <c r="FR53" s="14" t="s">
        <v>857</v>
      </c>
      <c r="FS53" s="14" t="s">
        <v>867</v>
      </c>
      <c r="FT53" s="14" t="s">
        <v>871</v>
      </c>
      <c r="FU53" s="14" t="s">
        <v>989</v>
      </c>
      <c r="FV53" s="24">
        <v>1.0</v>
      </c>
      <c r="FW53" s="24">
        <v>1.0</v>
      </c>
      <c r="FX53" s="24">
        <v>0.0</v>
      </c>
      <c r="FY53" s="24">
        <v>0.0</v>
      </c>
      <c r="FZ53" s="14" t="s">
        <v>944</v>
      </c>
      <c r="GA53" s="14" t="s">
        <v>874</v>
      </c>
      <c r="GB53" s="24">
        <v>1.0</v>
      </c>
      <c r="GC53" s="24">
        <v>0.0</v>
      </c>
      <c r="GD53" s="24">
        <v>0.0</v>
      </c>
      <c r="GE53" s="24">
        <v>0.0</v>
      </c>
      <c r="GF53" s="14"/>
      <c r="GG53" s="14" t="s">
        <v>883</v>
      </c>
      <c r="GH53" s="14" t="s">
        <v>881</v>
      </c>
      <c r="GI53" s="14"/>
      <c r="GJ53" s="14"/>
      <c r="GK53" s="14"/>
      <c r="GL53" s="14"/>
      <c r="GM53" s="14"/>
      <c r="GN53" s="14"/>
      <c r="GO53" s="14"/>
      <c r="GP53" s="14" t="s">
        <v>1931</v>
      </c>
      <c r="GQ53" s="14" t="s">
        <v>1102</v>
      </c>
      <c r="GR53" s="24">
        <v>1.0</v>
      </c>
      <c r="GS53" s="24">
        <v>0.0</v>
      </c>
      <c r="GT53" s="24">
        <v>0.0</v>
      </c>
      <c r="GU53" s="24">
        <v>0.0</v>
      </c>
      <c r="GV53" s="24">
        <v>0.0</v>
      </c>
      <c r="GW53" s="24">
        <v>0.0</v>
      </c>
      <c r="GX53" s="24">
        <v>0.0</v>
      </c>
      <c r="GY53" s="14"/>
      <c r="GZ53" s="14" t="s">
        <v>881</v>
      </c>
      <c r="HA53" s="14"/>
      <c r="HB53" s="14"/>
      <c r="HC53" s="14"/>
      <c r="HD53" s="14"/>
      <c r="HE53" s="24">
        <v>12.0</v>
      </c>
      <c r="HF53" s="24">
        <v>80000.0</v>
      </c>
      <c r="HG53" s="24">
        <v>1.0</v>
      </c>
      <c r="HH53" s="24">
        <v>6667.0</v>
      </c>
      <c r="HI53" s="14"/>
      <c r="HJ53" s="14"/>
      <c r="HK53" s="14"/>
      <c r="HL53" s="14"/>
      <c r="HM53" s="14"/>
      <c r="HN53" s="14"/>
      <c r="HO53" s="14"/>
      <c r="HP53" s="14"/>
      <c r="HQ53" s="14"/>
      <c r="HR53" s="14"/>
      <c r="HS53" s="14"/>
      <c r="HT53" s="14"/>
      <c r="HU53" s="14"/>
      <c r="HV53" s="14"/>
      <c r="HW53" s="14"/>
      <c r="HX53" s="14"/>
      <c r="HY53" s="14"/>
      <c r="HZ53" s="14"/>
      <c r="IA53" s="35">
        <v>11.0</v>
      </c>
      <c r="IB53" s="31"/>
      <c r="IC53" s="14"/>
      <c r="ID53" s="14"/>
      <c r="IE53" s="14"/>
      <c r="IF53" s="14"/>
      <c r="IG53" s="14"/>
      <c r="IH53" s="14"/>
      <c r="II53" s="14"/>
      <c r="IJ53" s="14"/>
      <c r="IK53" s="14" t="s">
        <v>1382</v>
      </c>
      <c r="IL53" s="14" t="s">
        <v>1383</v>
      </c>
      <c r="IM53" s="14" t="s">
        <v>857</v>
      </c>
      <c r="IN53" s="14" t="s">
        <v>881</v>
      </c>
      <c r="IO53" s="14" t="s">
        <v>882</v>
      </c>
      <c r="IP53" s="14"/>
      <c r="IQ53" s="14" t="s">
        <v>883</v>
      </c>
      <c r="IR53" s="14"/>
      <c r="IS53" s="14"/>
      <c r="IT53" s="14"/>
      <c r="IU53" s="14"/>
      <c r="IV53" s="14"/>
      <c r="IW53" s="14"/>
      <c r="IX53" s="14"/>
      <c r="IY53" s="14"/>
      <c r="IZ53" s="14" t="s">
        <v>883</v>
      </c>
      <c r="JA53" s="14"/>
      <c r="JB53" s="14"/>
      <c r="JC53" s="14"/>
      <c r="JD53" s="14"/>
      <c r="JE53" s="14"/>
      <c r="JF53" s="14"/>
      <c r="JG53" s="14"/>
      <c r="JH53" s="14"/>
      <c r="JI53" s="14" t="s">
        <v>883</v>
      </c>
      <c r="JJ53" s="14"/>
      <c r="JK53" s="14"/>
      <c r="JL53" s="14"/>
      <c r="JM53" s="14"/>
      <c r="JN53" s="14"/>
      <c r="JO53" s="14"/>
      <c r="JP53" s="14"/>
      <c r="JQ53" s="14"/>
      <c r="JR53" s="14" t="s">
        <v>883</v>
      </c>
      <c r="JS53" s="14"/>
      <c r="JT53" s="14"/>
      <c r="JU53" s="14"/>
      <c r="JV53" s="14"/>
      <c r="JW53" s="14"/>
      <c r="JX53" s="14"/>
      <c r="JY53" s="14"/>
      <c r="JZ53" s="14"/>
      <c r="KA53" s="14" t="s">
        <v>883</v>
      </c>
      <c r="KB53" s="14"/>
      <c r="KC53" s="14"/>
      <c r="KD53" s="14"/>
      <c r="KE53" s="14"/>
      <c r="KF53" s="14"/>
      <c r="KG53" s="14"/>
      <c r="KH53" s="14"/>
      <c r="KI53" s="14"/>
      <c r="KJ53" s="14" t="s">
        <v>883</v>
      </c>
      <c r="KK53" s="14"/>
      <c r="KL53" s="14"/>
      <c r="KM53" s="14"/>
      <c r="KN53" s="14"/>
      <c r="KO53" s="14"/>
      <c r="KP53" s="14"/>
      <c r="KQ53" s="14"/>
      <c r="KR53" s="14"/>
      <c r="KS53" s="14" t="s">
        <v>945</v>
      </c>
      <c r="KT53" s="14" t="s">
        <v>886</v>
      </c>
      <c r="KU53" s="14" t="s">
        <v>886</v>
      </c>
      <c r="KV53" s="14" t="s">
        <v>999</v>
      </c>
      <c r="KW53" s="24">
        <v>0.0</v>
      </c>
      <c r="KX53" s="24">
        <v>0.0</v>
      </c>
      <c r="KY53" s="24">
        <v>0.0</v>
      </c>
      <c r="KZ53" s="24">
        <v>1.0</v>
      </c>
      <c r="LA53" s="14" t="s">
        <v>945</v>
      </c>
      <c r="LB53" s="14" t="s">
        <v>1180</v>
      </c>
      <c r="LC53" s="24">
        <v>2.0</v>
      </c>
      <c r="LD53" s="24">
        <v>0.0</v>
      </c>
      <c r="LE53" s="24">
        <v>0.0</v>
      </c>
      <c r="LF53" s="24">
        <v>0.0</v>
      </c>
      <c r="LG53" s="14" t="s">
        <v>881</v>
      </c>
      <c r="LH53" s="14"/>
      <c r="LI53" s="24">
        <v>0.0</v>
      </c>
      <c r="LJ53" s="14" t="s">
        <v>969</v>
      </c>
      <c r="LK53" s="24">
        <v>0.0</v>
      </c>
      <c r="LL53" s="24">
        <v>0.0</v>
      </c>
      <c r="LM53" s="24">
        <v>0.0</v>
      </c>
      <c r="LN53" s="24">
        <v>0.0</v>
      </c>
      <c r="LO53" s="24">
        <v>0.0</v>
      </c>
      <c r="LP53" s="24">
        <v>0.0</v>
      </c>
      <c r="LQ53" s="24">
        <v>1.0</v>
      </c>
      <c r="LR53" s="11" t="s">
        <v>1973</v>
      </c>
      <c r="LS53" s="24">
        <v>5.0</v>
      </c>
      <c r="LT53" s="24">
        <v>0.0</v>
      </c>
      <c r="LU53" s="24">
        <v>0.0</v>
      </c>
      <c r="LV53" s="24">
        <v>1.0</v>
      </c>
      <c r="LW53" s="24">
        <v>0.0</v>
      </c>
      <c r="LX53" s="24">
        <v>0.0</v>
      </c>
      <c r="LY53" s="24">
        <v>7.0</v>
      </c>
      <c r="LZ53" s="24">
        <v>0.0</v>
      </c>
      <c r="MA53" s="24">
        <v>0.0</v>
      </c>
      <c r="MB53" s="14" t="s">
        <v>881</v>
      </c>
      <c r="MC53" s="24">
        <v>0.0</v>
      </c>
      <c r="MD53" s="24">
        <v>0.0</v>
      </c>
      <c r="ME53" s="24">
        <v>0.0</v>
      </c>
      <c r="MF53" s="24">
        <v>0.0</v>
      </c>
      <c r="MG53" s="24">
        <v>0.0</v>
      </c>
      <c r="MH53" s="24">
        <v>0.0</v>
      </c>
      <c r="MI53" s="14"/>
      <c r="MJ53" s="14"/>
      <c r="MK53" s="14"/>
      <c r="ML53" s="14"/>
      <c r="MM53" s="14"/>
      <c r="MN53" s="14"/>
      <c r="MO53" s="14"/>
      <c r="MP53" s="14"/>
      <c r="MQ53" s="14"/>
      <c r="MR53" s="17" t="s">
        <v>2035</v>
      </c>
      <c r="MS53" s="14"/>
      <c r="MT53" s="14" t="s">
        <v>2035</v>
      </c>
      <c r="MU53" s="14" t="s">
        <v>881</v>
      </c>
      <c r="MV53" s="14"/>
      <c r="MW53" s="14"/>
      <c r="MX53" s="14"/>
      <c r="MY53" s="14"/>
      <c r="MZ53" s="14"/>
      <c r="NA53" s="14"/>
      <c r="NB53" s="14"/>
      <c r="NC53" s="14"/>
      <c r="ND53" s="14"/>
      <c r="NE53" s="14"/>
      <c r="NF53" s="14"/>
      <c r="NG53" s="14"/>
      <c r="NH53" s="14"/>
      <c r="NI53" s="14"/>
      <c r="NJ53" s="14"/>
      <c r="NK53" s="14"/>
      <c r="NL53" s="14" t="s">
        <v>881</v>
      </c>
      <c r="NM53" s="14" t="s">
        <v>1386</v>
      </c>
      <c r="NN53" s="13" t="s">
        <v>1975</v>
      </c>
      <c r="NO53" s="13" t="s">
        <v>895</v>
      </c>
      <c r="NP53" s="14"/>
      <c r="NQ53" s="14"/>
      <c r="NR53" s="14"/>
      <c r="NS53" s="14"/>
      <c r="NT53" s="14"/>
      <c r="NU53" s="14"/>
      <c r="NV53" s="14"/>
      <c r="NW53" s="14"/>
      <c r="NX53" s="14" t="s">
        <v>914</v>
      </c>
      <c r="NY53" s="24">
        <v>45.0</v>
      </c>
      <c r="NZ53" s="24">
        <v>0.0</v>
      </c>
      <c r="OA53" s="24">
        <v>0.0</v>
      </c>
      <c r="OB53" s="24">
        <v>0.0</v>
      </c>
      <c r="OC53" s="24">
        <v>15.0</v>
      </c>
      <c r="OD53" s="24">
        <v>0.0</v>
      </c>
      <c r="OE53" s="14" t="s">
        <v>945</v>
      </c>
      <c r="OF53" s="14" t="s">
        <v>1388</v>
      </c>
      <c r="OG53" s="14" t="s">
        <v>857</v>
      </c>
      <c r="OH53" s="24">
        <v>0.0</v>
      </c>
      <c r="OI53" s="24">
        <v>0.0</v>
      </c>
      <c r="OJ53" s="24">
        <v>0.0</v>
      </c>
      <c r="OK53" s="24">
        <v>0.0</v>
      </c>
      <c r="OL53" s="24">
        <v>0.0</v>
      </c>
      <c r="OM53" s="24">
        <v>0.0</v>
      </c>
      <c r="ON53" s="24">
        <v>10.0</v>
      </c>
      <c r="OO53" s="24">
        <v>0.0</v>
      </c>
      <c r="OP53" s="9" t="str">
        <f>VLOOKUP(AG53,'BUS 2'!$G$1:$CU$424,2,0)</f>
        <v>Sapi pedaging Ayam</v>
      </c>
      <c r="OQ53" s="8">
        <f>VLOOKUP(AG53,'BUS 2'!$G$1:$CU$424,3,0)</f>
        <v>1</v>
      </c>
      <c r="OR53" s="8">
        <f>VLOOKUP(AG53,'BUS 2'!$G$1:$CU$424,4,0)</f>
        <v>0</v>
      </c>
      <c r="OS53" s="8">
        <f>VLOOKUP(AG53,'BUS 2'!$G$1:$CU$424,5,0)</f>
        <v>0</v>
      </c>
      <c r="OT53" s="8">
        <f>VLOOKUP(AG53,'BUS 2'!$G$1:$CU$424,6,0)</f>
        <v>0</v>
      </c>
      <c r="OU53" s="8">
        <f>VLOOKUP(AG53,'BUS 2'!$G$1:$CU$424,7,0)</f>
        <v>0</v>
      </c>
      <c r="OV53" s="8">
        <f>VLOOKUP(AG53,'BUS 2'!$G$1:$CU$424,8,0)</f>
        <v>0</v>
      </c>
      <c r="OW53" s="8">
        <f>VLOOKUP(AG53,'BUS 2'!$G$1:$CU$424,9,0)</f>
        <v>1</v>
      </c>
      <c r="OX53" s="8">
        <f>VLOOKUP(AG53,'BUS 2'!$G$1:$CU$424,10,0)</f>
        <v>0</v>
      </c>
      <c r="OY53" s="8">
        <f>VLOOKUP(AG53,'BUS 2'!$G$1:$CU$424,11,0)</f>
        <v>0</v>
      </c>
      <c r="OZ53" s="8" t="str">
        <f>VLOOKUP(AG53,'BUS 2'!$G$1:$CU$424,12,0)</f>
        <v>Sapi pedaging Ayam</v>
      </c>
      <c r="PA53" s="8">
        <f>VLOOKUP(AG53,'BUS 2'!$G$1:$CU$424,13,0)</f>
        <v>1</v>
      </c>
      <c r="PB53" s="8">
        <f>VLOOKUP(AG53,'BUS 2'!$G$1:$CU$424,14,0)</f>
        <v>0</v>
      </c>
      <c r="PC53" s="8">
        <f>VLOOKUP(AG53,'BUS 2'!$G$1:$CU$424,15,0)</f>
        <v>0</v>
      </c>
      <c r="PD53" s="8">
        <f>VLOOKUP(AG53,'BUS 2'!$G$1:$CU$424,16,0)</f>
        <v>0</v>
      </c>
      <c r="PE53" s="8">
        <f>VLOOKUP(AG53,'BUS 2'!$G$1:$CU$424,17,0)</f>
        <v>0</v>
      </c>
      <c r="PF53" s="8">
        <f>VLOOKUP(AG53,'BUS 2'!$G$1:$CU$424,18,0)</f>
        <v>0</v>
      </c>
      <c r="PG53" s="8">
        <f>VLOOKUP(AG53,'BUS 2'!$G$1:$CU$424,19,0)</f>
        <v>1</v>
      </c>
      <c r="PH53" s="8">
        <f>VLOOKUP(AG53,'BUS 2'!$G$1:$CU$424,20,0)</f>
        <v>0</v>
      </c>
      <c r="PI53" s="8">
        <f>VLOOKUP(AG53,'BUS 2'!$G$1:$CU$424,21,0)</f>
        <v>0</v>
      </c>
      <c r="PJ53" s="8" t="str">
        <f>VLOOKUP(AG53,'BUS 2'!$G$1:$CU$424,22,0)</f>
        <v>Sapi pedaging Ayam</v>
      </c>
      <c r="PK53" s="8">
        <f>VLOOKUP(AG53,'BUS 2'!$G$1:$CU$424,23,0)</f>
        <v>1</v>
      </c>
      <c r="PL53" s="8">
        <f>VLOOKUP(AG53,'BUS 2'!$G$1:$CU$424,24,0)</f>
        <v>0</v>
      </c>
      <c r="PM53" s="8">
        <f>VLOOKUP(AG53,'BUS 2'!$G$1:$CU$424,25,0)</f>
        <v>0</v>
      </c>
      <c r="PN53" s="8">
        <f>VLOOKUP(AG53,'BUS 2'!$G$1:$CU$424,26,0)</f>
        <v>0</v>
      </c>
      <c r="PO53" s="8">
        <f>VLOOKUP(AG53,'BUS 2'!$G$1:$CU$424,27,0)</f>
        <v>0</v>
      </c>
      <c r="PP53" s="8">
        <f>VLOOKUP(AG53,'BUS 2'!$G$1:$CU$424,28,0)</f>
        <v>0</v>
      </c>
      <c r="PQ53" s="8">
        <f>VLOOKUP(AG53,'BUS 2'!$G$1:$CU$424,29,0)</f>
        <v>1</v>
      </c>
      <c r="PR53" s="8">
        <f>VLOOKUP(AG53,'BUS 2'!$G$1:$CU$424,30,0)</f>
        <v>0</v>
      </c>
      <c r="PS53" s="8">
        <f>VLOOKUP(AG53,'BUS 2'!$G$1:$CU$424,31,0)</f>
        <v>0</v>
      </c>
      <c r="PT53" s="14" t="s">
        <v>2890</v>
      </c>
      <c r="PU53" s="24">
        <v>0.0</v>
      </c>
      <c r="PV53" s="24">
        <v>0.0</v>
      </c>
      <c r="PW53" s="24">
        <v>0.0</v>
      </c>
      <c r="PX53" s="24">
        <v>0.0</v>
      </c>
      <c r="PY53" s="24">
        <v>0.0</v>
      </c>
      <c r="PZ53" s="24">
        <v>0.0</v>
      </c>
      <c r="QA53" s="24">
        <v>0.0</v>
      </c>
      <c r="QB53" s="24">
        <v>1.0</v>
      </c>
      <c r="QC53" s="24">
        <v>0.0</v>
      </c>
      <c r="QD53" s="14"/>
      <c r="QE53" s="32"/>
      <c r="QF53" s="31"/>
      <c r="QG53" s="31"/>
      <c r="QH53" s="31"/>
      <c r="QI53" s="31"/>
      <c r="QJ53" s="31"/>
      <c r="QK53" s="32"/>
      <c r="QL53" s="32"/>
      <c r="QM53" s="32"/>
      <c r="QN53" s="32"/>
      <c r="QO53" s="32"/>
      <c r="QP53" s="32"/>
      <c r="QQ53" s="32"/>
      <c r="QR53" s="32"/>
      <c r="QS53" s="32"/>
      <c r="QT53" s="32"/>
      <c r="QU53" s="32"/>
      <c r="QV53" s="32"/>
      <c r="QW53" s="31"/>
      <c r="QX53" s="31"/>
      <c r="QY53" s="31"/>
      <c r="QZ53" s="31"/>
      <c r="RA53" s="31"/>
      <c r="RB53" s="32"/>
      <c r="RC53" s="32"/>
      <c r="RD53" s="32"/>
      <c r="RE53" s="32"/>
      <c r="RF53" s="32"/>
      <c r="RG53" s="14"/>
      <c r="RH53" s="31"/>
      <c r="RI53" s="31"/>
      <c r="RJ53" s="31"/>
      <c r="RK53" s="31"/>
      <c r="RL53" s="31"/>
      <c r="RM53" s="14"/>
      <c r="RN53" s="14"/>
      <c r="RO53" s="14"/>
      <c r="RP53" s="14"/>
      <c r="RQ53" s="14"/>
      <c r="RR53" s="14"/>
      <c r="RS53" s="31"/>
      <c r="RT53" s="31"/>
      <c r="RU53" s="31"/>
      <c r="RV53" s="31"/>
      <c r="RW53" s="31"/>
      <c r="RX53" s="14"/>
      <c r="RY53" s="14"/>
      <c r="RZ53" s="14"/>
      <c r="SA53" s="14"/>
      <c r="SB53" s="14"/>
      <c r="SC53" s="14" t="s">
        <v>900</v>
      </c>
      <c r="SD53" s="35">
        <v>0.0</v>
      </c>
      <c r="SE53" s="35">
        <v>0.0</v>
      </c>
      <c r="SF53" s="35">
        <v>0.0</v>
      </c>
      <c r="SG53" s="35">
        <v>0.0</v>
      </c>
      <c r="SH53" s="35">
        <v>0.0</v>
      </c>
      <c r="SI53" s="24">
        <v>1.0</v>
      </c>
      <c r="SJ53" s="24">
        <v>0.0</v>
      </c>
      <c r="SK53" s="24">
        <v>0.0</v>
      </c>
      <c r="SL53" s="24">
        <v>0.0</v>
      </c>
      <c r="SM53" s="14"/>
      <c r="SN53" s="14"/>
      <c r="SO53" s="31"/>
      <c r="SP53" s="31"/>
      <c r="SQ53" s="31"/>
      <c r="SR53" s="31"/>
      <c r="SS53" s="31"/>
      <c r="ST53" s="14"/>
      <c r="SU53" s="14"/>
      <c r="SV53" s="14"/>
      <c r="SW53" s="14"/>
      <c r="SX53" s="14"/>
      <c r="SY53" s="8">
        <f>VLOOKUP(AG53,'BUS 2'!$G$1:$CU$424,33,0)</f>
        <v>9</v>
      </c>
      <c r="SZ53" s="9" t="str">
        <f>VLOOKUP(AG53,'BUS 2'!$G$1:$CU$424,34,0)</f>
        <v/>
      </c>
      <c r="TA53" s="9" t="str">
        <f>VLOOKUP(AG53,'BUS 2'!$G$1:$CU$424,35,0)</f>
        <v/>
      </c>
      <c r="TB53" s="9" t="str">
        <f>VLOOKUP(AG53,'BUS 2'!$G$1:$CU$424,36,0)</f>
        <v/>
      </c>
      <c r="TC53" s="9" t="str">
        <f>VLOOKUP(AG53,'BUS 2'!$G$1:$CU$424,37,0)</f>
        <v/>
      </c>
      <c r="TD53" s="9" t="str">
        <f>VLOOKUP(AG53,'BUS 2'!$G$1:$CU$424,38,0)</f>
        <v/>
      </c>
      <c r="TE53" s="9">
        <f>VLOOKUP(AG53,'BUS 2'!$G$1:$CU$424,39,0)</f>
        <v>2</v>
      </c>
      <c r="TF53" s="9" t="str">
        <f>VLOOKUP(AG53,'BUS 2'!$G$1:$CU$424,40,0)</f>
        <v/>
      </c>
      <c r="TG53" s="8">
        <f>VLOOKUP(AG53,'BUS 2'!$G$1:$CU$424,42,0)</f>
        <v>4</v>
      </c>
      <c r="TH53" s="8" t="str">
        <f>VLOOKUP(AG53,'BUS 2'!$G$1:$CU$424,43,0)</f>
        <v/>
      </c>
      <c r="TI53" s="8" t="str">
        <f>VLOOKUP(AG53,'BUS 2'!$G$1:$CU$424,44,0)</f>
        <v/>
      </c>
      <c r="TJ53" s="8" t="str">
        <f>VLOOKUP(AG53,'BUS 2'!$G$1:$CU$424,45,0)</f>
        <v/>
      </c>
      <c r="TK53" s="8" t="str">
        <f>VLOOKUP(AG53,'BUS 2'!$G$1:$CU$424,46,0)</f>
        <v/>
      </c>
      <c r="TL53" s="8" t="str">
        <f>VLOOKUP(AG53,'BUS 2'!$G$1:$CU$424,47,0)</f>
        <v/>
      </c>
      <c r="TM53" s="8">
        <f>VLOOKUP(AG53,'BUS 2'!$G$1:$CU$424,48,0)</f>
        <v>10</v>
      </c>
      <c r="TN53" s="8" t="str">
        <f>VLOOKUP(AG53,'BUS 2'!$G$1:$CU$424,49,0)</f>
        <v/>
      </c>
      <c r="TO53" s="8">
        <f>VLOOKUP(AG53,'BUS 2'!$G$1:$CU$424,50,0)</f>
        <v>1</v>
      </c>
      <c r="TP53" s="8">
        <f>VLOOKUP(AG53,'BUS 2'!$G$1:$CU$424,51,0)</f>
        <v>0</v>
      </c>
      <c r="TQ53" s="8">
        <f>VLOOKUP(AG53,'BUS 2'!$G$1:$CU$424,52,0)</f>
        <v>0</v>
      </c>
      <c r="TR53" s="8">
        <f>VLOOKUP(AG53,'BUS 2'!$G$1:$CU$424,53,0)</f>
        <v>0</v>
      </c>
      <c r="TS53" s="9" t="str">
        <f>VLOOKUP(AG53,'BUS 2'!$G$1:$CU$424,54,0)</f>
        <v/>
      </c>
      <c r="TT53" s="9" t="str">
        <f>VLOOKUP(AG53,'BUS 2'!$G$1:$CU$424,55,0)</f>
        <v/>
      </c>
      <c r="TU53" s="9" t="str">
        <f>VLOOKUP(AG53,'BUS 2'!$G$1:$CU$424,56,0)</f>
        <v/>
      </c>
      <c r="TV53" s="9" t="str">
        <f>VLOOKUP(AG53,'BUS 2'!$G$1:$CU$424,57,0)</f>
        <v/>
      </c>
      <c r="TW53" s="9" t="str">
        <f>VLOOKUP(AG53,'BUS 2'!$G$1:$CU$424,58,0)</f>
        <v/>
      </c>
      <c r="TX53" s="9" t="str">
        <f>VLOOKUP(AG53,'BUS 2'!$G$1:$CU$424,59,0)</f>
        <v/>
      </c>
      <c r="TY53" s="9" t="str">
        <f>VLOOKUP(AG53,'BUS 2'!$G$1:$CU$424,60,0)</f>
        <v/>
      </c>
      <c r="TZ53" s="9" t="str">
        <f>VLOOKUP(AG53,'BUS 2'!$G$1:$CU$424,61,0)</f>
        <v/>
      </c>
      <c r="UA53" s="9" t="str">
        <f>VLOOKUP(AG53,'BUS 2'!$G$1:$CU$424,62,0)</f>
        <v/>
      </c>
      <c r="UB53" s="9" t="str">
        <f>VLOOKUP(AG53,'BUS 2'!$G$1:$CU$424,63,0)</f>
        <v/>
      </c>
      <c r="UC53" s="9" t="str">
        <f>VLOOKUP(AG53,'BUS 2'!$G$1:$CU$424,64,0)</f>
        <v/>
      </c>
      <c r="UD53" s="9" t="str">
        <f>VLOOKUP(AG53,'BUS 2'!$G$1:$CU$424,65,0)</f>
        <v/>
      </c>
      <c r="UE53" s="9" t="str">
        <f>VLOOKUP(AG53,'BUS 2'!$G$1:$CU$424,66,0)</f>
        <v/>
      </c>
      <c r="UF53" s="9" t="str">
        <f>VLOOKUP(AG53,'BUS 2'!$G$1:$CU$424,67,0)</f>
        <v/>
      </c>
      <c r="UG53" s="9" t="str">
        <f>VLOOKUP(AG53,'BUS 2'!$G$1:$CU$424,68,0)</f>
        <v/>
      </c>
      <c r="UH53" s="9" t="str">
        <f>VLOOKUP(AG53,'BUS 2'!$G$1:$CU$424,69,0)</f>
        <v/>
      </c>
      <c r="UI53" s="9" t="str">
        <f>VLOOKUP(AG53,'BUS 2'!$G$1:$CU$424,70,0)</f>
        <v/>
      </c>
      <c r="UJ53" s="9" t="str">
        <f>VLOOKUP(AG53,'BUS 2'!$G$1:$CU$424,71,0)</f>
        <v/>
      </c>
      <c r="UK53" s="9" t="str">
        <f>VLOOKUP(AG53,'BUS 2'!$G$1:$CU$424,72,0)</f>
        <v/>
      </c>
      <c r="UL53" s="9" t="str">
        <f>VLOOKUP(AG53,'BUS 2'!$G$1:$CU$424,73,0)</f>
        <v/>
      </c>
      <c r="UM53" s="9">
        <f>VLOOKUP(AG53,'BUS 2'!$G$1:$CU$424,74,0)</f>
        <v>0</v>
      </c>
      <c r="UN53" s="9">
        <f>VLOOKUP(AG53,'BUS 2'!$G$1:$CU$424,75,0)</f>
        <v>0</v>
      </c>
      <c r="UO53" s="9">
        <f>VLOOKUP(AG53,'BUS 2'!$G$1:$CU$424,76,0)</f>
        <v>0</v>
      </c>
      <c r="UP53" s="9">
        <f>VLOOKUP(AG53,'BUS 2'!$G$1:$CU$424,77,0)</f>
        <v>0</v>
      </c>
      <c r="UQ53" s="9" t="str">
        <f>VLOOKUP(AG53,'BUS 2'!$G$1:$CU$424,78,0)</f>
        <v/>
      </c>
      <c r="UR53" s="9" t="str">
        <f>VLOOKUP(AG53,'BUS 2'!$G$1:$CU$424,79,0)</f>
        <v/>
      </c>
      <c r="US53" s="9" t="str">
        <f>VLOOKUP(AG53,'BUS 2'!$G$1:$CU$424,80,0)</f>
        <v/>
      </c>
      <c r="UT53" s="9" t="str">
        <f>VLOOKUP(AG53,'BUS 2'!$G$1:$CU$424,81,0)</f>
        <v/>
      </c>
      <c r="UU53" s="14"/>
      <c r="UV53" s="14"/>
      <c r="UW53" s="14"/>
      <c r="UX53" s="14"/>
      <c r="UY53" s="14"/>
      <c r="UZ53" s="14"/>
      <c r="VA53" s="14" t="s">
        <v>1976</v>
      </c>
      <c r="VB53" s="14"/>
      <c r="VC53" s="14"/>
      <c r="VD53" s="14"/>
      <c r="VE53" s="14"/>
      <c r="VF53" s="14"/>
      <c r="VG53" s="14"/>
      <c r="VH53" s="14"/>
      <c r="VI53" s="14" t="s">
        <v>1938</v>
      </c>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t="s">
        <v>1941</v>
      </c>
      <c r="YO53" s="24">
        <v>0.0</v>
      </c>
      <c r="YP53" s="24">
        <v>0.0</v>
      </c>
      <c r="YQ53" s="24">
        <v>0.0</v>
      </c>
      <c r="YR53" s="24">
        <v>0.0</v>
      </c>
      <c r="YS53" s="24">
        <v>0.0</v>
      </c>
      <c r="YT53" s="24">
        <v>0.0</v>
      </c>
      <c r="YU53" s="24">
        <v>0.0</v>
      </c>
      <c r="YV53" s="24">
        <v>0.0</v>
      </c>
      <c r="YW53" s="24">
        <v>0.0</v>
      </c>
      <c r="YX53" s="24">
        <v>0.0</v>
      </c>
      <c r="YY53" s="24">
        <v>0.0</v>
      </c>
      <c r="YZ53" s="24">
        <v>1.0</v>
      </c>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24">
        <v>2.0</v>
      </c>
      <c r="AAC53" s="14"/>
      <c r="AAD53" s="14"/>
      <c r="AAE53" s="14"/>
      <c r="AAF53" s="14"/>
      <c r="AAG53" s="14"/>
      <c r="AAH53" s="14"/>
      <c r="AAI53" s="14"/>
      <c r="AAJ53" s="14" t="s">
        <v>905</v>
      </c>
      <c r="AAK53" s="14"/>
      <c r="AAL53" s="14" t="s">
        <v>881</v>
      </c>
      <c r="AAM53" s="14"/>
      <c r="AAN53" s="14"/>
      <c r="AAO53" s="14"/>
      <c r="AAP53" s="14"/>
      <c r="AAQ53" s="14"/>
      <c r="AAR53" s="14" t="s">
        <v>857</v>
      </c>
      <c r="AAS53" s="14" t="s">
        <v>867</v>
      </c>
      <c r="AAT53" s="14" t="s">
        <v>2891</v>
      </c>
      <c r="AAU53" s="24">
        <v>0.0</v>
      </c>
      <c r="AAV53" s="24">
        <v>0.0</v>
      </c>
      <c r="AAW53" s="24">
        <v>0.0</v>
      </c>
      <c r="AAX53" s="24">
        <v>0.0</v>
      </c>
      <c r="AAY53" s="24">
        <v>0.0</v>
      </c>
      <c r="AAZ53" s="24">
        <v>0.0</v>
      </c>
      <c r="ABA53" s="24">
        <v>1.0</v>
      </c>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t="s">
        <v>2468</v>
      </c>
      <c r="ACL53" s="24">
        <v>0.0</v>
      </c>
      <c r="ACM53" s="24">
        <v>0.0</v>
      </c>
      <c r="ACN53" s="24">
        <v>0.0</v>
      </c>
      <c r="ACO53" s="24">
        <v>0.0</v>
      </c>
      <c r="ACP53" s="24">
        <v>0.0</v>
      </c>
      <c r="ACQ53" s="24">
        <v>1.0</v>
      </c>
      <c r="ACR53" s="24">
        <v>0.0</v>
      </c>
      <c r="ACS53" s="14"/>
      <c r="ACT53" s="21" t="s">
        <v>2892</v>
      </c>
      <c r="ACU53" s="14" t="s">
        <v>1050</v>
      </c>
      <c r="ACV53" s="14" t="s">
        <v>957</v>
      </c>
      <c r="ACW53" s="14" t="s">
        <v>1391</v>
      </c>
      <c r="ACX53" s="14" t="s">
        <v>916</v>
      </c>
      <c r="ACY53" s="14" t="s">
        <v>1017</v>
      </c>
      <c r="ACZ53" s="24">
        <v>1.0</v>
      </c>
      <c r="ADA53" s="24">
        <v>1.0</v>
      </c>
      <c r="ADB53" s="24">
        <v>1.0</v>
      </c>
      <c r="ADC53" s="24">
        <v>0.0</v>
      </c>
      <c r="ADD53" s="14" t="s">
        <v>917</v>
      </c>
      <c r="ADE53" s="14" t="s">
        <v>917</v>
      </c>
      <c r="ADF53" s="14" t="s">
        <v>917</v>
      </c>
      <c r="ADG53" s="14" t="s">
        <v>917</v>
      </c>
      <c r="ADH53" s="14" t="s">
        <v>881</v>
      </c>
      <c r="ADI53" s="14"/>
      <c r="ADJ53" s="14" t="s">
        <v>917</v>
      </c>
      <c r="ADK53" s="14"/>
      <c r="ADL53" s="14"/>
      <c r="ADM53" s="14"/>
      <c r="ADN53" s="14"/>
      <c r="ADO53" s="14"/>
      <c r="ADP53" s="14"/>
      <c r="ADQ53" s="14"/>
      <c r="ADR53" s="14"/>
      <c r="ADS53" s="14"/>
      <c r="ADT53" s="14"/>
      <c r="ADU53" s="14" t="s">
        <v>2235</v>
      </c>
      <c r="ADV53" s="24">
        <v>0.0</v>
      </c>
      <c r="ADW53" s="24">
        <v>0.0</v>
      </c>
      <c r="ADX53" s="24">
        <v>0.0</v>
      </c>
      <c r="ADY53" s="24">
        <v>0.0</v>
      </c>
      <c r="ADZ53" s="24">
        <v>0.0</v>
      </c>
      <c r="AEA53" s="24">
        <v>0.0</v>
      </c>
      <c r="AEB53" s="24">
        <v>1.0</v>
      </c>
      <c r="AEC53" s="24">
        <v>0.0</v>
      </c>
      <c r="AED53" s="14" t="s">
        <v>2235</v>
      </c>
      <c r="AEE53" s="14" t="s">
        <v>969</v>
      </c>
      <c r="AEF53" s="14" t="s">
        <v>2893</v>
      </c>
      <c r="AEG53" s="14" t="s">
        <v>969</v>
      </c>
      <c r="AEH53" s="14" t="s">
        <v>2893</v>
      </c>
      <c r="AEI53" s="14" t="s">
        <v>1945</v>
      </c>
      <c r="AEJ53" s="14" t="s">
        <v>871</v>
      </c>
      <c r="AEK53" s="14" t="s">
        <v>2894</v>
      </c>
      <c r="AEL53" s="24">
        <v>1.0</v>
      </c>
      <c r="AEM53" s="24">
        <v>1.0</v>
      </c>
      <c r="AEN53" s="24">
        <v>1.0</v>
      </c>
      <c r="AEO53" s="24">
        <v>0.0</v>
      </c>
      <c r="AEP53" s="24">
        <v>1.0</v>
      </c>
      <c r="AEQ53" s="24">
        <v>0.0</v>
      </c>
      <c r="AER53" s="24">
        <v>1.0</v>
      </c>
      <c r="AES53" s="24">
        <v>0.0</v>
      </c>
      <c r="AET53" s="24">
        <v>0.0</v>
      </c>
      <c r="AEU53" s="24">
        <v>0.0</v>
      </c>
      <c r="AEV53" s="24">
        <v>1.0</v>
      </c>
      <c r="AEW53" s="24">
        <v>0.0</v>
      </c>
      <c r="AEX53" s="14"/>
      <c r="AEY53" s="14" t="s">
        <v>1981</v>
      </c>
      <c r="AEZ53" s="14"/>
      <c r="AFA53" s="14" t="s">
        <v>924</v>
      </c>
      <c r="AFB53" s="14"/>
      <c r="AFC53" s="14" t="s">
        <v>2895</v>
      </c>
      <c r="AFD53" s="25" t="s">
        <v>2896</v>
      </c>
      <c r="AFE53" s="14" t="s">
        <v>2897</v>
      </c>
      <c r="AFF53" s="25" t="s">
        <v>2898</v>
      </c>
      <c r="AFG53" s="14" t="s">
        <v>1986</v>
      </c>
      <c r="AFH53" s="14"/>
      <c r="AFI53" s="14" t="s">
        <v>2899</v>
      </c>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24">
        <v>6.751901E8</v>
      </c>
      <c r="AWB53" s="14" t="s">
        <v>2900</v>
      </c>
      <c r="AWC53" s="22">
        <v>46072.0</v>
      </c>
      <c r="AWD53" s="14"/>
      <c r="AWE53" s="14"/>
      <c r="AWF53" s="14" t="s">
        <v>1954</v>
      </c>
      <c r="AWG53" s="14"/>
      <c r="AWH53" s="14" t="s">
        <v>1989</v>
      </c>
      <c r="AWI53" s="14"/>
      <c r="AWJ53" s="14" t="s">
        <v>2901</v>
      </c>
      <c r="AWK53" s="24">
        <v>366.0</v>
      </c>
      <c r="AWL53" s="14" t="s">
        <v>2888</v>
      </c>
      <c r="AWM53" s="24">
        <v>0.0</v>
      </c>
      <c r="AWN53" s="14" t="s">
        <v>1957</v>
      </c>
      <c r="AWO53" s="41" t="b">
        <v>1</v>
      </c>
      <c r="AWP53" s="41" t="b">
        <v>1</v>
      </c>
      <c r="AWQ53" s="41" t="b">
        <v>1</v>
      </c>
      <c r="AWR53" s="41" t="b">
        <v>1</v>
      </c>
      <c r="AWS53" s="41" t="b">
        <v>1</v>
      </c>
      <c r="AWT53" s="41" t="b">
        <v>1</v>
      </c>
      <c r="AWU53" s="14"/>
      <c r="AWV53" s="24">
        <v>11.0</v>
      </c>
      <c r="AWW53" s="14"/>
      <c r="AWX53" s="14"/>
      <c r="AWY53" s="14"/>
      <c r="AWZ53" s="14"/>
    </row>
    <row r="54">
      <c r="A54" s="6">
        <v>46067.0</v>
      </c>
      <c r="B54" s="6">
        <v>46083.0</v>
      </c>
      <c r="C54" s="30" t="s">
        <v>1958</v>
      </c>
      <c r="D54" s="30" t="s">
        <v>2902</v>
      </c>
      <c r="E54" s="8">
        <f t="shared" ref="E54:E55" si="3">+620</f>
        <v>620</v>
      </c>
      <c r="F54" s="9" t="s">
        <v>2903</v>
      </c>
      <c r="G54" s="8">
        <v>-5.342601</v>
      </c>
      <c r="H54" s="8">
        <v>119.488827</v>
      </c>
      <c r="I54" s="8">
        <v>76.5</v>
      </c>
      <c r="J54" s="8">
        <v>5.415999889</v>
      </c>
      <c r="K54" s="8">
        <v>0.0</v>
      </c>
      <c r="L54" s="9" t="s">
        <v>2904</v>
      </c>
      <c r="M54" s="8">
        <v>-5.340415</v>
      </c>
      <c r="N54" s="8">
        <v>119.491775</v>
      </c>
      <c r="O54" s="8">
        <v>74.75495144</v>
      </c>
      <c r="P54" s="8">
        <v>3.789999962</v>
      </c>
      <c r="Q54" s="8">
        <v>0.0</v>
      </c>
      <c r="R54" s="9" t="s">
        <v>1923</v>
      </c>
      <c r="S54" s="8">
        <v>0.0</v>
      </c>
      <c r="T54" s="8">
        <v>0.0</v>
      </c>
      <c r="U54" s="8">
        <v>0.0</v>
      </c>
      <c r="V54" s="8">
        <v>0.0</v>
      </c>
      <c r="W54" s="8">
        <v>0.0</v>
      </c>
      <c r="X54" s="8">
        <v>0.0</v>
      </c>
      <c r="Y54" s="8">
        <v>0.0</v>
      </c>
      <c r="Z54" s="8">
        <v>0.0</v>
      </c>
      <c r="AA54" s="8">
        <v>0.0</v>
      </c>
      <c r="AB54" s="8">
        <v>1.0</v>
      </c>
      <c r="AC54" s="7" t="s">
        <v>2113</v>
      </c>
      <c r="AD54" s="7" t="s">
        <v>2905</v>
      </c>
      <c r="AE54" s="7" t="s">
        <v>2906</v>
      </c>
      <c r="AF54" s="9" t="s">
        <v>2303</v>
      </c>
      <c r="AG54" s="9" t="s">
        <v>2907</v>
      </c>
      <c r="AH54" s="8">
        <v>11.0</v>
      </c>
      <c r="AI54" s="9" t="s">
        <v>933</v>
      </c>
      <c r="AJ54" s="9" t="s">
        <v>934</v>
      </c>
      <c r="AK54" s="8">
        <v>55.0</v>
      </c>
      <c r="AL54" s="9" t="s">
        <v>847</v>
      </c>
      <c r="AM54" s="9" t="s">
        <v>848</v>
      </c>
      <c r="AN54" s="9" t="s">
        <v>986</v>
      </c>
      <c r="AO54" s="9" t="s">
        <v>850</v>
      </c>
      <c r="AP54" s="8">
        <v>1.0</v>
      </c>
      <c r="AQ54" s="8">
        <v>0.0</v>
      </c>
      <c r="AR54" s="8">
        <v>0.0</v>
      </c>
      <c r="AS54" s="8">
        <v>0.0</v>
      </c>
      <c r="AT54" s="8">
        <v>0.0</v>
      </c>
      <c r="AU54" s="8">
        <v>0.0</v>
      </c>
      <c r="AV54" s="8">
        <v>0.0</v>
      </c>
      <c r="AW54" s="8">
        <v>0.0</v>
      </c>
      <c r="AX54" s="9"/>
      <c r="AY54" s="9" t="s">
        <v>999</v>
      </c>
      <c r="AZ54" s="8">
        <v>0.0</v>
      </c>
      <c r="BA54" s="8">
        <v>0.0</v>
      </c>
      <c r="BB54" s="8">
        <v>0.0</v>
      </c>
      <c r="BC54" s="8">
        <v>0.0</v>
      </c>
      <c r="BD54" s="8">
        <v>0.0</v>
      </c>
      <c r="BE54" s="8">
        <v>0.0</v>
      </c>
      <c r="BF54" s="8">
        <v>0.0</v>
      </c>
      <c r="BG54" s="8">
        <v>1.0</v>
      </c>
      <c r="BH54" s="11"/>
      <c r="BI54" s="9" t="s">
        <v>852</v>
      </c>
      <c r="BJ54" s="8">
        <v>1.0</v>
      </c>
      <c r="BK54" s="8">
        <v>2.0</v>
      </c>
      <c r="BL54" s="8">
        <v>0.0</v>
      </c>
      <c r="BM54" s="8">
        <v>0.0</v>
      </c>
      <c r="BN54" s="9" t="s">
        <v>853</v>
      </c>
      <c r="BO54" s="9" t="s">
        <v>854</v>
      </c>
      <c r="BP54" s="8">
        <v>1.0</v>
      </c>
      <c r="BQ54" s="8">
        <v>0.0</v>
      </c>
      <c r="BR54" s="8">
        <v>0.0</v>
      </c>
      <c r="BS54" s="8">
        <v>0.0</v>
      </c>
      <c r="BT54" s="8">
        <v>0.0</v>
      </c>
      <c r="BU54" s="9"/>
      <c r="BV54" s="9" t="s">
        <v>2908</v>
      </c>
      <c r="BW54" s="8">
        <v>0.0</v>
      </c>
      <c r="BX54" s="8">
        <v>0.0</v>
      </c>
      <c r="BY54" s="8">
        <v>0.0</v>
      </c>
      <c r="BZ54" s="8">
        <v>1.0</v>
      </c>
      <c r="CA54" s="8">
        <v>0.0</v>
      </c>
      <c r="CB54" s="9"/>
      <c r="CC54" s="9" t="s">
        <v>1929</v>
      </c>
      <c r="CD54" s="8">
        <v>0.0</v>
      </c>
      <c r="CE54" s="8">
        <v>0.0</v>
      </c>
      <c r="CF54" s="8">
        <v>0.0</v>
      </c>
      <c r="CG54" s="8">
        <v>0.0</v>
      </c>
      <c r="CH54" s="8">
        <v>1.0</v>
      </c>
      <c r="CI54" s="8">
        <v>0.0</v>
      </c>
      <c r="CJ54" s="8">
        <v>0.0</v>
      </c>
      <c r="CK54" s="9"/>
      <c r="CL54" s="9" t="s">
        <v>857</v>
      </c>
      <c r="CM54" s="8">
        <v>11.0</v>
      </c>
      <c r="CN54" s="9" t="s">
        <v>858</v>
      </c>
      <c r="CO54" s="9" t="s">
        <v>1968</v>
      </c>
      <c r="CP54" s="9" t="s">
        <v>969</v>
      </c>
      <c r="CQ54" s="8">
        <v>0.0</v>
      </c>
      <c r="CR54" s="8">
        <v>0.0</v>
      </c>
      <c r="CS54" s="8">
        <v>0.0</v>
      </c>
      <c r="CT54" s="8">
        <v>0.0</v>
      </c>
      <c r="CU54" s="8">
        <v>0.0</v>
      </c>
      <c r="CV54" s="8">
        <v>0.0</v>
      </c>
      <c r="CW54" s="8">
        <v>0.0</v>
      </c>
      <c r="CX54" s="8">
        <v>1.0</v>
      </c>
      <c r="CY54" s="9" t="s">
        <v>860</v>
      </c>
      <c r="CZ54" s="8">
        <v>1.0</v>
      </c>
      <c r="DA54" s="8">
        <v>0.0</v>
      </c>
      <c r="DB54" s="8">
        <v>0.0</v>
      </c>
      <c r="DC54" s="9"/>
      <c r="DD54" s="9" t="s">
        <v>860</v>
      </c>
      <c r="DE54" s="8">
        <v>1.0</v>
      </c>
      <c r="DF54" s="8">
        <v>0.0</v>
      </c>
      <c r="DG54" s="8">
        <v>0.0</v>
      </c>
      <c r="DH54" s="8">
        <v>0.0</v>
      </c>
      <c r="DI54" s="9"/>
      <c r="DJ54" s="9" t="s">
        <v>2194</v>
      </c>
      <c r="DK54" s="8">
        <v>1.0</v>
      </c>
      <c r="DL54" s="8">
        <v>0.0</v>
      </c>
      <c r="DM54" s="8">
        <v>0.0</v>
      </c>
      <c r="DN54" s="8">
        <v>1.0</v>
      </c>
      <c r="DO54" s="31" t="s">
        <v>2909</v>
      </c>
      <c r="DP54" s="9" t="s">
        <v>938</v>
      </c>
      <c r="DQ54" s="9" t="s">
        <v>939</v>
      </c>
      <c r="DR54" s="17" t="s">
        <v>2030</v>
      </c>
      <c r="DS54" s="9"/>
      <c r="DT54" s="9" t="s">
        <v>2910</v>
      </c>
      <c r="DU54" s="8">
        <v>1.0</v>
      </c>
      <c r="DV54" s="8">
        <v>1.0</v>
      </c>
      <c r="DW54" s="8">
        <v>0.0</v>
      </c>
      <c r="DX54" s="8">
        <v>0.0</v>
      </c>
      <c r="DY54" s="8">
        <v>0.0</v>
      </c>
      <c r="DZ54" s="8">
        <v>0.0</v>
      </c>
      <c r="EA54" s="8">
        <v>0.0</v>
      </c>
      <c r="EB54" s="8">
        <v>0.0</v>
      </c>
      <c r="EC54" s="8">
        <v>0.0</v>
      </c>
      <c r="ED54" s="8">
        <v>1.0</v>
      </c>
      <c r="EE54" s="8">
        <v>0.0</v>
      </c>
      <c r="EF54" s="8">
        <v>0.0</v>
      </c>
      <c r="EG54" s="8">
        <v>0.0</v>
      </c>
      <c r="EH54" s="8">
        <v>0.0</v>
      </c>
      <c r="EI54" s="9" t="s">
        <v>862</v>
      </c>
      <c r="EJ54" s="8">
        <v>0.0</v>
      </c>
      <c r="EK54" s="8">
        <v>0.0</v>
      </c>
      <c r="EL54" s="8">
        <v>0.0</v>
      </c>
      <c r="EM54" s="8">
        <v>1.0</v>
      </c>
      <c r="EN54" s="8">
        <v>0.0</v>
      </c>
      <c r="EO54" s="9"/>
      <c r="EP54" s="9" t="s">
        <v>863</v>
      </c>
      <c r="EQ54" s="9" t="s">
        <v>1380</v>
      </c>
      <c r="ER54" s="9" t="s">
        <v>969</v>
      </c>
      <c r="ES54" s="8">
        <v>0.0</v>
      </c>
      <c r="ET54" s="8">
        <v>0.0</v>
      </c>
      <c r="EU54" s="8">
        <v>0.0</v>
      </c>
      <c r="EV54" s="8">
        <v>1.0</v>
      </c>
      <c r="EW54" s="9" t="s">
        <v>2909</v>
      </c>
      <c r="EX54" s="9" t="s">
        <v>1013</v>
      </c>
      <c r="EY54" s="8">
        <v>1.0</v>
      </c>
      <c r="EZ54" s="8">
        <v>1.0</v>
      </c>
      <c r="FA54" s="8">
        <v>0.0</v>
      </c>
      <c r="FB54" s="9"/>
      <c r="FC54" s="9" t="s">
        <v>866</v>
      </c>
      <c r="FD54" s="9" t="s">
        <v>2032</v>
      </c>
      <c r="FE54" s="9" t="s">
        <v>867</v>
      </c>
      <c r="FF54" s="9" t="s">
        <v>868</v>
      </c>
      <c r="FG54" s="9" t="s">
        <v>867</v>
      </c>
      <c r="FH54" s="9" t="s">
        <v>869</v>
      </c>
      <c r="FI54" s="9" t="s">
        <v>867</v>
      </c>
      <c r="FJ54" s="9" t="s">
        <v>868</v>
      </c>
      <c r="FK54" s="9" t="s">
        <v>867</v>
      </c>
      <c r="FL54" s="9" t="s">
        <v>883</v>
      </c>
      <c r="FM54" s="9" t="s">
        <v>867</v>
      </c>
      <c r="FN54" s="9" t="s">
        <v>870</v>
      </c>
      <c r="FO54" s="9" t="s">
        <v>867</v>
      </c>
      <c r="FP54" s="9" t="s">
        <v>883</v>
      </c>
      <c r="FQ54" s="9" t="s">
        <v>867</v>
      </c>
      <c r="FR54" s="9" t="s">
        <v>857</v>
      </c>
      <c r="FS54" s="9" t="s">
        <v>867</v>
      </c>
      <c r="FT54" s="9" t="s">
        <v>1130</v>
      </c>
      <c r="FU54" s="9" t="s">
        <v>872</v>
      </c>
      <c r="FV54" s="8">
        <v>1.0</v>
      </c>
      <c r="FW54" s="8">
        <v>0.0</v>
      </c>
      <c r="FX54" s="8">
        <v>0.0</v>
      </c>
      <c r="FY54" s="8">
        <v>0.0</v>
      </c>
      <c r="FZ54" s="9" t="s">
        <v>2174</v>
      </c>
      <c r="GA54" s="31"/>
      <c r="GB54" s="12"/>
      <c r="GC54" s="12"/>
      <c r="GD54" s="12"/>
      <c r="GE54" s="12"/>
      <c r="GF54" s="9" t="s">
        <v>2911</v>
      </c>
      <c r="GG54" s="9" t="s">
        <v>883</v>
      </c>
      <c r="GH54" s="9" t="s">
        <v>857</v>
      </c>
      <c r="GI54" s="9" t="s">
        <v>1086</v>
      </c>
      <c r="GJ54" s="8">
        <v>1.0</v>
      </c>
      <c r="GK54" s="8">
        <v>1.0</v>
      </c>
      <c r="GL54" s="8">
        <v>0.0</v>
      </c>
      <c r="GM54" s="8">
        <v>0.0</v>
      </c>
      <c r="GN54" s="9"/>
      <c r="GO54" s="8">
        <v>6.0</v>
      </c>
      <c r="GP54" s="9" t="s">
        <v>877</v>
      </c>
      <c r="GQ54" s="9" t="s">
        <v>1102</v>
      </c>
      <c r="GR54" s="8">
        <v>1.0</v>
      </c>
      <c r="GS54" s="8">
        <v>0.0</v>
      </c>
      <c r="GT54" s="8">
        <v>0.0</v>
      </c>
      <c r="GU54" s="8">
        <v>0.0</v>
      </c>
      <c r="GV54" s="8">
        <v>0.0</v>
      </c>
      <c r="GW54" s="8">
        <v>0.0</v>
      </c>
      <c r="GX54" s="8">
        <v>0.0</v>
      </c>
      <c r="GY54" s="9"/>
      <c r="GZ54" s="9" t="s">
        <v>881</v>
      </c>
      <c r="HA54" s="9"/>
      <c r="HB54" s="9"/>
      <c r="HC54" s="9"/>
      <c r="HD54" s="9"/>
      <c r="HE54" s="8">
        <v>9.0</v>
      </c>
      <c r="HF54" s="8">
        <v>69000.0</v>
      </c>
      <c r="HG54" s="8">
        <v>0.0</v>
      </c>
      <c r="HH54" s="35">
        <v>0.0</v>
      </c>
      <c r="HI54" s="9"/>
      <c r="HJ54" s="9"/>
      <c r="HK54" s="9"/>
      <c r="HL54" s="9"/>
      <c r="HM54" s="9"/>
      <c r="HN54" s="9"/>
      <c r="HO54" s="9"/>
      <c r="HP54" s="9"/>
      <c r="HQ54" s="9"/>
      <c r="HR54" s="9"/>
      <c r="HS54" s="9"/>
      <c r="HT54" s="9"/>
      <c r="HU54" s="9"/>
      <c r="HV54" s="9"/>
      <c r="HW54" s="9"/>
      <c r="HX54" s="9"/>
      <c r="HY54" s="9"/>
      <c r="HZ54" s="9"/>
      <c r="IA54" s="8">
        <v>9.0</v>
      </c>
      <c r="IB54" s="9"/>
      <c r="IC54" s="9"/>
      <c r="ID54" s="9"/>
      <c r="IE54" s="9"/>
      <c r="IF54" s="9"/>
      <c r="IG54" s="9"/>
      <c r="IH54" s="9"/>
      <c r="II54" s="9"/>
      <c r="IJ54" s="9"/>
      <c r="IK54" s="9" t="s">
        <v>1932</v>
      </c>
      <c r="IL54" s="9" t="s">
        <v>1366</v>
      </c>
      <c r="IM54" s="9" t="s">
        <v>857</v>
      </c>
      <c r="IN54" s="9" t="s">
        <v>857</v>
      </c>
      <c r="IO54" s="9" t="s">
        <v>945</v>
      </c>
      <c r="IP54" s="9"/>
      <c r="IQ54" s="9" t="s">
        <v>883</v>
      </c>
      <c r="IR54" s="9"/>
      <c r="IS54" s="9"/>
      <c r="IT54" s="9"/>
      <c r="IU54" s="9"/>
      <c r="IV54" s="9"/>
      <c r="IW54" s="9"/>
      <c r="IX54" s="9"/>
      <c r="IY54" s="9"/>
      <c r="IZ54" s="9" t="s">
        <v>883</v>
      </c>
      <c r="JA54" s="9"/>
      <c r="JB54" s="9"/>
      <c r="JC54" s="9"/>
      <c r="JD54" s="9"/>
      <c r="JE54" s="9"/>
      <c r="JF54" s="9"/>
      <c r="JG54" s="9"/>
      <c r="JH54" s="9"/>
      <c r="JI54" s="9" t="s">
        <v>883</v>
      </c>
      <c r="JJ54" s="9"/>
      <c r="JK54" s="9"/>
      <c r="JL54" s="9"/>
      <c r="JM54" s="9"/>
      <c r="JN54" s="9"/>
      <c r="JO54" s="9"/>
      <c r="JP54" s="9"/>
      <c r="JQ54" s="9"/>
      <c r="JR54" s="9" t="s">
        <v>883</v>
      </c>
      <c r="JS54" s="9"/>
      <c r="JT54" s="9"/>
      <c r="JU54" s="9"/>
      <c r="JV54" s="9"/>
      <c r="JW54" s="9"/>
      <c r="JX54" s="9"/>
      <c r="JY54" s="9"/>
      <c r="JZ54" s="9"/>
      <c r="KA54" s="9" t="s">
        <v>883</v>
      </c>
      <c r="KB54" s="9"/>
      <c r="KC54" s="9"/>
      <c r="KD54" s="9"/>
      <c r="KE54" s="9"/>
      <c r="KF54" s="9"/>
      <c r="KG54" s="9"/>
      <c r="KH54" s="9"/>
      <c r="KI54" s="9"/>
      <c r="KJ54" s="9" t="s">
        <v>883</v>
      </c>
      <c r="KK54" s="9"/>
      <c r="KL54" s="9"/>
      <c r="KM54" s="9"/>
      <c r="KN54" s="9"/>
      <c r="KO54" s="9"/>
      <c r="KP54" s="9"/>
      <c r="KQ54" s="9"/>
      <c r="KR54" s="9"/>
      <c r="KS54" s="9" t="s">
        <v>945</v>
      </c>
      <c r="KT54" s="9" t="s">
        <v>886</v>
      </c>
      <c r="KU54" s="9" t="s">
        <v>886</v>
      </c>
      <c r="KV54" s="9" t="s">
        <v>999</v>
      </c>
      <c r="KW54" s="8">
        <v>0.0</v>
      </c>
      <c r="KX54" s="8">
        <v>0.0</v>
      </c>
      <c r="KY54" s="8">
        <v>0.0</v>
      </c>
      <c r="KZ54" s="8">
        <v>1.0</v>
      </c>
      <c r="LA54" s="9" t="s">
        <v>945</v>
      </c>
      <c r="LB54" s="9" t="s">
        <v>884</v>
      </c>
      <c r="LC54" s="8">
        <v>5.0</v>
      </c>
      <c r="LD54" s="8">
        <v>0.0</v>
      </c>
      <c r="LE54" s="8">
        <v>0.0</v>
      </c>
      <c r="LF54" s="8">
        <v>0.0</v>
      </c>
      <c r="LG54" s="9" t="s">
        <v>857</v>
      </c>
      <c r="LH54" s="8">
        <v>50000.0</v>
      </c>
      <c r="LI54" s="9"/>
      <c r="LJ54" s="9" t="s">
        <v>1933</v>
      </c>
      <c r="LK54" s="8">
        <v>0.0</v>
      </c>
      <c r="LL54" s="8">
        <v>0.0</v>
      </c>
      <c r="LM54" s="8">
        <v>0.0</v>
      </c>
      <c r="LN54" s="8">
        <v>0.0</v>
      </c>
      <c r="LO54" s="8">
        <v>1.0</v>
      </c>
      <c r="LP54" s="8">
        <v>1.0</v>
      </c>
      <c r="LQ54" s="8">
        <v>0.0</v>
      </c>
      <c r="LR54" s="11"/>
      <c r="LS54" s="8">
        <v>10.0</v>
      </c>
      <c r="LT54" s="8">
        <v>10.0</v>
      </c>
      <c r="LU54" s="8">
        <v>0.0</v>
      </c>
      <c r="LV54" s="8">
        <v>10.0</v>
      </c>
      <c r="LW54" s="8">
        <v>0.0</v>
      </c>
      <c r="LX54" s="8">
        <v>0.0</v>
      </c>
      <c r="LY54" s="8">
        <v>15.0</v>
      </c>
      <c r="LZ54" s="8">
        <v>0.0</v>
      </c>
      <c r="MA54" s="8">
        <v>0.0</v>
      </c>
      <c r="MB54" s="9" t="s">
        <v>881</v>
      </c>
      <c r="MC54" s="8">
        <v>0.0</v>
      </c>
      <c r="MD54" s="8">
        <v>0.0</v>
      </c>
      <c r="ME54" s="8">
        <v>0.0</v>
      </c>
      <c r="MF54" s="8">
        <v>0.0</v>
      </c>
      <c r="MG54" s="8">
        <v>0.0</v>
      </c>
      <c r="MH54" s="8">
        <v>0.0</v>
      </c>
      <c r="MI54" s="9"/>
      <c r="MJ54" s="9"/>
      <c r="MK54" s="9"/>
      <c r="ML54" s="9"/>
      <c r="MM54" s="9"/>
      <c r="MN54" s="9"/>
      <c r="MO54" s="9"/>
      <c r="MP54" s="9"/>
      <c r="MQ54" s="9"/>
      <c r="MR54" s="17" t="s">
        <v>2035</v>
      </c>
      <c r="MS54" s="9"/>
      <c r="MT54" s="9" t="s">
        <v>2035</v>
      </c>
      <c r="MU54" s="9" t="s">
        <v>881</v>
      </c>
      <c r="MV54" s="9"/>
      <c r="MW54" s="9"/>
      <c r="MX54" s="9"/>
      <c r="MY54" s="9"/>
      <c r="MZ54" s="9"/>
      <c r="NA54" s="9"/>
      <c r="NB54" s="9"/>
      <c r="NC54" s="9"/>
      <c r="ND54" s="9"/>
      <c r="NE54" s="9"/>
      <c r="NF54" s="9"/>
      <c r="NG54" s="9"/>
      <c r="NH54" s="9"/>
      <c r="NI54" s="9"/>
      <c r="NJ54" s="9"/>
      <c r="NK54" s="9"/>
      <c r="NL54" s="9" t="s">
        <v>881</v>
      </c>
      <c r="NM54" s="9" t="s">
        <v>1386</v>
      </c>
      <c r="NN54" s="17" t="s">
        <v>1975</v>
      </c>
      <c r="NO54" s="17" t="s">
        <v>969</v>
      </c>
      <c r="NP54" s="31" t="s">
        <v>2909</v>
      </c>
      <c r="NQ54" s="9"/>
      <c r="NR54" s="9"/>
      <c r="NS54" s="9"/>
      <c r="NT54" s="9"/>
      <c r="NU54" s="9"/>
      <c r="NV54" s="9"/>
      <c r="NW54" s="9"/>
      <c r="NX54" s="9" t="s">
        <v>914</v>
      </c>
      <c r="NY54" s="8">
        <v>120.0</v>
      </c>
      <c r="NZ54" s="8">
        <v>0.0</v>
      </c>
      <c r="OA54" s="8">
        <v>0.0</v>
      </c>
      <c r="OB54" s="8">
        <v>0.0</v>
      </c>
      <c r="OC54" s="8">
        <v>60.0</v>
      </c>
      <c r="OD54" s="8">
        <v>0.0</v>
      </c>
      <c r="OE54" s="9" t="s">
        <v>945</v>
      </c>
      <c r="OF54" s="9" t="s">
        <v>1184</v>
      </c>
      <c r="OG54" s="9" t="s">
        <v>857</v>
      </c>
      <c r="OH54" s="8">
        <v>2.0</v>
      </c>
      <c r="OI54" s="8">
        <v>0.0</v>
      </c>
      <c r="OJ54" s="8">
        <v>0.0</v>
      </c>
      <c r="OK54" s="8">
        <v>0.0</v>
      </c>
      <c r="OL54" s="8">
        <v>0.0</v>
      </c>
      <c r="OM54" s="8">
        <v>0.0</v>
      </c>
      <c r="ON54" s="8">
        <v>0.0</v>
      </c>
      <c r="OO54" s="8">
        <v>0.0</v>
      </c>
      <c r="OP54" s="9" t="str">
        <f>VLOOKUP(AG54,'BUS 2'!$G$1:$CU$424,2,0)</f>
        <v>Sapi pedaging Ayam</v>
      </c>
      <c r="OQ54" s="8">
        <f>VLOOKUP(AG54,'BUS 2'!$G$1:$CU$424,3,0)</f>
        <v>1</v>
      </c>
      <c r="OR54" s="8">
        <f>VLOOKUP(AG54,'BUS 2'!$G$1:$CU$424,4,0)</f>
        <v>0</v>
      </c>
      <c r="OS54" s="8">
        <f>VLOOKUP(AG54,'BUS 2'!$G$1:$CU$424,5,0)</f>
        <v>0</v>
      </c>
      <c r="OT54" s="8">
        <f>VLOOKUP(AG54,'BUS 2'!$G$1:$CU$424,6,0)</f>
        <v>0</v>
      </c>
      <c r="OU54" s="8">
        <f>VLOOKUP(AG54,'BUS 2'!$G$1:$CU$424,7,0)</f>
        <v>0</v>
      </c>
      <c r="OV54" s="8">
        <f>VLOOKUP(AG54,'BUS 2'!$G$1:$CU$424,8,0)</f>
        <v>0</v>
      </c>
      <c r="OW54" s="8">
        <f>VLOOKUP(AG54,'BUS 2'!$G$1:$CU$424,9,0)</f>
        <v>1</v>
      </c>
      <c r="OX54" s="8">
        <f>VLOOKUP(AG54,'BUS 2'!$G$1:$CU$424,10,0)</f>
        <v>0</v>
      </c>
      <c r="OY54" s="8">
        <f>VLOOKUP(AG54,'BUS 2'!$G$1:$CU$424,11,0)</f>
        <v>0</v>
      </c>
      <c r="OZ54" s="8" t="str">
        <f>VLOOKUP(AG54,'BUS 2'!$G$1:$CU$424,12,0)</f>
        <v>Sapi pedaging Ayam</v>
      </c>
      <c r="PA54" s="8">
        <f>VLOOKUP(AG54,'BUS 2'!$G$1:$CU$424,13,0)</f>
        <v>1</v>
      </c>
      <c r="PB54" s="8">
        <f>VLOOKUP(AG54,'BUS 2'!$G$1:$CU$424,14,0)</f>
        <v>0</v>
      </c>
      <c r="PC54" s="8">
        <f>VLOOKUP(AG54,'BUS 2'!$G$1:$CU$424,15,0)</f>
        <v>0</v>
      </c>
      <c r="PD54" s="8">
        <f>VLOOKUP(AG54,'BUS 2'!$G$1:$CU$424,16,0)</f>
        <v>0</v>
      </c>
      <c r="PE54" s="8">
        <f>VLOOKUP(AG54,'BUS 2'!$G$1:$CU$424,17,0)</f>
        <v>0</v>
      </c>
      <c r="PF54" s="8">
        <f>VLOOKUP(AG54,'BUS 2'!$G$1:$CU$424,18,0)</f>
        <v>0</v>
      </c>
      <c r="PG54" s="8">
        <f>VLOOKUP(AG54,'BUS 2'!$G$1:$CU$424,19,0)</f>
        <v>1</v>
      </c>
      <c r="PH54" s="8">
        <f>VLOOKUP(AG54,'BUS 2'!$G$1:$CU$424,20,0)</f>
        <v>0</v>
      </c>
      <c r="PI54" s="8">
        <f>VLOOKUP(AG54,'BUS 2'!$G$1:$CU$424,21,0)</f>
        <v>0</v>
      </c>
      <c r="PJ54" s="8" t="str">
        <f>VLOOKUP(AG54,'BUS 2'!$G$1:$CU$424,22,0)</f>
        <v>Sapi pedaging</v>
      </c>
      <c r="PK54" s="8">
        <f>VLOOKUP(AG54,'BUS 2'!$G$1:$CU$424,23,0)</f>
        <v>1</v>
      </c>
      <c r="PL54" s="8">
        <f>VLOOKUP(AG54,'BUS 2'!$G$1:$CU$424,24,0)</f>
        <v>0</v>
      </c>
      <c r="PM54" s="8">
        <f>VLOOKUP(AG54,'BUS 2'!$G$1:$CU$424,25,0)</f>
        <v>0</v>
      </c>
      <c r="PN54" s="8">
        <f>VLOOKUP(AG54,'BUS 2'!$G$1:$CU$424,26,0)</f>
        <v>0</v>
      </c>
      <c r="PO54" s="8">
        <f>VLOOKUP(AG54,'BUS 2'!$G$1:$CU$424,27,0)</f>
        <v>0</v>
      </c>
      <c r="PP54" s="8">
        <f>VLOOKUP(AG54,'BUS 2'!$G$1:$CU$424,28,0)</f>
        <v>0</v>
      </c>
      <c r="PQ54" s="8">
        <f>VLOOKUP(AG54,'BUS 2'!$G$1:$CU$424,29,0)</f>
        <v>0</v>
      </c>
      <c r="PR54" s="8">
        <f>VLOOKUP(AG54,'BUS 2'!$G$1:$CU$424,30,0)</f>
        <v>0</v>
      </c>
      <c r="PS54" s="8">
        <f>VLOOKUP(AG54,'BUS 2'!$G$1:$CU$424,31,0)</f>
        <v>0</v>
      </c>
      <c r="PT54" s="9" t="s">
        <v>2070</v>
      </c>
      <c r="PU54" s="8">
        <v>0.0</v>
      </c>
      <c r="PV54" s="8">
        <v>0.0</v>
      </c>
      <c r="PW54" s="8">
        <v>0.0</v>
      </c>
      <c r="PX54" s="8">
        <v>0.0</v>
      </c>
      <c r="PY54" s="8">
        <v>0.0</v>
      </c>
      <c r="PZ54" s="8">
        <v>0.0</v>
      </c>
      <c r="QA54" s="8">
        <v>0.0</v>
      </c>
      <c r="QB54" s="8">
        <v>0.0</v>
      </c>
      <c r="QC54" s="8">
        <v>1.0</v>
      </c>
      <c r="QD54" s="21" t="s">
        <v>2071</v>
      </c>
      <c r="QE54" s="32"/>
      <c r="QF54" s="31"/>
      <c r="QG54" s="31"/>
      <c r="QH54" s="31"/>
      <c r="QI54" s="31"/>
      <c r="QJ54" s="31"/>
      <c r="QK54" s="32"/>
      <c r="QL54" s="32"/>
      <c r="QM54" s="32"/>
      <c r="QN54" s="32"/>
      <c r="QO54" s="32"/>
      <c r="QP54" s="32"/>
      <c r="QQ54" s="32"/>
      <c r="QR54" s="32"/>
      <c r="QS54" s="32"/>
      <c r="QT54" s="32"/>
      <c r="QU54" s="32"/>
      <c r="QV54" s="32"/>
      <c r="QW54" s="31"/>
      <c r="QX54" s="31"/>
      <c r="QY54" s="31"/>
      <c r="QZ54" s="31"/>
      <c r="RA54" s="31"/>
      <c r="RB54" s="32"/>
      <c r="RC54" s="32"/>
      <c r="RD54" s="32"/>
      <c r="RE54" s="32"/>
      <c r="RF54" s="32"/>
      <c r="RG54" s="9"/>
      <c r="RH54" s="31"/>
      <c r="RI54" s="31"/>
      <c r="RJ54" s="31"/>
      <c r="RK54" s="31"/>
      <c r="RL54" s="31"/>
      <c r="RM54" s="9"/>
      <c r="RN54" s="9"/>
      <c r="RO54" s="9"/>
      <c r="RP54" s="9"/>
      <c r="RQ54" s="9"/>
      <c r="RR54" s="9"/>
      <c r="RS54" s="31"/>
      <c r="RT54" s="31"/>
      <c r="RU54" s="31"/>
      <c r="RV54" s="31"/>
      <c r="RW54" s="31"/>
      <c r="RX54" s="9"/>
      <c r="RY54" s="9"/>
      <c r="RZ54" s="9"/>
      <c r="SA54" s="9"/>
      <c r="SB54" s="9"/>
      <c r="SC54" s="9" t="s">
        <v>900</v>
      </c>
      <c r="SD54" s="35">
        <v>0.0</v>
      </c>
      <c r="SE54" s="35">
        <v>0.0</v>
      </c>
      <c r="SF54" s="35">
        <v>0.0</v>
      </c>
      <c r="SG54" s="35">
        <v>0.0</v>
      </c>
      <c r="SH54" s="35">
        <v>0.0</v>
      </c>
      <c r="SI54" s="8">
        <v>1.0</v>
      </c>
      <c r="SJ54" s="8">
        <v>0.0</v>
      </c>
      <c r="SK54" s="8">
        <v>0.0</v>
      </c>
      <c r="SL54" s="8">
        <v>0.0</v>
      </c>
      <c r="SM54" s="9"/>
      <c r="SN54" s="9"/>
      <c r="SO54" s="31"/>
      <c r="SP54" s="31"/>
      <c r="SQ54" s="31"/>
      <c r="SR54" s="31"/>
      <c r="SS54" s="31"/>
      <c r="ST54" s="9"/>
      <c r="SU54" s="9"/>
      <c r="SV54" s="9"/>
      <c r="SW54" s="9"/>
      <c r="SX54" s="9"/>
      <c r="SY54" s="8">
        <f>VLOOKUP(AG54,'BUS 2'!$G$1:$CU$424,33,0)</f>
        <v>10</v>
      </c>
      <c r="SZ54" s="9" t="str">
        <f>VLOOKUP(AG54,'BUS 2'!$G$1:$CU$424,34,0)</f>
        <v/>
      </c>
      <c r="TA54" s="9" t="str">
        <f>VLOOKUP(AG54,'BUS 2'!$G$1:$CU$424,35,0)</f>
        <v/>
      </c>
      <c r="TB54" s="9" t="str">
        <f>VLOOKUP(AG54,'BUS 2'!$G$1:$CU$424,36,0)</f>
        <v/>
      </c>
      <c r="TC54" s="9" t="str">
        <f>VLOOKUP(AG54,'BUS 2'!$G$1:$CU$424,37,0)</f>
        <v/>
      </c>
      <c r="TD54" s="9" t="str">
        <f>VLOOKUP(AG54,'BUS 2'!$G$1:$CU$424,38,0)</f>
        <v/>
      </c>
      <c r="TE54" s="9">
        <f>VLOOKUP(AG54,'BUS 2'!$G$1:$CU$424,39,0)</f>
        <v>20</v>
      </c>
      <c r="TF54" s="9" t="str">
        <f>VLOOKUP(AG54,'BUS 2'!$G$1:$CU$424,40,0)</f>
        <v/>
      </c>
      <c r="TG54" s="8">
        <f>VLOOKUP(AG54,'BUS 2'!$G$1:$CU$424,42,0)</f>
        <v>5</v>
      </c>
      <c r="TH54" s="8" t="str">
        <f>VLOOKUP(AG54,'BUS 2'!$G$1:$CU$424,43,0)</f>
        <v/>
      </c>
      <c r="TI54" s="8" t="str">
        <f>VLOOKUP(AG54,'BUS 2'!$G$1:$CU$424,44,0)</f>
        <v/>
      </c>
      <c r="TJ54" s="8" t="str">
        <f>VLOOKUP(AG54,'BUS 2'!$G$1:$CU$424,45,0)</f>
        <v/>
      </c>
      <c r="TK54" s="8" t="str">
        <f>VLOOKUP(AG54,'BUS 2'!$G$1:$CU$424,46,0)</f>
        <v/>
      </c>
      <c r="TL54" s="8" t="str">
        <f>VLOOKUP(AG54,'BUS 2'!$G$1:$CU$424,47,0)</f>
        <v/>
      </c>
      <c r="TM54" s="8">
        <f>VLOOKUP(AG54,'BUS 2'!$G$1:$CU$424,48,0)</f>
        <v>20</v>
      </c>
      <c r="TN54" s="8" t="str">
        <f>VLOOKUP(AG54,'BUS 2'!$G$1:$CU$424,49,0)</f>
        <v/>
      </c>
      <c r="TO54" s="8">
        <f>VLOOKUP(AG54,'BUS 2'!$G$1:$CU$424,50,0)</f>
        <v>0</v>
      </c>
      <c r="TP54" s="8">
        <f>VLOOKUP(AG54,'BUS 2'!$G$1:$CU$424,51,0)</f>
        <v>0</v>
      </c>
      <c r="TQ54" s="8">
        <f>VLOOKUP(AG54,'BUS 2'!$G$1:$CU$424,52,0)</f>
        <v>0</v>
      </c>
      <c r="TR54" s="8">
        <f>VLOOKUP(AG54,'BUS 2'!$G$1:$CU$424,53,0)</f>
        <v>0</v>
      </c>
      <c r="TS54" s="9" t="str">
        <f>VLOOKUP(AG54,'BUS 2'!$G$1:$CU$424,54,0)</f>
        <v/>
      </c>
      <c r="TT54" s="9" t="str">
        <f>VLOOKUP(AG54,'BUS 2'!$G$1:$CU$424,55,0)</f>
        <v/>
      </c>
      <c r="TU54" s="9" t="str">
        <f>VLOOKUP(AG54,'BUS 2'!$G$1:$CU$424,56,0)</f>
        <v/>
      </c>
      <c r="TV54" s="9" t="str">
        <f>VLOOKUP(AG54,'BUS 2'!$G$1:$CU$424,57,0)</f>
        <v/>
      </c>
      <c r="TW54" s="9" t="str">
        <f>VLOOKUP(AG54,'BUS 2'!$G$1:$CU$424,58,0)</f>
        <v/>
      </c>
      <c r="TX54" s="9" t="str">
        <f>VLOOKUP(AG54,'BUS 2'!$G$1:$CU$424,59,0)</f>
        <v/>
      </c>
      <c r="TY54" s="9" t="str">
        <f>VLOOKUP(AG54,'BUS 2'!$G$1:$CU$424,60,0)</f>
        <v/>
      </c>
      <c r="TZ54" s="9" t="str">
        <f>VLOOKUP(AG54,'BUS 2'!$G$1:$CU$424,61,0)</f>
        <v/>
      </c>
      <c r="UA54" s="9" t="str">
        <f>VLOOKUP(AG54,'BUS 2'!$G$1:$CU$424,62,0)</f>
        <v/>
      </c>
      <c r="UB54" s="9" t="str">
        <f>VLOOKUP(AG54,'BUS 2'!$G$1:$CU$424,63,0)</f>
        <v/>
      </c>
      <c r="UC54" s="9" t="str">
        <f>VLOOKUP(AG54,'BUS 2'!$G$1:$CU$424,64,0)</f>
        <v/>
      </c>
      <c r="UD54" s="9" t="str">
        <f>VLOOKUP(AG54,'BUS 2'!$G$1:$CU$424,65,0)</f>
        <v/>
      </c>
      <c r="UE54" s="9" t="str">
        <f>VLOOKUP(AG54,'BUS 2'!$G$1:$CU$424,66,0)</f>
        <v/>
      </c>
      <c r="UF54" s="9" t="str">
        <f>VLOOKUP(AG54,'BUS 2'!$G$1:$CU$424,67,0)</f>
        <v/>
      </c>
      <c r="UG54" s="9" t="str">
        <f>VLOOKUP(AG54,'BUS 2'!$G$1:$CU$424,68,0)</f>
        <v/>
      </c>
      <c r="UH54" s="9" t="str">
        <f>VLOOKUP(AG54,'BUS 2'!$G$1:$CU$424,69,0)</f>
        <v/>
      </c>
      <c r="UI54" s="9" t="str">
        <f>VLOOKUP(AG54,'BUS 2'!$G$1:$CU$424,70,0)</f>
        <v/>
      </c>
      <c r="UJ54" s="9" t="str">
        <f>VLOOKUP(AG54,'BUS 2'!$G$1:$CU$424,71,0)</f>
        <v/>
      </c>
      <c r="UK54" s="9" t="str">
        <f>VLOOKUP(AG54,'BUS 2'!$G$1:$CU$424,72,0)</f>
        <v/>
      </c>
      <c r="UL54" s="9" t="str">
        <f>VLOOKUP(AG54,'BUS 2'!$G$1:$CU$424,73,0)</f>
        <v/>
      </c>
      <c r="UM54" s="9" t="str">
        <f>VLOOKUP(AG54,'BUS 2'!$G$1:$CU$424,74,0)</f>
        <v/>
      </c>
      <c r="UN54" s="9" t="str">
        <f>VLOOKUP(AG54,'BUS 2'!$G$1:$CU$424,75,0)</f>
        <v/>
      </c>
      <c r="UO54" s="9" t="str">
        <f>VLOOKUP(AG54,'BUS 2'!$G$1:$CU$424,76,0)</f>
        <v/>
      </c>
      <c r="UP54" s="9" t="str">
        <f>VLOOKUP(AG54,'BUS 2'!$G$1:$CU$424,77,0)</f>
        <v/>
      </c>
      <c r="UQ54" s="9" t="str">
        <f>VLOOKUP(AG54,'BUS 2'!$G$1:$CU$424,78,0)</f>
        <v/>
      </c>
      <c r="UR54" s="9" t="str">
        <f>VLOOKUP(AG54,'BUS 2'!$G$1:$CU$424,79,0)</f>
        <v/>
      </c>
      <c r="US54" s="9" t="str">
        <f>VLOOKUP(AG54,'BUS 2'!$G$1:$CU$424,80,0)</f>
        <v/>
      </c>
      <c r="UT54" s="9" t="str">
        <f>VLOOKUP(AG54,'BUS 2'!$G$1:$CU$424,81,0)</f>
        <v/>
      </c>
      <c r="UU54" s="9" t="s">
        <v>1937</v>
      </c>
      <c r="UV54" s="9"/>
      <c r="UW54" s="9"/>
      <c r="UX54" s="9"/>
      <c r="UY54" s="9"/>
      <c r="UZ54" s="9"/>
      <c r="VA54" s="9"/>
      <c r="VB54" s="9"/>
      <c r="VC54" s="9" t="s">
        <v>1938</v>
      </c>
      <c r="VD54" s="9"/>
      <c r="VE54" s="9"/>
      <c r="VF54" s="9"/>
      <c r="VG54" s="9"/>
      <c r="VH54" s="9"/>
      <c r="VI54" s="9"/>
      <c r="VJ54" s="9"/>
      <c r="VK54" s="9" t="s">
        <v>1938</v>
      </c>
      <c r="VL54" s="9"/>
      <c r="VM54" s="9"/>
      <c r="VN54" s="9"/>
      <c r="VO54" s="9"/>
      <c r="VP54" s="9"/>
      <c r="VQ54" s="9"/>
      <c r="VR54" s="9"/>
      <c r="VS54" s="9" t="s">
        <v>1941</v>
      </c>
      <c r="VT54" s="8">
        <v>0.0</v>
      </c>
      <c r="VU54" s="8">
        <v>0.0</v>
      </c>
      <c r="VV54" s="8">
        <v>0.0</v>
      </c>
      <c r="VW54" s="8">
        <v>0.0</v>
      </c>
      <c r="VX54" s="8">
        <v>0.0</v>
      </c>
      <c r="VY54" s="8">
        <v>0.0</v>
      </c>
      <c r="VZ54" s="8">
        <v>0.0</v>
      </c>
      <c r="WA54" s="8">
        <v>0.0</v>
      </c>
      <c r="WB54" s="8">
        <v>0.0</v>
      </c>
      <c r="WC54" s="8">
        <v>0.0</v>
      </c>
      <c r="WD54" s="8">
        <v>0.0</v>
      </c>
      <c r="WE54" s="8">
        <v>1.0</v>
      </c>
      <c r="WF54" s="9"/>
      <c r="WG54" s="9"/>
      <c r="WH54" s="9"/>
      <c r="WI54" s="9"/>
      <c r="WJ54" s="9"/>
      <c r="WK54" s="9"/>
      <c r="WL54" s="9"/>
      <c r="WM54" s="9"/>
      <c r="WN54" s="9"/>
      <c r="WO54" s="9"/>
      <c r="WP54" s="9"/>
      <c r="WQ54" s="9"/>
      <c r="WR54" s="9"/>
      <c r="WS54" s="9"/>
      <c r="WT54" s="9"/>
      <c r="WU54" s="9"/>
      <c r="WV54" s="9"/>
      <c r="WW54" s="9"/>
      <c r="WX54" s="9"/>
      <c r="WY54" s="9"/>
      <c r="WZ54" s="9"/>
      <c r="XA54" s="9"/>
      <c r="XB54" s="9"/>
      <c r="XC54" s="9"/>
      <c r="XD54" s="9"/>
      <c r="XE54" s="9"/>
      <c r="XF54" s="9"/>
      <c r="XG54" s="9"/>
      <c r="XH54" s="9"/>
      <c r="XI54" s="9"/>
      <c r="XJ54" s="9"/>
      <c r="XK54" s="9"/>
      <c r="XL54" s="9"/>
      <c r="XM54" s="9"/>
      <c r="XN54" s="9"/>
      <c r="XO54" s="9"/>
      <c r="XP54" s="9"/>
      <c r="XQ54" s="9"/>
      <c r="XR54" s="9"/>
      <c r="XS54" s="9"/>
      <c r="XT54" s="9"/>
      <c r="XU54" s="9"/>
      <c r="XV54" s="9"/>
      <c r="XW54" s="9"/>
      <c r="XX54" s="9"/>
      <c r="XY54" s="9"/>
      <c r="XZ54" s="9"/>
      <c r="YA54" s="9"/>
      <c r="YB54" s="9"/>
      <c r="YC54" s="9"/>
      <c r="YD54" s="9"/>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8">
        <v>3.0</v>
      </c>
      <c r="ZW54" s="9"/>
      <c r="ZX54" s="9"/>
      <c r="ZY54" s="9"/>
      <c r="ZZ54" s="9"/>
      <c r="AAA54" s="9"/>
      <c r="AAB54" s="9"/>
      <c r="AAC54" s="9"/>
      <c r="AAD54" s="9" t="s">
        <v>1186</v>
      </c>
      <c r="AAE54" s="9"/>
      <c r="AAF54" s="9"/>
      <c r="AAG54" s="9"/>
      <c r="AAH54" s="9"/>
      <c r="AAI54" s="9"/>
      <c r="AAJ54" s="9"/>
      <c r="AAK54" s="9"/>
      <c r="AAL54" s="9" t="s">
        <v>857</v>
      </c>
      <c r="AAM54" s="9" t="s">
        <v>1033</v>
      </c>
      <c r="AAN54" s="8">
        <v>1.0</v>
      </c>
      <c r="AAO54" s="8">
        <v>1.0</v>
      </c>
      <c r="AAP54" s="8">
        <v>3.0</v>
      </c>
      <c r="AAQ54" s="8">
        <v>0.0</v>
      </c>
      <c r="AAR54" s="9" t="s">
        <v>881</v>
      </c>
      <c r="AAS54" s="9" t="s">
        <v>867</v>
      </c>
      <c r="AAT54" s="9" t="s">
        <v>995</v>
      </c>
      <c r="AAU54" s="8">
        <v>1.0</v>
      </c>
      <c r="AAV54" s="8">
        <v>0.0</v>
      </c>
      <c r="AAW54" s="8">
        <v>0.0</v>
      </c>
      <c r="AAX54" s="8">
        <v>0.0</v>
      </c>
      <c r="AAY54" s="8">
        <v>1.0</v>
      </c>
      <c r="AAZ54" s="8">
        <v>0.0</v>
      </c>
      <c r="ABA54" s="8">
        <v>0.0</v>
      </c>
      <c r="ABB54" s="9" t="s">
        <v>2571</v>
      </c>
      <c r="ABC54" s="8">
        <v>1.0</v>
      </c>
      <c r="ABD54" s="8">
        <v>0.0</v>
      </c>
      <c r="ABE54" s="8">
        <v>1.0</v>
      </c>
      <c r="ABF54" s="8">
        <v>0.0</v>
      </c>
      <c r="ABG54" s="8">
        <v>0.0</v>
      </c>
      <c r="ABH54" s="9"/>
      <c r="ABI54" s="9"/>
      <c r="ABJ54" s="9"/>
      <c r="ABK54" s="9"/>
      <c r="ABL54" s="9"/>
      <c r="ABM54" s="9"/>
      <c r="ABN54" s="9"/>
      <c r="ABO54" s="9"/>
      <c r="ABP54" s="9"/>
      <c r="ABQ54" s="9" t="s">
        <v>2912</v>
      </c>
      <c r="ABR54" s="9" t="s">
        <v>2289</v>
      </c>
      <c r="ABS54" s="8">
        <v>2000.0</v>
      </c>
      <c r="ABT54" s="9"/>
      <c r="ABU54" s="8">
        <v>3.0</v>
      </c>
      <c r="ABV54" s="8">
        <v>0.0</v>
      </c>
      <c r="ABW54" s="9" t="s">
        <v>1199</v>
      </c>
      <c r="ABX54" s="9"/>
      <c r="ABY54" s="8">
        <v>150.0</v>
      </c>
      <c r="ABZ54" s="8">
        <v>360000.0</v>
      </c>
      <c r="ACA54" s="8">
        <v>150.0</v>
      </c>
      <c r="ACB54" s="8">
        <v>360000.0</v>
      </c>
      <c r="ACC54" s="8">
        <v>1000.0</v>
      </c>
      <c r="ACD54" s="8">
        <v>1000.0</v>
      </c>
      <c r="ACE54" s="9" t="s">
        <v>857</v>
      </c>
      <c r="ACF54" s="9" t="s">
        <v>945</v>
      </c>
      <c r="ACG54" s="9" t="s">
        <v>911</v>
      </c>
      <c r="ACH54" s="9" t="s">
        <v>945</v>
      </c>
      <c r="ACI54" s="9"/>
      <c r="ACJ54" s="9"/>
      <c r="ACK54" s="9" t="s">
        <v>969</v>
      </c>
      <c r="ACL54" s="8">
        <v>0.0</v>
      </c>
      <c r="ACM54" s="8">
        <v>0.0</v>
      </c>
      <c r="ACN54" s="8">
        <v>0.0</v>
      </c>
      <c r="ACO54" s="8">
        <v>0.0</v>
      </c>
      <c r="ACP54" s="8">
        <v>0.0</v>
      </c>
      <c r="ACQ54" s="8">
        <v>0.0</v>
      </c>
      <c r="ACR54" s="8">
        <v>1.0</v>
      </c>
      <c r="ACS54" s="9" t="s">
        <v>2655</v>
      </c>
      <c r="ACT54" s="9" t="s">
        <v>1945</v>
      </c>
      <c r="ACU54" s="9" t="s">
        <v>1050</v>
      </c>
      <c r="ACV54" s="9" t="s">
        <v>957</v>
      </c>
      <c r="ACW54" s="9" t="s">
        <v>997</v>
      </c>
      <c r="ACX54" s="9" t="s">
        <v>958</v>
      </c>
      <c r="ACY54" s="9" t="s">
        <v>1017</v>
      </c>
      <c r="ACZ54" s="8">
        <v>1.0</v>
      </c>
      <c r="ADA54" s="8">
        <v>1.0</v>
      </c>
      <c r="ADB54" s="8">
        <v>1.0</v>
      </c>
      <c r="ADC54" s="8">
        <v>0.0</v>
      </c>
      <c r="ADD54" s="9" t="s">
        <v>917</v>
      </c>
      <c r="ADE54" s="9" t="s">
        <v>917</v>
      </c>
      <c r="ADF54" s="9" t="s">
        <v>917</v>
      </c>
      <c r="ADG54" s="9" t="s">
        <v>917</v>
      </c>
      <c r="ADH54" s="9" t="s">
        <v>881</v>
      </c>
      <c r="ADI54" s="9"/>
      <c r="ADJ54" s="9" t="s">
        <v>917</v>
      </c>
      <c r="ADK54" s="9"/>
      <c r="ADL54" s="9"/>
      <c r="ADM54" s="9"/>
      <c r="ADN54" s="9"/>
      <c r="ADO54" s="9"/>
      <c r="ADP54" s="9"/>
      <c r="ADQ54" s="9"/>
      <c r="ADR54" s="9"/>
      <c r="ADS54" s="9"/>
      <c r="ADT54" s="9"/>
      <c r="ADU54" s="9" t="s">
        <v>919</v>
      </c>
      <c r="ADV54" s="8">
        <v>0.0</v>
      </c>
      <c r="ADW54" s="8">
        <v>0.0</v>
      </c>
      <c r="ADX54" s="8">
        <v>0.0</v>
      </c>
      <c r="ADY54" s="8">
        <v>0.0</v>
      </c>
      <c r="ADZ54" s="8">
        <v>1.0</v>
      </c>
      <c r="AEA54" s="8">
        <v>0.0</v>
      </c>
      <c r="AEB54" s="8">
        <v>0.0</v>
      </c>
      <c r="AEC54" s="8">
        <v>0.0</v>
      </c>
      <c r="AED54" s="9" t="s">
        <v>2909</v>
      </c>
      <c r="AEE54" s="9" t="s">
        <v>872</v>
      </c>
      <c r="AEF54" s="9"/>
      <c r="AEG54" s="9" t="s">
        <v>920</v>
      </c>
      <c r="AEH54" s="9"/>
      <c r="AEI54" s="9" t="s">
        <v>2913</v>
      </c>
      <c r="AEJ54" s="9" t="s">
        <v>871</v>
      </c>
      <c r="AEK54" s="9" t="s">
        <v>2719</v>
      </c>
      <c r="AEL54" s="8">
        <v>1.0</v>
      </c>
      <c r="AEM54" s="8">
        <v>1.0</v>
      </c>
      <c r="AEN54" s="8">
        <v>1.0</v>
      </c>
      <c r="AEO54" s="8">
        <v>1.0</v>
      </c>
      <c r="AEP54" s="8">
        <v>1.0</v>
      </c>
      <c r="AEQ54" s="8">
        <v>0.0</v>
      </c>
      <c r="AER54" s="8">
        <v>1.0</v>
      </c>
      <c r="AES54" s="8">
        <v>1.0</v>
      </c>
      <c r="AET54" s="8">
        <v>0.0</v>
      </c>
      <c r="AEU54" s="8">
        <v>0.0</v>
      </c>
      <c r="AEV54" s="8">
        <v>1.0</v>
      </c>
      <c r="AEW54" s="8">
        <v>0.0</v>
      </c>
      <c r="AEX54" s="9"/>
      <c r="AEY54" s="9" t="s">
        <v>923</v>
      </c>
      <c r="AEZ54" s="9"/>
      <c r="AFA54" s="9" t="s">
        <v>2077</v>
      </c>
      <c r="AFB54" s="9"/>
      <c r="AFC54" s="9" t="s">
        <v>2914</v>
      </c>
      <c r="AFD54" s="16" t="s">
        <v>2915</v>
      </c>
      <c r="AFE54" s="9" t="s">
        <v>2916</v>
      </c>
      <c r="AFF54" s="16" t="s">
        <v>2917</v>
      </c>
      <c r="AFG54" s="9" t="s">
        <v>1986</v>
      </c>
      <c r="AFH54" s="9"/>
      <c r="AFI54" s="21" t="s">
        <v>2918</v>
      </c>
      <c r="AFJ54" s="9"/>
      <c r="AFK54" s="9"/>
      <c r="AFL54" s="9"/>
      <c r="AFM54" s="9"/>
      <c r="AFN54" s="9"/>
      <c r="AFO54" s="9"/>
      <c r="AFP54" s="9"/>
      <c r="AFQ54" s="9"/>
      <c r="AFR54" s="9"/>
      <c r="AFS54" s="9"/>
      <c r="AFT54" s="9"/>
      <c r="AFU54" s="9"/>
      <c r="AFV54" s="9"/>
      <c r="AFW54" s="9"/>
      <c r="AFX54" s="9"/>
      <c r="AFY54" s="9"/>
      <c r="AFZ54" s="9"/>
      <c r="AGA54" s="9"/>
      <c r="AGB54" s="9"/>
      <c r="AGC54" s="9"/>
      <c r="AGD54" s="9"/>
      <c r="AGE54" s="9"/>
      <c r="AGF54" s="9"/>
      <c r="AGG54" s="9"/>
      <c r="AGH54" s="9"/>
      <c r="AGI54" s="9"/>
      <c r="AGJ54" s="9"/>
      <c r="AGK54" s="9"/>
      <c r="AGL54" s="9"/>
      <c r="AGM54" s="9"/>
      <c r="AGN54" s="9"/>
      <c r="AGO54" s="9"/>
      <c r="AGP54" s="9"/>
      <c r="AGQ54" s="9"/>
      <c r="AGR54" s="9"/>
      <c r="AGS54" s="9"/>
      <c r="AGT54" s="9"/>
      <c r="AGU54" s="9"/>
      <c r="AGV54" s="9"/>
      <c r="AGW54" s="9"/>
      <c r="AGX54" s="9"/>
      <c r="AGY54" s="9"/>
      <c r="AGZ54" s="9"/>
      <c r="AHA54" s="9"/>
      <c r="AHB54" s="9"/>
      <c r="AHC54" s="9"/>
      <c r="AHD54" s="9"/>
      <c r="AHE54" s="9"/>
      <c r="AHF54" s="9"/>
      <c r="AHG54" s="9"/>
      <c r="AHH54" s="9"/>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c r="AMK54" s="9"/>
      <c r="AML54" s="9"/>
      <c r="AMM54" s="9"/>
      <c r="AMN54" s="9"/>
      <c r="AMO54" s="9"/>
      <c r="AMP54" s="9"/>
      <c r="AMQ54" s="9"/>
      <c r="AMR54" s="9"/>
      <c r="AMS54" s="9"/>
      <c r="AMT54" s="9"/>
      <c r="AMU54" s="9"/>
      <c r="AMV54" s="9"/>
      <c r="AMW54" s="9"/>
      <c r="AMX54" s="9"/>
      <c r="AMY54" s="9"/>
      <c r="AMZ54" s="9"/>
      <c r="ANA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8">
        <v>6.83566094E8</v>
      </c>
      <c r="AWB54" s="9" t="s">
        <v>2919</v>
      </c>
      <c r="AWC54" s="6">
        <v>46083.0</v>
      </c>
      <c r="AWD54" s="9"/>
      <c r="AWE54" s="9"/>
      <c r="AWF54" s="9" t="s">
        <v>1954</v>
      </c>
      <c r="AWG54" s="9"/>
      <c r="AWH54" s="9" t="s">
        <v>1989</v>
      </c>
      <c r="AWI54" s="9"/>
      <c r="AWJ54" s="9" t="s">
        <v>2920</v>
      </c>
      <c r="AWK54" s="8">
        <v>480.0</v>
      </c>
      <c r="AWL54" s="9" t="s">
        <v>2907</v>
      </c>
      <c r="AWM54" s="8">
        <v>0.0</v>
      </c>
      <c r="AWN54" s="9" t="s">
        <v>1957</v>
      </c>
      <c r="AWO54" s="33" t="b">
        <v>1</v>
      </c>
      <c r="AWP54" s="33" t="b">
        <v>1</v>
      </c>
      <c r="AWQ54" s="33" t="b">
        <v>1</v>
      </c>
      <c r="AWR54" s="33" t="b">
        <v>1</v>
      </c>
      <c r="AWS54" s="33" t="b">
        <v>1</v>
      </c>
      <c r="AWT54" s="33" t="b">
        <v>1</v>
      </c>
      <c r="AWU54" s="9"/>
      <c r="AWV54" s="8">
        <v>9.0</v>
      </c>
      <c r="AWW54" s="9"/>
      <c r="AWX54" s="9"/>
      <c r="AWY54" s="9"/>
      <c r="AWZ54" s="9"/>
    </row>
    <row r="55">
      <c r="A55" s="6">
        <v>46083.0</v>
      </c>
      <c r="B55" s="6">
        <v>46083.0</v>
      </c>
      <c r="C55" s="30" t="s">
        <v>1958</v>
      </c>
      <c r="D55" s="30" t="s">
        <v>2921</v>
      </c>
      <c r="E55" s="8">
        <f t="shared" si="3"/>
        <v>620</v>
      </c>
      <c r="F55" s="9" t="s">
        <v>2922</v>
      </c>
      <c r="G55" s="8">
        <v>-5.40237</v>
      </c>
      <c r="H55" s="8">
        <v>119.430276</v>
      </c>
      <c r="I55" s="8">
        <v>64.09999847</v>
      </c>
      <c r="J55" s="8">
        <v>12.92599964</v>
      </c>
      <c r="K55" s="8">
        <v>0.0</v>
      </c>
      <c r="L55" s="9" t="s">
        <v>2923</v>
      </c>
      <c r="M55" s="8">
        <v>-5.402373</v>
      </c>
      <c r="N55" s="8">
        <v>119.430548</v>
      </c>
      <c r="O55" s="8">
        <v>64.20000458</v>
      </c>
      <c r="P55" s="8">
        <v>6.900000095</v>
      </c>
      <c r="Q55" s="8">
        <v>0.0</v>
      </c>
      <c r="R55" s="9" t="s">
        <v>1923</v>
      </c>
      <c r="S55" s="8">
        <v>0.0</v>
      </c>
      <c r="T55" s="8">
        <v>0.0</v>
      </c>
      <c r="U55" s="8">
        <v>0.0</v>
      </c>
      <c r="V55" s="8">
        <v>0.0</v>
      </c>
      <c r="W55" s="8">
        <v>0.0</v>
      </c>
      <c r="X55" s="8">
        <v>0.0</v>
      </c>
      <c r="Y55" s="8">
        <v>0.0</v>
      </c>
      <c r="Z55" s="8">
        <v>0.0</v>
      </c>
      <c r="AA55" s="8">
        <v>0.0</v>
      </c>
      <c r="AB55" s="8">
        <v>1.0</v>
      </c>
      <c r="AC55" s="7" t="s">
        <v>2113</v>
      </c>
      <c r="AD55" s="7" t="s">
        <v>2227</v>
      </c>
      <c r="AE55" s="7" t="s">
        <v>2228</v>
      </c>
      <c r="AF55" s="9" t="s">
        <v>2062</v>
      </c>
      <c r="AG55" s="9" t="s">
        <v>2924</v>
      </c>
      <c r="AH55" s="8">
        <v>11.0</v>
      </c>
      <c r="AI55" s="9" t="s">
        <v>933</v>
      </c>
      <c r="AJ55" s="9" t="s">
        <v>934</v>
      </c>
      <c r="AK55" s="8">
        <v>33.0</v>
      </c>
      <c r="AL55" s="9" t="s">
        <v>1444</v>
      </c>
      <c r="AM55" s="9" t="s">
        <v>848</v>
      </c>
      <c r="AN55" s="9" t="s">
        <v>1009</v>
      </c>
      <c r="AO55" s="9" t="s">
        <v>969</v>
      </c>
      <c r="AP55" s="8">
        <v>0.0</v>
      </c>
      <c r="AQ55" s="8">
        <v>0.0</v>
      </c>
      <c r="AR55" s="8">
        <v>0.0</v>
      </c>
      <c r="AS55" s="8">
        <v>0.0</v>
      </c>
      <c r="AT55" s="8">
        <v>0.0</v>
      </c>
      <c r="AU55" s="8">
        <v>0.0</v>
      </c>
      <c r="AV55" s="8">
        <v>1.0</v>
      </c>
      <c r="AW55" s="8">
        <v>0.0</v>
      </c>
      <c r="AX55" s="9" t="s">
        <v>2925</v>
      </c>
      <c r="AY55" s="9" t="s">
        <v>999</v>
      </c>
      <c r="AZ55" s="8">
        <v>0.0</v>
      </c>
      <c r="BA55" s="8">
        <v>0.0</v>
      </c>
      <c r="BB55" s="8">
        <v>0.0</v>
      </c>
      <c r="BC55" s="8">
        <v>0.0</v>
      </c>
      <c r="BD55" s="8">
        <v>0.0</v>
      </c>
      <c r="BE55" s="8">
        <v>0.0</v>
      </c>
      <c r="BF55" s="8">
        <v>0.0</v>
      </c>
      <c r="BG55" s="8">
        <v>1.0</v>
      </c>
      <c r="BH55" s="11"/>
      <c r="BI55" s="9" t="s">
        <v>2118</v>
      </c>
      <c r="BJ55" s="8">
        <v>1.0</v>
      </c>
      <c r="BK55" s="8">
        <v>1.0</v>
      </c>
      <c r="BL55" s="8">
        <v>2.0</v>
      </c>
      <c r="BM55" s="8">
        <v>1.0</v>
      </c>
      <c r="BN55" s="9" t="s">
        <v>853</v>
      </c>
      <c r="BO55" s="9" t="s">
        <v>2000</v>
      </c>
      <c r="BP55" s="8">
        <v>0.0</v>
      </c>
      <c r="BQ55" s="8">
        <v>1.0</v>
      </c>
      <c r="BR55" s="8">
        <v>0.0</v>
      </c>
      <c r="BS55" s="8">
        <v>0.0</v>
      </c>
      <c r="BT55" s="8">
        <v>0.0</v>
      </c>
      <c r="BU55" s="9"/>
      <c r="BV55" s="9" t="s">
        <v>2731</v>
      </c>
      <c r="BW55" s="8">
        <v>1.0</v>
      </c>
      <c r="BX55" s="8">
        <v>0.0</v>
      </c>
      <c r="BY55" s="8">
        <v>1.0</v>
      </c>
      <c r="BZ55" s="8">
        <v>0.0</v>
      </c>
      <c r="CA55" s="8">
        <v>0.0</v>
      </c>
      <c r="CB55" s="9"/>
      <c r="CC55" s="9" t="s">
        <v>1929</v>
      </c>
      <c r="CD55" s="8">
        <v>0.0</v>
      </c>
      <c r="CE55" s="8">
        <v>0.0</v>
      </c>
      <c r="CF55" s="8">
        <v>0.0</v>
      </c>
      <c r="CG55" s="8">
        <v>0.0</v>
      </c>
      <c r="CH55" s="8">
        <v>1.0</v>
      </c>
      <c r="CI55" s="8">
        <v>0.0</v>
      </c>
      <c r="CJ55" s="8">
        <v>0.0</v>
      </c>
      <c r="CK55" s="9"/>
      <c r="CL55" s="9" t="s">
        <v>857</v>
      </c>
      <c r="CM55" s="8">
        <v>2014.0</v>
      </c>
      <c r="CN55" s="9" t="s">
        <v>858</v>
      </c>
      <c r="CO55" s="9" t="s">
        <v>1968</v>
      </c>
      <c r="CP55" s="9" t="s">
        <v>969</v>
      </c>
      <c r="CQ55" s="8">
        <v>0.0</v>
      </c>
      <c r="CR55" s="8">
        <v>0.0</v>
      </c>
      <c r="CS55" s="8">
        <v>0.0</v>
      </c>
      <c r="CT55" s="8">
        <v>0.0</v>
      </c>
      <c r="CU55" s="8">
        <v>0.0</v>
      </c>
      <c r="CV55" s="8">
        <v>0.0</v>
      </c>
      <c r="CW55" s="8">
        <v>0.0</v>
      </c>
      <c r="CX55" s="8">
        <v>1.0</v>
      </c>
      <c r="CY55" s="9" t="s">
        <v>860</v>
      </c>
      <c r="CZ55" s="8">
        <v>1.0</v>
      </c>
      <c r="DA55" s="8">
        <v>0.0</v>
      </c>
      <c r="DB55" s="8">
        <v>0.0</v>
      </c>
      <c r="DC55" s="9"/>
      <c r="DD55" s="9" t="s">
        <v>2194</v>
      </c>
      <c r="DE55" s="8">
        <v>1.0</v>
      </c>
      <c r="DF55" s="8">
        <v>0.0</v>
      </c>
      <c r="DG55" s="8">
        <v>0.0</v>
      </c>
      <c r="DH55" s="8">
        <v>1.0</v>
      </c>
      <c r="DI55" s="31" t="s">
        <v>2230</v>
      </c>
      <c r="DJ55" s="9" t="s">
        <v>860</v>
      </c>
      <c r="DK55" s="8">
        <v>1.0</v>
      </c>
      <c r="DL55" s="8">
        <v>0.0</v>
      </c>
      <c r="DM55" s="8">
        <v>0.0</v>
      </c>
      <c r="DN55" s="8">
        <v>0.0</v>
      </c>
      <c r="DO55" s="9"/>
      <c r="DP55" s="9" t="s">
        <v>938</v>
      </c>
      <c r="DQ55" s="9" t="s">
        <v>939</v>
      </c>
      <c r="DR55" s="17" t="s">
        <v>2030</v>
      </c>
      <c r="DS55" s="9"/>
      <c r="DT55" s="9" t="s">
        <v>2031</v>
      </c>
      <c r="DU55" s="8">
        <v>1.0</v>
      </c>
      <c r="DV55" s="8">
        <v>0.0</v>
      </c>
      <c r="DW55" s="8">
        <v>0.0</v>
      </c>
      <c r="DX55" s="8">
        <v>0.0</v>
      </c>
      <c r="DY55" s="8">
        <v>0.0</v>
      </c>
      <c r="DZ55" s="8">
        <v>0.0</v>
      </c>
      <c r="EA55" s="8">
        <v>0.0</v>
      </c>
      <c r="EB55" s="8">
        <v>0.0</v>
      </c>
      <c r="EC55" s="8">
        <v>0.0</v>
      </c>
      <c r="ED55" s="8">
        <v>0.0</v>
      </c>
      <c r="EE55" s="8">
        <v>0.0</v>
      </c>
      <c r="EF55" s="8">
        <v>0.0</v>
      </c>
      <c r="EG55" s="8">
        <v>0.0</v>
      </c>
      <c r="EH55" s="8">
        <v>0.0</v>
      </c>
      <c r="EI55" s="9" t="s">
        <v>862</v>
      </c>
      <c r="EJ55" s="8">
        <v>0.0</v>
      </c>
      <c r="EK55" s="8">
        <v>0.0</v>
      </c>
      <c r="EL55" s="8">
        <v>0.0</v>
      </c>
      <c r="EM55" s="8">
        <v>1.0</v>
      </c>
      <c r="EN55" s="8">
        <v>0.0</v>
      </c>
      <c r="EO55" s="9"/>
      <c r="EP55" s="9" t="s">
        <v>863</v>
      </c>
      <c r="EQ55" s="9" t="s">
        <v>1380</v>
      </c>
      <c r="ER55" s="9" t="s">
        <v>969</v>
      </c>
      <c r="ES55" s="8">
        <v>0.0</v>
      </c>
      <c r="ET55" s="8">
        <v>0.0</v>
      </c>
      <c r="EU55" s="8">
        <v>0.0</v>
      </c>
      <c r="EV55" s="8">
        <v>1.0</v>
      </c>
      <c r="EW55" s="9" t="s">
        <v>2230</v>
      </c>
      <c r="EX55" s="9" t="s">
        <v>865</v>
      </c>
      <c r="EY55" s="8">
        <v>1.0</v>
      </c>
      <c r="EZ55" s="8">
        <v>0.0</v>
      </c>
      <c r="FA55" s="8">
        <v>0.0</v>
      </c>
      <c r="FB55" s="9"/>
      <c r="FC55" s="9" t="s">
        <v>1072</v>
      </c>
      <c r="FD55" s="9" t="s">
        <v>2032</v>
      </c>
      <c r="FE55" s="9" t="s">
        <v>867</v>
      </c>
      <c r="FF55" s="9" t="s">
        <v>868</v>
      </c>
      <c r="FG55" s="9" t="s">
        <v>867</v>
      </c>
      <c r="FH55" s="9" t="s">
        <v>868</v>
      </c>
      <c r="FI55" s="9" t="s">
        <v>867</v>
      </c>
      <c r="FJ55" s="9" t="s">
        <v>883</v>
      </c>
      <c r="FK55" s="9" t="s">
        <v>1971</v>
      </c>
      <c r="FL55" s="9" t="s">
        <v>883</v>
      </c>
      <c r="FM55" s="9" t="s">
        <v>867</v>
      </c>
      <c r="FN55" s="9" t="s">
        <v>868</v>
      </c>
      <c r="FO55" s="9" t="s">
        <v>867</v>
      </c>
      <c r="FP55" s="9" t="s">
        <v>868</v>
      </c>
      <c r="FQ55" s="9" t="s">
        <v>867</v>
      </c>
      <c r="FR55" s="9" t="s">
        <v>857</v>
      </c>
      <c r="FS55" s="9" t="s">
        <v>1971</v>
      </c>
      <c r="FT55" s="9" t="s">
        <v>2173</v>
      </c>
      <c r="FU55" s="9" t="s">
        <v>872</v>
      </c>
      <c r="FV55" s="8">
        <v>1.0</v>
      </c>
      <c r="FW55" s="8">
        <v>0.0</v>
      </c>
      <c r="FX55" s="8">
        <v>0.0</v>
      </c>
      <c r="FY55" s="8">
        <v>0.0</v>
      </c>
      <c r="FZ55" s="9" t="s">
        <v>2174</v>
      </c>
      <c r="GA55" s="31"/>
      <c r="GB55" s="12"/>
      <c r="GC55" s="12"/>
      <c r="GD55" s="12"/>
      <c r="GE55" s="12"/>
      <c r="GF55" s="9" t="s">
        <v>2174</v>
      </c>
      <c r="GG55" s="9" t="s">
        <v>883</v>
      </c>
      <c r="GH55" s="9" t="s">
        <v>881</v>
      </c>
      <c r="GI55" s="9"/>
      <c r="GJ55" s="9"/>
      <c r="GK55" s="9"/>
      <c r="GL55" s="9"/>
      <c r="GM55" s="9"/>
      <c r="GN55" s="9"/>
      <c r="GO55" s="9"/>
      <c r="GP55" s="9" t="s">
        <v>1931</v>
      </c>
      <c r="GQ55" s="9" t="s">
        <v>1102</v>
      </c>
      <c r="GR55" s="8">
        <v>1.0</v>
      </c>
      <c r="GS55" s="8">
        <v>0.0</v>
      </c>
      <c r="GT55" s="8">
        <v>0.0</v>
      </c>
      <c r="GU55" s="8">
        <v>0.0</v>
      </c>
      <c r="GV55" s="8">
        <v>0.0</v>
      </c>
      <c r="GW55" s="8">
        <v>0.0</v>
      </c>
      <c r="GX55" s="8">
        <v>0.0</v>
      </c>
      <c r="GY55" s="9"/>
      <c r="GZ55" s="21" t="s">
        <v>881</v>
      </c>
      <c r="HA55" s="21"/>
      <c r="HB55" s="21"/>
      <c r="HC55" s="21"/>
      <c r="HD55" s="21"/>
      <c r="HE55" s="39">
        <v>9.0</v>
      </c>
      <c r="HF55" s="39">
        <v>60000.0</v>
      </c>
      <c r="HG55" s="39">
        <v>3.0</v>
      </c>
      <c r="HH55" s="39">
        <v>20000.0</v>
      </c>
      <c r="HI55" s="9"/>
      <c r="HJ55" s="9"/>
      <c r="HK55" s="9"/>
      <c r="HL55" s="9"/>
      <c r="HM55" s="9"/>
      <c r="HN55" s="9"/>
      <c r="HO55" s="9"/>
      <c r="HP55" s="9"/>
      <c r="HQ55" s="9"/>
      <c r="HR55" s="9"/>
      <c r="HS55" s="9"/>
      <c r="HT55" s="9"/>
      <c r="HU55" s="9"/>
      <c r="HV55" s="9"/>
      <c r="HW55" s="9"/>
      <c r="HX55" s="9"/>
      <c r="HY55" s="9"/>
      <c r="HZ55" s="9"/>
      <c r="IA55" s="35">
        <v>6.0</v>
      </c>
      <c r="IB55" s="31"/>
      <c r="IC55" s="9"/>
      <c r="ID55" s="9"/>
      <c r="IE55" s="9"/>
      <c r="IF55" s="9"/>
      <c r="IG55" s="9"/>
      <c r="IH55" s="9"/>
      <c r="II55" s="9"/>
      <c r="IJ55" s="9"/>
      <c r="IK55" s="9" t="s">
        <v>1932</v>
      </c>
      <c r="IL55" s="9" t="s">
        <v>1366</v>
      </c>
      <c r="IM55" s="9" t="s">
        <v>857</v>
      </c>
      <c r="IN55" s="9" t="s">
        <v>881</v>
      </c>
      <c r="IO55" s="9" t="s">
        <v>945</v>
      </c>
      <c r="IP55" s="9"/>
      <c r="IQ55" s="9" t="s">
        <v>883</v>
      </c>
      <c r="IR55" s="9"/>
      <c r="IS55" s="9"/>
      <c r="IT55" s="9"/>
      <c r="IU55" s="9"/>
      <c r="IV55" s="9"/>
      <c r="IW55" s="9"/>
      <c r="IX55" s="9"/>
      <c r="IY55" s="9"/>
      <c r="IZ55" s="9" t="s">
        <v>883</v>
      </c>
      <c r="JA55" s="9"/>
      <c r="JB55" s="9"/>
      <c r="JC55" s="9"/>
      <c r="JD55" s="9"/>
      <c r="JE55" s="9"/>
      <c r="JF55" s="9"/>
      <c r="JG55" s="9"/>
      <c r="JH55" s="9"/>
      <c r="JI55" s="9" t="s">
        <v>883</v>
      </c>
      <c r="JJ55" s="9"/>
      <c r="JK55" s="9"/>
      <c r="JL55" s="9"/>
      <c r="JM55" s="9"/>
      <c r="JN55" s="9"/>
      <c r="JO55" s="9"/>
      <c r="JP55" s="9"/>
      <c r="JQ55" s="9"/>
      <c r="JR55" s="9" t="s">
        <v>883</v>
      </c>
      <c r="JS55" s="9"/>
      <c r="JT55" s="9"/>
      <c r="JU55" s="9"/>
      <c r="JV55" s="9"/>
      <c r="JW55" s="9"/>
      <c r="JX55" s="9"/>
      <c r="JY55" s="9"/>
      <c r="JZ55" s="9"/>
      <c r="KA55" s="9" t="s">
        <v>883</v>
      </c>
      <c r="KB55" s="9"/>
      <c r="KC55" s="9"/>
      <c r="KD55" s="9"/>
      <c r="KE55" s="9"/>
      <c r="KF55" s="9"/>
      <c r="KG55" s="9"/>
      <c r="KH55" s="9"/>
      <c r="KI55" s="9"/>
      <c r="KJ55" s="9" t="s">
        <v>883</v>
      </c>
      <c r="KK55" s="9"/>
      <c r="KL55" s="9"/>
      <c r="KM55" s="9"/>
      <c r="KN55" s="9"/>
      <c r="KO55" s="9"/>
      <c r="KP55" s="9"/>
      <c r="KQ55" s="9"/>
      <c r="KR55" s="9"/>
      <c r="KS55" s="9" t="s">
        <v>945</v>
      </c>
      <c r="KT55" s="9" t="s">
        <v>886</v>
      </c>
      <c r="KU55" s="9" t="s">
        <v>886</v>
      </c>
      <c r="KV55" s="9" t="s">
        <v>999</v>
      </c>
      <c r="KW55" s="8">
        <v>0.0</v>
      </c>
      <c r="KX55" s="8">
        <v>0.0</v>
      </c>
      <c r="KY55" s="8">
        <v>0.0</v>
      </c>
      <c r="KZ55" s="8">
        <v>1.0</v>
      </c>
      <c r="LA55" s="9" t="s">
        <v>945</v>
      </c>
      <c r="LB55" s="9" t="s">
        <v>1180</v>
      </c>
      <c r="LC55" s="8">
        <v>0.0</v>
      </c>
      <c r="LD55" s="8">
        <v>0.0</v>
      </c>
      <c r="LE55" s="8">
        <v>0.0</v>
      </c>
      <c r="LF55" s="8">
        <v>8.0</v>
      </c>
      <c r="LG55" s="9" t="s">
        <v>881</v>
      </c>
      <c r="LH55" s="9"/>
      <c r="LI55" s="8">
        <v>0.0</v>
      </c>
      <c r="LJ55" s="9" t="s">
        <v>969</v>
      </c>
      <c r="LK55" s="8">
        <v>0.0</v>
      </c>
      <c r="LL55" s="8">
        <v>0.0</v>
      </c>
      <c r="LM55" s="8">
        <v>0.0</v>
      </c>
      <c r="LN55" s="8">
        <v>0.0</v>
      </c>
      <c r="LO55" s="8">
        <v>0.0</v>
      </c>
      <c r="LP55" s="8">
        <v>0.0</v>
      </c>
      <c r="LQ55" s="8">
        <v>1.0</v>
      </c>
      <c r="LR55" s="11" t="s">
        <v>1973</v>
      </c>
      <c r="LS55" s="8">
        <v>20.0</v>
      </c>
      <c r="LT55" s="8">
        <v>0.0</v>
      </c>
      <c r="LU55" s="8">
        <v>20.0</v>
      </c>
      <c r="LV55" s="8">
        <v>10.0</v>
      </c>
      <c r="LW55" s="8">
        <v>0.0</v>
      </c>
      <c r="LX55" s="8">
        <v>10.0</v>
      </c>
      <c r="LY55" s="8">
        <v>30.0</v>
      </c>
      <c r="LZ55" s="8">
        <v>0.0</v>
      </c>
      <c r="MA55" s="8">
        <v>30.0</v>
      </c>
      <c r="MB55" s="9" t="s">
        <v>881</v>
      </c>
      <c r="MC55" s="8">
        <v>0.0</v>
      </c>
      <c r="MD55" s="8">
        <v>0.0</v>
      </c>
      <c r="ME55" s="8">
        <v>0.0</v>
      </c>
      <c r="MF55" s="8">
        <v>0.0</v>
      </c>
      <c r="MG55" s="8">
        <v>0.0</v>
      </c>
      <c r="MH55" s="8">
        <v>0.0</v>
      </c>
      <c r="MI55" s="9"/>
      <c r="MJ55" s="9"/>
      <c r="MK55" s="9"/>
      <c r="ML55" s="9"/>
      <c r="MM55" s="9"/>
      <c r="MN55" s="9"/>
      <c r="MO55" s="9"/>
      <c r="MP55" s="9"/>
      <c r="MQ55" s="9"/>
      <c r="MR55" s="17" t="s">
        <v>2926</v>
      </c>
      <c r="MS55" s="9"/>
      <c r="MT55" s="9" t="s">
        <v>2926</v>
      </c>
      <c r="MU55" s="9" t="s">
        <v>881</v>
      </c>
      <c r="MV55" s="9"/>
      <c r="MW55" s="9"/>
      <c r="MX55" s="9"/>
      <c r="MY55" s="9"/>
      <c r="MZ55" s="9"/>
      <c r="NA55" s="9"/>
      <c r="NB55" s="9"/>
      <c r="NC55" s="9"/>
      <c r="ND55" s="9"/>
      <c r="NE55" s="9"/>
      <c r="NF55" s="9"/>
      <c r="NG55" s="9"/>
      <c r="NH55" s="9"/>
      <c r="NI55" s="9"/>
      <c r="NJ55" s="9"/>
      <c r="NK55" s="9"/>
      <c r="NL55" s="9" t="s">
        <v>881</v>
      </c>
      <c r="NM55" s="9" t="s">
        <v>1386</v>
      </c>
      <c r="NN55" s="17" t="s">
        <v>1975</v>
      </c>
      <c r="NO55" s="17" t="s">
        <v>969</v>
      </c>
      <c r="NP55" s="31" t="s">
        <v>2230</v>
      </c>
      <c r="NQ55" s="9"/>
      <c r="NR55" s="9"/>
      <c r="NS55" s="9"/>
      <c r="NT55" s="9"/>
      <c r="NU55" s="9"/>
      <c r="NV55" s="9"/>
      <c r="NW55" s="9"/>
      <c r="NX55" s="9" t="s">
        <v>914</v>
      </c>
      <c r="NY55" s="8">
        <v>180.0</v>
      </c>
      <c r="NZ55" s="8">
        <v>0.0</v>
      </c>
      <c r="OA55" s="8">
        <v>0.0</v>
      </c>
      <c r="OB55" s="8">
        <v>0.0</v>
      </c>
      <c r="OC55" s="8">
        <v>60.0</v>
      </c>
      <c r="OD55" s="8">
        <v>60.0</v>
      </c>
      <c r="OE55" s="9" t="s">
        <v>945</v>
      </c>
      <c r="OF55" s="9" t="s">
        <v>2175</v>
      </c>
      <c r="OG55" s="9" t="s">
        <v>857</v>
      </c>
      <c r="OH55" s="8">
        <v>0.0</v>
      </c>
      <c r="OI55" s="8">
        <v>0.0</v>
      </c>
      <c r="OJ55" s="8">
        <v>0.0</v>
      </c>
      <c r="OK55" s="8">
        <v>0.0</v>
      </c>
      <c r="OL55" s="8">
        <v>0.0</v>
      </c>
      <c r="OM55" s="8">
        <v>0.0</v>
      </c>
      <c r="ON55" s="8">
        <v>1.0</v>
      </c>
      <c r="OO55" s="8">
        <v>2.0</v>
      </c>
      <c r="OP55" s="9" t="str">
        <f>VLOOKUP(AG55,'BUS 2'!$G$1:$CU$424,2,0)</f>
        <v>Sapi pedaging Ayam Unggas lainnya</v>
      </c>
      <c r="OQ55" s="8">
        <f>VLOOKUP(AG55,'BUS 2'!$G$1:$CU$424,3,0)</f>
        <v>1</v>
      </c>
      <c r="OR55" s="8">
        <f>VLOOKUP(AG55,'BUS 2'!$G$1:$CU$424,4,0)</f>
        <v>0</v>
      </c>
      <c r="OS55" s="8">
        <f>VLOOKUP(AG55,'BUS 2'!$G$1:$CU$424,5,0)</f>
        <v>0</v>
      </c>
      <c r="OT55" s="8">
        <f>VLOOKUP(AG55,'BUS 2'!$G$1:$CU$424,6,0)</f>
        <v>0</v>
      </c>
      <c r="OU55" s="8">
        <f>VLOOKUP(AG55,'BUS 2'!$G$1:$CU$424,7,0)</f>
        <v>0</v>
      </c>
      <c r="OV55" s="8">
        <f>VLOOKUP(AG55,'BUS 2'!$G$1:$CU$424,8,0)</f>
        <v>0</v>
      </c>
      <c r="OW55" s="8">
        <f>VLOOKUP(AG55,'BUS 2'!$G$1:$CU$424,9,0)</f>
        <v>1</v>
      </c>
      <c r="OX55" s="8">
        <f>VLOOKUP(AG55,'BUS 2'!$G$1:$CU$424,10,0)</f>
        <v>1</v>
      </c>
      <c r="OY55" s="8">
        <f>VLOOKUP(AG55,'BUS 2'!$G$1:$CU$424,11,0)</f>
        <v>0</v>
      </c>
      <c r="OZ55" s="8" t="str">
        <f>VLOOKUP(AG55,'BUS 2'!$G$1:$CU$424,12,0)</f>
        <v>Sapi pedaging</v>
      </c>
      <c r="PA55" s="8">
        <f>VLOOKUP(AG55,'BUS 2'!$G$1:$CU$424,13,0)</f>
        <v>1</v>
      </c>
      <c r="PB55" s="8">
        <f>VLOOKUP(AG55,'BUS 2'!$G$1:$CU$424,14,0)</f>
        <v>0</v>
      </c>
      <c r="PC55" s="8">
        <f>VLOOKUP(AG55,'BUS 2'!$G$1:$CU$424,15,0)</f>
        <v>0</v>
      </c>
      <c r="PD55" s="8">
        <f>VLOOKUP(AG55,'BUS 2'!$G$1:$CU$424,16,0)</f>
        <v>0</v>
      </c>
      <c r="PE55" s="8">
        <f>VLOOKUP(AG55,'BUS 2'!$G$1:$CU$424,17,0)</f>
        <v>0</v>
      </c>
      <c r="PF55" s="8">
        <f>VLOOKUP(AG55,'BUS 2'!$G$1:$CU$424,18,0)</f>
        <v>0</v>
      </c>
      <c r="PG55" s="8">
        <f>VLOOKUP(AG55,'BUS 2'!$G$1:$CU$424,19,0)</f>
        <v>0</v>
      </c>
      <c r="PH55" s="8">
        <f>VLOOKUP(AG55,'BUS 2'!$G$1:$CU$424,20,0)</f>
        <v>0</v>
      </c>
      <c r="PI55" s="8">
        <f>VLOOKUP(AG55,'BUS 2'!$G$1:$CU$424,21,0)</f>
        <v>0</v>
      </c>
      <c r="PJ55" s="8" t="str">
        <f>VLOOKUP(AG55,'BUS 2'!$G$1:$CU$424,22,0)</f>
        <v>Ayam Unggas lainnya</v>
      </c>
      <c r="PK55" s="8">
        <f>VLOOKUP(AG55,'BUS 2'!$G$1:$CU$424,23,0)</f>
        <v>0</v>
      </c>
      <c r="PL55" s="8">
        <f>VLOOKUP(AG55,'BUS 2'!$G$1:$CU$424,24,0)</f>
        <v>0</v>
      </c>
      <c r="PM55" s="8">
        <f>VLOOKUP(AG55,'BUS 2'!$G$1:$CU$424,25,0)</f>
        <v>0</v>
      </c>
      <c r="PN55" s="8">
        <f>VLOOKUP(AG55,'BUS 2'!$G$1:$CU$424,26,0)</f>
        <v>0</v>
      </c>
      <c r="PO55" s="8">
        <f>VLOOKUP(AG55,'BUS 2'!$G$1:$CU$424,27,0)</f>
        <v>0</v>
      </c>
      <c r="PP55" s="8">
        <f>VLOOKUP(AG55,'BUS 2'!$G$1:$CU$424,28,0)</f>
        <v>0</v>
      </c>
      <c r="PQ55" s="8">
        <f>VLOOKUP(AG55,'BUS 2'!$G$1:$CU$424,29,0)</f>
        <v>1</v>
      </c>
      <c r="PR55" s="8">
        <f>VLOOKUP(AG55,'BUS 2'!$G$1:$CU$424,30,0)</f>
        <v>1</v>
      </c>
      <c r="PS55" s="8">
        <f>VLOOKUP(AG55,'BUS 2'!$G$1:$CU$424,31,0)</f>
        <v>0</v>
      </c>
      <c r="PT55" s="9" t="s">
        <v>2927</v>
      </c>
      <c r="PU55" s="8">
        <v>0.0</v>
      </c>
      <c r="PV55" s="8">
        <v>0.0</v>
      </c>
      <c r="PW55" s="8">
        <v>0.0</v>
      </c>
      <c r="PX55" s="8">
        <v>0.0</v>
      </c>
      <c r="PY55" s="8">
        <v>0.0</v>
      </c>
      <c r="PZ55" s="8">
        <v>0.0</v>
      </c>
      <c r="QA55" s="8">
        <v>1.0</v>
      </c>
      <c r="QB55" s="8">
        <v>0.0</v>
      </c>
      <c r="QC55" s="8">
        <v>0.0</v>
      </c>
      <c r="QD55" s="9"/>
      <c r="QE55" s="32"/>
      <c r="QF55" s="31"/>
      <c r="QG55" s="31"/>
      <c r="QH55" s="31"/>
      <c r="QI55" s="31"/>
      <c r="QJ55" s="31"/>
      <c r="QK55" s="32"/>
      <c r="QL55" s="32"/>
      <c r="QM55" s="32"/>
      <c r="QN55" s="32"/>
      <c r="QO55" s="32"/>
      <c r="QP55" s="32"/>
      <c r="QQ55" s="32"/>
      <c r="QR55" s="32"/>
      <c r="QS55" s="32"/>
      <c r="QT55" s="32"/>
      <c r="QU55" s="32"/>
      <c r="QV55" s="32"/>
      <c r="QW55" s="31"/>
      <c r="QX55" s="31"/>
      <c r="QY55" s="31"/>
      <c r="QZ55" s="31"/>
      <c r="RA55" s="31"/>
      <c r="RB55" s="32"/>
      <c r="RC55" s="32"/>
      <c r="RD55" s="32"/>
      <c r="RE55" s="32"/>
      <c r="RF55" s="32"/>
      <c r="RG55" s="9"/>
      <c r="RH55" s="31"/>
      <c r="RI55" s="31"/>
      <c r="RJ55" s="31"/>
      <c r="RK55" s="31"/>
      <c r="RL55" s="31"/>
      <c r="RM55" s="9"/>
      <c r="RN55" s="9"/>
      <c r="RO55" s="9"/>
      <c r="RP55" s="9"/>
      <c r="RQ55" s="9"/>
      <c r="RR55" s="9"/>
      <c r="RS55" s="31"/>
      <c r="RT55" s="31"/>
      <c r="RU55" s="31"/>
      <c r="RV55" s="31"/>
      <c r="RW55" s="31"/>
      <c r="RX55" s="9"/>
      <c r="RY55" s="9"/>
      <c r="RZ55" s="9"/>
      <c r="SA55" s="9"/>
      <c r="SB55" s="9"/>
      <c r="SC55" s="9" t="s">
        <v>900</v>
      </c>
      <c r="SD55" s="35">
        <v>0.0</v>
      </c>
      <c r="SE55" s="35">
        <v>0.0</v>
      </c>
      <c r="SF55" s="35">
        <v>0.0</v>
      </c>
      <c r="SG55" s="35">
        <v>0.0</v>
      </c>
      <c r="SH55" s="35">
        <v>0.0</v>
      </c>
      <c r="SI55" s="8">
        <v>1.0</v>
      </c>
      <c r="SJ55" s="8">
        <v>0.0</v>
      </c>
      <c r="SK55" s="8">
        <v>0.0</v>
      </c>
      <c r="SL55" s="8">
        <v>0.0</v>
      </c>
      <c r="SM55" s="9"/>
      <c r="SN55" s="9" t="s">
        <v>900</v>
      </c>
      <c r="SO55" s="35">
        <v>0.0</v>
      </c>
      <c r="SP55" s="35">
        <v>0.0</v>
      </c>
      <c r="SQ55" s="35">
        <v>0.0</v>
      </c>
      <c r="SR55" s="35">
        <v>0.0</v>
      </c>
      <c r="SS55" s="35">
        <v>0.0</v>
      </c>
      <c r="ST55" s="8">
        <v>1.0</v>
      </c>
      <c r="SU55" s="8">
        <v>0.0</v>
      </c>
      <c r="SV55" s="8">
        <v>0.0</v>
      </c>
      <c r="SW55" s="8">
        <v>0.0</v>
      </c>
      <c r="SX55" s="9"/>
      <c r="SY55" s="8">
        <f>VLOOKUP(AG55,'BUS 2'!$G$1:$CU$424,33,0)</f>
        <v>4</v>
      </c>
      <c r="SZ55" s="9" t="str">
        <f>VLOOKUP(AG55,'BUS 2'!$G$1:$CU$424,34,0)</f>
        <v/>
      </c>
      <c r="TA55" s="9" t="str">
        <f>VLOOKUP(AG55,'BUS 2'!$G$1:$CU$424,35,0)</f>
        <v/>
      </c>
      <c r="TB55" s="9" t="str">
        <f>VLOOKUP(AG55,'BUS 2'!$G$1:$CU$424,36,0)</f>
        <v/>
      </c>
      <c r="TC55" s="9" t="str">
        <f>VLOOKUP(AG55,'BUS 2'!$G$1:$CU$424,37,0)</f>
        <v/>
      </c>
      <c r="TD55" s="9" t="str">
        <f>VLOOKUP(AG55,'BUS 2'!$G$1:$CU$424,38,0)</f>
        <v/>
      </c>
      <c r="TE55" s="9">
        <f>VLOOKUP(AG55,'BUS 2'!$G$1:$CU$424,39,0)</f>
        <v>0</v>
      </c>
      <c r="TF55" s="9">
        <f>VLOOKUP(AG55,'BUS 2'!$G$1:$CU$424,40,0)</f>
        <v>0</v>
      </c>
      <c r="TG55" s="8">
        <f>VLOOKUP(AG55,'BUS 2'!$G$1:$CU$424,42,0)</f>
        <v>4</v>
      </c>
      <c r="TH55" s="8" t="str">
        <f>VLOOKUP(AG55,'BUS 2'!$G$1:$CU$424,43,0)</f>
        <v/>
      </c>
      <c r="TI55" s="8" t="str">
        <f>VLOOKUP(AG55,'BUS 2'!$G$1:$CU$424,44,0)</f>
        <v/>
      </c>
      <c r="TJ55" s="8" t="str">
        <f>VLOOKUP(AG55,'BUS 2'!$G$1:$CU$424,45,0)</f>
        <v/>
      </c>
      <c r="TK55" s="8" t="str">
        <f>VLOOKUP(AG55,'BUS 2'!$G$1:$CU$424,46,0)</f>
        <v/>
      </c>
      <c r="TL55" s="8" t="str">
        <f>VLOOKUP(AG55,'BUS 2'!$G$1:$CU$424,47,0)</f>
        <v/>
      </c>
      <c r="TM55" s="8" t="str">
        <f>VLOOKUP(AG55,'BUS 2'!$G$1:$CU$424,48,0)</f>
        <v/>
      </c>
      <c r="TN55" s="8" t="str">
        <f>VLOOKUP(AG55,'BUS 2'!$G$1:$CU$424,49,0)</f>
        <v/>
      </c>
      <c r="TO55" s="8" t="str">
        <f>VLOOKUP(AG55,'BUS 2'!$G$1:$CU$424,50,0)</f>
        <v/>
      </c>
      <c r="TP55" s="8" t="str">
        <f>VLOOKUP(AG55,'BUS 2'!$G$1:$CU$424,51,0)</f>
        <v/>
      </c>
      <c r="TQ55" s="8" t="str">
        <f>VLOOKUP(AG55,'BUS 2'!$G$1:$CU$424,52,0)</f>
        <v/>
      </c>
      <c r="TR55" s="8" t="str">
        <f>VLOOKUP(AG55,'BUS 2'!$G$1:$CU$424,53,0)</f>
        <v/>
      </c>
      <c r="TS55" s="9" t="str">
        <f>VLOOKUP(AG55,'BUS 2'!$G$1:$CU$424,54,0)</f>
        <v/>
      </c>
      <c r="TT55" s="9" t="str">
        <f>VLOOKUP(AG55,'BUS 2'!$G$1:$CU$424,55,0)</f>
        <v/>
      </c>
      <c r="TU55" s="9" t="str">
        <f>VLOOKUP(AG55,'BUS 2'!$G$1:$CU$424,56,0)</f>
        <v/>
      </c>
      <c r="TV55" s="9" t="str">
        <f>VLOOKUP(AG55,'BUS 2'!$G$1:$CU$424,57,0)</f>
        <v/>
      </c>
      <c r="TW55" s="9" t="str">
        <f>VLOOKUP(AG55,'BUS 2'!$G$1:$CU$424,58,0)</f>
        <v/>
      </c>
      <c r="TX55" s="9" t="str">
        <f>VLOOKUP(AG55,'BUS 2'!$G$1:$CU$424,59,0)</f>
        <v/>
      </c>
      <c r="TY55" s="9" t="str">
        <f>VLOOKUP(AG55,'BUS 2'!$G$1:$CU$424,60,0)</f>
        <v/>
      </c>
      <c r="TZ55" s="9" t="str">
        <f>VLOOKUP(AG55,'BUS 2'!$G$1:$CU$424,61,0)</f>
        <v/>
      </c>
      <c r="UA55" s="9" t="str">
        <f>VLOOKUP(AG55,'BUS 2'!$G$1:$CU$424,62,0)</f>
        <v/>
      </c>
      <c r="UB55" s="9" t="str">
        <f>VLOOKUP(AG55,'BUS 2'!$G$1:$CU$424,63,0)</f>
        <v/>
      </c>
      <c r="UC55" s="9" t="str">
        <f>VLOOKUP(AG55,'BUS 2'!$G$1:$CU$424,64,0)</f>
        <v/>
      </c>
      <c r="UD55" s="9" t="str">
        <f>VLOOKUP(AG55,'BUS 2'!$G$1:$CU$424,65,0)</f>
        <v/>
      </c>
      <c r="UE55" s="9" t="str">
        <f>VLOOKUP(AG55,'BUS 2'!$G$1:$CU$424,66,0)</f>
        <v/>
      </c>
      <c r="UF55" s="9" t="str">
        <f>VLOOKUP(AG55,'BUS 2'!$G$1:$CU$424,67,0)</f>
        <v/>
      </c>
      <c r="UG55" s="9" t="str">
        <f>VLOOKUP(AG55,'BUS 2'!$G$1:$CU$424,68,0)</f>
        <v/>
      </c>
      <c r="UH55" s="9" t="str">
        <f>VLOOKUP(AG55,'BUS 2'!$G$1:$CU$424,69,0)</f>
        <v/>
      </c>
      <c r="UI55" s="9" t="str">
        <f>VLOOKUP(AG55,'BUS 2'!$G$1:$CU$424,70,0)</f>
        <v/>
      </c>
      <c r="UJ55" s="9" t="str">
        <f>VLOOKUP(AG55,'BUS 2'!$G$1:$CU$424,71,0)</f>
        <v/>
      </c>
      <c r="UK55" s="9" t="str">
        <f>VLOOKUP(AG55,'BUS 2'!$G$1:$CU$424,72,0)</f>
        <v/>
      </c>
      <c r="UL55" s="9" t="str">
        <f>VLOOKUP(AG55,'BUS 2'!$G$1:$CU$424,73,0)</f>
        <v/>
      </c>
      <c r="UM55" s="9">
        <f>VLOOKUP(AG55,'BUS 2'!$G$1:$CU$424,74,0)</f>
        <v>0</v>
      </c>
      <c r="UN55" s="9">
        <f>VLOOKUP(AG55,'BUS 2'!$G$1:$CU$424,75,0)</f>
        <v>0</v>
      </c>
      <c r="UO55" s="9">
        <f>VLOOKUP(AG55,'BUS 2'!$G$1:$CU$424,76,0)</f>
        <v>0</v>
      </c>
      <c r="UP55" s="9">
        <f>VLOOKUP(AG55,'BUS 2'!$G$1:$CU$424,77,0)</f>
        <v>0</v>
      </c>
      <c r="UQ55" s="9">
        <f>VLOOKUP(AG55,'BUS 2'!$G$1:$CU$424,78,0)</f>
        <v>0</v>
      </c>
      <c r="UR55" s="9">
        <f>VLOOKUP(AG55,'BUS 2'!$G$1:$CU$424,79,0)</f>
        <v>0</v>
      </c>
      <c r="US55" s="9">
        <f>VLOOKUP(AG55,'BUS 2'!$G$1:$CU$424,80,0)</f>
        <v>0</v>
      </c>
      <c r="UT55" s="9">
        <f>VLOOKUP(AG55,'BUS 2'!$G$1:$CU$424,81,0)</f>
        <v>0</v>
      </c>
      <c r="UU55" s="9"/>
      <c r="UV55" s="9"/>
      <c r="UW55" s="9"/>
      <c r="UX55" s="9"/>
      <c r="UY55" s="9"/>
      <c r="UZ55" s="9"/>
      <c r="VA55" s="9" t="s">
        <v>1976</v>
      </c>
      <c r="VB55" s="9" t="s">
        <v>1976</v>
      </c>
      <c r="VC55" s="9"/>
      <c r="VD55" s="9"/>
      <c r="VE55" s="9"/>
      <c r="VF55" s="9"/>
      <c r="VG55" s="9"/>
      <c r="VH55" s="9"/>
      <c r="VI55" s="9" t="s">
        <v>1938</v>
      </c>
      <c r="VJ55" s="9" t="s">
        <v>1938</v>
      </c>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c r="WV55" s="9"/>
      <c r="WW55" s="9"/>
      <c r="WX55" s="9"/>
      <c r="WY55" s="9"/>
      <c r="WZ55" s="9"/>
      <c r="XA55" s="9"/>
      <c r="XB55" s="9"/>
      <c r="XC55" s="9"/>
      <c r="XD55" s="9"/>
      <c r="XE55" s="9"/>
      <c r="XF55" s="9"/>
      <c r="XG55" s="9"/>
      <c r="XH55" s="9"/>
      <c r="XI55" s="9"/>
      <c r="XJ55" s="9"/>
      <c r="XK55" s="9"/>
      <c r="XL55" s="9"/>
      <c r="XM55" s="9"/>
      <c r="XN55" s="9"/>
      <c r="XO55" s="9"/>
      <c r="XP55" s="9"/>
      <c r="XQ55" s="9"/>
      <c r="XR55" s="9"/>
      <c r="XS55" s="9"/>
      <c r="XT55" s="9"/>
      <c r="XU55" s="9"/>
      <c r="XV55" s="9"/>
      <c r="XW55" s="9"/>
      <c r="XX55" s="9"/>
      <c r="XY55" s="9"/>
      <c r="XZ55" s="9"/>
      <c r="YA55" s="9"/>
      <c r="YB55" s="9"/>
      <c r="YC55" s="9"/>
      <c r="YD55" s="9"/>
      <c r="YE55" s="9"/>
      <c r="YF55" s="9"/>
      <c r="YG55" s="9"/>
      <c r="YH55" s="9"/>
      <c r="YI55" s="9"/>
      <c r="YJ55" s="9"/>
      <c r="YK55" s="9"/>
      <c r="YL55" s="9"/>
      <c r="YM55" s="9"/>
      <c r="YN55" s="9" t="s">
        <v>1941</v>
      </c>
      <c r="YO55" s="8">
        <v>0.0</v>
      </c>
      <c r="YP55" s="8">
        <v>0.0</v>
      </c>
      <c r="YQ55" s="8">
        <v>0.0</v>
      </c>
      <c r="YR55" s="8">
        <v>0.0</v>
      </c>
      <c r="YS55" s="8">
        <v>0.0</v>
      </c>
      <c r="YT55" s="8">
        <v>0.0</v>
      </c>
      <c r="YU55" s="8">
        <v>0.0</v>
      </c>
      <c r="YV55" s="8">
        <v>0.0</v>
      </c>
      <c r="YW55" s="8">
        <v>0.0</v>
      </c>
      <c r="YX55" s="8">
        <v>0.0</v>
      </c>
      <c r="YY55" s="8">
        <v>0.0</v>
      </c>
      <c r="YZ55" s="8">
        <v>1.0</v>
      </c>
      <c r="ZA55" s="9" t="s">
        <v>1941</v>
      </c>
      <c r="ZB55" s="8">
        <v>0.0</v>
      </c>
      <c r="ZC55" s="8">
        <v>0.0</v>
      </c>
      <c r="ZD55" s="8">
        <v>0.0</v>
      </c>
      <c r="ZE55" s="8">
        <v>0.0</v>
      </c>
      <c r="ZF55" s="8">
        <v>0.0</v>
      </c>
      <c r="ZG55" s="8">
        <v>0.0</v>
      </c>
      <c r="ZH55" s="8">
        <v>0.0</v>
      </c>
      <c r="ZI55" s="8">
        <v>0.0</v>
      </c>
      <c r="ZJ55" s="8">
        <v>0.0</v>
      </c>
      <c r="ZK55" s="8">
        <v>0.0</v>
      </c>
      <c r="ZL55" s="8">
        <v>0.0</v>
      </c>
      <c r="ZM55" s="8">
        <v>1.0</v>
      </c>
      <c r="ZN55" s="9"/>
      <c r="ZO55" s="9"/>
      <c r="ZP55" s="9"/>
      <c r="ZQ55" s="9"/>
      <c r="ZR55" s="9"/>
      <c r="ZS55" s="9"/>
      <c r="ZT55" s="9"/>
      <c r="ZU55" s="9"/>
      <c r="ZV55" s="9"/>
      <c r="ZW55" s="9"/>
      <c r="ZX55" s="9"/>
      <c r="ZY55" s="9"/>
      <c r="ZZ55" s="9"/>
      <c r="AAA55" s="9"/>
      <c r="AAB55" s="8">
        <v>2.0</v>
      </c>
      <c r="AAC55" s="8">
        <v>2.0</v>
      </c>
      <c r="AAD55" s="9"/>
      <c r="AAE55" s="9"/>
      <c r="AAF55" s="9"/>
      <c r="AAG55" s="9"/>
      <c r="AAH55" s="9"/>
      <c r="AAI55" s="9"/>
      <c r="AAJ55" s="9" t="s">
        <v>905</v>
      </c>
      <c r="AAK55" s="9" t="s">
        <v>905</v>
      </c>
      <c r="AAL55" s="9" t="s">
        <v>857</v>
      </c>
      <c r="AAM55" s="9" t="s">
        <v>1942</v>
      </c>
      <c r="AAN55" s="8">
        <v>0.0</v>
      </c>
      <c r="AAO55" s="8">
        <v>1.0</v>
      </c>
      <c r="AAP55" s="8">
        <v>3.0</v>
      </c>
      <c r="AAQ55" s="9"/>
      <c r="AAR55" s="9" t="s">
        <v>857</v>
      </c>
      <c r="AAS55" s="9" t="s">
        <v>867</v>
      </c>
      <c r="AAT55" s="9" t="s">
        <v>1016</v>
      </c>
      <c r="AAU55" s="8">
        <v>0.0</v>
      </c>
      <c r="AAV55" s="8">
        <v>0.0</v>
      </c>
      <c r="AAW55" s="8">
        <v>0.0</v>
      </c>
      <c r="AAX55" s="8">
        <v>0.0</v>
      </c>
      <c r="AAY55" s="8">
        <v>1.0</v>
      </c>
      <c r="AAZ55" s="8">
        <v>0.0</v>
      </c>
      <c r="ABA55" s="8">
        <v>0.0</v>
      </c>
      <c r="ABB55" s="9"/>
      <c r="ABC55" s="9"/>
      <c r="ABD55" s="9"/>
      <c r="ABE55" s="9"/>
      <c r="ABF55" s="9"/>
      <c r="ABG55" s="9"/>
      <c r="ABH55" s="9"/>
      <c r="ABI55" s="9"/>
      <c r="ABJ55" s="9"/>
      <c r="ABK55" s="9"/>
      <c r="ABL55" s="9"/>
      <c r="ABM55" s="9"/>
      <c r="ABN55" s="9"/>
      <c r="ABO55" s="9"/>
      <c r="ABP55" s="9"/>
      <c r="ABQ55" s="9"/>
      <c r="ABR55" s="9"/>
      <c r="ABS55" s="9"/>
      <c r="ABT55" s="9"/>
      <c r="ABU55" s="9"/>
      <c r="ABV55" s="9"/>
      <c r="ABW55" s="9"/>
      <c r="ABX55" s="9"/>
      <c r="ABY55" s="9"/>
      <c r="ABZ55" s="9"/>
      <c r="ACA55" s="9"/>
      <c r="ACB55" s="9"/>
      <c r="ACC55" s="9"/>
      <c r="ACD55" s="9"/>
      <c r="ACE55" s="9"/>
      <c r="ACF55" s="9"/>
      <c r="ACG55" s="9"/>
      <c r="ACH55" s="9"/>
      <c r="ACI55" s="9"/>
      <c r="ACJ55" s="9"/>
      <c r="ACK55" s="9" t="s">
        <v>969</v>
      </c>
      <c r="ACL55" s="8">
        <v>0.0</v>
      </c>
      <c r="ACM55" s="8">
        <v>0.0</v>
      </c>
      <c r="ACN55" s="8">
        <v>0.0</v>
      </c>
      <c r="ACO55" s="8">
        <v>0.0</v>
      </c>
      <c r="ACP55" s="8">
        <v>0.0</v>
      </c>
      <c r="ACQ55" s="8">
        <v>0.0</v>
      </c>
      <c r="ACR55" s="8">
        <v>1.0</v>
      </c>
      <c r="ACS55" s="9" t="s">
        <v>2928</v>
      </c>
      <c r="ACT55" s="9" t="s">
        <v>1945</v>
      </c>
      <c r="ACU55" s="9" t="s">
        <v>1390</v>
      </c>
      <c r="ACV55" s="9" t="s">
        <v>914</v>
      </c>
      <c r="ACW55" s="9" t="s">
        <v>1391</v>
      </c>
      <c r="ACX55" s="9" t="s">
        <v>958</v>
      </c>
      <c r="ACY55" s="9" t="s">
        <v>896</v>
      </c>
      <c r="ACZ55" s="8">
        <v>1.0</v>
      </c>
      <c r="ADA55" s="8">
        <v>0.0</v>
      </c>
      <c r="ADB55" s="8">
        <v>0.0</v>
      </c>
      <c r="ADC55" s="8">
        <v>0.0</v>
      </c>
      <c r="ADD55" s="9" t="s">
        <v>917</v>
      </c>
      <c r="ADE55" s="9" t="s">
        <v>917</v>
      </c>
      <c r="ADF55" s="9" t="s">
        <v>917</v>
      </c>
      <c r="ADG55" s="9" t="s">
        <v>917</v>
      </c>
      <c r="ADH55" s="9" t="s">
        <v>881</v>
      </c>
      <c r="ADI55" s="9"/>
      <c r="ADJ55" s="9" t="s">
        <v>917</v>
      </c>
      <c r="ADK55" s="9"/>
      <c r="ADL55" s="9"/>
      <c r="ADM55" s="9"/>
      <c r="ADN55" s="9"/>
      <c r="ADO55" s="9"/>
      <c r="ADP55" s="9"/>
      <c r="ADQ55" s="9"/>
      <c r="ADR55" s="9"/>
      <c r="ADS55" s="9"/>
      <c r="ADT55" s="9"/>
      <c r="ADU55" s="9" t="s">
        <v>2235</v>
      </c>
      <c r="ADV55" s="8">
        <v>0.0</v>
      </c>
      <c r="ADW55" s="8">
        <v>0.0</v>
      </c>
      <c r="ADX55" s="8">
        <v>0.0</v>
      </c>
      <c r="ADY55" s="8">
        <v>0.0</v>
      </c>
      <c r="ADZ55" s="8">
        <v>0.0</v>
      </c>
      <c r="AEA55" s="8">
        <v>0.0</v>
      </c>
      <c r="AEB55" s="8">
        <v>1.0</v>
      </c>
      <c r="AEC55" s="8">
        <v>0.0</v>
      </c>
      <c r="AED55" s="9" t="s">
        <v>2929</v>
      </c>
      <c r="AEE55" s="9" t="s">
        <v>969</v>
      </c>
      <c r="AEF55" s="9" t="s">
        <v>2929</v>
      </c>
      <c r="AEG55" s="9" t="s">
        <v>969</v>
      </c>
      <c r="AEH55" s="9" t="s">
        <v>2929</v>
      </c>
      <c r="AEI55" s="9" t="s">
        <v>1945</v>
      </c>
      <c r="AEJ55" s="9" t="s">
        <v>871</v>
      </c>
      <c r="AEK55" s="9" t="s">
        <v>2930</v>
      </c>
      <c r="AEL55" s="8">
        <v>1.0</v>
      </c>
      <c r="AEM55" s="8">
        <v>0.0</v>
      </c>
      <c r="AEN55" s="8">
        <v>1.0</v>
      </c>
      <c r="AEO55" s="8">
        <v>0.0</v>
      </c>
      <c r="AEP55" s="8">
        <v>0.0</v>
      </c>
      <c r="AEQ55" s="8">
        <v>0.0</v>
      </c>
      <c r="AER55" s="8">
        <v>1.0</v>
      </c>
      <c r="AES55" s="8">
        <v>0.0</v>
      </c>
      <c r="AET55" s="8">
        <v>0.0</v>
      </c>
      <c r="AEU55" s="8">
        <v>0.0</v>
      </c>
      <c r="AEV55" s="8">
        <v>1.0</v>
      </c>
      <c r="AEW55" s="8">
        <v>0.0</v>
      </c>
      <c r="AEX55" s="9"/>
      <c r="AEY55" s="9" t="s">
        <v>923</v>
      </c>
      <c r="AEZ55" s="9"/>
      <c r="AFA55" s="9" t="s">
        <v>2077</v>
      </c>
      <c r="AFB55" s="9"/>
      <c r="AFC55" s="9" t="s">
        <v>2931</v>
      </c>
      <c r="AFD55" s="16" t="s">
        <v>2932</v>
      </c>
      <c r="AFE55" s="9" t="s">
        <v>2933</v>
      </c>
      <c r="AFF55" s="16" t="s">
        <v>2934</v>
      </c>
      <c r="AFG55" s="9" t="s">
        <v>1986</v>
      </c>
      <c r="AFH55" s="9"/>
      <c r="AFI55" s="21" t="s">
        <v>2935</v>
      </c>
      <c r="AFJ55" s="9"/>
      <c r="AFK55" s="9"/>
      <c r="AFL55" s="9"/>
      <c r="AFM55" s="9"/>
      <c r="AFN55" s="9"/>
      <c r="AFO55" s="9"/>
      <c r="AFP55" s="9"/>
      <c r="AFQ55" s="9"/>
      <c r="AFR55" s="9"/>
      <c r="AFS55" s="9"/>
      <c r="AFT55" s="9"/>
      <c r="AFU55" s="9"/>
      <c r="AFV55" s="9"/>
      <c r="AFW55" s="9"/>
      <c r="AFX55" s="9"/>
      <c r="AFY55" s="9"/>
      <c r="AFZ55" s="9"/>
      <c r="AGA55" s="9"/>
      <c r="AGB55" s="9"/>
      <c r="AGC55" s="9"/>
      <c r="AGD55" s="9"/>
      <c r="AGE55" s="9"/>
      <c r="AGF55" s="9"/>
      <c r="AGG55" s="9"/>
      <c r="AGH55" s="9"/>
      <c r="AGI55" s="9"/>
      <c r="AGJ55" s="9"/>
      <c r="AGK55" s="9"/>
      <c r="AGL55" s="9"/>
      <c r="AGM55" s="9"/>
      <c r="AGN55" s="9"/>
      <c r="AGO55" s="9"/>
      <c r="AGP55" s="9"/>
      <c r="AGQ55" s="9"/>
      <c r="AGR55" s="9"/>
      <c r="AGS55" s="9"/>
      <c r="AGT55" s="9"/>
      <c r="AGU55" s="9"/>
      <c r="AGV55" s="9"/>
      <c r="AGW55" s="9"/>
      <c r="AGX55" s="9"/>
      <c r="AGY55" s="9"/>
      <c r="AGZ55" s="9"/>
      <c r="AHA55" s="9"/>
      <c r="AHB55" s="9"/>
      <c r="AHC55" s="9"/>
      <c r="AHD55" s="9"/>
      <c r="AHE55" s="9"/>
      <c r="AHF55" s="9"/>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c r="AMK55" s="9"/>
      <c r="AML55" s="9"/>
      <c r="AMM55" s="9"/>
      <c r="AMN55" s="9"/>
      <c r="AMO55" s="9"/>
      <c r="AMP55" s="9"/>
      <c r="AMQ55" s="9"/>
      <c r="AMR55" s="9"/>
      <c r="AMS55" s="9"/>
      <c r="AMT55" s="9"/>
      <c r="AMU55" s="9"/>
      <c r="AMV55" s="9"/>
      <c r="AMW55" s="9"/>
      <c r="AMX55" s="9"/>
      <c r="AMY55" s="9"/>
      <c r="AMZ55" s="9"/>
      <c r="ANA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c r="AQH55" s="9"/>
      <c r="AQI55" s="9"/>
      <c r="AQJ55" s="9"/>
      <c r="AQK55" s="9"/>
      <c r="AQL55" s="9"/>
      <c r="AQM55" s="9"/>
      <c r="AQN55" s="9"/>
      <c r="AQO55" s="9"/>
      <c r="AQP55" s="9"/>
      <c r="AQQ55" s="9"/>
      <c r="AQR55" s="9"/>
      <c r="AQS55" s="9"/>
      <c r="AQT55" s="9"/>
      <c r="AQU55" s="9"/>
      <c r="AQV55" s="9"/>
      <c r="AQW55" s="9"/>
      <c r="AQX55" s="9"/>
      <c r="AQY55" s="9"/>
      <c r="AQZ55" s="9"/>
      <c r="ARA55" s="9"/>
      <c r="ARB55" s="9"/>
      <c r="ARC55" s="9"/>
      <c r="ARD55" s="9"/>
      <c r="ARE55" s="9"/>
      <c r="ARF55" s="9"/>
      <c r="ARG55" s="9"/>
      <c r="ARH55" s="9"/>
      <c r="ARI55" s="9"/>
      <c r="ARJ55" s="9"/>
      <c r="ARK55" s="9"/>
      <c r="ARL55" s="9"/>
      <c r="ARM55" s="9"/>
      <c r="ARN55" s="9"/>
      <c r="ARO55" s="9"/>
      <c r="ARP55" s="9"/>
      <c r="ARQ55" s="9"/>
      <c r="ARR55" s="9"/>
      <c r="ARS55" s="9"/>
      <c r="ART55" s="9"/>
      <c r="ARU55" s="9"/>
      <c r="ARV55" s="9"/>
      <c r="ARW55" s="9"/>
      <c r="ARX55" s="9"/>
      <c r="ARY55" s="9"/>
      <c r="ARZ55" s="9"/>
      <c r="ASA55" s="9"/>
      <c r="ASB55" s="9"/>
      <c r="ASC55" s="9"/>
      <c r="ASD55" s="9"/>
      <c r="ASE55" s="9"/>
      <c r="ASF55" s="9"/>
      <c r="ASG55" s="9"/>
      <c r="ASH55" s="9"/>
      <c r="ASI55" s="9"/>
      <c r="ASJ55" s="9"/>
      <c r="ASK55" s="9"/>
      <c r="ASL55" s="9"/>
      <c r="ASM55" s="9"/>
      <c r="ASN55" s="9"/>
      <c r="ASO55" s="9"/>
      <c r="ASP55" s="9"/>
      <c r="ASQ55" s="9"/>
      <c r="ASR55" s="9"/>
      <c r="ASS55" s="9"/>
      <c r="AST55" s="9"/>
      <c r="ASU55" s="9"/>
      <c r="ASV55" s="9"/>
      <c r="ASW55" s="9"/>
      <c r="ASX55" s="9"/>
      <c r="ASY55" s="9"/>
      <c r="ASZ55" s="9"/>
      <c r="ATA55" s="9"/>
      <c r="ATB55" s="9"/>
      <c r="ATC55" s="9"/>
      <c r="ATD55" s="9"/>
      <c r="ATE55" s="9"/>
      <c r="ATF55" s="9"/>
      <c r="ATG55" s="9"/>
      <c r="ATH55" s="9"/>
      <c r="ATI55" s="9"/>
      <c r="ATJ55" s="9"/>
      <c r="ATK55" s="9"/>
      <c r="ATL55" s="9"/>
      <c r="ATM55" s="9"/>
      <c r="ATN55" s="9"/>
      <c r="ATO55" s="9"/>
      <c r="ATP55" s="9"/>
      <c r="ATQ55" s="9"/>
      <c r="ATR55" s="9"/>
      <c r="ATS55" s="9"/>
      <c r="ATT55" s="9"/>
      <c r="ATU55" s="9"/>
      <c r="ATV55" s="9"/>
      <c r="ATW55" s="9"/>
      <c r="ATX55" s="9"/>
      <c r="ATY55" s="9"/>
      <c r="ATZ55" s="9"/>
      <c r="AUA55" s="9"/>
      <c r="AUB55" s="9"/>
      <c r="AUC55" s="9"/>
      <c r="AUD55" s="9"/>
      <c r="AUE55" s="9"/>
      <c r="AUF55" s="9"/>
      <c r="AUG55" s="9"/>
      <c r="AUH55" s="9"/>
      <c r="AUI55" s="9"/>
      <c r="AUJ55" s="9"/>
      <c r="AUK55" s="9"/>
      <c r="AUL55" s="9"/>
      <c r="AUM55" s="9"/>
      <c r="AUN55" s="9"/>
      <c r="AUO55" s="9"/>
      <c r="AUP55" s="9"/>
      <c r="AUQ55" s="9"/>
      <c r="AUR55" s="9"/>
      <c r="AUS55" s="9"/>
      <c r="AUT55" s="9"/>
      <c r="AUU55" s="9"/>
      <c r="AUV55" s="9"/>
      <c r="AUW55" s="9"/>
      <c r="AUX55" s="9"/>
      <c r="AUY55" s="9"/>
      <c r="AUZ55" s="9"/>
      <c r="AVA55" s="9"/>
      <c r="AVB55" s="9"/>
      <c r="AVC55" s="9"/>
      <c r="AVD55" s="9"/>
      <c r="AVE55" s="9"/>
      <c r="AVF55" s="9"/>
      <c r="AVG55" s="9"/>
      <c r="AVH55" s="9"/>
      <c r="AVI55" s="9"/>
      <c r="AVJ55" s="9"/>
      <c r="AVK55" s="9"/>
      <c r="AVL55" s="9"/>
      <c r="AVM55" s="9"/>
      <c r="AVN55" s="9"/>
      <c r="AVO55" s="9"/>
      <c r="AVP55" s="9"/>
      <c r="AVQ55" s="9"/>
      <c r="AVR55" s="9"/>
      <c r="AVS55" s="9"/>
      <c r="AVT55" s="9"/>
      <c r="AVU55" s="9"/>
      <c r="AVV55" s="9"/>
      <c r="AVW55" s="9"/>
      <c r="AVX55" s="9"/>
      <c r="AVY55" s="9"/>
      <c r="AVZ55" s="9"/>
      <c r="AWA55" s="8">
        <v>6.83617434E8</v>
      </c>
      <c r="AWB55" s="9" t="s">
        <v>2936</v>
      </c>
      <c r="AWC55" s="6">
        <v>46083.0</v>
      </c>
      <c r="AWD55" s="9"/>
      <c r="AWE55" s="9"/>
      <c r="AWF55" s="9" t="s">
        <v>1954</v>
      </c>
      <c r="AWG55" s="9"/>
      <c r="AWH55" s="9" t="s">
        <v>1989</v>
      </c>
      <c r="AWI55" s="9"/>
      <c r="AWJ55" s="9" t="s">
        <v>2937</v>
      </c>
      <c r="AWK55" s="8">
        <v>481.0</v>
      </c>
      <c r="AWL55" s="9" t="s">
        <v>2924</v>
      </c>
      <c r="AWM55" s="8">
        <v>0.0</v>
      </c>
      <c r="AWN55" s="9" t="s">
        <v>1957</v>
      </c>
      <c r="AWO55" s="33" t="b">
        <v>1</v>
      </c>
      <c r="AWP55" s="33" t="b">
        <v>1</v>
      </c>
      <c r="AWQ55" s="33" t="b">
        <v>1</v>
      </c>
      <c r="AWR55" s="33" t="b">
        <v>1</v>
      </c>
      <c r="AWS55" s="33" t="b">
        <v>1</v>
      </c>
      <c r="AWT55" s="33" t="b">
        <v>1</v>
      </c>
      <c r="AWU55" s="9"/>
      <c r="AWV55" s="8">
        <v>6.0</v>
      </c>
      <c r="AWW55" s="9"/>
      <c r="AWX55" s="9"/>
      <c r="AWY55" s="9"/>
      <c r="AWZ55" s="9"/>
    </row>
  </sheetData>
  <hyperlinks>
    <hyperlink r:id="rId2" ref="AFD2"/>
    <hyperlink r:id="rId3" ref="AFF2"/>
    <hyperlink r:id="rId4" ref="AFD3"/>
    <hyperlink r:id="rId5" ref="AFF3"/>
    <hyperlink r:id="rId6" ref="AFD4"/>
    <hyperlink r:id="rId7" ref="AFF4"/>
    <hyperlink r:id="rId8" ref="AFD5"/>
    <hyperlink r:id="rId9" ref="AFF5"/>
    <hyperlink r:id="rId10" ref="AFD6"/>
    <hyperlink r:id="rId11" ref="AFF6"/>
    <hyperlink r:id="rId12" ref="AFD7"/>
    <hyperlink r:id="rId13" ref="AFF7"/>
    <hyperlink r:id="rId14" ref="AFD8"/>
    <hyperlink r:id="rId15" ref="AFF8"/>
    <hyperlink r:id="rId16" ref="AFD9"/>
    <hyperlink r:id="rId17" ref="AFF9"/>
    <hyperlink r:id="rId18" ref="AFD10"/>
    <hyperlink r:id="rId19" ref="AFF10"/>
    <hyperlink r:id="rId20" ref="AFD11"/>
    <hyperlink r:id="rId21" ref="AFF11"/>
    <hyperlink r:id="rId22" ref="AFD12"/>
    <hyperlink r:id="rId23" ref="AFF12"/>
    <hyperlink r:id="rId24" ref="AFD13"/>
    <hyperlink r:id="rId25" ref="AFF13"/>
    <hyperlink r:id="rId26" ref="AFD14"/>
    <hyperlink r:id="rId27" ref="AFF14"/>
    <hyperlink r:id="rId28" ref="AFD15"/>
    <hyperlink r:id="rId29" ref="AFF15"/>
    <hyperlink r:id="rId30" ref="AFD16"/>
    <hyperlink r:id="rId31" ref="AFF16"/>
    <hyperlink r:id="rId32" ref="AFD17"/>
    <hyperlink r:id="rId33" ref="AFF17"/>
    <hyperlink r:id="rId34" ref="AFD18"/>
    <hyperlink r:id="rId35" ref="AFF18"/>
    <hyperlink r:id="rId36" ref="AFD19"/>
    <hyperlink r:id="rId37" ref="AFF19"/>
    <hyperlink r:id="rId38" ref="AFD20"/>
    <hyperlink r:id="rId39" ref="AFF20"/>
    <hyperlink r:id="rId40" ref="AFD21"/>
    <hyperlink r:id="rId41" ref="AFF21"/>
    <hyperlink r:id="rId42" ref="AFD22"/>
    <hyperlink r:id="rId43" ref="AFF22"/>
    <hyperlink r:id="rId44" ref="AFD23"/>
    <hyperlink r:id="rId45" ref="AFF23"/>
    <hyperlink r:id="rId46" ref="AFD24"/>
    <hyperlink r:id="rId47" ref="AFF24"/>
    <hyperlink r:id="rId48" ref="AFD25"/>
    <hyperlink r:id="rId49" ref="AFF25"/>
    <hyperlink r:id="rId50" ref="AFD26"/>
    <hyperlink r:id="rId51" ref="AFF26"/>
    <hyperlink r:id="rId52" ref="AFD27"/>
    <hyperlink r:id="rId53" ref="AFF27"/>
    <hyperlink r:id="rId54" ref="AFD28"/>
    <hyperlink r:id="rId55" ref="AFF28"/>
    <hyperlink r:id="rId56" ref="AFD29"/>
    <hyperlink r:id="rId57" ref="AFF29"/>
    <hyperlink r:id="rId58" ref="AFD30"/>
    <hyperlink r:id="rId59" ref="AFF30"/>
    <hyperlink r:id="rId60" ref="AFD31"/>
    <hyperlink r:id="rId61" ref="AFF31"/>
    <hyperlink r:id="rId62" ref="AFD32"/>
    <hyperlink r:id="rId63" ref="AFF32"/>
    <hyperlink r:id="rId64" ref="AFD33"/>
    <hyperlink r:id="rId65" ref="AFF33"/>
    <hyperlink r:id="rId66" ref="AFD34"/>
    <hyperlink r:id="rId67" ref="AFF34"/>
    <hyperlink r:id="rId68" ref="AFD35"/>
    <hyperlink r:id="rId69" ref="AFF35"/>
    <hyperlink r:id="rId70" ref="AFD36"/>
    <hyperlink r:id="rId71" ref="AFF36"/>
    <hyperlink r:id="rId72" ref="AFD37"/>
    <hyperlink r:id="rId73" ref="AFF37"/>
    <hyperlink r:id="rId74" ref="AFD38"/>
    <hyperlink r:id="rId75" ref="AFF38"/>
    <hyperlink r:id="rId76" ref="AFD39"/>
    <hyperlink r:id="rId77" ref="AFF39"/>
    <hyperlink r:id="rId78" ref="AFD40"/>
    <hyperlink r:id="rId79" ref="AFF40"/>
    <hyperlink r:id="rId80" ref="AFD41"/>
    <hyperlink r:id="rId81" ref="AFF41"/>
    <hyperlink r:id="rId82" ref="AFD42"/>
    <hyperlink r:id="rId83" ref="AFF42"/>
    <hyperlink r:id="rId84" ref="AFD43"/>
    <hyperlink r:id="rId85" ref="AFF43"/>
    <hyperlink r:id="rId86" ref="AFD44"/>
    <hyperlink r:id="rId87" ref="AFF44"/>
    <hyperlink r:id="rId88" ref="AFD45"/>
    <hyperlink r:id="rId89" ref="AFF45"/>
    <hyperlink r:id="rId90" ref="AFD46"/>
    <hyperlink r:id="rId91" ref="AFF46"/>
    <hyperlink r:id="rId92" ref="AFD47"/>
    <hyperlink r:id="rId93" ref="AFF47"/>
    <hyperlink r:id="rId94" ref="AFD48"/>
    <hyperlink r:id="rId95" ref="AFF48"/>
    <hyperlink r:id="rId96" ref="AFD49"/>
    <hyperlink r:id="rId97" ref="AFF49"/>
    <hyperlink r:id="rId98" ref="AFD50"/>
    <hyperlink r:id="rId99" ref="AFF50"/>
    <hyperlink r:id="rId100" ref="AFD51"/>
    <hyperlink r:id="rId101" ref="AFF51"/>
    <hyperlink r:id="rId102" ref="AFD52"/>
    <hyperlink r:id="rId103" ref="AFF52"/>
    <hyperlink r:id="rId104" ref="AFD53"/>
    <hyperlink r:id="rId105" ref="AFF53"/>
    <hyperlink r:id="rId106" ref="AFD54"/>
    <hyperlink r:id="rId107" ref="AFF54"/>
    <hyperlink r:id="rId108" ref="AFD55"/>
    <hyperlink r:id="rId109" ref="AFF55"/>
  </hyperlinks>
  <drawing r:id="rId110"/>
  <legacyDrawing r:id="rId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hidden="1" min="1" max="3" width="12.63"/>
    <col customWidth="1" min="5" max="5" width="1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2" t="s">
        <v>93</v>
      </c>
      <c r="CQ1" s="2" t="s">
        <v>94</v>
      </c>
      <c r="CR1" s="2" t="s">
        <v>95</v>
      </c>
      <c r="CS1" s="2" t="s">
        <v>96</v>
      </c>
      <c r="CT1" s="2" t="s">
        <v>97</v>
      </c>
      <c r="CU1" s="2" t="s">
        <v>94</v>
      </c>
      <c r="CV1" s="2" t="s">
        <v>95</v>
      </c>
      <c r="CW1" s="2" t="s">
        <v>96</v>
      </c>
      <c r="CX1" s="1" t="s">
        <v>97</v>
      </c>
      <c r="CY1" s="2" t="s">
        <v>98</v>
      </c>
      <c r="CZ1" s="2" t="s">
        <v>99</v>
      </c>
      <c r="DA1" s="2" t="s">
        <v>100</v>
      </c>
      <c r="DB1" s="2" t="s">
        <v>101</v>
      </c>
      <c r="DC1" s="1" t="s">
        <v>102</v>
      </c>
      <c r="DD1" s="2" t="s">
        <v>103</v>
      </c>
      <c r="DE1" s="2" t="s">
        <v>104</v>
      </c>
      <c r="DF1" s="2" t="s">
        <v>105</v>
      </c>
      <c r="DG1" s="2" t="s">
        <v>106</v>
      </c>
      <c r="DH1" s="2" t="s">
        <v>107</v>
      </c>
      <c r="DI1" s="1" t="s">
        <v>108</v>
      </c>
      <c r="DJ1" s="2" t="s">
        <v>109</v>
      </c>
      <c r="DK1" s="2" t="s">
        <v>110</v>
      </c>
      <c r="DL1" s="2" t="s">
        <v>111</v>
      </c>
      <c r="DM1" s="2" t="s">
        <v>112</v>
      </c>
      <c r="DN1" s="2"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2" t="s">
        <v>134</v>
      </c>
      <c r="EJ1" s="2" t="s">
        <v>135</v>
      </c>
      <c r="EK1" s="2" t="s">
        <v>136</v>
      </c>
      <c r="EL1" s="2" t="s">
        <v>137</v>
      </c>
      <c r="EM1" s="2" t="s">
        <v>138</v>
      </c>
      <c r="EN1" s="2" t="s">
        <v>139</v>
      </c>
      <c r="EO1" s="3" t="s">
        <v>140</v>
      </c>
      <c r="EP1" s="1" t="s">
        <v>141</v>
      </c>
      <c r="EQ1" s="1" t="s">
        <v>142</v>
      </c>
      <c r="ER1" s="2" t="s">
        <v>143</v>
      </c>
      <c r="ES1" s="1" t="s">
        <v>144</v>
      </c>
      <c r="ET1" s="1" t="s">
        <v>145</v>
      </c>
      <c r="EU1" s="1" t="s">
        <v>146</v>
      </c>
      <c r="EV1" s="1" t="s">
        <v>147</v>
      </c>
      <c r="EW1" s="1" t="s">
        <v>148</v>
      </c>
      <c r="EX1" s="2" t="s">
        <v>149</v>
      </c>
      <c r="EY1" s="2" t="s">
        <v>150</v>
      </c>
      <c r="EZ1" s="2" t="s">
        <v>151</v>
      </c>
      <c r="FA1" s="2"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2"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2" t="s">
        <v>317</v>
      </c>
      <c r="LK1" s="2" t="s">
        <v>318</v>
      </c>
      <c r="LL1" s="2" t="s">
        <v>319</v>
      </c>
      <c r="LM1" s="2" t="s">
        <v>320</v>
      </c>
      <c r="LN1" s="2" t="s">
        <v>321</v>
      </c>
      <c r="LO1" s="2" t="s">
        <v>322</v>
      </c>
      <c r="LP1" s="2" t="s">
        <v>323</v>
      </c>
      <c r="LQ1" s="2"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2" t="s">
        <v>362</v>
      </c>
      <c r="ND1" s="2" t="s">
        <v>363</v>
      </c>
      <c r="NE1" s="2"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2" t="s">
        <v>381</v>
      </c>
      <c r="NW1" s="1" t="s">
        <v>382</v>
      </c>
      <c r="NX1" s="1" t="s">
        <v>383</v>
      </c>
      <c r="NY1" s="2" t="s">
        <v>384</v>
      </c>
      <c r="NZ1" s="2" t="s">
        <v>385</v>
      </c>
      <c r="OA1" s="1" t="s">
        <v>386</v>
      </c>
      <c r="OB1" s="1" t="s">
        <v>387</v>
      </c>
      <c r="OC1" s="1" t="s">
        <v>388</v>
      </c>
      <c r="OD1" s="1" t="s">
        <v>389</v>
      </c>
      <c r="OE1" s="1" t="s">
        <v>390</v>
      </c>
      <c r="OF1" s="1" t="s">
        <v>391</v>
      </c>
      <c r="OG1" s="1" t="s">
        <v>392</v>
      </c>
      <c r="OH1" s="1" t="s">
        <v>393</v>
      </c>
      <c r="OI1" s="1" t="s">
        <v>394</v>
      </c>
      <c r="OJ1" s="2" t="s">
        <v>395</v>
      </c>
      <c r="OK1" s="1" t="s">
        <v>396</v>
      </c>
      <c r="OL1" s="1" t="s">
        <v>397</v>
      </c>
      <c r="OM1" s="1" t="s">
        <v>398</v>
      </c>
      <c r="ON1" s="1" t="s">
        <v>399</v>
      </c>
      <c r="OO1" s="1" t="s">
        <v>400</v>
      </c>
      <c r="OP1" s="2" t="s">
        <v>2938</v>
      </c>
      <c r="OQ1" s="2" t="s">
        <v>2939</v>
      </c>
      <c r="OR1" s="2" t="s">
        <v>2940</v>
      </c>
      <c r="OS1" s="2" t="s">
        <v>2941</v>
      </c>
      <c r="OT1" s="2" t="s">
        <v>2942</v>
      </c>
      <c r="OU1" s="2" t="s">
        <v>2943</v>
      </c>
      <c r="OV1" s="2" t="s">
        <v>2944</v>
      </c>
      <c r="OW1" s="2" t="s">
        <v>2945</v>
      </c>
      <c r="OX1" s="2" t="s">
        <v>2946</v>
      </c>
      <c r="OY1" s="5" t="s">
        <v>431</v>
      </c>
      <c r="OZ1" s="2" t="s">
        <v>432</v>
      </c>
      <c r="PA1" s="2" t="s">
        <v>433</v>
      </c>
      <c r="PB1" s="2" t="s">
        <v>434</v>
      </c>
      <c r="PC1" s="2" t="s">
        <v>435</v>
      </c>
      <c r="PD1" s="2" t="s">
        <v>436</v>
      </c>
      <c r="PE1" s="2" t="s">
        <v>437</v>
      </c>
      <c r="PF1" s="2" t="s">
        <v>438</v>
      </c>
      <c r="PG1" s="2" t="s">
        <v>439</v>
      </c>
      <c r="PH1" s="2" t="s">
        <v>440</v>
      </c>
      <c r="PI1" s="2" t="s">
        <v>441</v>
      </c>
      <c r="PJ1" s="2" t="s">
        <v>442</v>
      </c>
      <c r="PK1" s="2" t="s">
        <v>443</v>
      </c>
      <c r="PL1" s="2" t="s">
        <v>444</v>
      </c>
      <c r="PM1" s="2" t="s">
        <v>445</v>
      </c>
      <c r="PN1" s="2" t="s">
        <v>446</v>
      </c>
      <c r="PO1" s="2" t="s">
        <v>447</v>
      </c>
      <c r="PP1" s="2" t="s">
        <v>448</v>
      </c>
      <c r="PQ1" s="2" t="s">
        <v>449</v>
      </c>
      <c r="PR1" s="2" t="s">
        <v>450</v>
      </c>
      <c r="PS1" s="2" t="s">
        <v>451</v>
      </c>
      <c r="PT1" s="2" t="s">
        <v>452</v>
      </c>
      <c r="PU1" s="2" t="s">
        <v>453</v>
      </c>
      <c r="PV1" s="2" t="s">
        <v>454</v>
      </c>
      <c r="PW1" s="2" t="s">
        <v>455</v>
      </c>
      <c r="PX1" s="2" t="s">
        <v>456</v>
      </c>
      <c r="PY1" s="2" t="s">
        <v>457</v>
      </c>
      <c r="PZ1" s="2" t="s">
        <v>458</v>
      </c>
      <c r="QA1" s="2" t="s">
        <v>459</v>
      </c>
      <c r="QB1" s="2" t="s">
        <v>460</v>
      </c>
      <c r="QC1" s="2" t="s">
        <v>461</v>
      </c>
      <c r="QD1" s="2" t="s">
        <v>462</v>
      </c>
      <c r="QE1" s="2" t="s">
        <v>463</v>
      </c>
      <c r="QF1" s="2" t="s">
        <v>464</v>
      </c>
      <c r="QG1" s="2" t="s">
        <v>465</v>
      </c>
      <c r="QH1" s="2" t="s">
        <v>466</v>
      </c>
      <c r="QI1" s="2" t="s">
        <v>467</v>
      </c>
      <c r="QJ1" s="2" t="s">
        <v>468</v>
      </c>
      <c r="QK1" s="2" t="s">
        <v>469</v>
      </c>
      <c r="QL1" s="2" t="s">
        <v>470</v>
      </c>
      <c r="QM1" s="2" t="s">
        <v>471</v>
      </c>
      <c r="QN1" s="2" t="s">
        <v>472</v>
      </c>
      <c r="QO1" s="2" t="s">
        <v>473</v>
      </c>
      <c r="QP1" s="2" t="s">
        <v>474</v>
      </c>
      <c r="QQ1" s="2" t="s">
        <v>475</v>
      </c>
      <c r="QR1" s="2" t="s">
        <v>476</v>
      </c>
      <c r="QS1" s="2" t="s">
        <v>477</v>
      </c>
      <c r="QT1" s="2" t="s">
        <v>478</v>
      </c>
      <c r="QU1" s="2" t="s">
        <v>479</v>
      </c>
      <c r="QV1" s="2" t="s">
        <v>480</v>
      </c>
      <c r="QW1" s="5" t="s">
        <v>481</v>
      </c>
      <c r="QX1" s="2" t="s">
        <v>482</v>
      </c>
      <c r="QY1" s="2" t="s">
        <v>483</v>
      </c>
      <c r="QZ1" s="2" t="s">
        <v>484</v>
      </c>
      <c r="RA1" s="2" t="s">
        <v>485</v>
      </c>
      <c r="RB1" s="2" t="s">
        <v>486</v>
      </c>
      <c r="RC1" s="2" t="s">
        <v>487</v>
      </c>
      <c r="RD1" s="2" t="s">
        <v>488</v>
      </c>
      <c r="RE1" s="2" t="s">
        <v>489</v>
      </c>
      <c r="RF1" s="2" t="s">
        <v>490</v>
      </c>
      <c r="RG1" s="2" t="s">
        <v>491</v>
      </c>
      <c r="RH1" s="2" t="s">
        <v>492</v>
      </c>
      <c r="RI1" s="2" t="s">
        <v>493</v>
      </c>
      <c r="RJ1" s="2" t="s">
        <v>494</v>
      </c>
      <c r="RK1" s="2" t="s">
        <v>495</v>
      </c>
      <c r="RL1" s="2" t="s">
        <v>496</v>
      </c>
      <c r="RM1" s="2" t="s">
        <v>497</v>
      </c>
      <c r="RN1" s="2" t="s">
        <v>498</v>
      </c>
      <c r="RO1" s="2" t="s">
        <v>499</v>
      </c>
      <c r="RP1" s="2" t="s">
        <v>500</v>
      </c>
      <c r="RQ1" s="2" t="s">
        <v>501</v>
      </c>
      <c r="RR1" s="2" t="s">
        <v>502</v>
      </c>
      <c r="RS1" s="2" t="s">
        <v>503</v>
      </c>
      <c r="RT1" s="2" t="s">
        <v>504</v>
      </c>
      <c r="RU1" s="2" t="s">
        <v>505</v>
      </c>
      <c r="RV1" s="2" t="s">
        <v>506</v>
      </c>
      <c r="RW1" s="2" t="s">
        <v>507</v>
      </c>
      <c r="RX1" s="2" t="s">
        <v>508</v>
      </c>
      <c r="RY1" s="2" t="s">
        <v>509</v>
      </c>
      <c r="RZ1" s="2" t="s">
        <v>510</v>
      </c>
      <c r="SA1" s="2" t="s">
        <v>511</v>
      </c>
      <c r="SB1" s="2" t="s">
        <v>512</v>
      </c>
      <c r="SC1" s="2" t="s">
        <v>513</v>
      </c>
      <c r="SD1" s="1" t="s">
        <v>514</v>
      </c>
      <c r="SE1" s="1" t="s">
        <v>515</v>
      </c>
      <c r="SF1" s="1" t="s">
        <v>516</v>
      </c>
      <c r="SG1" s="1" t="s">
        <v>517</v>
      </c>
      <c r="SH1" s="1" t="s">
        <v>518</v>
      </c>
      <c r="SI1" s="1" t="s">
        <v>519</v>
      </c>
      <c r="SJ1" s="1" t="s">
        <v>520</v>
      </c>
      <c r="SK1" s="1" t="s">
        <v>521</v>
      </c>
      <c r="SL1" s="1" t="s">
        <v>522</v>
      </c>
      <c r="SM1" s="1" t="s">
        <v>523</v>
      </c>
      <c r="SN1" s="1" t="s">
        <v>524</v>
      </c>
      <c r="SO1" s="1" t="s">
        <v>525</v>
      </c>
      <c r="SP1" s="1" t="s">
        <v>526</v>
      </c>
      <c r="SQ1" s="1" t="s">
        <v>527</v>
      </c>
      <c r="SR1" s="1" t="s">
        <v>528</v>
      </c>
      <c r="SS1" s="1" t="s">
        <v>529</v>
      </c>
      <c r="ST1" s="1" t="s">
        <v>530</v>
      </c>
      <c r="SU1" s="1" t="s">
        <v>531</v>
      </c>
      <c r="SV1" s="1" t="s">
        <v>532</v>
      </c>
      <c r="SW1" s="1" t="s">
        <v>533</v>
      </c>
      <c r="SX1" s="1" t="s">
        <v>534</v>
      </c>
      <c r="SY1" s="1" t="s">
        <v>535</v>
      </c>
      <c r="SZ1" s="1" t="s">
        <v>536</v>
      </c>
      <c r="TA1" s="1" t="s">
        <v>537</v>
      </c>
      <c r="TB1" s="1" t="s">
        <v>538</v>
      </c>
      <c r="TC1" s="1" t="s">
        <v>539</v>
      </c>
      <c r="TD1" s="1" t="s">
        <v>540</v>
      </c>
      <c r="TE1" s="1" t="s">
        <v>541</v>
      </c>
      <c r="TF1" s="1" t="s">
        <v>542</v>
      </c>
      <c r="TG1" s="1" t="s">
        <v>543</v>
      </c>
      <c r="TH1" s="1" t="s">
        <v>544</v>
      </c>
      <c r="TI1" s="1" t="s">
        <v>545</v>
      </c>
      <c r="TJ1" s="1" t="s">
        <v>546</v>
      </c>
      <c r="TK1" s="1" t="s">
        <v>547</v>
      </c>
      <c r="TL1" s="1" t="s">
        <v>548</v>
      </c>
      <c r="TM1" s="1" t="s">
        <v>549</v>
      </c>
      <c r="TN1" s="1" t="s">
        <v>550</v>
      </c>
      <c r="TO1" s="1" t="s">
        <v>551</v>
      </c>
      <c r="TP1" s="1" t="s">
        <v>552</v>
      </c>
      <c r="TQ1" s="1" t="s">
        <v>553</v>
      </c>
      <c r="TR1" s="1" t="s">
        <v>554</v>
      </c>
      <c r="TS1" s="1" t="s">
        <v>555</v>
      </c>
      <c r="TT1" s="1" t="s">
        <v>556</v>
      </c>
      <c r="TU1" s="1" t="s">
        <v>557</v>
      </c>
      <c r="TV1" s="1" t="s">
        <v>558</v>
      </c>
      <c r="TW1" s="1" t="s">
        <v>559</v>
      </c>
      <c r="TX1" s="1" t="s">
        <v>560</v>
      </c>
      <c r="TY1" s="1" t="s">
        <v>561</v>
      </c>
      <c r="TZ1" s="1" t="s">
        <v>562</v>
      </c>
      <c r="UA1" s="1" t="s">
        <v>563</v>
      </c>
      <c r="UB1" s="1" t="s">
        <v>564</v>
      </c>
      <c r="UC1" s="1" t="s">
        <v>565</v>
      </c>
      <c r="UD1" s="1" t="s">
        <v>566</v>
      </c>
      <c r="UE1" s="1" t="s">
        <v>567</v>
      </c>
      <c r="UF1" s="1" t="s">
        <v>568</v>
      </c>
      <c r="UG1" s="1" t="s">
        <v>569</v>
      </c>
      <c r="UH1" s="1" t="s">
        <v>570</v>
      </c>
      <c r="UI1" s="1" t="s">
        <v>571</v>
      </c>
      <c r="UJ1" s="1" t="s">
        <v>572</v>
      </c>
      <c r="UK1" s="1" t="s">
        <v>573</v>
      </c>
      <c r="UL1" s="1" t="s">
        <v>574</v>
      </c>
      <c r="UM1" s="1" t="s">
        <v>575</v>
      </c>
      <c r="UN1" s="1" t="s">
        <v>576</v>
      </c>
      <c r="UO1" s="1" t="s">
        <v>577</v>
      </c>
      <c r="UP1" s="1" t="s">
        <v>578</v>
      </c>
      <c r="UQ1" s="1" t="s">
        <v>579</v>
      </c>
      <c r="UR1" s="1" t="s">
        <v>580</v>
      </c>
      <c r="US1" s="1" t="s">
        <v>581</v>
      </c>
      <c r="UT1" s="1" t="s">
        <v>582</v>
      </c>
      <c r="UU1" s="1" t="s">
        <v>583</v>
      </c>
      <c r="UV1" s="1" t="s">
        <v>584</v>
      </c>
      <c r="UW1" s="1" t="s">
        <v>585</v>
      </c>
      <c r="UX1" s="2" t="s">
        <v>586</v>
      </c>
      <c r="UY1" s="2" t="s">
        <v>587</v>
      </c>
      <c r="UZ1" s="2" t="s">
        <v>588</v>
      </c>
      <c r="VA1" s="2" t="s">
        <v>589</v>
      </c>
      <c r="VB1" s="2" t="s">
        <v>590</v>
      </c>
      <c r="VC1" s="2" t="s">
        <v>591</v>
      </c>
      <c r="VD1" s="2" t="s">
        <v>592</v>
      </c>
      <c r="VE1" s="2" t="s">
        <v>593</v>
      </c>
      <c r="VF1" s="2" t="s">
        <v>594</v>
      </c>
      <c r="VG1" s="2" t="s">
        <v>595</v>
      </c>
      <c r="VH1" s="2" t="s">
        <v>596</v>
      </c>
      <c r="VI1" s="2" t="s">
        <v>597</v>
      </c>
      <c r="VJ1" s="2" t="s">
        <v>598</v>
      </c>
      <c r="VK1" s="2" t="s">
        <v>599</v>
      </c>
      <c r="VL1" s="2" t="s">
        <v>600</v>
      </c>
      <c r="VM1" s="2" t="s">
        <v>601</v>
      </c>
      <c r="VN1" s="2" t="s">
        <v>602</v>
      </c>
      <c r="VO1" s="2" t="s">
        <v>603</v>
      </c>
      <c r="VP1" s="2" t="s">
        <v>604</v>
      </c>
      <c r="VQ1" s="2" t="s">
        <v>605</v>
      </c>
      <c r="VR1" s="2" t="s">
        <v>606</v>
      </c>
      <c r="VS1" s="2" t="s">
        <v>607</v>
      </c>
      <c r="VT1" s="2" t="s">
        <v>608</v>
      </c>
      <c r="VU1" s="2" t="s">
        <v>609</v>
      </c>
      <c r="VV1" s="2" t="s">
        <v>610</v>
      </c>
      <c r="VW1" s="2" t="s">
        <v>611</v>
      </c>
      <c r="VX1" s="2" t="s">
        <v>612</v>
      </c>
      <c r="VY1" s="2" t="s">
        <v>613</v>
      </c>
      <c r="VZ1" s="2" t="s">
        <v>614</v>
      </c>
      <c r="WA1" s="2" t="s">
        <v>615</v>
      </c>
      <c r="WB1" s="2" t="s">
        <v>616</v>
      </c>
      <c r="WC1" s="2" t="s">
        <v>617</v>
      </c>
      <c r="WD1" s="2" t="s">
        <v>618</v>
      </c>
      <c r="WE1" s="2" t="s">
        <v>619</v>
      </c>
      <c r="WF1" s="2" t="s">
        <v>620</v>
      </c>
      <c r="WG1" s="2" t="s">
        <v>621</v>
      </c>
      <c r="WH1" s="2" t="s">
        <v>622</v>
      </c>
      <c r="WI1" s="2" t="s">
        <v>623</v>
      </c>
      <c r="WJ1" s="2" t="s">
        <v>624</v>
      </c>
      <c r="WK1" s="2" t="s">
        <v>625</v>
      </c>
      <c r="WL1" s="2" t="s">
        <v>626</v>
      </c>
      <c r="WM1" s="2" t="s">
        <v>627</v>
      </c>
      <c r="WN1" s="2" t="s">
        <v>628</v>
      </c>
      <c r="WO1" s="2" t="s">
        <v>629</v>
      </c>
      <c r="WP1" s="2" t="s">
        <v>630</v>
      </c>
      <c r="WQ1" s="2" t="s">
        <v>631</v>
      </c>
      <c r="WR1" s="2" t="s">
        <v>632</v>
      </c>
      <c r="WS1" s="2" t="s">
        <v>633</v>
      </c>
      <c r="WT1" s="2" t="s">
        <v>634</v>
      </c>
      <c r="WU1" s="2" t="s">
        <v>635</v>
      </c>
      <c r="WV1" s="2" t="s">
        <v>636</v>
      </c>
      <c r="WW1" s="2" t="s">
        <v>637</v>
      </c>
      <c r="WX1" s="2" t="s">
        <v>638</v>
      </c>
      <c r="WY1" s="2" t="s">
        <v>639</v>
      </c>
      <c r="WZ1" s="2" t="s">
        <v>640</v>
      </c>
      <c r="XA1" s="2" t="s">
        <v>641</v>
      </c>
      <c r="XB1" s="2" t="s">
        <v>642</v>
      </c>
      <c r="XC1" s="2" t="s">
        <v>643</v>
      </c>
      <c r="XD1" s="2" t="s">
        <v>644</v>
      </c>
      <c r="XE1" s="2" t="s">
        <v>645</v>
      </c>
      <c r="XF1" s="2" t="s">
        <v>646</v>
      </c>
      <c r="XG1" s="5" t="s">
        <v>647</v>
      </c>
      <c r="XH1" s="2" t="s">
        <v>648</v>
      </c>
      <c r="XI1" s="2" t="s">
        <v>649</v>
      </c>
      <c r="XJ1" s="2" t="s">
        <v>650</v>
      </c>
      <c r="XK1" s="2" t="s">
        <v>651</v>
      </c>
      <c r="XL1" s="2" t="s">
        <v>652</v>
      </c>
      <c r="XM1" s="2" t="s">
        <v>653</v>
      </c>
      <c r="XN1" s="2" t="s">
        <v>654</v>
      </c>
      <c r="XO1" s="2" t="s">
        <v>655</v>
      </c>
      <c r="XP1" s="2" t="s">
        <v>656</v>
      </c>
      <c r="XQ1" s="2" t="s">
        <v>657</v>
      </c>
      <c r="XR1" s="2" t="s">
        <v>658</v>
      </c>
      <c r="XS1" s="2" t="s">
        <v>659</v>
      </c>
      <c r="XT1" s="2" t="s">
        <v>660</v>
      </c>
      <c r="XU1" s="2" t="s">
        <v>661</v>
      </c>
      <c r="XV1" s="2" t="s">
        <v>662</v>
      </c>
      <c r="XW1" s="2" t="s">
        <v>663</v>
      </c>
      <c r="XX1" s="2" t="s">
        <v>664</v>
      </c>
      <c r="XY1" s="2" t="s">
        <v>665</v>
      </c>
      <c r="XZ1" s="2" t="s">
        <v>666</v>
      </c>
      <c r="YA1" s="2" t="s">
        <v>667</v>
      </c>
      <c r="YB1" s="2" t="s">
        <v>668</v>
      </c>
      <c r="YC1" s="2" t="s">
        <v>669</v>
      </c>
      <c r="YD1" s="2" t="s">
        <v>670</v>
      </c>
      <c r="YE1" s="2" t="s">
        <v>671</v>
      </c>
      <c r="YF1" s="2" t="s">
        <v>672</v>
      </c>
      <c r="YG1" s="2" t="s">
        <v>673</v>
      </c>
      <c r="YH1" s="2" t="s">
        <v>674</v>
      </c>
      <c r="YI1" s="2" t="s">
        <v>675</v>
      </c>
      <c r="YJ1" s="2" t="s">
        <v>676</v>
      </c>
      <c r="YK1" s="2" t="s">
        <v>677</v>
      </c>
      <c r="YL1" s="2" t="s">
        <v>678</v>
      </c>
      <c r="YM1" s="2" t="s">
        <v>679</v>
      </c>
      <c r="YN1" s="2" t="s">
        <v>680</v>
      </c>
      <c r="YO1" s="2" t="s">
        <v>681</v>
      </c>
      <c r="YP1" s="2" t="s">
        <v>682</v>
      </c>
      <c r="YQ1" s="2" t="s">
        <v>683</v>
      </c>
      <c r="YR1" s="2" t="s">
        <v>684</v>
      </c>
      <c r="YS1" s="1" t="s">
        <v>685</v>
      </c>
      <c r="YT1" s="5" t="s">
        <v>686</v>
      </c>
      <c r="YU1" s="1" t="s">
        <v>687</v>
      </c>
      <c r="YV1" s="1" t="s">
        <v>688</v>
      </c>
      <c r="YW1" s="1" t="s">
        <v>689</v>
      </c>
      <c r="YX1" s="1" t="s">
        <v>690</v>
      </c>
      <c r="YY1" s="1" t="s">
        <v>691</v>
      </c>
      <c r="YZ1" s="1" t="s">
        <v>692</v>
      </c>
      <c r="ZA1" s="1" t="s">
        <v>693</v>
      </c>
      <c r="ZB1" s="1" t="s">
        <v>694</v>
      </c>
      <c r="ZC1" s="1" t="s">
        <v>695</v>
      </c>
      <c r="ZD1" s="1" t="s">
        <v>696</v>
      </c>
      <c r="ZE1" s="1" t="s">
        <v>697</v>
      </c>
      <c r="ZF1" s="1" t="s">
        <v>698</v>
      </c>
      <c r="ZG1" s="1" t="s">
        <v>699</v>
      </c>
      <c r="ZH1" s="1" t="s">
        <v>700</v>
      </c>
      <c r="ZI1" s="1" t="s">
        <v>701</v>
      </c>
      <c r="ZJ1" s="1" t="s">
        <v>702</v>
      </c>
      <c r="ZK1" s="1" t="s">
        <v>703</v>
      </c>
      <c r="ZL1" s="1" t="s">
        <v>704</v>
      </c>
      <c r="ZM1" s="1" t="s">
        <v>705</v>
      </c>
      <c r="ZN1" s="1" t="s">
        <v>706</v>
      </c>
      <c r="ZO1" s="1" t="s">
        <v>707</v>
      </c>
      <c r="ZP1" s="1" t="s">
        <v>708</v>
      </c>
      <c r="ZQ1" s="1" t="s">
        <v>709</v>
      </c>
      <c r="ZR1" s="2" t="s">
        <v>710</v>
      </c>
      <c r="ZS1" s="2" t="s">
        <v>711</v>
      </c>
      <c r="ZT1" s="2" t="s">
        <v>712</v>
      </c>
      <c r="ZU1" s="1" t="s">
        <v>713</v>
      </c>
      <c r="ZV1" s="1" t="s">
        <v>714</v>
      </c>
      <c r="ZW1" s="1" t="s">
        <v>715</v>
      </c>
      <c r="ZX1" s="1" t="s">
        <v>716</v>
      </c>
      <c r="ZY1" s="1" t="s">
        <v>717</v>
      </c>
      <c r="ZZ1" s="1" t="s">
        <v>718</v>
      </c>
      <c r="AAA1" s="1" t="s">
        <v>719</v>
      </c>
      <c r="AAB1" s="1" t="s">
        <v>720</v>
      </c>
      <c r="AAC1" s="1" t="s">
        <v>721</v>
      </c>
      <c r="AAD1" s="1" t="s">
        <v>722</v>
      </c>
      <c r="AAE1" s="1" t="s">
        <v>723</v>
      </c>
      <c r="AAF1" s="1" t="s">
        <v>724</v>
      </c>
      <c r="AAG1" s="1" t="s">
        <v>725</v>
      </c>
      <c r="AAH1" s="1" t="s">
        <v>726</v>
      </c>
      <c r="AAI1" s="1" t="s">
        <v>727</v>
      </c>
      <c r="AAJ1" s="1" t="s">
        <v>728</v>
      </c>
      <c r="AAK1" s="1" t="s">
        <v>729</v>
      </c>
      <c r="AAL1" s="1" t="s">
        <v>730</v>
      </c>
      <c r="AAM1" s="1" t="s">
        <v>731</v>
      </c>
      <c r="AAN1" s="1" t="s">
        <v>732</v>
      </c>
      <c r="AAO1" s="1" t="s">
        <v>733</v>
      </c>
      <c r="AAP1" s="1" t="s">
        <v>734</v>
      </c>
      <c r="AAQ1" s="1" t="s">
        <v>735</v>
      </c>
      <c r="AAR1" s="1" t="s">
        <v>736</v>
      </c>
      <c r="AAS1" s="1" t="s">
        <v>737</v>
      </c>
      <c r="AAT1" s="1" t="s">
        <v>738</v>
      </c>
      <c r="AAU1" s="1" t="s">
        <v>739</v>
      </c>
      <c r="AAV1" s="3" t="s">
        <v>740</v>
      </c>
      <c r="AAW1" s="1" t="s">
        <v>741</v>
      </c>
      <c r="AAX1" s="1" t="s">
        <v>742</v>
      </c>
      <c r="AAY1" s="1" t="s">
        <v>743</v>
      </c>
      <c r="AAZ1" s="1" t="s">
        <v>744</v>
      </c>
      <c r="ABA1" s="1" t="s">
        <v>745</v>
      </c>
      <c r="ABB1" s="1" t="s">
        <v>746</v>
      </c>
      <c r="ABC1" s="1" t="s">
        <v>747</v>
      </c>
      <c r="ABD1" s="1" t="s">
        <v>748</v>
      </c>
      <c r="ABE1" s="1" t="s">
        <v>749</v>
      </c>
      <c r="ABF1" s="1" t="s">
        <v>750</v>
      </c>
      <c r="ABG1" s="1" t="s">
        <v>751</v>
      </c>
      <c r="ABH1" s="1" t="s">
        <v>752</v>
      </c>
      <c r="ABI1" s="1" t="s">
        <v>753</v>
      </c>
      <c r="ABJ1" s="1" t="s">
        <v>754</v>
      </c>
      <c r="ABK1" s="1" t="s">
        <v>755</v>
      </c>
      <c r="ABL1" s="1" t="s">
        <v>756</v>
      </c>
      <c r="ABM1" s="1" t="s">
        <v>757</v>
      </c>
      <c r="ABN1" s="1" t="s">
        <v>758</v>
      </c>
      <c r="ABO1" s="1" t="s">
        <v>759</v>
      </c>
      <c r="ABP1" s="2" t="s">
        <v>760</v>
      </c>
      <c r="ABQ1" s="1" t="s">
        <v>761</v>
      </c>
      <c r="ABR1" s="1" t="s">
        <v>762</v>
      </c>
      <c r="ABS1" s="1" t="s">
        <v>763</v>
      </c>
      <c r="ABT1" s="1" t="s">
        <v>764</v>
      </c>
      <c r="ABU1" s="1" t="s">
        <v>765</v>
      </c>
      <c r="ABV1" s="1" t="s">
        <v>766</v>
      </c>
      <c r="ABW1" s="1" t="s">
        <v>767</v>
      </c>
      <c r="ABX1" s="1" t="s">
        <v>768</v>
      </c>
      <c r="ABY1" s="1" t="s">
        <v>769</v>
      </c>
      <c r="ABZ1" s="1" t="s">
        <v>770</v>
      </c>
      <c r="ACA1" s="1" t="s">
        <v>771</v>
      </c>
      <c r="ACB1" s="1" t="s">
        <v>772</v>
      </c>
      <c r="ACC1" s="1" t="s">
        <v>773</v>
      </c>
      <c r="ACD1" s="1" t="s">
        <v>774</v>
      </c>
      <c r="ACE1" s="1" t="s">
        <v>775</v>
      </c>
      <c r="ACF1" s="1" t="s">
        <v>776</v>
      </c>
      <c r="ACG1" s="1" t="s">
        <v>777</v>
      </c>
      <c r="ACH1" s="1" t="s">
        <v>778</v>
      </c>
      <c r="ACI1" s="1" t="s">
        <v>779</v>
      </c>
      <c r="ACJ1" s="1" t="s">
        <v>780</v>
      </c>
      <c r="ACK1" s="1" t="s">
        <v>781</v>
      </c>
      <c r="ACL1" s="1" t="s">
        <v>782</v>
      </c>
      <c r="ACM1" s="1" t="s">
        <v>783</v>
      </c>
      <c r="ACN1" s="1" t="s">
        <v>784</v>
      </c>
      <c r="ACO1" s="1" t="s">
        <v>785</v>
      </c>
      <c r="ACP1" s="2" t="s">
        <v>786</v>
      </c>
      <c r="ACQ1" s="2" t="s">
        <v>787</v>
      </c>
      <c r="ACR1" s="2" t="s">
        <v>788</v>
      </c>
      <c r="ACS1" s="2" t="s">
        <v>789</v>
      </c>
      <c r="ACT1" s="2" t="s">
        <v>790</v>
      </c>
      <c r="ACU1" s="2" t="s">
        <v>791</v>
      </c>
      <c r="ACV1" s="2" t="s">
        <v>792</v>
      </c>
      <c r="ACW1" s="2" t="s">
        <v>793</v>
      </c>
      <c r="ACX1" s="2" t="s">
        <v>794</v>
      </c>
      <c r="ACY1" s="1" t="s">
        <v>795</v>
      </c>
      <c r="ACZ1" s="2" t="s">
        <v>796</v>
      </c>
      <c r="ADA1" s="2" t="s">
        <v>797</v>
      </c>
      <c r="ADB1" s="2" t="s">
        <v>798</v>
      </c>
      <c r="ADC1" s="2" t="s">
        <v>799</v>
      </c>
      <c r="ADD1" s="2" t="s">
        <v>800</v>
      </c>
      <c r="ADE1" s="1" t="s">
        <v>801</v>
      </c>
      <c r="ADF1" s="1" t="s">
        <v>802</v>
      </c>
      <c r="ADG1" s="1" t="s">
        <v>803</v>
      </c>
      <c r="ADH1" s="1" t="s">
        <v>804</v>
      </c>
      <c r="ADI1" s="1" t="s">
        <v>805</v>
      </c>
      <c r="ADJ1" s="2" t="s">
        <v>806</v>
      </c>
      <c r="ADK1" s="1" t="s">
        <v>807</v>
      </c>
      <c r="ADL1" s="2" t="s">
        <v>808</v>
      </c>
      <c r="ADM1" s="1" t="s">
        <v>809</v>
      </c>
      <c r="ADN1" s="3" t="s">
        <v>810</v>
      </c>
      <c r="ADO1" s="1" t="s">
        <v>811</v>
      </c>
      <c r="ADP1" s="2" t="s">
        <v>812</v>
      </c>
      <c r="ADQ1" s="2" t="s">
        <v>813</v>
      </c>
      <c r="ADR1" s="2" t="s">
        <v>814</v>
      </c>
      <c r="ADS1" s="2" t="s">
        <v>815</v>
      </c>
      <c r="ADT1" s="2" t="s">
        <v>816</v>
      </c>
      <c r="ADU1" s="2" t="s">
        <v>817</v>
      </c>
      <c r="ADV1" s="2" t="s">
        <v>818</v>
      </c>
      <c r="ADW1" s="2" t="s">
        <v>819</v>
      </c>
      <c r="ADX1" s="2" t="s">
        <v>820</v>
      </c>
      <c r="ADY1" s="2" t="s">
        <v>821</v>
      </c>
      <c r="ADZ1" s="2" t="s">
        <v>822</v>
      </c>
      <c r="AEA1" s="2" t="s">
        <v>823</v>
      </c>
      <c r="AEB1" s="2" t="s">
        <v>824</v>
      </c>
      <c r="AEC1" s="1" t="s">
        <v>825</v>
      </c>
      <c r="AED1" s="1" t="s">
        <v>826</v>
      </c>
      <c r="AEE1" s="1" t="s">
        <v>827</v>
      </c>
      <c r="AEF1" s="1" t="s">
        <v>828</v>
      </c>
      <c r="AEG1" s="1" t="s">
        <v>829</v>
      </c>
      <c r="AEH1" s="1" t="s">
        <v>830</v>
      </c>
      <c r="AEI1" s="1" t="s">
        <v>831</v>
      </c>
      <c r="AEJ1" s="1" t="s">
        <v>832</v>
      </c>
      <c r="AEK1" s="1" t="s">
        <v>833</v>
      </c>
      <c r="AEL1" s="1" t="s">
        <v>834</v>
      </c>
      <c r="AEM1" s="1" t="s">
        <v>835</v>
      </c>
      <c r="AEN1" s="1" t="s">
        <v>836</v>
      </c>
    </row>
    <row r="2">
      <c r="A2" s="6">
        <v>46057.0</v>
      </c>
      <c r="B2" s="6">
        <v>46057.0</v>
      </c>
      <c r="C2" s="7" t="s">
        <v>837</v>
      </c>
      <c r="D2" s="7" t="s">
        <v>838</v>
      </c>
      <c r="E2" s="8">
        <f>+6285602796489</f>
        <v>6285602796489</v>
      </c>
      <c r="F2" s="9"/>
      <c r="G2" s="8">
        <v>-7.195</v>
      </c>
      <c r="H2" s="8">
        <v>110.97612</v>
      </c>
      <c r="I2" s="9"/>
      <c r="J2" s="8">
        <v>4.77</v>
      </c>
      <c r="K2" s="9"/>
      <c r="L2" s="9"/>
      <c r="M2" s="8">
        <v>-7.35560821</v>
      </c>
      <c r="N2" s="8">
        <v>110.3349</v>
      </c>
      <c r="O2" s="9"/>
      <c r="P2" s="8">
        <v>4.06</v>
      </c>
      <c r="Q2" s="9"/>
      <c r="R2" s="9" t="s">
        <v>839</v>
      </c>
      <c r="S2" s="9"/>
      <c r="T2" s="9"/>
      <c r="U2" s="9"/>
      <c r="V2" s="9"/>
      <c r="W2" s="9"/>
      <c r="X2" s="9"/>
      <c r="Y2" s="9"/>
      <c r="Z2" s="9"/>
      <c r="AA2" s="9"/>
      <c r="AB2" s="9"/>
      <c r="AC2" s="7" t="s">
        <v>840</v>
      </c>
      <c r="AD2" s="7" t="s">
        <v>841</v>
      </c>
      <c r="AE2" s="7" t="s">
        <v>842</v>
      </c>
      <c r="AF2" s="9" t="s">
        <v>843</v>
      </c>
      <c r="AG2" s="9" t="s">
        <v>844</v>
      </c>
      <c r="AH2" s="8">
        <v>5.0</v>
      </c>
      <c r="AI2" s="9" t="s">
        <v>845</v>
      </c>
      <c r="AJ2" s="9" t="s">
        <v>846</v>
      </c>
      <c r="AK2" s="8">
        <v>56.0</v>
      </c>
      <c r="AL2" s="9" t="s">
        <v>847</v>
      </c>
      <c r="AM2" s="9" t="s">
        <v>848</v>
      </c>
      <c r="AN2" s="9" t="s">
        <v>849</v>
      </c>
      <c r="AO2" s="9" t="s">
        <v>850</v>
      </c>
      <c r="AP2" s="8">
        <v>1.0</v>
      </c>
      <c r="AQ2" s="8">
        <v>0.0</v>
      </c>
      <c r="AR2" s="8">
        <v>0.0</v>
      </c>
      <c r="AS2" s="8">
        <v>0.0</v>
      </c>
      <c r="AT2" s="8">
        <v>0.0</v>
      </c>
      <c r="AU2" s="8">
        <v>0.0</v>
      </c>
      <c r="AV2" s="8">
        <v>0.0</v>
      </c>
      <c r="AW2" s="8">
        <v>0.0</v>
      </c>
      <c r="AX2" s="9"/>
      <c r="AY2" s="9" t="s">
        <v>851</v>
      </c>
      <c r="AZ2" s="8">
        <v>1.0</v>
      </c>
      <c r="BA2" s="8">
        <v>1.0</v>
      </c>
      <c r="BB2" s="8">
        <v>0.0</v>
      </c>
      <c r="BC2" s="8">
        <v>0.0</v>
      </c>
      <c r="BD2" s="8">
        <v>0.0</v>
      </c>
      <c r="BE2" s="8">
        <v>0.0</v>
      </c>
      <c r="BF2" s="8">
        <v>0.0</v>
      </c>
      <c r="BG2" s="8">
        <v>0.0</v>
      </c>
      <c r="BH2" s="9"/>
      <c r="BI2" s="9" t="s">
        <v>852</v>
      </c>
      <c r="BJ2" s="8">
        <v>1.0</v>
      </c>
      <c r="BK2" s="8">
        <v>2.0</v>
      </c>
      <c r="BL2" s="8">
        <v>1.0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856</v>
      </c>
      <c r="CD2" s="8">
        <v>0.0</v>
      </c>
      <c r="CE2" s="8">
        <v>0.0</v>
      </c>
      <c r="CF2" s="8">
        <v>0.0</v>
      </c>
      <c r="CG2" s="8">
        <v>0.0</v>
      </c>
      <c r="CH2" s="8">
        <v>0.0</v>
      </c>
      <c r="CI2" s="8">
        <v>1.0</v>
      </c>
      <c r="CJ2" s="8">
        <v>0.0</v>
      </c>
      <c r="CK2" s="9"/>
      <c r="CL2" s="9" t="s">
        <v>857</v>
      </c>
      <c r="CM2" s="8">
        <v>2020.0</v>
      </c>
      <c r="CN2" s="9" t="s">
        <v>858</v>
      </c>
      <c r="CO2" s="9" t="s">
        <v>859</v>
      </c>
      <c r="CP2" s="9" t="s">
        <v>860</v>
      </c>
      <c r="CQ2" s="8">
        <v>0.0</v>
      </c>
      <c r="CR2" s="8">
        <v>0.0</v>
      </c>
      <c r="CS2" s="8">
        <v>0.0</v>
      </c>
      <c r="CT2" s="8">
        <v>0.0</v>
      </c>
      <c r="CU2" s="10">
        <v>1.0</v>
      </c>
      <c r="CV2" s="10">
        <v>0.0</v>
      </c>
      <c r="CW2" s="10">
        <v>0.0</v>
      </c>
      <c r="CX2" s="8">
        <v>0.0</v>
      </c>
      <c r="CY2" s="9" t="s">
        <v>860</v>
      </c>
      <c r="CZ2" s="8">
        <v>1.0</v>
      </c>
      <c r="DA2" s="8">
        <v>0.0</v>
      </c>
      <c r="DB2" s="8">
        <v>0.0</v>
      </c>
      <c r="DC2" s="9"/>
      <c r="DD2" s="9" t="s">
        <v>861</v>
      </c>
      <c r="DE2" s="8">
        <v>0.0</v>
      </c>
      <c r="DF2" s="8">
        <v>0.0</v>
      </c>
      <c r="DG2" s="8">
        <v>1.0</v>
      </c>
      <c r="DH2" s="8">
        <v>0.0</v>
      </c>
      <c r="DI2" s="9"/>
      <c r="DJ2" s="9" t="s">
        <v>861</v>
      </c>
      <c r="DK2" s="8">
        <v>0.0</v>
      </c>
      <c r="DL2" s="8">
        <v>0.0</v>
      </c>
      <c r="DM2" s="8">
        <v>1.0</v>
      </c>
      <c r="DN2" s="8">
        <v>0.0</v>
      </c>
      <c r="DO2" s="9"/>
      <c r="DP2" s="8">
        <v>1.0</v>
      </c>
      <c r="DQ2" s="8">
        <v>0.0</v>
      </c>
      <c r="DR2" s="8">
        <v>0.0</v>
      </c>
      <c r="DS2" s="9"/>
      <c r="DT2" s="9"/>
      <c r="DU2" s="9"/>
      <c r="DV2" s="9" t="s">
        <v>857</v>
      </c>
      <c r="DW2" s="9"/>
      <c r="DX2" s="9"/>
      <c r="DY2" s="9"/>
      <c r="DZ2" s="9"/>
      <c r="EA2" s="9"/>
      <c r="EB2" s="9"/>
      <c r="EC2" s="9"/>
      <c r="ED2" s="9"/>
      <c r="EE2" s="9"/>
      <c r="EF2" s="9"/>
      <c r="EG2" s="9"/>
      <c r="EH2" s="9"/>
      <c r="EI2" s="9" t="s">
        <v>862</v>
      </c>
      <c r="EJ2" s="8">
        <v>0.0</v>
      </c>
      <c r="EK2" s="8">
        <v>0.0</v>
      </c>
      <c r="EL2" s="8">
        <v>0.0</v>
      </c>
      <c r="EM2" s="8">
        <v>1.0</v>
      </c>
      <c r="EN2" s="8">
        <v>0.0</v>
      </c>
      <c r="EO2" s="11"/>
      <c r="EP2" s="9" t="s">
        <v>863</v>
      </c>
      <c r="EQ2" s="9" t="s">
        <v>864</v>
      </c>
      <c r="ER2" s="9" t="s">
        <v>861</v>
      </c>
      <c r="ES2" s="8">
        <v>1.0</v>
      </c>
      <c r="ET2" s="8">
        <v>0.0</v>
      </c>
      <c r="EU2" s="8">
        <v>0.0</v>
      </c>
      <c r="EV2" s="8">
        <v>0.0</v>
      </c>
      <c r="EW2" s="9"/>
      <c r="EX2" s="9" t="s">
        <v>865</v>
      </c>
      <c r="EY2" s="8">
        <v>1.0</v>
      </c>
      <c r="EZ2" s="8">
        <v>0.0</v>
      </c>
      <c r="FA2" s="8">
        <v>0.0</v>
      </c>
      <c r="FB2" s="9"/>
      <c r="FC2" s="9" t="s">
        <v>866</v>
      </c>
      <c r="FD2" s="9"/>
      <c r="FE2" s="9" t="s">
        <v>867</v>
      </c>
      <c r="FF2" s="9" t="s">
        <v>868</v>
      </c>
      <c r="FG2" s="9" t="s">
        <v>867</v>
      </c>
      <c r="FH2" s="9" t="s">
        <v>869</v>
      </c>
      <c r="FI2" s="9" t="s">
        <v>867</v>
      </c>
      <c r="FJ2" s="9" t="s">
        <v>868</v>
      </c>
      <c r="FK2" s="9" t="s">
        <v>867</v>
      </c>
      <c r="FL2" s="9" t="s">
        <v>870</v>
      </c>
      <c r="FM2" s="9" t="s">
        <v>867</v>
      </c>
      <c r="FN2" s="9" t="s">
        <v>869</v>
      </c>
      <c r="FO2" s="9" t="s">
        <v>867</v>
      </c>
      <c r="FP2" s="9" t="s">
        <v>870</v>
      </c>
      <c r="FQ2" s="9" t="s">
        <v>867</v>
      </c>
      <c r="FR2" s="9" t="s">
        <v>857</v>
      </c>
      <c r="FS2" s="9" t="s">
        <v>867</v>
      </c>
      <c r="FT2" s="9" t="s">
        <v>871</v>
      </c>
      <c r="FU2" s="9" t="s">
        <v>872</v>
      </c>
      <c r="FV2" s="8">
        <v>1.0</v>
      </c>
      <c r="FW2" s="8">
        <v>0.0</v>
      </c>
      <c r="FX2" s="8">
        <v>0.0</v>
      </c>
      <c r="FY2" s="8">
        <v>0.0</v>
      </c>
      <c r="FZ2" s="9" t="s">
        <v>873</v>
      </c>
      <c r="GA2" s="9" t="s">
        <v>874</v>
      </c>
      <c r="GB2" s="8">
        <v>1.0</v>
      </c>
      <c r="GC2" s="8">
        <v>0.0</v>
      </c>
      <c r="GD2" s="8">
        <v>0.0</v>
      </c>
      <c r="GE2" s="8">
        <v>0.0</v>
      </c>
      <c r="GF2" s="9"/>
      <c r="GG2" s="9" t="s">
        <v>875</v>
      </c>
      <c r="GH2" s="9" t="s">
        <v>857</v>
      </c>
      <c r="GI2" s="9" t="s">
        <v>876</v>
      </c>
      <c r="GJ2" s="8">
        <v>1.0</v>
      </c>
      <c r="GK2" s="8">
        <v>0.0</v>
      </c>
      <c r="GL2" s="8">
        <v>0.0</v>
      </c>
      <c r="GM2" s="8">
        <v>0.0</v>
      </c>
      <c r="GN2" s="9"/>
      <c r="GO2" s="8">
        <v>10.0</v>
      </c>
      <c r="GP2" s="9" t="s">
        <v>877</v>
      </c>
      <c r="GQ2" s="9" t="s">
        <v>878</v>
      </c>
      <c r="GR2" s="8">
        <v>1.0</v>
      </c>
      <c r="GS2" s="8">
        <v>1.0</v>
      </c>
      <c r="GT2" s="8">
        <v>0.0</v>
      </c>
      <c r="GU2" s="8">
        <v>0.0</v>
      </c>
      <c r="GV2" s="8">
        <v>0.0</v>
      </c>
      <c r="GW2" s="8">
        <v>0.0</v>
      </c>
      <c r="GX2" s="8">
        <v>0.0</v>
      </c>
      <c r="GY2" s="9"/>
      <c r="GZ2" s="9" t="s">
        <v>857</v>
      </c>
      <c r="HA2" s="8">
        <v>15.0</v>
      </c>
      <c r="HB2" s="8">
        <v>150000.0</v>
      </c>
      <c r="HC2" s="8">
        <v>0.0</v>
      </c>
      <c r="HD2" s="8">
        <v>0.0</v>
      </c>
      <c r="HE2" s="8">
        <v>3.0</v>
      </c>
      <c r="HF2" s="8">
        <v>75000.0</v>
      </c>
      <c r="HG2" s="8">
        <v>3.0</v>
      </c>
      <c r="HH2" s="8">
        <v>25000.0</v>
      </c>
      <c r="HI2" s="9"/>
      <c r="HJ2" s="9"/>
      <c r="HK2" s="9"/>
      <c r="HL2" s="9"/>
      <c r="HM2" s="9"/>
      <c r="HN2" s="9"/>
      <c r="HO2" s="9"/>
      <c r="HP2" s="9"/>
      <c r="HQ2" s="9"/>
      <c r="HR2" s="9"/>
      <c r="HS2" s="9"/>
      <c r="HT2" s="9"/>
      <c r="HU2" s="9"/>
      <c r="HV2" s="9"/>
      <c r="HW2" s="9"/>
      <c r="HX2" s="9"/>
      <c r="HY2" s="8">
        <v>15.0</v>
      </c>
      <c r="HZ2" s="8">
        <v>150000.0</v>
      </c>
      <c r="IA2" s="8">
        <v>6.0</v>
      </c>
      <c r="IB2" s="8">
        <v>75000.0</v>
      </c>
      <c r="IC2" s="9"/>
      <c r="ID2" s="9"/>
      <c r="IE2" s="9"/>
      <c r="IF2" s="9"/>
      <c r="IG2" s="9"/>
      <c r="IH2" s="9"/>
      <c r="II2" s="9"/>
      <c r="IJ2" s="9"/>
      <c r="IK2" s="9" t="s">
        <v>879</v>
      </c>
      <c r="IL2" s="9" t="s">
        <v>880</v>
      </c>
      <c r="IM2" s="9" t="s">
        <v>857</v>
      </c>
      <c r="IN2" s="9" t="s">
        <v>881</v>
      </c>
      <c r="IO2" s="9" t="s">
        <v>882</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885</v>
      </c>
      <c r="KU2" s="9" t="s">
        <v>886</v>
      </c>
      <c r="KV2" s="9" t="s">
        <v>872</v>
      </c>
      <c r="KW2" s="8">
        <v>1.0</v>
      </c>
      <c r="KX2" s="8">
        <v>0.0</v>
      </c>
      <c r="KY2" s="8">
        <v>0.0</v>
      </c>
      <c r="KZ2" s="8">
        <v>0.0</v>
      </c>
      <c r="LA2" s="9" t="s">
        <v>884</v>
      </c>
      <c r="LB2" s="9" t="s">
        <v>884</v>
      </c>
      <c r="LC2" s="8">
        <v>0.0</v>
      </c>
      <c r="LD2" s="8">
        <v>0.0</v>
      </c>
      <c r="LE2" s="8">
        <v>0.0</v>
      </c>
      <c r="LF2" s="8">
        <v>0.0</v>
      </c>
      <c r="LG2" s="9" t="s">
        <v>857</v>
      </c>
      <c r="LH2" s="8">
        <v>200000.0</v>
      </c>
      <c r="LI2" s="9"/>
      <c r="LJ2" s="9" t="s">
        <v>887</v>
      </c>
      <c r="LK2" s="8">
        <v>0.0</v>
      </c>
      <c r="LL2" s="8">
        <v>0.0</v>
      </c>
      <c r="LM2" s="8">
        <v>0.0</v>
      </c>
      <c r="LN2" s="8">
        <v>0.0</v>
      </c>
      <c r="LO2" s="8">
        <v>1.0</v>
      </c>
      <c r="LP2" s="8">
        <v>0.0</v>
      </c>
      <c r="LQ2" s="8">
        <v>0.0</v>
      </c>
      <c r="LR2" s="9"/>
      <c r="LS2" s="8">
        <v>15.0</v>
      </c>
      <c r="LT2" s="8">
        <v>15.0</v>
      </c>
      <c r="LU2" s="8">
        <v>15.0</v>
      </c>
      <c r="LV2" s="8">
        <v>5.0</v>
      </c>
      <c r="LW2" s="8">
        <v>5.0</v>
      </c>
      <c r="LX2" s="8">
        <v>5.0</v>
      </c>
      <c r="LY2" s="8">
        <v>5.0</v>
      </c>
      <c r="LZ2" s="8">
        <v>5.0</v>
      </c>
      <c r="MA2" s="8">
        <v>5.0</v>
      </c>
      <c r="MB2" s="9" t="s">
        <v>881</v>
      </c>
      <c r="MC2" s="8">
        <v>60.0</v>
      </c>
      <c r="MD2" s="8">
        <v>0.0</v>
      </c>
      <c r="ME2" s="8">
        <v>60.0</v>
      </c>
      <c r="MF2" s="8">
        <v>0.0</v>
      </c>
      <c r="MG2" s="8">
        <v>60.0</v>
      </c>
      <c r="MH2" s="8">
        <v>0.0</v>
      </c>
      <c r="MI2" s="9"/>
      <c r="MJ2" s="9"/>
      <c r="MK2" s="9"/>
      <c r="ML2" s="9"/>
      <c r="MM2" s="9"/>
      <c r="MN2" s="9"/>
      <c r="MO2" s="9"/>
      <c r="MP2" s="9"/>
      <c r="MQ2" s="9"/>
      <c r="MR2" s="9" t="s">
        <v>888</v>
      </c>
      <c r="MS2" s="9"/>
      <c r="MT2" s="9" t="s">
        <v>889</v>
      </c>
      <c r="MU2" s="9" t="s">
        <v>890</v>
      </c>
      <c r="MV2" s="9" t="s">
        <v>891</v>
      </c>
      <c r="MW2" s="8">
        <v>1.0</v>
      </c>
      <c r="MX2" s="8">
        <v>1.0</v>
      </c>
      <c r="MY2" s="8">
        <v>1.0</v>
      </c>
      <c r="MZ2" s="8">
        <v>0.0</v>
      </c>
      <c r="NA2" s="9"/>
      <c r="NB2" s="8">
        <v>3.0</v>
      </c>
      <c r="NC2" s="9" t="s">
        <v>892</v>
      </c>
      <c r="ND2" s="8">
        <v>0.0</v>
      </c>
      <c r="NE2" s="8">
        <v>1.0</v>
      </c>
      <c r="NF2" s="9"/>
      <c r="NG2" s="8">
        <v>50.0</v>
      </c>
      <c r="NH2" s="8">
        <v>1.0</v>
      </c>
      <c r="NI2" s="9"/>
      <c r="NJ2" s="8">
        <v>1000.0</v>
      </c>
      <c r="NK2" s="8">
        <v>1.0</v>
      </c>
      <c r="NL2" s="9" t="s">
        <v>881</v>
      </c>
      <c r="NM2" s="9" t="s">
        <v>893</v>
      </c>
      <c r="NN2" s="9" t="s">
        <v>894</v>
      </c>
      <c r="NO2" s="9" t="s">
        <v>895</v>
      </c>
      <c r="NP2" s="9"/>
      <c r="NQ2" s="9"/>
      <c r="NR2" s="9"/>
      <c r="NS2" s="9"/>
      <c r="NT2" s="9"/>
      <c r="NU2" s="9"/>
      <c r="NV2" s="9" t="s">
        <v>896</v>
      </c>
      <c r="NW2" s="9"/>
      <c r="NX2" s="9" t="s">
        <v>897</v>
      </c>
      <c r="NY2" s="8">
        <v>120.0</v>
      </c>
      <c r="NZ2" s="8">
        <v>15.0</v>
      </c>
      <c r="OA2" s="8">
        <v>0.0</v>
      </c>
      <c r="OB2" s="8">
        <v>30.0</v>
      </c>
      <c r="OC2" s="8">
        <v>10.0</v>
      </c>
      <c r="OD2" s="8">
        <v>0.0</v>
      </c>
      <c r="OE2" s="9" t="s">
        <v>898</v>
      </c>
      <c r="OF2" s="9" t="s">
        <v>899</v>
      </c>
      <c r="OG2" s="9" t="s">
        <v>857</v>
      </c>
      <c r="OH2" s="8">
        <v>5.0</v>
      </c>
      <c r="OI2" s="8">
        <v>0.0</v>
      </c>
      <c r="OJ2" s="8">
        <v>0.0</v>
      </c>
      <c r="OK2" s="8">
        <v>0.0</v>
      </c>
      <c r="OL2" s="8">
        <v>0.0</v>
      </c>
      <c r="OM2" s="8">
        <v>0.0</v>
      </c>
      <c r="ON2" s="8">
        <v>0.0</v>
      </c>
      <c r="OO2" s="8">
        <v>0.0</v>
      </c>
      <c r="OP2" s="9" t="s">
        <v>2947</v>
      </c>
      <c r="OQ2" s="8">
        <v>1.0</v>
      </c>
      <c r="OR2" s="8">
        <v>0.0</v>
      </c>
      <c r="OS2" s="8">
        <v>0.0</v>
      </c>
      <c r="OT2" s="8">
        <v>0.0</v>
      </c>
      <c r="OU2" s="8">
        <v>0.0</v>
      </c>
      <c r="OV2" s="8">
        <v>0.0</v>
      </c>
      <c r="OW2" s="8">
        <v>0.0</v>
      </c>
      <c r="OX2" s="8">
        <v>0.0</v>
      </c>
      <c r="OY2" s="9" t="s">
        <v>900</v>
      </c>
      <c r="OZ2" s="8">
        <v>1.0</v>
      </c>
      <c r="PA2" s="8">
        <v>0.0</v>
      </c>
      <c r="PB2" s="8">
        <v>0.0</v>
      </c>
      <c r="PC2" s="8">
        <v>0.0</v>
      </c>
      <c r="PD2" s="8">
        <v>0.0</v>
      </c>
      <c r="PE2" s="8">
        <v>0.0</v>
      </c>
      <c r="PF2" s="8">
        <v>1.0</v>
      </c>
      <c r="PG2" s="8">
        <v>0.0</v>
      </c>
      <c r="PH2" s="8">
        <v>0.0</v>
      </c>
      <c r="PI2" s="8">
        <v>0.0</v>
      </c>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8">
        <v>5.0</v>
      </c>
      <c r="SE2" s="9"/>
      <c r="SF2" s="9"/>
      <c r="SG2" s="9"/>
      <c r="SH2" s="9"/>
      <c r="SI2" s="9"/>
      <c r="SJ2" s="9"/>
      <c r="SK2" s="9"/>
      <c r="SL2" s="8">
        <v>5.0</v>
      </c>
      <c r="SM2" s="8">
        <v>0.0</v>
      </c>
      <c r="SN2" s="8">
        <v>0.0</v>
      </c>
      <c r="SO2" s="8">
        <v>0.0</v>
      </c>
      <c r="SP2" s="8">
        <v>0.0</v>
      </c>
      <c r="SQ2" s="8">
        <v>0.0</v>
      </c>
      <c r="SR2" s="8">
        <v>0.0</v>
      </c>
      <c r="SS2" s="8">
        <v>0.0</v>
      </c>
      <c r="ST2" s="8">
        <v>0.0</v>
      </c>
      <c r="SU2" s="8">
        <v>0.0</v>
      </c>
      <c r="SV2" s="8">
        <v>0.0</v>
      </c>
      <c r="SW2" s="8">
        <v>0.0</v>
      </c>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t="s">
        <v>901</v>
      </c>
      <c r="UA2" s="9"/>
      <c r="UB2" s="9"/>
      <c r="UC2" s="9"/>
      <c r="UD2" s="9"/>
      <c r="UE2" s="9"/>
      <c r="UF2" s="9"/>
      <c r="UG2" s="9"/>
      <c r="UH2" s="9" t="s">
        <v>902</v>
      </c>
      <c r="UI2" s="9"/>
      <c r="UJ2" s="9"/>
      <c r="UK2" s="9"/>
      <c r="UL2" s="9"/>
      <c r="UM2" s="9"/>
      <c r="UN2" s="9"/>
      <c r="UO2" s="9"/>
      <c r="UP2" s="9" t="s">
        <v>903</v>
      </c>
      <c r="UQ2" s="9"/>
      <c r="UR2" s="9"/>
      <c r="US2" s="9"/>
      <c r="UT2" s="9"/>
      <c r="UU2" s="9"/>
      <c r="UV2" s="9"/>
      <c r="UW2" s="9"/>
      <c r="UX2" s="9" t="s">
        <v>904</v>
      </c>
      <c r="UY2" s="8">
        <v>0.0</v>
      </c>
      <c r="UZ2" s="8">
        <v>0.0</v>
      </c>
      <c r="VA2" s="8">
        <v>0.0</v>
      </c>
      <c r="VB2" s="8">
        <v>0.0</v>
      </c>
      <c r="VC2" s="8">
        <v>0.0</v>
      </c>
      <c r="VD2" s="8">
        <v>0.0</v>
      </c>
      <c r="VE2" s="8">
        <v>0.0</v>
      </c>
      <c r="VF2" s="8">
        <v>1.0</v>
      </c>
      <c r="VG2" s="8">
        <v>0.0</v>
      </c>
      <c r="VH2" s="8">
        <v>0.0</v>
      </c>
      <c r="VI2" s="8">
        <v>0.0</v>
      </c>
      <c r="VJ2" s="8">
        <v>0.0</v>
      </c>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8">
        <v>2.0</v>
      </c>
      <c r="ZB2" s="9"/>
      <c r="ZC2" s="9"/>
      <c r="ZD2" s="9"/>
      <c r="ZE2" s="9"/>
      <c r="ZF2" s="9"/>
      <c r="ZG2" s="9"/>
      <c r="ZH2" s="9"/>
      <c r="ZI2" s="9" t="s">
        <v>905</v>
      </c>
      <c r="ZJ2" s="9"/>
      <c r="ZK2" s="9"/>
      <c r="ZL2" s="9"/>
      <c r="ZM2" s="9"/>
      <c r="ZN2" s="9"/>
      <c r="ZO2" s="9"/>
      <c r="ZP2" s="9"/>
      <c r="ZQ2" s="9" t="s">
        <v>857</v>
      </c>
      <c r="ZR2" s="9" t="s">
        <v>892</v>
      </c>
      <c r="ZS2" s="8">
        <v>1.0</v>
      </c>
      <c r="ZT2" s="8">
        <v>0.0</v>
      </c>
      <c r="ZU2" s="9"/>
      <c r="ZV2" s="8">
        <v>50.0</v>
      </c>
      <c r="ZW2" s="9" t="s">
        <v>857</v>
      </c>
      <c r="ZX2" s="9" t="s">
        <v>867</v>
      </c>
      <c r="ZY2" s="9" t="s">
        <v>906</v>
      </c>
      <c r="ZZ2" s="8">
        <v>1.0</v>
      </c>
      <c r="AAA2" s="8">
        <v>0.0</v>
      </c>
      <c r="AAB2" s="8">
        <v>0.0</v>
      </c>
      <c r="AAC2" s="8">
        <v>0.0</v>
      </c>
      <c r="AAD2" s="8">
        <v>0.0</v>
      </c>
      <c r="AAE2" s="8">
        <v>0.0</v>
      </c>
      <c r="AAF2" s="8">
        <v>0.0</v>
      </c>
      <c r="AAG2" s="9" t="s">
        <v>907</v>
      </c>
      <c r="AAH2" s="8">
        <v>1.0</v>
      </c>
      <c r="AAI2" s="8">
        <v>0.0</v>
      </c>
      <c r="AAJ2" s="8">
        <v>0.0</v>
      </c>
      <c r="AAK2" s="8">
        <v>0.0</v>
      </c>
      <c r="AAL2" s="8">
        <v>0.0</v>
      </c>
      <c r="AAM2" s="9"/>
      <c r="AAN2" s="9"/>
      <c r="AAO2" s="9"/>
      <c r="AAP2" s="9"/>
      <c r="AAQ2" s="9"/>
      <c r="AAR2" s="9"/>
      <c r="AAS2" s="9"/>
      <c r="AAT2" s="9"/>
      <c r="AAU2" s="9"/>
      <c r="AAV2" s="11" t="s">
        <v>908</v>
      </c>
      <c r="AAW2" s="9" t="s">
        <v>909</v>
      </c>
      <c r="AAX2" s="8">
        <v>1000.0</v>
      </c>
      <c r="AAY2" s="9"/>
      <c r="AAZ2" s="8">
        <v>50.0</v>
      </c>
      <c r="ABA2" s="8">
        <v>50.0</v>
      </c>
      <c r="ABB2" s="9" t="s">
        <v>910</v>
      </c>
      <c r="ABC2" s="9"/>
      <c r="ABD2" s="8">
        <v>40.0</v>
      </c>
      <c r="ABE2" s="8">
        <v>7000.0</v>
      </c>
      <c r="ABF2" s="8">
        <v>20.0</v>
      </c>
      <c r="ABG2" s="8">
        <v>7000.0</v>
      </c>
      <c r="ABH2" s="8">
        <v>400.0</v>
      </c>
      <c r="ABI2" s="8">
        <v>500.0</v>
      </c>
      <c r="ABJ2" s="9" t="s">
        <v>857</v>
      </c>
      <c r="ABK2" s="9" t="s">
        <v>911</v>
      </c>
      <c r="ABL2" s="9" t="s">
        <v>911</v>
      </c>
      <c r="ABM2" s="9" t="s">
        <v>911</v>
      </c>
      <c r="ABN2" s="9"/>
      <c r="ABO2" s="9"/>
      <c r="ABP2" s="9"/>
      <c r="ABQ2" s="9"/>
      <c r="ABR2" s="9"/>
      <c r="ABS2" s="9"/>
      <c r="ABT2" s="9"/>
      <c r="ABU2" s="9"/>
      <c r="ABV2" s="9"/>
      <c r="ABW2" s="9"/>
      <c r="ABX2" s="9"/>
      <c r="ABY2" s="9" t="s">
        <v>912</v>
      </c>
      <c r="ABZ2" s="9" t="s">
        <v>913</v>
      </c>
      <c r="ACA2" s="9" t="s">
        <v>914</v>
      </c>
      <c r="ACB2" s="9" t="s">
        <v>915</v>
      </c>
      <c r="ACC2" s="9" t="s">
        <v>916</v>
      </c>
      <c r="ACD2" s="9" t="s">
        <v>915</v>
      </c>
      <c r="ACE2" s="8">
        <v>0.0</v>
      </c>
      <c r="ACF2" s="8">
        <v>1.0</v>
      </c>
      <c r="ACG2" s="8">
        <v>0.0</v>
      </c>
      <c r="ACH2" s="8">
        <v>0.0</v>
      </c>
      <c r="ACI2" s="9" t="s">
        <v>917</v>
      </c>
      <c r="ACJ2" s="9" t="s">
        <v>917</v>
      </c>
      <c r="ACK2" s="9" t="s">
        <v>917</v>
      </c>
      <c r="ACL2" s="9" t="s">
        <v>917</v>
      </c>
      <c r="ACM2" s="9" t="s">
        <v>881</v>
      </c>
      <c r="ACN2" s="9"/>
      <c r="ACO2" s="9" t="s">
        <v>918</v>
      </c>
      <c r="ACP2" s="9"/>
      <c r="ACQ2" s="9"/>
      <c r="ACR2" s="9"/>
      <c r="ACS2" s="9"/>
      <c r="ACT2" s="9"/>
      <c r="ACU2" s="9"/>
      <c r="ACV2" s="9"/>
      <c r="ACW2" s="9"/>
      <c r="ACX2" s="9"/>
      <c r="ACY2" s="9"/>
      <c r="ACZ2" s="9" t="s">
        <v>919</v>
      </c>
      <c r="ADA2" s="8">
        <v>0.0</v>
      </c>
      <c r="ADB2" s="8">
        <v>0.0</v>
      </c>
      <c r="ADC2" s="8">
        <v>0.0</v>
      </c>
      <c r="ADD2" s="8">
        <v>0.0</v>
      </c>
      <c r="ADE2" s="8">
        <v>1.0</v>
      </c>
      <c r="ADF2" s="8">
        <v>0.0</v>
      </c>
      <c r="ADG2" s="8">
        <v>0.0</v>
      </c>
      <c r="ADH2" s="8">
        <v>0.0</v>
      </c>
      <c r="ADI2" s="12"/>
      <c r="ADJ2" s="13" t="s">
        <v>872</v>
      </c>
      <c r="ADK2" s="14"/>
      <c r="ADL2" s="13" t="s">
        <v>920</v>
      </c>
      <c r="ADM2" s="9"/>
      <c r="ADN2" s="11" t="s">
        <v>921</v>
      </c>
      <c r="ADO2" s="9" t="s">
        <v>871</v>
      </c>
      <c r="ADP2" s="13" t="s">
        <v>922</v>
      </c>
      <c r="ADQ2" s="15">
        <v>1.0</v>
      </c>
      <c r="ADR2" s="15">
        <v>1.0</v>
      </c>
      <c r="ADS2" s="15">
        <v>1.0</v>
      </c>
      <c r="ADT2" s="15">
        <v>1.0</v>
      </c>
      <c r="ADU2" s="15">
        <v>1.0</v>
      </c>
      <c r="ADV2" s="15">
        <v>1.0</v>
      </c>
      <c r="ADW2" s="15">
        <v>1.0</v>
      </c>
      <c r="ADX2" s="15">
        <v>1.0</v>
      </c>
      <c r="ADY2" s="15">
        <v>1.0</v>
      </c>
      <c r="ADZ2" s="15">
        <v>0.0</v>
      </c>
      <c r="AEA2" s="15">
        <v>1.0</v>
      </c>
      <c r="AEB2" s="15">
        <v>0.0</v>
      </c>
      <c r="AEC2" s="9"/>
      <c r="AED2" s="9" t="s">
        <v>923</v>
      </c>
      <c r="AEE2" s="9"/>
      <c r="AEF2" s="9" t="s">
        <v>924</v>
      </c>
      <c r="AEG2" s="9"/>
      <c r="AEH2" s="9" t="s">
        <v>925</v>
      </c>
      <c r="AEI2" s="16" t="s">
        <v>926</v>
      </c>
      <c r="AEJ2" s="9" t="s">
        <v>927</v>
      </c>
      <c r="AEK2" s="16" t="s">
        <v>928</v>
      </c>
      <c r="AEL2" s="9" t="s">
        <v>929</v>
      </c>
      <c r="AEM2" s="9"/>
      <c r="AEN2" s="9"/>
    </row>
    <row r="3">
      <c r="A3" s="6">
        <v>46057.0</v>
      </c>
      <c r="B3" s="6">
        <v>46057.0</v>
      </c>
      <c r="C3" s="7" t="s">
        <v>837</v>
      </c>
      <c r="D3" s="7" t="s">
        <v>930</v>
      </c>
      <c r="E3" s="8">
        <f>+6285602796486</f>
        <v>6285602796486</v>
      </c>
      <c r="F3" s="9"/>
      <c r="G3" s="8">
        <v>-7.3547225</v>
      </c>
      <c r="H3" s="8">
        <v>110.3350094</v>
      </c>
      <c r="I3" s="9"/>
      <c r="J3" s="8">
        <v>4.72</v>
      </c>
      <c r="K3" s="9"/>
      <c r="L3" s="9"/>
      <c r="M3" s="8">
        <v>-7.3547225</v>
      </c>
      <c r="N3" s="8">
        <v>110.3349516</v>
      </c>
      <c r="O3" s="9"/>
      <c r="P3" s="8">
        <v>4.72</v>
      </c>
      <c r="Q3" s="9"/>
      <c r="R3" s="9" t="s">
        <v>839</v>
      </c>
      <c r="S3" s="9"/>
      <c r="T3" s="9"/>
      <c r="U3" s="9"/>
      <c r="V3" s="9"/>
      <c r="W3" s="9"/>
      <c r="X3" s="9"/>
      <c r="Y3" s="9"/>
      <c r="Z3" s="9"/>
      <c r="AA3" s="9"/>
      <c r="AB3" s="9"/>
      <c r="AC3" s="7" t="s">
        <v>840</v>
      </c>
      <c r="AD3" s="7" t="s">
        <v>841</v>
      </c>
      <c r="AE3" s="7" t="s">
        <v>842</v>
      </c>
      <c r="AF3" s="9" t="s">
        <v>931</v>
      </c>
      <c r="AG3" s="9" t="s">
        <v>932</v>
      </c>
      <c r="AH3" s="8">
        <v>11.0</v>
      </c>
      <c r="AI3" s="9" t="s">
        <v>933</v>
      </c>
      <c r="AJ3" s="9" t="s">
        <v>934</v>
      </c>
      <c r="AK3" s="8">
        <v>59.0</v>
      </c>
      <c r="AL3" s="9" t="s">
        <v>847</v>
      </c>
      <c r="AM3" s="9" t="s">
        <v>848</v>
      </c>
      <c r="AN3" s="9" t="s">
        <v>849</v>
      </c>
      <c r="AO3" s="9" t="s">
        <v>851</v>
      </c>
      <c r="AP3" s="8">
        <v>1.0</v>
      </c>
      <c r="AQ3" s="8">
        <v>1.0</v>
      </c>
      <c r="AR3" s="8">
        <v>0.0</v>
      </c>
      <c r="AS3" s="8">
        <v>0.0</v>
      </c>
      <c r="AT3" s="8">
        <v>0.0</v>
      </c>
      <c r="AU3" s="8">
        <v>0.0</v>
      </c>
      <c r="AV3" s="8">
        <v>0.0</v>
      </c>
      <c r="AW3" s="8">
        <v>0.0</v>
      </c>
      <c r="AX3" s="9"/>
      <c r="AY3" s="9" t="s">
        <v>935</v>
      </c>
      <c r="AZ3" s="8">
        <v>0.0</v>
      </c>
      <c r="BA3" s="8">
        <v>1.0</v>
      </c>
      <c r="BB3" s="8">
        <v>0.0</v>
      </c>
      <c r="BC3" s="8">
        <v>0.0</v>
      </c>
      <c r="BD3" s="8">
        <v>0.0</v>
      </c>
      <c r="BE3" s="8">
        <v>0.0</v>
      </c>
      <c r="BF3" s="8">
        <v>0.0</v>
      </c>
      <c r="BG3" s="8">
        <v>0.0</v>
      </c>
      <c r="BH3" s="9"/>
      <c r="BI3" s="9" t="s">
        <v>936</v>
      </c>
      <c r="BJ3" s="8">
        <v>3.0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2014.0</v>
      </c>
      <c r="CN3" s="9" t="s">
        <v>858</v>
      </c>
      <c r="CO3" s="9" t="s">
        <v>859</v>
      </c>
      <c r="CP3" s="9" t="s">
        <v>860</v>
      </c>
      <c r="CQ3" s="8">
        <v>0.0</v>
      </c>
      <c r="CR3" s="8">
        <v>0.0</v>
      </c>
      <c r="CS3" s="8">
        <v>0.0</v>
      </c>
      <c r="CT3" s="8">
        <v>0.0</v>
      </c>
      <c r="CU3" s="10">
        <v>1.0</v>
      </c>
      <c r="CV3" s="10">
        <v>0.0</v>
      </c>
      <c r="CW3" s="10">
        <v>0.0</v>
      </c>
      <c r="CX3" s="8">
        <v>0.0</v>
      </c>
      <c r="CY3" s="9" t="s">
        <v>860</v>
      </c>
      <c r="CZ3" s="8">
        <v>1.0</v>
      </c>
      <c r="DA3" s="8">
        <v>0.0</v>
      </c>
      <c r="DB3" s="8">
        <v>0.0</v>
      </c>
      <c r="DC3" s="9"/>
      <c r="DD3" s="9" t="s">
        <v>937</v>
      </c>
      <c r="DE3" s="8">
        <v>1.0</v>
      </c>
      <c r="DF3" s="8">
        <v>0.0</v>
      </c>
      <c r="DG3" s="8">
        <v>1.0</v>
      </c>
      <c r="DH3" s="8">
        <v>0.0</v>
      </c>
      <c r="DI3" s="9"/>
      <c r="DJ3" s="9" t="s">
        <v>861</v>
      </c>
      <c r="DK3" s="8">
        <v>0.0</v>
      </c>
      <c r="DL3" s="8">
        <v>0.0</v>
      </c>
      <c r="DM3" s="8">
        <v>1.0</v>
      </c>
      <c r="DN3" s="8">
        <v>0.0</v>
      </c>
      <c r="DO3" s="9"/>
      <c r="DP3" s="8">
        <v>1.0</v>
      </c>
      <c r="DQ3" s="8">
        <v>0.0</v>
      </c>
      <c r="DR3" s="8">
        <v>0.0</v>
      </c>
      <c r="DS3" s="9"/>
      <c r="DT3" s="9"/>
      <c r="DU3" s="9"/>
      <c r="DV3" s="9" t="s">
        <v>938</v>
      </c>
      <c r="DW3" s="9" t="s">
        <v>939</v>
      </c>
      <c r="DX3" s="9" t="s">
        <v>940</v>
      </c>
      <c r="DY3" s="9"/>
      <c r="DZ3" s="9"/>
      <c r="EA3" s="9"/>
      <c r="EB3" s="9"/>
      <c r="EC3" s="9"/>
      <c r="ED3" s="9"/>
      <c r="EE3" s="9"/>
      <c r="EF3" s="9"/>
      <c r="EG3" s="9"/>
      <c r="EH3" s="9"/>
      <c r="EI3" s="9" t="s">
        <v>941</v>
      </c>
      <c r="EJ3" s="8">
        <v>0.0</v>
      </c>
      <c r="EK3" s="8">
        <v>1.0</v>
      </c>
      <c r="EL3" s="8">
        <v>1.0</v>
      </c>
      <c r="EM3" s="8">
        <v>0.0</v>
      </c>
      <c r="EN3" s="8">
        <v>0.0</v>
      </c>
      <c r="EO3" s="11"/>
      <c r="EP3" s="9" t="s">
        <v>863</v>
      </c>
      <c r="EQ3" s="9" t="s">
        <v>864</v>
      </c>
      <c r="ER3" s="9" t="s">
        <v>861</v>
      </c>
      <c r="ES3" s="8">
        <v>1.0</v>
      </c>
      <c r="ET3" s="8">
        <v>0.0</v>
      </c>
      <c r="EU3" s="8">
        <v>0.0</v>
      </c>
      <c r="EV3" s="8">
        <v>0.0</v>
      </c>
      <c r="EW3" s="9"/>
      <c r="EX3" s="9" t="s">
        <v>865</v>
      </c>
      <c r="EY3" s="8">
        <v>1.0</v>
      </c>
      <c r="EZ3" s="8">
        <v>0.0</v>
      </c>
      <c r="FA3" s="8">
        <v>0.0</v>
      </c>
      <c r="FB3" s="9"/>
      <c r="FC3" s="9" t="s">
        <v>942</v>
      </c>
      <c r="FD3" s="9"/>
      <c r="FE3" s="9" t="s">
        <v>867</v>
      </c>
      <c r="FF3" s="9" t="s">
        <v>868</v>
      </c>
      <c r="FG3" s="9" t="s">
        <v>867</v>
      </c>
      <c r="FH3" s="9" t="s">
        <v>869</v>
      </c>
      <c r="FI3" s="9" t="s">
        <v>867</v>
      </c>
      <c r="FJ3" s="9" t="s">
        <v>869</v>
      </c>
      <c r="FK3" s="9" t="s">
        <v>867</v>
      </c>
      <c r="FL3" s="9" t="s">
        <v>870</v>
      </c>
      <c r="FM3" s="9" t="s">
        <v>867</v>
      </c>
      <c r="FN3" s="9" t="s">
        <v>943</v>
      </c>
      <c r="FO3" s="9" t="s">
        <v>867</v>
      </c>
      <c r="FP3" s="9" t="s">
        <v>870</v>
      </c>
      <c r="FQ3" s="9" t="s">
        <v>867</v>
      </c>
      <c r="FR3" s="9" t="s">
        <v>857</v>
      </c>
      <c r="FS3" s="9" t="s">
        <v>867</v>
      </c>
      <c r="FT3" s="9" t="s">
        <v>871</v>
      </c>
      <c r="FU3" s="9" t="s">
        <v>872</v>
      </c>
      <c r="FV3" s="8">
        <v>1.0</v>
      </c>
      <c r="FW3" s="8">
        <v>0.0</v>
      </c>
      <c r="FX3" s="8">
        <v>0.0</v>
      </c>
      <c r="FY3" s="8">
        <v>0.0</v>
      </c>
      <c r="FZ3" s="9" t="s">
        <v>944</v>
      </c>
      <c r="GA3" s="9" t="s">
        <v>874</v>
      </c>
      <c r="GB3" s="8">
        <v>1.0</v>
      </c>
      <c r="GC3" s="8">
        <v>0.0</v>
      </c>
      <c r="GD3" s="8">
        <v>0.0</v>
      </c>
      <c r="GE3" s="8">
        <v>0.0</v>
      </c>
      <c r="GF3" s="9"/>
      <c r="GG3" s="9" t="s">
        <v>875</v>
      </c>
      <c r="GH3" s="9" t="s">
        <v>881</v>
      </c>
      <c r="GI3" s="9"/>
      <c r="GJ3" s="9"/>
      <c r="GK3" s="9"/>
      <c r="GL3" s="9"/>
      <c r="GM3" s="9"/>
      <c r="GN3" s="9"/>
      <c r="GO3" s="9"/>
      <c r="GP3" s="9" t="s">
        <v>877</v>
      </c>
      <c r="GQ3" s="9" t="s">
        <v>878</v>
      </c>
      <c r="GR3" s="8">
        <v>1.0</v>
      </c>
      <c r="GS3" s="8">
        <v>1.0</v>
      </c>
      <c r="GT3" s="8">
        <v>0.0</v>
      </c>
      <c r="GU3" s="8">
        <v>0.0</v>
      </c>
      <c r="GV3" s="8">
        <v>0.0</v>
      </c>
      <c r="GW3" s="8">
        <v>0.0</v>
      </c>
      <c r="GX3" s="8">
        <v>0.0</v>
      </c>
      <c r="GY3" s="9"/>
      <c r="GZ3" s="9" t="s">
        <v>857</v>
      </c>
      <c r="HA3" s="8">
        <v>15.0</v>
      </c>
      <c r="HB3" s="8">
        <v>150000.0</v>
      </c>
      <c r="HC3" s="8">
        <v>0.0</v>
      </c>
      <c r="HD3" s="8">
        <v>0.0</v>
      </c>
      <c r="HE3" s="8">
        <v>12.0</v>
      </c>
      <c r="HF3" s="8">
        <v>100000.0</v>
      </c>
      <c r="HG3" s="8">
        <v>0.0</v>
      </c>
      <c r="HH3" s="8">
        <v>0.0</v>
      </c>
      <c r="HI3" s="9"/>
      <c r="HJ3" s="9"/>
      <c r="HK3" s="9"/>
      <c r="HL3" s="9"/>
      <c r="HM3" s="9"/>
      <c r="HN3" s="9"/>
      <c r="HO3" s="9"/>
      <c r="HP3" s="9"/>
      <c r="HQ3" s="9"/>
      <c r="HR3" s="9"/>
      <c r="HS3" s="9"/>
      <c r="HT3" s="9"/>
      <c r="HU3" s="9"/>
      <c r="HV3" s="9"/>
      <c r="HW3" s="9"/>
      <c r="HX3" s="9"/>
      <c r="HY3" s="8">
        <v>15.0</v>
      </c>
      <c r="HZ3" s="8">
        <v>150000.0</v>
      </c>
      <c r="IA3" s="8">
        <v>0.0</v>
      </c>
      <c r="IB3" s="8">
        <v>0.0</v>
      </c>
      <c r="IC3" s="9"/>
      <c r="ID3" s="9"/>
      <c r="IE3" s="9"/>
      <c r="IF3" s="9"/>
      <c r="IG3" s="9"/>
      <c r="IH3" s="9"/>
      <c r="II3" s="9"/>
      <c r="IJ3" s="9"/>
      <c r="IK3" s="9" t="s">
        <v>879</v>
      </c>
      <c r="IL3" s="9" t="s">
        <v>880</v>
      </c>
      <c r="IM3" s="9" t="s">
        <v>857</v>
      </c>
      <c r="IN3" s="9" t="s">
        <v>881</v>
      </c>
      <c r="IO3" s="9" t="s">
        <v>882</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872</v>
      </c>
      <c r="KW3" s="8">
        <v>1.0</v>
      </c>
      <c r="KX3" s="8">
        <v>0.0</v>
      </c>
      <c r="KY3" s="8">
        <v>0.0</v>
      </c>
      <c r="KZ3" s="8">
        <v>0.0</v>
      </c>
      <c r="LA3" s="9" t="s">
        <v>945</v>
      </c>
      <c r="LB3" s="9" t="s">
        <v>884</v>
      </c>
      <c r="LC3" s="8">
        <v>0.0</v>
      </c>
      <c r="LD3" s="8">
        <v>0.0</v>
      </c>
      <c r="LE3" s="8">
        <v>0.0</v>
      </c>
      <c r="LF3" s="8">
        <v>0.0</v>
      </c>
      <c r="LG3" s="9" t="s">
        <v>881</v>
      </c>
      <c r="LH3" s="9"/>
      <c r="LI3" s="8">
        <v>100000.0</v>
      </c>
      <c r="LJ3" s="9" t="s">
        <v>887</v>
      </c>
      <c r="LK3" s="8">
        <v>0.0</v>
      </c>
      <c r="LL3" s="8">
        <v>0.0</v>
      </c>
      <c r="LM3" s="8">
        <v>0.0</v>
      </c>
      <c r="LN3" s="8">
        <v>0.0</v>
      </c>
      <c r="LO3" s="8">
        <v>1.0</v>
      </c>
      <c r="LP3" s="8">
        <v>0.0</v>
      </c>
      <c r="LQ3" s="8">
        <v>0.0</v>
      </c>
      <c r="LR3" s="9"/>
      <c r="LS3" s="8">
        <v>30.0</v>
      </c>
      <c r="LT3" s="8">
        <v>30.0</v>
      </c>
      <c r="LU3" s="8">
        <v>0.0</v>
      </c>
      <c r="LV3" s="8">
        <v>5.0</v>
      </c>
      <c r="LW3" s="8">
        <v>5.0</v>
      </c>
      <c r="LX3" s="8">
        <v>0.0</v>
      </c>
      <c r="LY3" s="8">
        <v>5.0</v>
      </c>
      <c r="LZ3" s="8">
        <v>5.0</v>
      </c>
      <c r="MA3" s="8">
        <v>0.0</v>
      </c>
      <c r="MB3" s="9" t="s">
        <v>857</v>
      </c>
      <c r="MC3" s="8">
        <v>30.0</v>
      </c>
      <c r="MD3" s="8">
        <v>20.0</v>
      </c>
      <c r="ME3" s="8">
        <v>30.0</v>
      </c>
      <c r="MF3" s="8">
        <v>20.0</v>
      </c>
      <c r="MG3" s="8">
        <v>30.0</v>
      </c>
      <c r="MH3" s="8">
        <v>15.0</v>
      </c>
      <c r="MI3" s="9" t="s">
        <v>946</v>
      </c>
      <c r="MJ3" s="8">
        <v>0.0</v>
      </c>
      <c r="MK3" s="8">
        <v>0.0</v>
      </c>
      <c r="ML3" s="8">
        <v>1.0</v>
      </c>
      <c r="MM3" s="8">
        <v>0.0</v>
      </c>
      <c r="MN3" s="8">
        <v>0.0</v>
      </c>
      <c r="MO3" s="8">
        <v>0.0</v>
      </c>
      <c r="MP3" s="9"/>
      <c r="MQ3" s="9"/>
      <c r="MR3" s="9" t="s">
        <v>947</v>
      </c>
      <c r="MS3" s="9"/>
      <c r="MT3" s="9" t="s">
        <v>948</v>
      </c>
      <c r="MU3" s="9" t="s">
        <v>890</v>
      </c>
      <c r="MV3" s="9" t="s">
        <v>949</v>
      </c>
      <c r="MW3" s="8">
        <v>1.0</v>
      </c>
      <c r="MX3" s="8">
        <v>0.0</v>
      </c>
      <c r="MY3" s="8">
        <v>0.0</v>
      </c>
      <c r="MZ3" s="8">
        <v>0.0</v>
      </c>
      <c r="NA3" s="9"/>
      <c r="NB3" s="8">
        <v>3.0</v>
      </c>
      <c r="NC3" s="9"/>
      <c r="ND3" s="9"/>
      <c r="NE3" s="9"/>
      <c r="NF3" s="9"/>
      <c r="NG3" s="9"/>
      <c r="NH3" s="9"/>
      <c r="NI3" s="9"/>
      <c r="NJ3" s="9"/>
      <c r="NK3" s="9"/>
      <c r="NL3" s="9" t="s">
        <v>881</v>
      </c>
      <c r="NM3" s="9" t="s">
        <v>893</v>
      </c>
      <c r="NN3" s="9" t="s">
        <v>894</v>
      </c>
      <c r="NO3" s="9" t="s">
        <v>895</v>
      </c>
      <c r="NP3" s="9"/>
      <c r="NQ3" s="9"/>
      <c r="NR3" s="9"/>
      <c r="NS3" s="9"/>
      <c r="NT3" s="9"/>
      <c r="NU3" s="9"/>
      <c r="NV3" s="9" t="s">
        <v>896</v>
      </c>
      <c r="NW3" s="9"/>
      <c r="NX3" s="9" t="s">
        <v>914</v>
      </c>
      <c r="NY3" s="8">
        <v>60.0</v>
      </c>
      <c r="NZ3" s="8">
        <v>30.0</v>
      </c>
      <c r="OA3" s="8">
        <v>0.0</v>
      </c>
      <c r="OB3" s="8">
        <v>15.0</v>
      </c>
      <c r="OC3" s="8">
        <v>15.0</v>
      </c>
      <c r="OD3" s="8">
        <v>0.0</v>
      </c>
      <c r="OE3" s="9" t="s">
        <v>898</v>
      </c>
      <c r="OF3" s="9" t="s">
        <v>899</v>
      </c>
      <c r="OG3" s="9" t="s">
        <v>857</v>
      </c>
      <c r="OH3" s="8">
        <v>2.0</v>
      </c>
      <c r="OI3" s="8">
        <v>0.0</v>
      </c>
      <c r="OJ3" s="8">
        <v>0.0</v>
      </c>
      <c r="OK3" s="8">
        <v>0.0</v>
      </c>
      <c r="OL3" s="8">
        <v>0.0</v>
      </c>
      <c r="OM3" s="8">
        <v>0.0</v>
      </c>
      <c r="ON3" s="8">
        <v>0.0</v>
      </c>
      <c r="OO3" s="8">
        <v>0.0</v>
      </c>
      <c r="OP3" s="9" t="s">
        <v>2947</v>
      </c>
      <c r="OQ3" s="8">
        <v>1.0</v>
      </c>
      <c r="OR3" s="8">
        <v>0.0</v>
      </c>
      <c r="OS3" s="8">
        <v>0.0</v>
      </c>
      <c r="OT3" s="8">
        <v>0.0</v>
      </c>
      <c r="OU3" s="8">
        <v>0.0</v>
      </c>
      <c r="OV3" s="8">
        <v>0.0</v>
      </c>
      <c r="OW3" s="8">
        <v>0.0</v>
      </c>
      <c r="OX3" s="8">
        <v>0.0</v>
      </c>
      <c r="OY3" s="9" t="s">
        <v>900</v>
      </c>
      <c r="OZ3" s="8">
        <v>1.0</v>
      </c>
      <c r="PA3" s="8">
        <v>0.0</v>
      </c>
      <c r="PB3" s="8">
        <v>0.0</v>
      </c>
      <c r="PC3" s="8">
        <v>0.0</v>
      </c>
      <c r="PD3" s="8">
        <v>0.0</v>
      </c>
      <c r="PE3" s="8">
        <v>0.0</v>
      </c>
      <c r="PF3" s="8">
        <v>1.0</v>
      </c>
      <c r="PG3" s="8">
        <v>0.0</v>
      </c>
      <c r="PH3" s="8">
        <v>0.0</v>
      </c>
      <c r="PI3" s="8">
        <v>0.0</v>
      </c>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8">
        <v>2.0</v>
      </c>
      <c r="SE3" s="9"/>
      <c r="SF3" s="9"/>
      <c r="SG3" s="9"/>
      <c r="SH3" s="9"/>
      <c r="SI3" s="9"/>
      <c r="SJ3" s="9"/>
      <c r="SK3" s="9"/>
      <c r="SL3" s="8">
        <v>2.0</v>
      </c>
      <c r="SM3" s="8">
        <v>0.0</v>
      </c>
      <c r="SN3" s="8">
        <v>0.0</v>
      </c>
      <c r="SO3" s="8">
        <v>0.0</v>
      </c>
      <c r="SP3" s="8">
        <v>0.0</v>
      </c>
      <c r="SQ3" s="8">
        <v>0.0</v>
      </c>
      <c r="SR3" s="8">
        <v>0.0</v>
      </c>
      <c r="SS3" s="8">
        <v>0.0</v>
      </c>
      <c r="ST3" s="8">
        <v>0.0</v>
      </c>
      <c r="SU3" s="8">
        <v>0.0</v>
      </c>
      <c r="SV3" s="8">
        <v>0.0</v>
      </c>
      <c r="SW3" s="8">
        <v>0.0</v>
      </c>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t="s">
        <v>901</v>
      </c>
      <c r="UA3" s="9"/>
      <c r="UB3" s="9"/>
      <c r="UC3" s="9"/>
      <c r="UD3" s="9"/>
      <c r="UE3" s="9"/>
      <c r="UF3" s="9"/>
      <c r="UG3" s="9"/>
      <c r="UH3" s="9" t="s">
        <v>950</v>
      </c>
      <c r="UI3" s="9"/>
      <c r="UJ3" s="9"/>
      <c r="UK3" s="9"/>
      <c r="UL3" s="9"/>
      <c r="UM3" s="9"/>
      <c r="UN3" s="9"/>
      <c r="UO3" s="9"/>
      <c r="UP3" s="9" t="s">
        <v>903</v>
      </c>
      <c r="UQ3" s="9"/>
      <c r="UR3" s="9"/>
      <c r="US3" s="9"/>
      <c r="UT3" s="9"/>
      <c r="UU3" s="9"/>
      <c r="UV3" s="9"/>
      <c r="UW3" s="9"/>
      <c r="UX3" s="9" t="s">
        <v>951</v>
      </c>
      <c r="UY3" s="8">
        <v>0.0</v>
      </c>
      <c r="UZ3" s="8">
        <v>0.0</v>
      </c>
      <c r="VA3" s="8">
        <v>0.0</v>
      </c>
      <c r="VB3" s="8">
        <v>0.0</v>
      </c>
      <c r="VC3" s="8">
        <v>0.0</v>
      </c>
      <c r="VD3" s="8">
        <v>0.0</v>
      </c>
      <c r="VE3" s="8">
        <v>1.0</v>
      </c>
      <c r="VF3" s="8">
        <v>0.0</v>
      </c>
      <c r="VG3" s="8">
        <v>0.0</v>
      </c>
      <c r="VH3" s="8">
        <v>0.0</v>
      </c>
      <c r="VI3" s="8">
        <v>0.0</v>
      </c>
      <c r="VJ3" s="8">
        <v>0.0</v>
      </c>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8">
        <v>2.0</v>
      </c>
      <c r="ZB3" s="9"/>
      <c r="ZC3" s="9"/>
      <c r="ZD3" s="9"/>
      <c r="ZE3" s="9"/>
      <c r="ZF3" s="9"/>
      <c r="ZG3" s="9"/>
      <c r="ZH3" s="9"/>
      <c r="ZI3" s="9" t="s">
        <v>905</v>
      </c>
      <c r="ZJ3" s="9"/>
      <c r="ZK3" s="9"/>
      <c r="ZL3" s="9"/>
      <c r="ZM3" s="9"/>
      <c r="ZN3" s="9"/>
      <c r="ZO3" s="9"/>
      <c r="ZP3" s="9"/>
      <c r="ZQ3" s="9" t="s">
        <v>881</v>
      </c>
      <c r="ZR3" s="9"/>
      <c r="ZS3" s="9"/>
      <c r="ZT3" s="9"/>
      <c r="ZU3" s="9"/>
      <c r="ZV3" s="9"/>
      <c r="ZW3" s="9" t="s">
        <v>857</v>
      </c>
      <c r="ZX3" s="9" t="s">
        <v>867</v>
      </c>
      <c r="ZY3" s="9" t="s">
        <v>952</v>
      </c>
      <c r="ZZ3" s="8">
        <v>0.0</v>
      </c>
      <c r="AAA3" s="8">
        <v>0.0</v>
      </c>
      <c r="AAB3" s="8">
        <v>0.0</v>
      </c>
      <c r="AAC3" s="8">
        <v>1.0</v>
      </c>
      <c r="AAD3" s="8">
        <v>1.0</v>
      </c>
      <c r="AAE3" s="8">
        <v>0.0</v>
      </c>
      <c r="AAF3" s="8">
        <v>0.0</v>
      </c>
      <c r="AAG3" s="9"/>
      <c r="AAH3" s="9"/>
      <c r="AAI3" s="9"/>
      <c r="AAJ3" s="9"/>
      <c r="AAK3" s="9"/>
      <c r="AAL3" s="9"/>
      <c r="AAM3" s="9"/>
      <c r="AAN3" s="9"/>
      <c r="AAO3" s="9"/>
      <c r="AAP3" s="9"/>
      <c r="AAQ3" s="9"/>
      <c r="AAR3" s="9"/>
      <c r="AAS3" s="9"/>
      <c r="AAT3" s="9"/>
      <c r="AAU3" s="9"/>
      <c r="AAV3" s="11" t="s">
        <v>953</v>
      </c>
      <c r="AAW3" s="9" t="s">
        <v>954</v>
      </c>
      <c r="AAX3" s="9"/>
      <c r="AAY3" s="8">
        <v>1000.0</v>
      </c>
      <c r="AAZ3" s="9"/>
      <c r="ABA3" s="9"/>
      <c r="ABB3" s="9"/>
      <c r="ABC3" s="9"/>
      <c r="ABD3" s="9"/>
      <c r="ABE3" s="9"/>
      <c r="ABF3" s="9"/>
      <c r="ABG3" s="9"/>
      <c r="ABH3" s="9"/>
      <c r="ABI3" s="9"/>
      <c r="ABJ3" s="9"/>
      <c r="ABK3" s="9"/>
      <c r="ABL3" s="9"/>
      <c r="ABM3" s="9"/>
      <c r="ABN3" s="9"/>
      <c r="ABO3" s="9"/>
      <c r="ABP3" s="9" t="s">
        <v>955</v>
      </c>
      <c r="ABQ3" s="8">
        <v>0.0</v>
      </c>
      <c r="ABR3" s="8">
        <v>0.0</v>
      </c>
      <c r="ABS3" s="8">
        <v>0.0</v>
      </c>
      <c r="ABT3" s="8">
        <v>1.0</v>
      </c>
      <c r="ABU3" s="8">
        <v>0.0</v>
      </c>
      <c r="ABV3" s="8">
        <v>0.0</v>
      </c>
      <c r="ABW3" s="8">
        <v>0.0</v>
      </c>
      <c r="ABX3" s="9"/>
      <c r="ABY3" s="9" t="s">
        <v>956</v>
      </c>
      <c r="ABZ3" s="9" t="s">
        <v>913</v>
      </c>
      <c r="ACA3" s="9" t="s">
        <v>957</v>
      </c>
      <c r="ACB3" s="9" t="s">
        <v>915</v>
      </c>
      <c r="ACC3" s="9" t="s">
        <v>958</v>
      </c>
      <c r="ACD3" s="9" t="s">
        <v>915</v>
      </c>
      <c r="ACE3" s="8">
        <v>0.0</v>
      </c>
      <c r="ACF3" s="8">
        <v>1.0</v>
      </c>
      <c r="ACG3" s="8">
        <v>0.0</v>
      </c>
      <c r="ACH3" s="8">
        <v>0.0</v>
      </c>
      <c r="ACI3" s="9" t="s">
        <v>918</v>
      </c>
      <c r="ACJ3" s="9" t="s">
        <v>918</v>
      </c>
      <c r="ACK3" s="9" t="s">
        <v>918</v>
      </c>
      <c r="ACL3" s="9" t="s">
        <v>918</v>
      </c>
      <c r="ACM3" s="9" t="s">
        <v>857</v>
      </c>
      <c r="ACN3" s="9" t="s">
        <v>959</v>
      </c>
      <c r="ACO3" s="9" t="s">
        <v>918</v>
      </c>
      <c r="ACP3" s="9"/>
      <c r="ACQ3" s="9"/>
      <c r="ACR3" s="9"/>
      <c r="ACS3" s="9"/>
      <c r="ACT3" s="9"/>
      <c r="ACU3" s="9"/>
      <c r="ACV3" s="9"/>
      <c r="ACW3" s="9"/>
      <c r="ACX3" s="9"/>
      <c r="ACY3" s="9"/>
      <c r="ACZ3" s="9" t="s">
        <v>919</v>
      </c>
      <c r="ADA3" s="8">
        <v>0.0</v>
      </c>
      <c r="ADB3" s="8">
        <v>0.0</v>
      </c>
      <c r="ADC3" s="8">
        <v>0.0</v>
      </c>
      <c r="ADD3" s="8">
        <v>0.0</v>
      </c>
      <c r="ADE3" s="8">
        <v>1.0</v>
      </c>
      <c r="ADF3" s="8">
        <v>0.0</v>
      </c>
      <c r="ADG3" s="8">
        <v>0.0</v>
      </c>
      <c r="ADH3" s="8">
        <v>0.0</v>
      </c>
      <c r="ADI3" s="12"/>
      <c r="ADJ3" s="17" t="s">
        <v>872</v>
      </c>
      <c r="ADK3" s="9"/>
      <c r="ADL3" s="17" t="s">
        <v>920</v>
      </c>
      <c r="ADM3" s="9"/>
      <c r="ADN3" s="11" t="s">
        <v>960</v>
      </c>
      <c r="ADO3" s="9" t="s">
        <v>961</v>
      </c>
      <c r="ADP3" s="17" t="s">
        <v>962</v>
      </c>
      <c r="ADQ3" s="18">
        <v>1.0</v>
      </c>
      <c r="ADR3" s="18">
        <v>1.0</v>
      </c>
      <c r="ADS3" s="18">
        <v>1.0</v>
      </c>
      <c r="ADT3" s="18">
        <v>1.0</v>
      </c>
      <c r="ADU3" s="18">
        <v>1.0</v>
      </c>
      <c r="ADV3" s="18">
        <v>1.0</v>
      </c>
      <c r="ADW3" s="18">
        <v>1.0</v>
      </c>
      <c r="ADX3" s="18">
        <v>0.0</v>
      </c>
      <c r="ADY3" s="18">
        <v>1.0</v>
      </c>
      <c r="ADZ3" s="18">
        <v>0.0</v>
      </c>
      <c r="AEA3" s="18">
        <v>1.0</v>
      </c>
      <c r="AEB3" s="18">
        <v>0.0</v>
      </c>
      <c r="AEC3" s="9"/>
      <c r="AED3" s="9" t="s">
        <v>923</v>
      </c>
      <c r="AEE3" s="9"/>
      <c r="AEF3" s="9" t="s">
        <v>924</v>
      </c>
      <c r="AEG3" s="9"/>
      <c r="AEH3" s="9" t="s">
        <v>963</v>
      </c>
      <c r="AEI3" s="16" t="s">
        <v>964</v>
      </c>
      <c r="AEJ3" s="9" t="s">
        <v>965</v>
      </c>
      <c r="AEK3" s="16" t="s">
        <v>966</v>
      </c>
      <c r="AEL3" s="9" t="s">
        <v>929</v>
      </c>
      <c r="AEM3" s="9"/>
      <c r="AEN3" s="9"/>
    </row>
    <row r="4">
      <c r="A4" s="6">
        <v>46057.0</v>
      </c>
      <c r="B4" s="6">
        <v>46057.0</v>
      </c>
      <c r="C4" s="7" t="s">
        <v>837</v>
      </c>
      <c r="D4" s="7" t="s">
        <v>967</v>
      </c>
      <c r="E4" s="8">
        <f>+6282279139177</f>
        <v>6282279139177</v>
      </c>
      <c r="F4" s="9"/>
      <c r="G4" s="8">
        <v>-7.3525908</v>
      </c>
      <c r="H4" s="8">
        <v>110.3416979</v>
      </c>
      <c r="I4" s="9"/>
      <c r="J4" s="8">
        <v>4.95</v>
      </c>
      <c r="K4" s="9"/>
      <c r="L4" s="9"/>
      <c r="M4" s="8">
        <v>-7.35261481</v>
      </c>
      <c r="N4" s="8">
        <v>110.3417281</v>
      </c>
      <c r="O4" s="9"/>
      <c r="P4" s="8">
        <v>4.93</v>
      </c>
      <c r="Q4" s="9"/>
      <c r="R4" s="9" t="s">
        <v>839</v>
      </c>
      <c r="S4" s="9"/>
      <c r="T4" s="9"/>
      <c r="U4" s="9"/>
      <c r="V4" s="9"/>
      <c r="W4" s="9"/>
      <c r="X4" s="9"/>
      <c r="Y4" s="9"/>
      <c r="Z4" s="9"/>
      <c r="AA4" s="9"/>
      <c r="AB4" s="9"/>
      <c r="AC4" s="7" t="s">
        <v>840</v>
      </c>
      <c r="AD4" s="7" t="s">
        <v>841</v>
      </c>
      <c r="AE4" s="7" t="s">
        <v>842</v>
      </c>
      <c r="AF4" s="9" t="s">
        <v>931</v>
      </c>
      <c r="AG4" s="9" t="s">
        <v>968</v>
      </c>
      <c r="AH4" s="8">
        <v>12.0</v>
      </c>
      <c r="AI4" s="9" t="s">
        <v>933</v>
      </c>
      <c r="AJ4" s="9" t="s">
        <v>934</v>
      </c>
      <c r="AK4" s="8">
        <v>60.0</v>
      </c>
      <c r="AL4" s="9" t="s">
        <v>847</v>
      </c>
      <c r="AM4" s="9" t="s">
        <v>848</v>
      </c>
      <c r="AN4" s="9" t="s">
        <v>849</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9"/>
      <c r="BI4" s="9" t="s">
        <v>936</v>
      </c>
      <c r="BJ4" s="8">
        <v>3.0</v>
      </c>
      <c r="BK4" s="8">
        <v>1.0</v>
      </c>
      <c r="BL4" s="8">
        <v>0.0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2014.0</v>
      </c>
      <c r="CN4" s="9" t="s">
        <v>858</v>
      </c>
      <c r="CO4" s="9" t="s">
        <v>859</v>
      </c>
      <c r="CP4" s="9" t="s">
        <v>860</v>
      </c>
      <c r="CQ4" s="8">
        <v>0.0</v>
      </c>
      <c r="CR4" s="8">
        <v>0.0</v>
      </c>
      <c r="CS4" s="8">
        <v>0.0</v>
      </c>
      <c r="CT4" s="8">
        <v>0.0</v>
      </c>
      <c r="CU4" s="10">
        <v>1.0</v>
      </c>
      <c r="CV4" s="10">
        <v>0.0</v>
      </c>
      <c r="CW4" s="10">
        <v>0.0</v>
      </c>
      <c r="CX4" s="8">
        <v>0.0</v>
      </c>
      <c r="CY4" s="9" t="s">
        <v>860</v>
      </c>
      <c r="CZ4" s="8">
        <v>1.0</v>
      </c>
      <c r="DA4" s="8">
        <v>0.0</v>
      </c>
      <c r="DB4" s="8">
        <v>0.0</v>
      </c>
      <c r="DC4" s="9"/>
      <c r="DD4" s="9" t="s">
        <v>937</v>
      </c>
      <c r="DE4" s="8">
        <v>1.0</v>
      </c>
      <c r="DF4" s="8">
        <v>0.0</v>
      </c>
      <c r="DG4" s="8">
        <v>1.0</v>
      </c>
      <c r="DH4" s="8">
        <v>0.0</v>
      </c>
      <c r="DI4" s="9"/>
      <c r="DJ4" s="9" t="s">
        <v>937</v>
      </c>
      <c r="DK4" s="8">
        <v>1.0</v>
      </c>
      <c r="DL4" s="8">
        <v>0.0</v>
      </c>
      <c r="DM4" s="8">
        <v>1.0</v>
      </c>
      <c r="DN4" s="8">
        <v>0.0</v>
      </c>
      <c r="DO4" s="9"/>
      <c r="DP4" s="8">
        <v>1.0</v>
      </c>
      <c r="DQ4" s="8">
        <v>0.0</v>
      </c>
      <c r="DR4" s="8">
        <v>0.0</v>
      </c>
      <c r="DS4" s="9"/>
      <c r="DT4" s="9"/>
      <c r="DU4" s="9"/>
      <c r="DV4" s="9" t="s">
        <v>938</v>
      </c>
      <c r="DW4" s="9" t="s">
        <v>939</v>
      </c>
      <c r="DX4" s="9" t="s">
        <v>940</v>
      </c>
      <c r="DY4" s="9"/>
      <c r="DZ4" s="9"/>
      <c r="EA4" s="9"/>
      <c r="EB4" s="9"/>
      <c r="EC4" s="9"/>
      <c r="ED4" s="9"/>
      <c r="EE4" s="9"/>
      <c r="EF4" s="9"/>
      <c r="EG4" s="9"/>
      <c r="EH4" s="9"/>
      <c r="EI4" s="9" t="s">
        <v>969</v>
      </c>
      <c r="EJ4" s="8">
        <v>0.0</v>
      </c>
      <c r="EK4" s="8">
        <v>0.0</v>
      </c>
      <c r="EL4" s="8">
        <v>0.0</v>
      </c>
      <c r="EM4" s="8">
        <v>0.0</v>
      </c>
      <c r="EN4" s="8">
        <v>1.0</v>
      </c>
      <c r="EO4" s="11" t="s">
        <v>970</v>
      </c>
      <c r="EP4" s="9" t="s">
        <v>863</v>
      </c>
      <c r="EQ4" s="9" t="s">
        <v>864</v>
      </c>
      <c r="ER4" s="9" t="s">
        <v>861</v>
      </c>
      <c r="ES4" s="8">
        <v>1.0</v>
      </c>
      <c r="ET4" s="8">
        <v>0.0</v>
      </c>
      <c r="EU4" s="8">
        <v>0.0</v>
      </c>
      <c r="EV4" s="8">
        <v>0.0</v>
      </c>
      <c r="EW4" s="9"/>
      <c r="EX4" s="9" t="s">
        <v>865</v>
      </c>
      <c r="EY4" s="8">
        <v>1.0</v>
      </c>
      <c r="EZ4" s="8">
        <v>0.0</v>
      </c>
      <c r="FA4" s="8">
        <v>0.0</v>
      </c>
      <c r="FB4" s="9"/>
      <c r="FC4" s="9" t="s">
        <v>866</v>
      </c>
      <c r="FD4" s="9"/>
      <c r="FE4" s="9" t="s">
        <v>867</v>
      </c>
      <c r="FF4" s="9" t="s">
        <v>868</v>
      </c>
      <c r="FG4" s="9" t="s">
        <v>867</v>
      </c>
      <c r="FH4" s="9" t="s">
        <v>869</v>
      </c>
      <c r="FI4" s="9" t="s">
        <v>867</v>
      </c>
      <c r="FJ4" s="9" t="s">
        <v>869</v>
      </c>
      <c r="FK4" s="9" t="s">
        <v>867</v>
      </c>
      <c r="FL4" s="9" t="s">
        <v>869</v>
      </c>
      <c r="FM4" s="9" t="s">
        <v>867</v>
      </c>
      <c r="FN4" s="9" t="s">
        <v>869</v>
      </c>
      <c r="FO4" s="9" t="s">
        <v>867</v>
      </c>
      <c r="FP4" s="9" t="s">
        <v>869</v>
      </c>
      <c r="FQ4" s="9" t="s">
        <v>867</v>
      </c>
      <c r="FR4" s="9" t="s">
        <v>857</v>
      </c>
      <c r="FS4" s="9" t="s">
        <v>867</v>
      </c>
      <c r="FT4" s="9" t="s">
        <v>871</v>
      </c>
      <c r="FU4" s="9" t="s">
        <v>872</v>
      </c>
      <c r="FV4" s="8">
        <v>1.0</v>
      </c>
      <c r="FW4" s="8">
        <v>0.0</v>
      </c>
      <c r="FX4" s="8">
        <v>0.0</v>
      </c>
      <c r="FY4" s="8">
        <v>0.0</v>
      </c>
      <c r="FZ4" s="9" t="s">
        <v>873</v>
      </c>
      <c r="GA4" s="9" t="s">
        <v>874</v>
      </c>
      <c r="GB4" s="8">
        <v>1.0</v>
      </c>
      <c r="GC4" s="8">
        <v>0.0</v>
      </c>
      <c r="GD4" s="8">
        <v>0.0</v>
      </c>
      <c r="GE4" s="8">
        <v>0.0</v>
      </c>
      <c r="GF4" s="9"/>
      <c r="GG4" s="9" t="s">
        <v>875</v>
      </c>
      <c r="GH4" s="9" t="s">
        <v>857</v>
      </c>
      <c r="GI4" s="9" t="s">
        <v>876</v>
      </c>
      <c r="GJ4" s="8">
        <v>1.0</v>
      </c>
      <c r="GK4" s="8">
        <v>0.0</v>
      </c>
      <c r="GL4" s="8">
        <v>0.0</v>
      </c>
      <c r="GM4" s="8">
        <v>0.0</v>
      </c>
      <c r="GN4" s="9"/>
      <c r="GO4" s="8">
        <v>10.0</v>
      </c>
      <c r="GP4" s="9" t="s">
        <v>877</v>
      </c>
      <c r="GQ4" s="9" t="s">
        <v>878</v>
      </c>
      <c r="GR4" s="8">
        <v>1.0</v>
      </c>
      <c r="GS4" s="8">
        <v>1.0</v>
      </c>
      <c r="GT4" s="8">
        <v>0.0</v>
      </c>
      <c r="GU4" s="8">
        <v>0.0</v>
      </c>
      <c r="GV4" s="8">
        <v>0.0</v>
      </c>
      <c r="GW4" s="8">
        <v>0.0</v>
      </c>
      <c r="GX4" s="8">
        <v>0.0</v>
      </c>
      <c r="GY4" s="9"/>
      <c r="GZ4" s="9" t="s">
        <v>857</v>
      </c>
      <c r="HA4" s="8">
        <v>200.0</v>
      </c>
      <c r="HB4" s="8">
        <v>200000.0</v>
      </c>
      <c r="HC4" s="8">
        <v>100.0</v>
      </c>
      <c r="HD4" s="8">
        <v>100000.0</v>
      </c>
      <c r="HE4" s="8">
        <v>9.0</v>
      </c>
      <c r="HF4" s="8">
        <v>75000.0</v>
      </c>
      <c r="HG4" s="8">
        <v>3.0</v>
      </c>
      <c r="HH4" s="8">
        <v>25000.0</v>
      </c>
      <c r="HI4" s="9"/>
      <c r="HJ4" s="9"/>
      <c r="HK4" s="9"/>
      <c r="HL4" s="9"/>
      <c r="HM4" s="9"/>
      <c r="HN4" s="9"/>
      <c r="HO4" s="9"/>
      <c r="HP4" s="9"/>
      <c r="HQ4" s="9"/>
      <c r="HR4" s="9"/>
      <c r="HS4" s="9"/>
      <c r="HT4" s="9"/>
      <c r="HU4" s="9"/>
      <c r="HV4" s="9"/>
      <c r="HW4" s="9"/>
      <c r="HX4" s="9"/>
      <c r="HY4" s="8">
        <v>100.0</v>
      </c>
      <c r="HZ4" s="8">
        <v>100000.0</v>
      </c>
      <c r="IA4" s="8">
        <v>9.0</v>
      </c>
      <c r="IB4" s="8">
        <v>50000.0</v>
      </c>
      <c r="IC4" s="9"/>
      <c r="ID4" s="9"/>
      <c r="IE4" s="9"/>
      <c r="IF4" s="9"/>
      <c r="IG4" s="9"/>
      <c r="IH4" s="9"/>
      <c r="II4" s="9"/>
      <c r="IJ4" s="9"/>
      <c r="IK4" s="9" t="s">
        <v>971</v>
      </c>
      <c r="IL4" s="9" t="s">
        <v>880</v>
      </c>
      <c r="IM4" s="9" t="s">
        <v>857</v>
      </c>
      <c r="IN4" s="9" t="s">
        <v>881</v>
      </c>
      <c r="IO4" s="9" t="s">
        <v>882</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872</v>
      </c>
      <c r="KW4" s="8">
        <v>1.0</v>
      </c>
      <c r="KX4" s="8">
        <v>0.0</v>
      </c>
      <c r="KY4" s="8">
        <v>0.0</v>
      </c>
      <c r="KZ4" s="8">
        <v>0.0</v>
      </c>
      <c r="LA4" s="9" t="s">
        <v>884</v>
      </c>
      <c r="LB4" s="9" t="s">
        <v>884</v>
      </c>
      <c r="LC4" s="8">
        <v>3.0</v>
      </c>
      <c r="LD4" s="8">
        <v>3.0</v>
      </c>
      <c r="LE4" s="8">
        <v>0.0</v>
      </c>
      <c r="LF4" s="8">
        <v>3.0</v>
      </c>
      <c r="LG4" s="9" t="s">
        <v>857</v>
      </c>
      <c r="LH4" s="8">
        <v>75000.0</v>
      </c>
      <c r="LI4" s="9"/>
      <c r="LJ4" s="9" t="s">
        <v>887</v>
      </c>
      <c r="LK4" s="8">
        <v>0.0</v>
      </c>
      <c r="LL4" s="8">
        <v>0.0</v>
      </c>
      <c r="LM4" s="8">
        <v>0.0</v>
      </c>
      <c r="LN4" s="8">
        <v>0.0</v>
      </c>
      <c r="LO4" s="8">
        <v>1.0</v>
      </c>
      <c r="LP4" s="8">
        <v>0.0</v>
      </c>
      <c r="LQ4" s="8">
        <v>0.0</v>
      </c>
      <c r="LR4" s="9"/>
      <c r="LS4" s="8">
        <v>10.0</v>
      </c>
      <c r="LT4" s="8">
        <v>15.0</v>
      </c>
      <c r="LU4" s="8">
        <v>0.0</v>
      </c>
      <c r="LV4" s="8">
        <v>5.0</v>
      </c>
      <c r="LW4" s="8">
        <v>5.0</v>
      </c>
      <c r="LX4" s="8">
        <v>0.0</v>
      </c>
      <c r="LY4" s="8">
        <v>5.0</v>
      </c>
      <c r="LZ4" s="8">
        <v>5.0</v>
      </c>
      <c r="MA4" s="8">
        <v>0.0</v>
      </c>
      <c r="MB4" s="9" t="s">
        <v>857</v>
      </c>
      <c r="MC4" s="8">
        <v>30.0</v>
      </c>
      <c r="MD4" s="8">
        <v>30.0</v>
      </c>
      <c r="ME4" s="8">
        <v>30.0</v>
      </c>
      <c r="MF4" s="8">
        <v>20.0</v>
      </c>
      <c r="MG4" s="8">
        <v>30.0</v>
      </c>
      <c r="MH4" s="8">
        <v>20.0</v>
      </c>
      <c r="MI4" s="9" t="s">
        <v>946</v>
      </c>
      <c r="MJ4" s="8">
        <v>0.0</v>
      </c>
      <c r="MK4" s="8">
        <v>0.0</v>
      </c>
      <c r="ML4" s="8">
        <v>1.0</v>
      </c>
      <c r="MM4" s="8">
        <v>0.0</v>
      </c>
      <c r="MN4" s="8">
        <v>0.0</v>
      </c>
      <c r="MO4" s="8">
        <v>0.0</v>
      </c>
      <c r="MP4" s="9"/>
      <c r="MQ4" s="9"/>
      <c r="MR4" s="9" t="s">
        <v>972</v>
      </c>
      <c r="MS4" s="9"/>
      <c r="MT4" s="9" t="s">
        <v>888</v>
      </c>
      <c r="MU4" s="9" t="s">
        <v>881</v>
      </c>
      <c r="MV4" s="9"/>
      <c r="MW4" s="9"/>
      <c r="MX4" s="9"/>
      <c r="MY4" s="9"/>
      <c r="MZ4" s="9"/>
      <c r="NA4" s="9"/>
      <c r="NB4" s="9"/>
      <c r="NC4" s="9"/>
      <c r="ND4" s="9"/>
      <c r="NE4" s="9"/>
      <c r="NF4" s="9"/>
      <c r="NG4" s="9"/>
      <c r="NH4" s="9"/>
      <c r="NI4" s="9"/>
      <c r="NJ4" s="9"/>
      <c r="NK4" s="9"/>
      <c r="NL4" s="9" t="s">
        <v>881</v>
      </c>
      <c r="NM4" s="9" t="s">
        <v>893</v>
      </c>
      <c r="NN4" s="9" t="s">
        <v>894</v>
      </c>
      <c r="NO4" s="9" t="s">
        <v>973</v>
      </c>
      <c r="NP4" s="9"/>
      <c r="NQ4" s="9"/>
      <c r="NR4" s="9"/>
      <c r="NS4" s="9"/>
      <c r="NT4" s="9"/>
      <c r="NU4" s="9"/>
      <c r="NV4" s="9" t="s">
        <v>896</v>
      </c>
      <c r="NW4" s="9"/>
      <c r="NX4" s="9" t="s">
        <v>897</v>
      </c>
      <c r="NY4" s="8">
        <v>45.0</v>
      </c>
      <c r="NZ4" s="8">
        <v>20.0</v>
      </c>
      <c r="OA4" s="8">
        <v>0.0</v>
      </c>
      <c r="OB4" s="8">
        <v>15.0</v>
      </c>
      <c r="OC4" s="8">
        <v>15.0</v>
      </c>
      <c r="OD4" s="8">
        <v>0.0</v>
      </c>
      <c r="OE4" s="9" t="s">
        <v>898</v>
      </c>
      <c r="OF4" s="9" t="s">
        <v>899</v>
      </c>
      <c r="OG4" s="9" t="s">
        <v>857</v>
      </c>
      <c r="OH4" s="8">
        <v>5.0</v>
      </c>
      <c r="OI4" s="8">
        <v>0.0</v>
      </c>
      <c r="OJ4" s="8">
        <v>0.0</v>
      </c>
      <c r="OK4" s="8">
        <v>0.0</v>
      </c>
      <c r="OL4" s="8">
        <v>0.0</v>
      </c>
      <c r="OM4" s="8">
        <v>0.0</v>
      </c>
      <c r="ON4" s="8">
        <v>0.0</v>
      </c>
      <c r="OO4" s="8">
        <v>0.0</v>
      </c>
      <c r="OP4" s="9" t="s">
        <v>2947</v>
      </c>
      <c r="OQ4" s="8">
        <v>1.0</v>
      </c>
      <c r="OR4" s="8">
        <v>0.0</v>
      </c>
      <c r="OS4" s="8">
        <v>0.0</v>
      </c>
      <c r="OT4" s="8">
        <v>0.0</v>
      </c>
      <c r="OU4" s="8">
        <v>0.0</v>
      </c>
      <c r="OV4" s="8">
        <v>0.0</v>
      </c>
      <c r="OW4" s="8">
        <v>0.0</v>
      </c>
      <c r="OX4" s="8">
        <v>0.0</v>
      </c>
      <c r="OY4" s="9" t="s">
        <v>900</v>
      </c>
      <c r="OZ4" s="8">
        <v>1.0</v>
      </c>
      <c r="PA4" s="8">
        <v>0.0</v>
      </c>
      <c r="PB4" s="8">
        <v>0.0</v>
      </c>
      <c r="PC4" s="8">
        <v>0.0</v>
      </c>
      <c r="PD4" s="8">
        <v>0.0</v>
      </c>
      <c r="PE4" s="8">
        <v>0.0</v>
      </c>
      <c r="PF4" s="8">
        <v>1.0</v>
      </c>
      <c r="PG4" s="8">
        <v>0.0</v>
      </c>
      <c r="PH4" s="8">
        <v>0.0</v>
      </c>
      <c r="PI4" s="8">
        <v>0.0</v>
      </c>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8">
        <v>5.0</v>
      </c>
      <c r="SE4" s="9"/>
      <c r="SF4" s="9"/>
      <c r="SG4" s="9"/>
      <c r="SH4" s="9"/>
      <c r="SI4" s="9"/>
      <c r="SJ4" s="9"/>
      <c r="SK4" s="9"/>
      <c r="SL4" s="8">
        <v>0.0</v>
      </c>
      <c r="SM4" s="8">
        <v>0.0</v>
      </c>
      <c r="SN4" s="8">
        <v>0.0</v>
      </c>
      <c r="SO4" s="8">
        <v>0.0</v>
      </c>
      <c r="SP4" s="8">
        <v>0.0</v>
      </c>
      <c r="SQ4" s="8">
        <v>0.0</v>
      </c>
      <c r="SR4" s="8">
        <v>0.0</v>
      </c>
      <c r="SS4" s="8">
        <v>0.0</v>
      </c>
      <c r="ST4" s="8">
        <v>0.0</v>
      </c>
      <c r="SU4" s="8">
        <v>0.0</v>
      </c>
      <c r="SV4" s="8">
        <v>0.0</v>
      </c>
      <c r="SW4" s="8">
        <v>0.0</v>
      </c>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t="s">
        <v>901</v>
      </c>
      <c r="UA4" s="9"/>
      <c r="UB4" s="9"/>
      <c r="UC4" s="9"/>
      <c r="UD4" s="9"/>
      <c r="UE4" s="9"/>
      <c r="UF4" s="9"/>
      <c r="UG4" s="9"/>
      <c r="UH4" s="9" t="s">
        <v>950</v>
      </c>
      <c r="UI4" s="9"/>
      <c r="UJ4" s="9"/>
      <c r="UK4" s="9"/>
      <c r="UL4" s="9"/>
      <c r="UM4" s="9"/>
      <c r="UN4" s="9"/>
      <c r="UO4" s="9"/>
      <c r="UP4" s="9" t="s">
        <v>903</v>
      </c>
      <c r="UQ4" s="9"/>
      <c r="UR4" s="9"/>
      <c r="US4" s="9"/>
      <c r="UT4" s="9"/>
      <c r="UU4" s="9"/>
      <c r="UV4" s="9"/>
      <c r="UW4" s="9"/>
      <c r="UX4" s="9" t="s">
        <v>904</v>
      </c>
      <c r="UY4" s="8">
        <v>0.0</v>
      </c>
      <c r="UZ4" s="8">
        <v>0.0</v>
      </c>
      <c r="VA4" s="8">
        <v>0.0</v>
      </c>
      <c r="VB4" s="8">
        <v>0.0</v>
      </c>
      <c r="VC4" s="8">
        <v>0.0</v>
      </c>
      <c r="VD4" s="8">
        <v>0.0</v>
      </c>
      <c r="VE4" s="8">
        <v>0.0</v>
      </c>
      <c r="VF4" s="8">
        <v>1.0</v>
      </c>
      <c r="VG4" s="8">
        <v>0.0</v>
      </c>
      <c r="VH4" s="8">
        <v>0.0</v>
      </c>
      <c r="VI4" s="8">
        <v>0.0</v>
      </c>
      <c r="VJ4" s="8">
        <v>0.0</v>
      </c>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8">
        <v>2.0</v>
      </c>
      <c r="ZB4" s="9"/>
      <c r="ZC4" s="9"/>
      <c r="ZD4" s="9"/>
      <c r="ZE4" s="9"/>
      <c r="ZF4" s="9"/>
      <c r="ZG4" s="9"/>
      <c r="ZH4" s="9"/>
      <c r="ZI4" s="9" t="s">
        <v>905</v>
      </c>
      <c r="ZJ4" s="9"/>
      <c r="ZK4" s="9"/>
      <c r="ZL4" s="9"/>
      <c r="ZM4" s="9"/>
      <c r="ZN4" s="9"/>
      <c r="ZO4" s="9"/>
      <c r="ZP4" s="9"/>
      <c r="ZQ4" s="9" t="s">
        <v>881</v>
      </c>
      <c r="ZR4" s="9"/>
      <c r="ZS4" s="9"/>
      <c r="ZT4" s="9"/>
      <c r="ZU4" s="9"/>
      <c r="ZV4" s="9"/>
      <c r="ZW4" s="9" t="s">
        <v>857</v>
      </c>
      <c r="ZX4" s="9" t="s">
        <v>867</v>
      </c>
      <c r="ZY4" s="9" t="s">
        <v>974</v>
      </c>
      <c r="ZZ4" s="8">
        <v>0.0</v>
      </c>
      <c r="AAA4" s="8">
        <v>1.0</v>
      </c>
      <c r="AAB4" s="8">
        <v>0.0</v>
      </c>
      <c r="AAC4" s="8">
        <v>0.0</v>
      </c>
      <c r="AAD4" s="8">
        <v>1.0</v>
      </c>
      <c r="AAE4" s="8">
        <v>0.0</v>
      </c>
      <c r="AAF4" s="8">
        <v>0.0</v>
      </c>
      <c r="AAG4" s="9"/>
      <c r="AAH4" s="9"/>
      <c r="AAI4" s="9"/>
      <c r="AAJ4" s="9"/>
      <c r="AAK4" s="9"/>
      <c r="AAL4" s="9"/>
      <c r="AAM4" s="9"/>
      <c r="AAN4" s="9" t="s">
        <v>969</v>
      </c>
      <c r="AAO4" s="8">
        <v>0.0</v>
      </c>
      <c r="AAP4" s="8">
        <v>0.0</v>
      </c>
      <c r="AAQ4" s="8">
        <v>0.0</v>
      </c>
      <c r="AAR4" s="8">
        <v>0.0</v>
      </c>
      <c r="AAS4" s="8">
        <v>1.0</v>
      </c>
      <c r="AAT4" s="9" t="s">
        <v>975</v>
      </c>
      <c r="AAU4" s="9"/>
      <c r="AAV4" s="11"/>
      <c r="AAW4" s="9"/>
      <c r="AAX4" s="9"/>
      <c r="AAY4" s="9"/>
      <c r="AAZ4" s="9"/>
      <c r="ABA4" s="9"/>
      <c r="ABB4" s="9"/>
      <c r="ABC4" s="9"/>
      <c r="ABD4" s="9"/>
      <c r="ABE4" s="9"/>
      <c r="ABF4" s="9"/>
      <c r="ABG4" s="9"/>
      <c r="ABH4" s="9"/>
      <c r="ABI4" s="9"/>
      <c r="ABJ4" s="9"/>
      <c r="ABK4" s="9"/>
      <c r="ABL4" s="9"/>
      <c r="ABM4" s="9"/>
      <c r="ABN4" s="9" t="s">
        <v>911</v>
      </c>
      <c r="ABO4" s="9" t="s">
        <v>945</v>
      </c>
      <c r="ABP4" s="9" t="s">
        <v>976</v>
      </c>
      <c r="ABQ4" s="8">
        <v>0.0</v>
      </c>
      <c r="ABR4" s="8">
        <v>0.0</v>
      </c>
      <c r="ABS4" s="8">
        <v>1.0</v>
      </c>
      <c r="ABT4" s="8">
        <v>1.0</v>
      </c>
      <c r="ABU4" s="8">
        <v>0.0</v>
      </c>
      <c r="ABV4" s="8">
        <v>0.0</v>
      </c>
      <c r="ABW4" s="8">
        <v>0.0</v>
      </c>
      <c r="ABX4" s="9"/>
      <c r="ABY4" s="9" t="s">
        <v>912</v>
      </c>
      <c r="ABZ4" s="9" t="s">
        <v>913</v>
      </c>
      <c r="ACA4" s="9" t="s">
        <v>914</v>
      </c>
      <c r="ACB4" s="9" t="s">
        <v>915</v>
      </c>
      <c r="ACC4" s="9" t="s">
        <v>958</v>
      </c>
      <c r="ACD4" s="9" t="s">
        <v>915</v>
      </c>
      <c r="ACE4" s="8">
        <v>0.0</v>
      </c>
      <c r="ACF4" s="8">
        <v>1.0</v>
      </c>
      <c r="ACG4" s="8">
        <v>0.0</v>
      </c>
      <c r="ACH4" s="8">
        <v>0.0</v>
      </c>
      <c r="ACI4" s="9" t="s">
        <v>918</v>
      </c>
      <c r="ACJ4" s="9" t="s">
        <v>918</v>
      </c>
      <c r="ACK4" s="9" t="s">
        <v>918</v>
      </c>
      <c r="ACL4" s="9" t="s">
        <v>918</v>
      </c>
      <c r="ACM4" s="9" t="s">
        <v>857</v>
      </c>
      <c r="ACN4" s="9" t="s">
        <v>977</v>
      </c>
      <c r="ACO4" s="9" t="s">
        <v>918</v>
      </c>
      <c r="ACP4" s="9"/>
      <c r="ACQ4" s="9"/>
      <c r="ACR4" s="9"/>
      <c r="ACS4" s="9"/>
      <c r="ACT4" s="9"/>
      <c r="ACU4" s="9"/>
      <c r="ACV4" s="9"/>
      <c r="ACW4" s="9"/>
      <c r="ACX4" s="9"/>
      <c r="ACY4" s="9"/>
      <c r="ACZ4" s="9" t="s">
        <v>919</v>
      </c>
      <c r="ADA4" s="8">
        <v>0.0</v>
      </c>
      <c r="ADB4" s="8">
        <v>0.0</v>
      </c>
      <c r="ADC4" s="8">
        <v>0.0</v>
      </c>
      <c r="ADD4" s="8">
        <v>0.0</v>
      </c>
      <c r="ADE4" s="8">
        <v>1.0</v>
      </c>
      <c r="ADF4" s="8">
        <v>0.0</v>
      </c>
      <c r="ADG4" s="8">
        <v>0.0</v>
      </c>
      <c r="ADH4" s="8">
        <v>0.0</v>
      </c>
      <c r="ADI4" s="12"/>
      <c r="ADJ4" s="17" t="s">
        <v>872</v>
      </c>
      <c r="ADK4" s="9"/>
      <c r="ADL4" s="17" t="s">
        <v>920</v>
      </c>
      <c r="ADM4" s="9"/>
      <c r="ADN4" s="11" t="s">
        <v>960</v>
      </c>
      <c r="ADO4" s="9" t="s">
        <v>961</v>
      </c>
      <c r="ADP4" s="17" t="s">
        <v>978</v>
      </c>
      <c r="ADQ4" s="18">
        <v>1.0</v>
      </c>
      <c r="ADR4" s="18">
        <v>1.0</v>
      </c>
      <c r="ADS4" s="18">
        <v>1.0</v>
      </c>
      <c r="ADT4" s="18">
        <v>1.0</v>
      </c>
      <c r="ADU4" s="18">
        <v>1.0</v>
      </c>
      <c r="ADV4" s="18">
        <v>1.0</v>
      </c>
      <c r="ADW4" s="18">
        <v>1.0</v>
      </c>
      <c r="ADX4" s="18">
        <v>0.0</v>
      </c>
      <c r="ADY4" s="18">
        <v>0.0</v>
      </c>
      <c r="ADZ4" s="18">
        <v>0.0</v>
      </c>
      <c r="AEA4" s="18">
        <v>0.0</v>
      </c>
      <c r="AEB4" s="18">
        <v>0.0</v>
      </c>
      <c r="AEC4" s="9"/>
      <c r="AED4" s="9" t="s">
        <v>923</v>
      </c>
      <c r="AEE4" s="9"/>
      <c r="AEF4" s="9" t="s">
        <v>924</v>
      </c>
      <c r="AEG4" s="9"/>
      <c r="AEH4" s="9" t="s">
        <v>979</v>
      </c>
      <c r="AEI4" s="16" t="s">
        <v>980</v>
      </c>
      <c r="AEJ4" s="9" t="s">
        <v>981</v>
      </c>
      <c r="AEK4" s="16" t="s">
        <v>982</v>
      </c>
      <c r="AEL4" s="9" t="s">
        <v>983</v>
      </c>
      <c r="AEM4" s="9"/>
      <c r="AEN4" s="9"/>
    </row>
    <row r="5">
      <c r="A5" s="6">
        <v>46057.0</v>
      </c>
      <c r="B5" s="6">
        <v>46057.0</v>
      </c>
      <c r="C5" s="7" t="s">
        <v>837</v>
      </c>
      <c r="D5" s="7" t="s">
        <v>984</v>
      </c>
      <c r="E5" s="8">
        <f>+62852322746</f>
        <v>62852322746</v>
      </c>
      <c r="F5" s="9"/>
      <c r="G5" s="8">
        <v>-7.3524846</v>
      </c>
      <c r="H5" s="8">
        <v>110.3427894</v>
      </c>
      <c r="I5" s="9"/>
      <c r="J5" s="8">
        <v>2.35</v>
      </c>
      <c r="K5" s="9"/>
      <c r="L5" s="9"/>
      <c r="M5" s="8">
        <v>-7.35252359</v>
      </c>
      <c r="N5" s="8">
        <v>110.3428578</v>
      </c>
      <c r="O5" s="9"/>
      <c r="P5" s="8">
        <v>4.92</v>
      </c>
      <c r="Q5" s="9"/>
      <c r="R5" s="9" t="s">
        <v>839</v>
      </c>
      <c r="S5" s="9"/>
      <c r="T5" s="9"/>
      <c r="U5" s="9"/>
      <c r="V5" s="9"/>
      <c r="W5" s="9"/>
      <c r="X5" s="9"/>
      <c r="Y5" s="9"/>
      <c r="Z5" s="9"/>
      <c r="AA5" s="9"/>
      <c r="AB5" s="9"/>
      <c r="AC5" s="7" t="s">
        <v>840</v>
      </c>
      <c r="AD5" s="7" t="s">
        <v>841</v>
      </c>
      <c r="AE5" s="7" t="s">
        <v>842</v>
      </c>
      <c r="AF5" s="9" t="s">
        <v>931</v>
      </c>
      <c r="AG5" s="9" t="s">
        <v>985</v>
      </c>
      <c r="AH5" s="8">
        <v>4.0</v>
      </c>
      <c r="AI5" s="9" t="s">
        <v>845</v>
      </c>
      <c r="AJ5" s="9" t="s">
        <v>934</v>
      </c>
      <c r="AK5" s="8">
        <v>53.0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9"/>
      <c r="BI5" s="9" t="s">
        <v>936</v>
      </c>
      <c r="BJ5" s="8">
        <v>1.0</v>
      </c>
      <c r="BK5" s="8">
        <v>1.0</v>
      </c>
      <c r="BL5" s="8">
        <v>2.0</v>
      </c>
      <c r="BM5" s="8">
        <v>0.0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2022.0</v>
      </c>
      <c r="CN5" s="9" t="s">
        <v>858</v>
      </c>
      <c r="CO5" s="9" t="s">
        <v>859</v>
      </c>
      <c r="CP5" s="9" t="s">
        <v>860</v>
      </c>
      <c r="CQ5" s="8">
        <v>0.0</v>
      </c>
      <c r="CR5" s="8">
        <v>0.0</v>
      </c>
      <c r="CS5" s="8">
        <v>0.0</v>
      </c>
      <c r="CT5" s="8">
        <v>0.0</v>
      </c>
      <c r="CU5" s="10">
        <v>1.0</v>
      </c>
      <c r="CV5" s="10">
        <v>0.0</v>
      </c>
      <c r="CW5" s="10">
        <v>0.0</v>
      </c>
      <c r="CX5" s="8">
        <v>0.0</v>
      </c>
      <c r="CY5" s="9" t="s">
        <v>860</v>
      </c>
      <c r="CZ5" s="8">
        <v>1.0</v>
      </c>
      <c r="DA5" s="8">
        <v>0.0</v>
      </c>
      <c r="DB5" s="8">
        <v>0.0</v>
      </c>
      <c r="DC5" s="9"/>
      <c r="DD5" s="9" t="s">
        <v>937</v>
      </c>
      <c r="DE5" s="8">
        <v>1.0</v>
      </c>
      <c r="DF5" s="8">
        <v>0.0</v>
      </c>
      <c r="DG5" s="8">
        <v>1.0</v>
      </c>
      <c r="DH5" s="8">
        <v>0.0</v>
      </c>
      <c r="DI5" s="9"/>
      <c r="DJ5" s="9" t="s">
        <v>937</v>
      </c>
      <c r="DK5" s="8">
        <v>1.0</v>
      </c>
      <c r="DL5" s="8">
        <v>0.0</v>
      </c>
      <c r="DM5" s="8">
        <v>1.0</v>
      </c>
      <c r="DN5" s="8">
        <v>0.0</v>
      </c>
      <c r="DO5" s="9"/>
      <c r="DP5" s="8">
        <v>1.0</v>
      </c>
      <c r="DQ5" s="8">
        <v>0.0</v>
      </c>
      <c r="DR5" s="8">
        <v>0.0</v>
      </c>
      <c r="DS5" s="9"/>
      <c r="DT5" s="9"/>
      <c r="DU5" s="9"/>
      <c r="DV5" s="9" t="s">
        <v>938</v>
      </c>
      <c r="DW5" s="9" t="s">
        <v>939</v>
      </c>
      <c r="DX5" s="9" t="s">
        <v>987</v>
      </c>
      <c r="DY5" s="9"/>
      <c r="DZ5" s="9"/>
      <c r="EA5" s="9"/>
      <c r="EB5" s="9"/>
      <c r="EC5" s="9"/>
      <c r="ED5" s="9"/>
      <c r="EE5" s="9"/>
      <c r="EF5" s="9"/>
      <c r="EG5" s="9"/>
      <c r="EH5" s="9"/>
      <c r="EI5" s="9" t="s">
        <v>988</v>
      </c>
      <c r="EJ5" s="8">
        <v>0.0</v>
      </c>
      <c r="EK5" s="8">
        <v>0.0</v>
      </c>
      <c r="EL5" s="8">
        <v>1.0</v>
      </c>
      <c r="EM5" s="8">
        <v>0.0</v>
      </c>
      <c r="EN5" s="8">
        <v>0.0</v>
      </c>
      <c r="EO5" s="11"/>
      <c r="EP5" s="9" t="s">
        <v>863</v>
      </c>
      <c r="EQ5" s="9" t="s">
        <v>864</v>
      </c>
      <c r="ER5" s="9" t="s">
        <v>861</v>
      </c>
      <c r="ES5" s="8">
        <v>1.0</v>
      </c>
      <c r="ET5" s="8">
        <v>0.0</v>
      </c>
      <c r="EU5" s="8">
        <v>0.0</v>
      </c>
      <c r="EV5" s="8">
        <v>0.0</v>
      </c>
      <c r="EW5" s="9"/>
      <c r="EX5" s="9" t="s">
        <v>865</v>
      </c>
      <c r="EY5" s="8">
        <v>1.0</v>
      </c>
      <c r="EZ5" s="8">
        <v>0.0</v>
      </c>
      <c r="FA5" s="8">
        <v>0.0</v>
      </c>
      <c r="FB5" s="9"/>
      <c r="FC5" s="9" t="s">
        <v>866</v>
      </c>
      <c r="FD5" s="9"/>
      <c r="FE5" s="9" t="s">
        <v>867</v>
      </c>
      <c r="FF5" s="9" t="s">
        <v>869</v>
      </c>
      <c r="FG5" s="9" t="s">
        <v>867</v>
      </c>
      <c r="FH5" s="9" t="s">
        <v>869</v>
      </c>
      <c r="FI5" s="9" t="s">
        <v>867</v>
      </c>
      <c r="FJ5" s="9" t="s">
        <v>868</v>
      </c>
      <c r="FK5" s="9" t="s">
        <v>867</v>
      </c>
      <c r="FL5" s="9" t="s">
        <v>869</v>
      </c>
      <c r="FM5" s="9" t="s">
        <v>867</v>
      </c>
      <c r="FN5" s="9" t="s">
        <v>943</v>
      </c>
      <c r="FO5" s="9" t="s">
        <v>867</v>
      </c>
      <c r="FP5" s="9" t="s">
        <v>943</v>
      </c>
      <c r="FQ5" s="9" t="s">
        <v>867</v>
      </c>
      <c r="FR5" s="9" t="s">
        <v>857</v>
      </c>
      <c r="FS5" s="9" t="s">
        <v>867</v>
      </c>
      <c r="FT5" s="9" t="s">
        <v>871</v>
      </c>
      <c r="FU5" s="9" t="s">
        <v>989</v>
      </c>
      <c r="FV5" s="8">
        <v>1.0</v>
      </c>
      <c r="FW5" s="8">
        <v>1.0</v>
      </c>
      <c r="FX5" s="8">
        <v>0.0</v>
      </c>
      <c r="FY5" s="8">
        <v>0.0</v>
      </c>
      <c r="FZ5" s="9" t="s">
        <v>944</v>
      </c>
      <c r="GA5" s="9" t="s">
        <v>990</v>
      </c>
      <c r="GB5" s="8">
        <v>1.0</v>
      </c>
      <c r="GC5" s="8">
        <v>1.0</v>
      </c>
      <c r="GD5" s="8">
        <v>0.0</v>
      </c>
      <c r="GE5" s="8">
        <v>0.0</v>
      </c>
      <c r="GF5" s="9"/>
      <c r="GG5" s="9" t="s">
        <v>875</v>
      </c>
      <c r="GH5" s="9" t="s">
        <v>881</v>
      </c>
      <c r="GI5" s="9"/>
      <c r="GJ5" s="9"/>
      <c r="GK5" s="9"/>
      <c r="GL5" s="9"/>
      <c r="GM5" s="9"/>
      <c r="GN5" s="9"/>
      <c r="GO5" s="9"/>
      <c r="GP5" s="9" t="s">
        <v>877</v>
      </c>
      <c r="GQ5" s="9" t="s">
        <v>878</v>
      </c>
      <c r="GR5" s="8">
        <v>1.0</v>
      </c>
      <c r="GS5" s="8">
        <v>1.0</v>
      </c>
      <c r="GT5" s="8">
        <v>0.0</v>
      </c>
      <c r="GU5" s="8">
        <v>0.0</v>
      </c>
      <c r="GV5" s="8">
        <v>0.0</v>
      </c>
      <c r="GW5" s="8">
        <v>0.0</v>
      </c>
      <c r="GX5" s="8">
        <v>0.0</v>
      </c>
      <c r="GY5" s="9"/>
      <c r="GZ5" s="9" t="s">
        <v>857</v>
      </c>
      <c r="HA5" s="8">
        <v>150.0</v>
      </c>
      <c r="HB5" s="8">
        <v>150000.0</v>
      </c>
      <c r="HC5" s="8">
        <v>50.0</v>
      </c>
      <c r="HD5" s="8">
        <v>50000.0</v>
      </c>
      <c r="HE5" s="8">
        <v>12.0</v>
      </c>
      <c r="HF5" s="8">
        <v>100000.0</v>
      </c>
      <c r="HG5" s="8">
        <v>2.0</v>
      </c>
      <c r="HH5" s="8">
        <v>50000.0</v>
      </c>
      <c r="HI5" s="9"/>
      <c r="HJ5" s="9"/>
      <c r="HK5" s="9"/>
      <c r="HL5" s="9"/>
      <c r="HM5" s="9"/>
      <c r="HN5" s="9"/>
      <c r="HO5" s="9"/>
      <c r="HP5" s="9"/>
      <c r="HQ5" s="9"/>
      <c r="HR5" s="9"/>
      <c r="HS5" s="9"/>
      <c r="HT5" s="9"/>
      <c r="HU5" s="9"/>
      <c r="HV5" s="9"/>
      <c r="HW5" s="9"/>
      <c r="HX5" s="9"/>
      <c r="HY5" s="8">
        <v>100.0</v>
      </c>
      <c r="HZ5" s="8">
        <v>100000.0</v>
      </c>
      <c r="IA5" s="8">
        <v>6.0</v>
      </c>
      <c r="IB5" s="8">
        <v>50000.0</v>
      </c>
      <c r="IC5" s="9"/>
      <c r="ID5" s="9"/>
      <c r="IE5" s="9"/>
      <c r="IF5" s="9"/>
      <c r="IG5" s="9"/>
      <c r="IH5" s="9"/>
      <c r="II5" s="9"/>
      <c r="IJ5" s="9"/>
      <c r="IK5" s="9" t="s">
        <v>879</v>
      </c>
      <c r="IL5" s="9" t="s">
        <v>880</v>
      </c>
      <c r="IM5" s="9" t="s">
        <v>857</v>
      </c>
      <c r="IN5" s="9" t="s">
        <v>881</v>
      </c>
      <c r="IO5" s="9" t="s">
        <v>882</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872</v>
      </c>
      <c r="KW5" s="8">
        <v>1.0</v>
      </c>
      <c r="KX5" s="8">
        <v>0.0</v>
      </c>
      <c r="KY5" s="8">
        <v>0.0</v>
      </c>
      <c r="KZ5" s="8">
        <v>0.0</v>
      </c>
      <c r="LA5" s="9" t="s">
        <v>884</v>
      </c>
      <c r="LB5" s="9" t="s">
        <v>884</v>
      </c>
      <c r="LC5" s="8">
        <v>0.0</v>
      </c>
      <c r="LD5" s="8">
        <v>0.0</v>
      </c>
      <c r="LE5" s="8">
        <v>0.0</v>
      </c>
      <c r="LF5" s="8">
        <v>3.0</v>
      </c>
      <c r="LG5" s="9" t="s">
        <v>881</v>
      </c>
      <c r="LH5" s="9"/>
      <c r="LI5" s="8">
        <v>0.0</v>
      </c>
      <c r="LJ5" s="9" t="s">
        <v>887</v>
      </c>
      <c r="LK5" s="8">
        <v>0.0</v>
      </c>
      <c r="LL5" s="8">
        <v>0.0</v>
      </c>
      <c r="LM5" s="8">
        <v>0.0</v>
      </c>
      <c r="LN5" s="8">
        <v>0.0</v>
      </c>
      <c r="LO5" s="8">
        <v>1.0</v>
      </c>
      <c r="LP5" s="8">
        <v>0.0</v>
      </c>
      <c r="LQ5" s="8">
        <v>0.0</v>
      </c>
      <c r="LR5" s="9"/>
      <c r="LS5" s="8">
        <v>15.0</v>
      </c>
      <c r="LT5" s="8">
        <v>15.0</v>
      </c>
      <c r="LU5" s="8">
        <v>0.0</v>
      </c>
      <c r="LV5" s="8">
        <v>5.0</v>
      </c>
      <c r="LW5" s="8">
        <v>5.0</v>
      </c>
      <c r="LX5" s="8">
        <v>0.0</v>
      </c>
      <c r="LY5" s="8">
        <v>5.0</v>
      </c>
      <c r="LZ5" s="8">
        <v>5.0</v>
      </c>
      <c r="MA5" s="8">
        <v>0.0</v>
      </c>
      <c r="MB5" s="9" t="s">
        <v>857</v>
      </c>
      <c r="MC5" s="8">
        <v>60.0</v>
      </c>
      <c r="MD5" s="8">
        <v>30.0</v>
      </c>
      <c r="ME5" s="8">
        <v>60.0</v>
      </c>
      <c r="MF5" s="8">
        <v>30.0</v>
      </c>
      <c r="MG5" s="8">
        <v>0.0</v>
      </c>
      <c r="MH5" s="8">
        <v>0.0</v>
      </c>
      <c r="MI5" s="9" t="s">
        <v>946</v>
      </c>
      <c r="MJ5" s="8">
        <v>0.0</v>
      </c>
      <c r="MK5" s="8">
        <v>0.0</v>
      </c>
      <c r="ML5" s="8">
        <v>1.0</v>
      </c>
      <c r="MM5" s="8">
        <v>0.0</v>
      </c>
      <c r="MN5" s="8">
        <v>0.0</v>
      </c>
      <c r="MO5" s="8">
        <v>0.0</v>
      </c>
      <c r="MP5" s="9"/>
      <c r="MQ5" s="9"/>
      <c r="MR5" s="9" t="s">
        <v>991</v>
      </c>
      <c r="MS5" s="9"/>
      <c r="MT5" s="8">
        <v>0.0</v>
      </c>
      <c r="MU5" s="9" t="s">
        <v>881</v>
      </c>
      <c r="MV5" s="9"/>
      <c r="MW5" s="9"/>
      <c r="MX5" s="9"/>
      <c r="MY5" s="9"/>
      <c r="MZ5" s="9"/>
      <c r="NA5" s="9"/>
      <c r="NB5" s="9"/>
      <c r="NC5" s="9"/>
      <c r="ND5" s="9"/>
      <c r="NE5" s="9"/>
      <c r="NF5" s="9"/>
      <c r="NG5" s="9"/>
      <c r="NH5" s="9"/>
      <c r="NI5" s="9"/>
      <c r="NJ5" s="9"/>
      <c r="NK5" s="9"/>
      <c r="NL5" s="9" t="s">
        <v>881</v>
      </c>
      <c r="NM5" s="9" t="s">
        <v>992</v>
      </c>
      <c r="NN5" s="9" t="s">
        <v>993</v>
      </c>
      <c r="NO5" s="9"/>
      <c r="NP5" s="9"/>
      <c r="NQ5" s="9" t="s">
        <v>994</v>
      </c>
      <c r="NR5" s="9"/>
      <c r="NS5" s="8">
        <v>24.0</v>
      </c>
      <c r="NT5" s="9" t="s">
        <v>896</v>
      </c>
      <c r="NU5" s="9"/>
      <c r="NV5" s="9" t="s">
        <v>896</v>
      </c>
      <c r="NW5" s="9"/>
      <c r="NX5" s="9" t="s">
        <v>897</v>
      </c>
      <c r="NY5" s="8">
        <v>45.0</v>
      </c>
      <c r="NZ5" s="8">
        <v>15.0</v>
      </c>
      <c r="OA5" s="8">
        <v>0.0</v>
      </c>
      <c r="OB5" s="8">
        <v>10.0</v>
      </c>
      <c r="OC5" s="8">
        <v>5.0</v>
      </c>
      <c r="OD5" s="8">
        <v>0.0</v>
      </c>
      <c r="OE5" s="9" t="s">
        <v>898</v>
      </c>
      <c r="OF5" s="9" t="s">
        <v>899</v>
      </c>
      <c r="OG5" s="9" t="s">
        <v>857</v>
      </c>
      <c r="OH5" s="8">
        <v>0.0</v>
      </c>
      <c r="OI5" s="8">
        <v>0.0</v>
      </c>
      <c r="OJ5" s="8">
        <v>0.0</v>
      </c>
      <c r="OK5" s="8">
        <v>0.0</v>
      </c>
      <c r="OL5" s="8">
        <v>0.0</v>
      </c>
      <c r="OM5" s="8">
        <v>0.0</v>
      </c>
      <c r="ON5" s="8">
        <v>0.0</v>
      </c>
      <c r="OO5" s="8">
        <v>0.0</v>
      </c>
      <c r="OP5" s="9" t="s">
        <v>2947</v>
      </c>
      <c r="OQ5" s="8">
        <v>1.0</v>
      </c>
      <c r="OR5" s="8">
        <v>0.0</v>
      </c>
      <c r="OS5" s="8">
        <v>0.0</v>
      </c>
      <c r="OT5" s="8">
        <v>0.0</v>
      </c>
      <c r="OU5" s="8">
        <v>0.0</v>
      </c>
      <c r="OV5" s="8">
        <v>0.0</v>
      </c>
      <c r="OW5" s="8">
        <v>0.0</v>
      </c>
      <c r="OX5" s="8">
        <v>0.0</v>
      </c>
      <c r="OY5" s="9" t="s">
        <v>900</v>
      </c>
      <c r="OZ5" s="8">
        <v>1.0</v>
      </c>
      <c r="PA5" s="8">
        <v>0.0</v>
      </c>
      <c r="PB5" s="8">
        <v>0.0</v>
      </c>
      <c r="PC5" s="8">
        <v>0.0</v>
      </c>
      <c r="PD5" s="8">
        <v>0.0</v>
      </c>
      <c r="PE5" s="8">
        <v>0.0</v>
      </c>
      <c r="PF5" s="8">
        <v>1.0</v>
      </c>
      <c r="PG5" s="8">
        <v>0.0</v>
      </c>
      <c r="PH5" s="8">
        <v>0.0</v>
      </c>
      <c r="PI5" s="8">
        <v>0.0</v>
      </c>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8">
        <v>3.0</v>
      </c>
      <c r="SE5" s="9"/>
      <c r="SF5" s="9"/>
      <c r="SG5" s="9"/>
      <c r="SH5" s="9"/>
      <c r="SI5" s="9"/>
      <c r="SJ5" s="9"/>
      <c r="SK5" s="9"/>
      <c r="SL5" s="8">
        <v>0.0</v>
      </c>
      <c r="SM5" s="8">
        <v>0.0</v>
      </c>
      <c r="SN5" s="8">
        <v>0.0</v>
      </c>
      <c r="SO5" s="8">
        <v>0.0</v>
      </c>
      <c r="SP5" s="8">
        <v>0.0</v>
      </c>
      <c r="SQ5" s="8">
        <v>0.0</v>
      </c>
      <c r="SR5" s="8">
        <v>0.0</v>
      </c>
      <c r="SS5" s="8">
        <v>0.0</v>
      </c>
      <c r="ST5" s="8">
        <v>0.0</v>
      </c>
      <c r="SU5" s="8">
        <v>0.0</v>
      </c>
      <c r="SV5" s="8">
        <v>0.0</v>
      </c>
      <c r="SW5" s="8">
        <v>0.0</v>
      </c>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t="s">
        <v>881</v>
      </c>
      <c r="ZR5" s="9"/>
      <c r="ZS5" s="9"/>
      <c r="ZT5" s="9"/>
      <c r="ZU5" s="9"/>
      <c r="ZV5" s="9"/>
      <c r="ZW5" s="9" t="s">
        <v>857</v>
      </c>
      <c r="ZX5" s="9" t="s">
        <v>867</v>
      </c>
      <c r="ZY5" s="9" t="s">
        <v>995</v>
      </c>
      <c r="ZZ5" s="8">
        <v>1.0</v>
      </c>
      <c r="AAA5" s="8">
        <v>0.0</v>
      </c>
      <c r="AAB5" s="8">
        <v>0.0</v>
      </c>
      <c r="AAC5" s="8">
        <v>0.0</v>
      </c>
      <c r="AAD5" s="8">
        <v>1.0</v>
      </c>
      <c r="AAE5" s="8">
        <v>0.0</v>
      </c>
      <c r="AAF5" s="8">
        <v>0.0</v>
      </c>
      <c r="AAG5" s="9" t="s">
        <v>907</v>
      </c>
      <c r="AAH5" s="8">
        <v>1.0</v>
      </c>
      <c r="AAI5" s="8">
        <v>0.0</v>
      </c>
      <c r="AAJ5" s="8">
        <v>0.0</v>
      </c>
      <c r="AAK5" s="8">
        <v>0.0</v>
      </c>
      <c r="AAL5" s="8">
        <v>0.0</v>
      </c>
      <c r="AAM5" s="9"/>
      <c r="AAN5" s="9"/>
      <c r="AAO5" s="9"/>
      <c r="AAP5" s="9"/>
      <c r="AAQ5" s="9"/>
      <c r="AAR5" s="9"/>
      <c r="AAS5" s="9"/>
      <c r="AAT5" s="9"/>
      <c r="AAU5" s="9"/>
      <c r="AAV5" s="11" t="s">
        <v>953</v>
      </c>
      <c r="AAW5" s="9" t="s">
        <v>909</v>
      </c>
      <c r="AAX5" s="8">
        <v>1500.0</v>
      </c>
      <c r="AAY5" s="9"/>
      <c r="AAZ5" s="8">
        <v>500.0</v>
      </c>
      <c r="ABA5" s="8">
        <v>500.0</v>
      </c>
      <c r="ABB5" s="9" t="s">
        <v>910</v>
      </c>
      <c r="ABC5" s="9"/>
      <c r="ABD5" s="8">
        <v>20.0</v>
      </c>
      <c r="ABE5" s="8">
        <v>10.0</v>
      </c>
      <c r="ABF5" s="8">
        <v>10.0</v>
      </c>
      <c r="ABG5" s="8">
        <v>700.0</v>
      </c>
      <c r="ABH5" s="8">
        <v>7000.0</v>
      </c>
      <c r="ABI5" s="8">
        <v>400.0</v>
      </c>
      <c r="ABJ5" s="9" t="s">
        <v>881</v>
      </c>
      <c r="ABK5" s="9" t="s">
        <v>911</v>
      </c>
      <c r="ABL5" s="9" t="s">
        <v>911</v>
      </c>
      <c r="ABM5" s="9" t="s">
        <v>911</v>
      </c>
      <c r="ABN5" s="9"/>
      <c r="ABO5" s="9"/>
      <c r="ABP5" s="9" t="s">
        <v>976</v>
      </c>
      <c r="ABQ5" s="8">
        <v>0.0</v>
      </c>
      <c r="ABR5" s="8">
        <v>0.0</v>
      </c>
      <c r="ABS5" s="8">
        <v>1.0</v>
      </c>
      <c r="ABT5" s="8">
        <v>1.0</v>
      </c>
      <c r="ABU5" s="8">
        <v>0.0</v>
      </c>
      <c r="ABV5" s="8">
        <v>0.0</v>
      </c>
      <c r="ABW5" s="8">
        <v>0.0</v>
      </c>
      <c r="ABX5" s="9"/>
      <c r="ABY5" s="9" t="s">
        <v>912</v>
      </c>
      <c r="ABZ5" s="9" t="s">
        <v>913</v>
      </c>
      <c r="ACA5" s="9" t="s">
        <v>996</v>
      </c>
      <c r="ACB5" s="9" t="s">
        <v>997</v>
      </c>
      <c r="ACC5" s="9" t="s">
        <v>958</v>
      </c>
      <c r="ACD5" s="9" t="s">
        <v>915</v>
      </c>
      <c r="ACE5" s="8">
        <v>0.0</v>
      </c>
      <c r="ACF5" s="8">
        <v>1.0</v>
      </c>
      <c r="ACG5" s="8">
        <v>0.0</v>
      </c>
      <c r="ACH5" s="8">
        <v>0.0</v>
      </c>
      <c r="ACI5" s="9" t="s">
        <v>918</v>
      </c>
      <c r="ACJ5" s="9" t="s">
        <v>918</v>
      </c>
      <c r="ACK5" s="9" t="s">
        <v>918</v>
      </c>
      <c r="ACL5" s="9" t="s">
        <v>918</v>
      </c>
      <c r="ACM5" s="9" t="s">
        <v>857</v>
      </c>
      <c r="ACN5" s="9" t="s">
        <v>998</v>
      </c>
      <c r="ACO5" s="9" t="s">
        <v>918</v>
      </c>
      <c r="ACP5" s="9"/>
      <c r="ACQ5" s="9"/>
      <c r="ACR5" s="9"/>
      <c r="ACS5" s="9"/>
      <c r="ACT5" s="9"/>
      <c r="ACU5" s="9"/>
      <c r="ACV5" s="9"/>
      <c r="ACW5" s="9"/>
      <c r="ACX5" s="9"/>
      <c r="ACY5" s="9"/>
      <c r="ACZ5" s="9" t="s">
        <v>919</v>
      </c>
      <c r="ADA5" s="8">
        <v>0.0</v>
      </c>
      <c r="ADB5" s="8">
        <v>0.0</v>
      </c>
      <c r="ADC5" s="8">
        <v>0.0</v>
      </c>
      <c r="ADD5" s="8">
        <v>0.0</v>
      </c>
      <c r="ADE5" s="8">
        <v>1.0</v>
      </c>
      <c r="ADF5" s="8">
        <v>0.0</v>
      </c>
      <c r="ADG5" s="8">
        <v>0.0</v>
      </c>
      <c r="ADH5" s="8">
        <v>0.0</v>
      </c>
      <c r="ADI5" s="12"/>
      <c r="ADJ5" s="17" t="s">
        <v>872</v>
      </c>
      <c r="ADK5" s="9"/>
      <c r="ADL5" s="17" t="s">
        <v>920</v>
      </c>
      <c r="ADM5" s="9"/>
      <c r="ADN5" s="11" t="s">
        <v>999</v>
      </c>
      <c r="ADO5" s="9" t="s">
        <v>961</v>
      </c>
      <c r="ADP5" s="17" t="s">
        <v>1000</v>
      </c>
      <c r="ADQ5" s="18">
        <v>1.0</v>
      </c>
      <c r="ADR5" s="18">
        <v>1.0</v>
      </c>
      <c r="ADS5" s="18">
        <v>1.0</v>
      </c>
      <c r="ADT5" s="18">
        <v>1.0</v>
      </c>
      <c r="ADU5" s="18">
        <v>1.0</v>
      </c>
      <c r="ADV5" s="18">
        <v>0.0</v>
      </c>
      <c r="ADW5" s="18">
        <v>0.0</v>
      </c>
      <c r="ADX5" s="18">
        <v>0.0</v>
      </c>
      <c r="ADY5" s="18">
        <v>0.0</v>
      </c>
      <c r="ADZ5" s="18">
        <v>0.0</v>
      </c>
      <c r="AEA5" s="18">
        <v>0.0</v>
      </c>
      <c r="AEB5" s="18">
        <v>0.0</v>
      </c>
      <c r="AEC5" s="9"/>
      <c r="AED5" s="9" t="s">
        <v>923</v>
      </c>
      <c r="AEE5" s="9"/>
      <c r="AEF5" s="9" t="s">
        <v>924</v>
      </c>
      <c r="AEG5" s="9"/>
      <c r="AEH5" s="9" t="s">
        <v>1001</v>
      </c>
      <c r="AEI5" s="16" t="s">
        <v>1002</v>
      </c>
      <c r="AEJ5" s="9" t="s">
        <v>1003</v>
      </c>
      <c r="AEK5" s="16" t="s">
        <v>1004</v>
      </c>
      <c r="AEL5" s="9" t="s">
        <v>983</v>
      </c>
      <c r="AEM5" s="9"/>
      <c r="AEN5" s="9" t="s">
        <v>1005</v>
      </c>
    </row>
    <row r="6">
      <c r="A6" s="6">
        <v>46057.0</v>
      </c>
      <c r="B6" s="6">
        <v>46057.0</v>
      </c>
      <c r="C6" s="7" t="s">
        <v>837</v>
      </c>
      <c r="D6" s="7" t="s">
        <v>1006</v>
      </c>
      <c r="E6" s="8">
        <f>+6282136100417</f>
        <v>6282136100417</v>
      </c>
      <c r="F6" s="9"/>
      <c r="G6" s="8">
        <v>-7.351814</v>
      </c>
      <c r="H6" s="8">
        <v>110.3523472</v>
      </c>
      <c r="I6" s="9"/>
      <c r="J6" s="8">
        <v>4.82</v>
      </c>
      <c r="K6" s="9"/>
      <c r="L6" s="9"/>
      <c r="M6" s="8">
        <v>-7.3511364</v>
      </c>
      <c r="N6" s="8">
        <v>110.3523</v>
      </c>
      <c r="O6" s="9"/>
      <c r="P6" s="8">
        <v>4.5</v>
      </c>
      <c r="Q6" s="9"/>
      <c r="R6" s="9" t="s">
        <v>839</v>
      </c>
      <c r="S6" s="9"/>
      <c r="T6" s="9"/>
      <c r="U6" s="9"/>
      <c r="V6" s="9"/>
      <c r="W6" s="9"/>
      <c r="X6" s="9"/>
      <c r="Y6" s="9"/>
      <c r="Z6" s="9"/>
      <c r="AA6" s="9"/>
      <c r="AB6" s="9"/>
      <c r="AC6" s="7" t="s">
        <v>840</v>
      </c>
      <c r="AD6" s="7" t="s">
        <v>841</v>
      </c>
      <c r="AE6" s="7" t="s">
        <v>1007</v>
      </c>
      <c r="AF6" s="9" t="s">
        <v>931</v>
      </c>
      <c r="AG6" s="9" t="s">
        <v>1008</v>
      </c>
      <c r="AH6" s="8">
        <v>11.0</v>
      </c>
      <c r="AI6" s="9" t="s">
        <v>933</v>
      </c>
      <c r="AJ6" s="9" t="s">
        <v>934</v>
      </c>
      <c r="AK6" s="8">
        <v>60.0</v>
      </c>
      <c r="AL6" s="9" t="s">
        <v>847</v>
      </c>
      <c r="AM6" s="9" t="s">
        <v>848</v>
      </c>
      <c r="AN6" s="9" t="s">
        <v>1009</v>
      </c>
      <c r="AO6" s="9" t="s">
        <v>850</v>
      </c>
      <c r="AP6" s="8">
        <v>1.0</v>
      </c>
      <c r="AQ6" s="8">
        <v>0.0</v>
      </c>
      <c r="AR6" s="8">
        <v>0.0</v>
      </c>
      <c r="AS6" s="8">
        <v>0.0</v>
      </c>
      <c r="AT6" s="8">
        <v>0.0</v>
      </c>
      <c r="AU6" s="8">
        <v>0.0</v>
      </c>
      <c r="AV6" s="8">
        <v>0.0</v>
      </c>
      <c r="AW6" s="8">
        <v>0.0</v>
      </c>
      <c r="AX6" s="9"/>
      <c r="AY6" s="9" t="s">
        <v>1010</v>
      </c>
      <c r="AZ6" s="8">
        <v>0.0</v>
      </c>
      <c r="BA6" s="8">
        <v>0.0</v>
      </c>
      <c r="BB6" s="8">
        <v>1.0</v>
      </c>
      <c r="BC6" s="8">
        <v>0.0</v>
      </c>
      <c r="BD6" s="8">
        <v>0.0</v>
      </c>
      <c r="BE6" s="8">
        <v>0.0</v>
      </c>
      <c r="BF6" s="8">
        <v>0.0</v>
      </c>
      <c r="BG6" s="8">
        <v>0.0</v>
      </c>
      <c r="BH6" s="9"/>
      <c r="BI6" s="9" t="s">
        <v>936</v>
      </c>
      <c r="BJ6" s="8">
        <v>2.0</v>
      </c>
      <c r="BK6" s="8">
        <v>2.0</v>
      </c>
      <c r="BL6" s="8">
        <v>2.0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856</v>
      </c>
      <c r="CD6" s="8">
        <v>0.0</v>
      </c>
      <c r="CE6" s="8">
        <v>0.0</v>
      </c>
      <c r="CF6" s="8">
        <v>0.0</v>
      </c>
      <c r="CG6" s="8">
        <v>0.0</v>
      </c>
      <c r="CH6" s="8">
        <v>0.0</v>
      </c>
      <c r="CI6" s="8">
        <v>1.0</v>
      </c>
      <c r="CJ6" s="8">
        <v>0.0</v>
      </c>
      <c r="CK6" s="9"/>
      <c r="CL6" s="9" t="s">
        <v>857</v>
      </c>
      <c r="CM6" s="8">
        <v>2015.0</v>
      </c>
      <c r="CN6" s="9" t="s">
        <v>858</v>
      </c>
      <c r="CO6" s="9" t="s">
        <v>859</v>
      </c>
      <c r="CP6" s="9" t="s">
        <v>860</v>
      </c>
      <c r="CQ6" s="8">
        <v>0.0</v>
      </c>
      <c r="CR6" s="8">
        <v>0.0</v>
      </c>
      <c r="CS6" s="8">
        <v>0.0</v>
      </c>
      <c r="CT6" s="8">
        <v>0.0</v>
      </c>
      <c r="CU6" s="10">
        <v>1.0</v>
      </c>
      <c r="CV6" s="10">
        <v>0.0</v>
      </c>
      <c r="CW6" s="10">
        <v>0.0</v>
      </c>
      <c r="CX6" s="8">
        <v>0.0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8">
        <v>1.0</v>
      </c>
      <c r="DQ6" s="8">
        <v>0.0</v>
      </c>
      <c r="DR6" s="8">
        <v>0.0</v>
      </c>
      <c r="DS6" s="9"/>
      <c r="DT6" s="9"/>
      <c r="DU6" s="9"/>
      <c r="DV6" s="9" t="s">
        <v>938</v>
      </c>
      <c r="DW6" s="9" t="s">
        <v>939</v>
      </c>
      <c r="DX6" s="9" t="s">
        <v>987</v>
      </c>
      <c r="DY6" s="9"/>
      <c r="DZ6" s="9"/>
      <c r="EA6" s="9"/>
      <c r="EB6" s="9"/>
      <c r="EC6" s="9"/>
      <c r="ED6" s="9"/>
      <c r="EE6" s="9"/>
      <c r="EF6" s="9"/>
      <c r="EG6" s="9"/>
      <c r="EH6" s="9"/>
      <c r="EI6" s="9" t="s">
        <v>1011</v>
      </c>
      <c r="EJ6" s="8">
        <v>0.0</v>
      </c>
      <c r="EK6" s="8">
        <v>0.0</v>
      </c>
      <c r="EL6" s="8">
        <v>1.0</v>
      </c>
      <c r="EM6" s="8">
        <v>1.0</v>
      </c>
      <c r="EN6" s="8">
        <v>0.0</v>
      </c>
      <c r="EO6" s="11"/>
      <c r="EP6" s="9" t="s">
        <v>863</v>
      </c>
      <c r="EQ6" s="9" t="s">
        <v>864</v>
      </c>
      <c r="ER6" s="9" t="s">
        <v>1012</v>
      </c>
      <c r="ES6" s="8">
        <v>1.0</v>
      </c>
      <c r="ET6" s="8">
        <v>0.0</v>
      </c>
      <c r="EU6" s="8">
        <v>1.0</v>
      </c>
      <c r="EV6" s="8">
        <v>0.0</v>
      </c>
      <c r="EW6" s="9"/>
      <c r="EX6" s="9" t="s">
        <v>1013</v>
      </c>
      <c r="EY6" s="8">
        <v>1.0</v>
      </c>
      <c r="EZ6" s="8">
        <v>1.0</v>
      </c>
      <c r="FA6" s="8">
        <v>0.0</v>
      </c>
      <c r="FB6" s="9"/>
      <c r="FC6" s="9" t="s">
        <v>866</v>
      </c>
      <c r="FD6" s="9"/>
      <c r="FE6" s="9" t="s">
        <v>867</v>
      </c>
      <c r="FF6" s="9" t="s">
        <v>868</v>
      </c>
      <c r="FG6" s="9" t="s">
        <v>867</v>
      </c>
      <c r="FH6" s="9" t="s">
        <v>869</v>
      </c>
      <c r="FI6" s="9" t="s">
        <v>867</v>
      </c>
      <c r="FJ6" s="9" t="s">
        <v>869</v>
      </c>
      <c r="FK6" s="9" t="s">
        <v>867</v>
      </c>
      <c r="FL6" s="9" t="s">
        <v>869</v>
      </c>
      <c r="FM6" s="9" t="s">
        <v>867</v>
      </c>
      <c r="FN6" s="9" t="s">
        <v>870</v>
      </c>
      <c r="FO6" s="9" t="s">
        <v>867</v>
      </c>
      <c r="FP6" s="9" t="s">
        <v>870</v>
      </c>
      <c r="FQ6" s="9" t="s">
        <v>867</v>
      </c>
      <c r="FR6" s="9" t="s">
        <v>857</v>
      </c>
      <c r="FS6" s="9" t="s">
        <v>867</v>
      </c>
      <c r="FT6" s="9" t="s">
        <v>871</v>
      </c>
      <c r="FU6" s="9" t="s">
        <v>989</v>
      </c>
      <c r="FV6" s="8">
        <v>1.0</v>
      </c>
      <c r="FW6" s="8">
        <v>1.0</v>
      </c>
      <c r="FX6" s="8">
        <v>0.0</v>
      </c>
      <c r="FY6" s="8">
        <v>0.0</v>
      </c>
      <c r="FZ6" s="9" t="s">
        <v>944</v>
      </c>
      <c r="GA6" s="9" t="s">
        <v>990</v>
      </c>
      <c r="GB6" s="8">
        <v>1.0</v>
      </c>
      <c r="GC6" s="8">
        <v>1.0</v>
      </c>
      <c r="GD6" s="8">
        <v>0.0</v>
      </c>
      <c r="GE6" s="8">
        <v>0.0</v>
      </c>
      <c r="GF6" s="9"/>
      <c r="GG6" s="9" t="s">
        <v>875</v>
      </c>
      <c r="GH6" s="9" t="s">
        <v>881</v>
      </c>
      <c r="GI6" s="9"/>
      <c r="GJ6" s="9"/>
      <c r="GK6" s="9"/>
      <c r="GL6" s="9"/>
      <c r="GM6" s="9"/>
      <c r="GN6" s="9"/>
      <c r="GO6" s="9"/>
      <c r="GP6" s="9" t="s">
        <v>877</v>
      </c>
      <c r="GQ6" s="9" t="s">
        <v>878</v>
      </c>
      <c r="GR6" s="8">
        <v>1.0</v>
      </c>
      <c r="GS6" s="8">
        <v>1.0</v>
      </c>
      <c r="GT6" s="8">
        <v>0.0</v>
      </c>
      <c r="GU6" s="8">
        <v>0.0</v>
      </c>
      <c r="GV6" s="8">
        <v>0.0</v>
      </c>
      <c r="GW6" s="8">
        <v>0.0</v>
      </c>
      <c r="GX6" s="8">
        <v>0.0</v>
      </c>
      <c r="GY6" s="9"/>
      <c r="GZ6" s="9" t="s">
        <v>881</v>
      </c>
      <c r="HA6" s="8">
        <v>200.0</v>
      </c>
      <c r="HB6" s="8">
        <v>200000.0</v>
      </c>
      <c r="HC6" s="8">
        <v>50.0</v>
      </c>
      <c r="HD6" s="8">
        <v>50000.0</v>
      </c>
      <c r="HE6" s="8">
        <v>12.0</v>
      </c>
      <c r="HF6" s="8">
        <v>100000.0</v>
      </c>
      <c r="HG6" s="8">
        <v>3.0</v>
      </c>
      <c r="HH6" s="8">
        <v>25000.0</v>
      </c>
      <c r="HI6" s="9"/>
      <c r="HJ6" s="9"/>
      <c r="HK6" s="9"/>
      <c r="HL6" s="9"/>
      <c r="HM6" s="9"/>
      <c r="HN6" s="9"/>
      <c r="HO6" s="9"/>
      <c r="HP6" s="9"/>
      <c r="HQ6" s="9"/>
      <c r="HR6" s="9"/>
      <c r="HS6" s="9"/>
      <c r="HT6" s="9"/>
      <c r="HU6" s="9"/>
      <c r="HV6" s="9"/>
      <c r="HW6" s="9"/>
      <c r="HX6" s="9"/>
      <c r="HY6" s="8">
        <v>150.0</v>
      </c>
      <c r="HZ6" s="8">
        <v>150000.0</v>
      </c>
      <c r="IA6" s="8">
        <v>9.0</v>
      </c>
      <c r="IB6" s="8">
        <v>75000.0</v>
      </c>
      <c r="IC6" s="9"/>
      <c r="ID6" s="9"/>
      <c r="IE6" s="9"/>
      <c r="IF6" s="9"/>
      <c r="IG6" s="9"/>
      <c r="IH6" s="9"/>
      <c r="II6" s="9"/>
      <c r="IJ6" s="9"/>
      <c r="IK6" s="9" t="s">
        <v>879</v>
      </c>
      <c r="IL6" s="9" t="s">
        <v>880</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886</v>
      </c>
      <c r="KU6" s="9" t="s">
        <v>886</v>
      </c>
      <c r="KV6" s="9" t="s">
        <v>1014</v>
      </c>
      <c r="KW6" s="8">
        <v>0.0</v>
      </c>
      <c r="KX6" s="8">
        <v>1.0</v>
      </c>
      <c r="KY6" s="8">
        <v>0.0</v>
      </c>
      <c r="KZ6" s="8">
        <v>0.0</v>
      </c>
      <c r="LA6" s="9" t="s">
        <v>884</v>
      </c>
      <c r="LB6" s="9" t="s">
        <v>884</v>
      </c>
      <c r="LC6" s="8">
        <v>0.0</v>
      </c>
      <c r="LD6" s="8">
        <v>0.0</v>
      </c>
      <c r="LE6" s="8">
        <v>0.0</v>
      </c>
      <c r="LF6" s="8">
        <v>0.0</v>
      </c>
      <c r="LG6" s="9" t="s">
        <v>857</v>
      </c>
      <c r="LH6" s="8">
        <v>100000.0</v>
      </c>
      <c r="LI6" s="9"/>
      <c r="LJ6" s="9" t="s">
        <v>887</v>
      </c>
      <c r="LK6" s="8">
        <v>0.0</v>
      </c>
      <c r="LL6" s="8">
        <v>0.0</v>
      </c>
      <c r="LM6" s="8">
        <v>0.0</v>
      </c>
      <c r="LN6" s="8">
        <v>0.0</v>
      </c>
      <c r="LO6" s="8">
        <v>1.0</v>
      </c>
      <c r="LP6" s="8">
        <v>0.0</v>
      </c>
      <c r="LQ6" s="8">
        <v>0.0</v>
      </c>
      <c r="LR6" s="9"/>
      <c r="LS6" s="8">
        <v>15.0</v>
      </c>
      <c r="LT6" s="8">
        <v>15.0</v>
      </c>
      <c r="LU6" s="8">
        <v>0.0</v>
      </c>
      <c r="LV6" s="8">
        <v>5.0</v>
      </c>
      <c r="LW6" s="8">
        <v>5.0</v>
      </c>
      <c r="LX6" s="8">
        <v>0.0</v>
      </c>
      <c r="LY6" s="8">
        <v>5.0</v>
      </c>
      <c r="LZ6" s="8">
        <v>5.0</v>
      </c>
      <c r="MA6" s="8">
        <v>0.0</v>
      </c>
      <c r="MB6" s="9" t="s">
        <v>857</v>
      </c>
      <c r="MC6" s="8">
        <v>30.0</v>
      </c>
      <c r="MD6" s="8">
        <v>15.0</v>
      </c>
      <c r="ME6" s="8">
        <v>30.0</v>
      </c>
      <c r="MF6" s="8">
        <v>15.0</v>
      </c>
      <c r="MG6" s="8">
        <v>0.0</v>
      </c>
      <c r="MH6" s="8">
        <v>0.0</v>
      </c>
      <c r="MI6" s="9" t="s">
        <v>946</v>
      </c>
      <c r="MJ6" s="8">
        <v>0.0</v>
      </c>
      <c r="MK6" s="8">
        <v>0.0</v>
      </c>
      <c r="ML6" s="8">
        <v>1.0</v>
      </c>
      <c r="MM6" s="8">
        <v>0.0</v>
      </c>
      <c r="MN6" s="8">
        <v>0.0</v>
      </c>
      <c r="MO6" s="8">
        <v>0.0</v>
      </c>
      <c r="MP6" s="9"/>
      <c r="MQ6" s="9"/>
      <c r="MR6" s="9" t="s">
        <v>1015</v>
      </c>
      <c r="MS6" s="9"/>
      <c r="MT6" s="9" t="s">
        <v>947</v>
      </c>
      <c r="MU6" s="9" t="s">
        <v>881</v>
      </c>
      <c r="MV6" s="9"/>
      <c r="MW6" s="9"/>
      <c r="MX6" s="9"/>
      <c r="MY6" s="9"/>
      <c r="MZ6" s="9"/>
      <c r="NA6" s="9"/>
      <c r="NB6" s="9"/>
      <c r="NC6" s="9"/>
      <c r="ND6" s="9"/>
      <c r="NE6" s="9"/>
      <c r="NF6" s="9"/>
      <c r="NG6" s="9"/>
      <c r="NH6" s="9"/>
      <c r="NI6" s="9"/>
      <c r="NJ6" s="9"/>
      <c r="NK6" s="9"/>
      <c r="NL6" s="9" t="s">
        <v>881</v>
      </c>
      <c r="NM6" s="9" t="s">
        <v>893</v>
      </c>
      <c r="NN6" s="9" t="s">
        <v>993</v>
      </c>
      <c r="NO6" s="9" t="s">
        <v>973</v>
      </c>
      <c r="NP6" s="9"/>
      <c r="NQ6" s="9"/>
      <c r="NR6" s="9"/>
      <c r="NS6" s="9"/>
      <c r="NT6" s="9"/>
      <c r="NU6" s="9"/>
      <c r="NV6" s="9" t="s">
        <v>896</v>
      </c>
      <c r="NW6" s="9"/>
      <c r="NX6" s="9" t="s">
        <v>897</v>
      </c>
      <c r="NY6" s="8">
        <v>45.0</v>
      </c>
      <c r="NZ6" s="8">
        <v>30.0</v>
      </c>
      <c r="OA6" s="8">
        <v>0.0</v>
      </c>
      <c r="OB6" s="8">
        <v>10.0</v>
      </c>
      <c r="OC6" s="8">
        <v>5.0</v>
      </c>
      <c r="OD6" s="8">
        <v>0.0</v>
      </c>
      <c r="OE6" s="9" t="s">
        <v>898</v>
      </c>
      <c r="OF6" s="9" t="s">
        <v>899</v>
      </c>
      <c r="OG6" s="9" t="s">
        <v>881</v>
      </c>
      <c r="OH6" s="8">
        <v>0.0</v>
      </c>
      <c r="OI6" s="8">
        <v>0.0</v>
      </c>
      <c r="OJ6" s="8">
        <v>0.0</v>
      </c>
      <c r="OK6" s="8">
        <v>0.0</v>
      </c>
      <c r="OL6" s="8">
        <v>0.0</v>
      </c>
      <c r="OM6" s="8">
        <v>0.0</v>
      </c>
      <c r="ON6" s="8">
        <v>0.0</v>
      </c>
      <c r="OO6" s="8">
        <v>0.0</v>
      </c>
      <c r="OP6" s="9" t="s">
        <v>2947</v>
      </c>
      <c r="OQ6" s="8">
        <v>1.0</v>
      </c>
      <c r="OR6" s="8">
        <v>0.0</v>
      </c>
      <c r="OS6" s="8">
        <v>0.0</v>
      </c>
      <c r="OT6" s="8">
        <v>0.0</v>
      </c>
      <c r="OU6" s="8">
        <v>0.0</v>
      </c>
      <c r="OV6" s="8">
        <v>0.0</v>
      </c>
      <c r="OW6" s="8">
        <v>0.0</v>
      </c>
      <c r="OX6" s="8">
        <v>0.0</v>
      </c>
      <c r="OY6" s="9" t="s">
        <v>900</v>
      </c>
      <c r="OZ6" s="8">
        <v>1.0</v>
      </c>
      <c r="PA6" s="8">
        <v>0.0</v>
      </c>
      <c r="PB6" s="8">
        <v>0.0</v>
      </c>
      <c r="PC6" s="8">
        <v>0.0</v>
      </c>
      <c r="PD6" s="8">
        <v>0.0</v>
      </c>
      <c r="PE6" s="8">
        <v>0.0</v>
      </c>
      <c r="PF6" s="8">
        <v>1.0</v>
      </c>
      <c r="PG6" s="8">
        <v>0.0</v>
      </c>
      <c r="PH6" s="8">
        <v>0.0</v>
      </c>
      <c r="PI6" s="8">
        <v>0.0</v>
      </c>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8">
        <v>0.0</v>
      </c>
      <c r="SE6" s="9"/>
      <c r="SF6" s="9"/>
      <c r="SG6" s="9"/>
      <c r="SH6" s="9"/>
      <c r="SI6" s="9"/>
      <c r="SJ6" s="9"/>
      <c r="SK6" s="9"/>
      <c r="SL6" s="8">
        <v>0.0</v>
      </c>
      <c r="SM6" s="8">
        <v>0.0</v>
      </c>
      <c r="SN6" s="8">
        <v>0.0</v>
      </c>
      <c r="SO6" s="8">
        <v>0.0</v>
      </c>
      <c r="SP6" s="8">
        <v>0.0</v>
      </c>
      <c r="SQ6" s="8">
        <v>0.0</v>
      </c>
      <c r="SR6" s="8">
        <v>0.0</v>
      </c>
      <c r="SS6" s="8">
        <v>0.0</v>
      </c>
      <c r="ST6" s="8">
        <v>0.0</v>
      </c>
      <c r="SU6" s="8">
        <v>0.0</v>
      </c>
      <c r="SV6" s="8">
        <v>0.0</v>
      </c>
      <c r="SW6" s="8">
        <v>0.0</v>
      </c>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t="s">
        <v>881</v>
      </c>
      <c r="ZR6" s="9"/>
      <c r="ZS6" s="9"/>
      <c r="ZT6" s="9"/>
      <c r="ZU6" s="9"/>
      <c r="ZV6" s="9"/>
      <c r="ZW6" s="9" t="s">
        <v>857</v>
      </c>
      <c r="ZX6" s="9" t="s">
        <v>867</v>
      </c>
      <c r="ZY6" s="9" t="s">
        <v>1016</v>
      </c>
      <c r="ZZ6" s="8">
        <v>0.0</v>
      </c>
      <c r="AAA6" s="8">
        <v>0.0</v>
      </c>
      <c r="AAB6" s="8">
        <v>0.0</v>
      </c>
      <c r="AAC6" s="8">
        <v>0.0</v>
      </c>
      <c r="AAD6" s="8">
        <v>1.0</v>
      </c>
      <c r="AAE6" s="8">
        <v>0.0</v>
      </c>
      <c r="AAF6" s="8">
        <v>0.0</v>
      </c>
      <c r="AAG6" s="9"/>
      <c r="AAH6" s="9"/>
      <c r="AAI6" s="9"/>
      <c r="AAJ6" s="9"/>
      <c r="AAK6" s="9"/>
      <c r="AAL6" s="9"/>
      <c r="AAM6" s="9"/>
      <c r="AAN6" s="9"/>
      <c r="AAO6" s="9"/>
      <c r="AAP6" s="9"/>
      <c r="AAQ6" s="9"/>
      <c r="AAR6" s="9"/>
      <c r="AAS6" s="9"/>
      <c r="AAT6" s="9"/>
      <c r="AAU6" s="9"/>
      <c r="AAV6" s="11"/>
      <c r="AAW6" s="9"/>
      <c r="AAX6" s="9"/>
      <c r="AAY6" s="9"/>
      <c r="AAZ6" s="9"/>
      <c r="ABA6" s="9"/>
      <c r="ABB6" s="9"/>
      <c r="ABC6" s="9"/>
      <c r="ABD6" s="9"/>
      <c r="ABE6" s="9"/>
      <c r="ABF6" s="9"/>
      <c r="ABG6" s="9"/>
      <c r="ABH6" s="9"/>
      <c r="ABI6" s="9"/>
      <c r="ABJ6" s="9"/>
      <c r="ABK6" s="9"/>
      <c r="ABL6" s="9"/>
      <c r="ABM6" s="9"/>
      <c r="ABN6" s="9"/>
      <c r="ABO6" s="9"/>
      <c r="ABP6" s="9" t="s">
        <v>976</v>
      </c>
      <c r="ABQ6" s="8">
        <v>0.0</v>
      </c>
      <c r="ABR6" s="8">
        <v>0.0</v>
      </c>
      <c r="ABS6" s="8">
        <v>1.0</v>
      </c>
      <c r="ABT6" s="8">
        <v>1.0</v>
      </c>
      <c r="ABU6" s="8">
        <v>0.0</v>
      </c>
      <c r="ABV6" s="8">
        <v>0.0</v>
      </c>
      <c r="ABW6" s="8">
        <v>0.0</v>
      </c>
      <c r="ABX6" s="9"/>
      <c r="ABY6" s="9" t="s">
        <v>912</v>
      </c>
      <c r="ABZ6" s="9" t="s">
        <v>913</v>
      </c>
      <c r="ACA6" s="9" t="s">
        <v>996</v>
      </c>
      <c r="ACB6" s="9" t="s">
        <v>915</v>
      </c>
      <c r="ACC6" s="9" t="s">
        <v>916</v>
      </c>
      <c r="ACD6" s="9" t="s">
        <v>1017</v>
      </c>
      <c r="ACE6" s="8">
        <v>1.0</v>
      </c>
      <c r="ACF6" s="8">
        <v>1.0</v>
      </c>
      <c r="ACG6" s="8">
        <v>1.0</v>
      </c>
      <c r="ACH6" s="8">
        <v>0.0</v>
      </c>
      <c r="ACI6" s="9" t="s">
        <v>918</v>
      </c>
      <c r="ACJ6" s="9" t="s">
        <v>918</v>
      </c>
      <c r="ACK6" s="9" t="s">
        <v>918</v>
      </c>
      <c r="ACL6" s="9" t="s">
        <v>918</v>
      </c>
      <c r="ACM6" s="9" t="s">
        <v>857</v>
      </c>
      <c r="ACN6" s="9" t="s">
        <v>912</v>
      </c>
      <c r="ACO6" s="9" t="s">
        <v>918</v>
      </c>
      <c r="ACP6" s="9"/>
      <c r="ACQ6" s="9"/>
      <c r="ACR6" s="9"/>
      <c r="ACS6" s="9"/>
      <c r="ACT6" s="9"/>
      <c r="ACU6" s="9"/>
      <c r="ACV6" s="9"/>
      <c r="ACW6" s="9"/>
      <c r="ACX6" s="9"/>
      <c r="ACY6" s="9"/>
      <c r="ACZ6" s="9" t="s">
        <v>1018</v>
      </c>
      <c r="ADA6" s="8">
        <v>0.0</v>
      </c>
      <c r="ADB6" s="8">
        <v>0.0</v>
      </c>
      <c r="ADC6" s="8">
        <v>0.0</v>
      </c>
      <c r="ADD6" s="8">
        <v>0.0</v>
      </c>
      <c r="ADE6" s="8">
        <v>1.0</v>
      </c>
      <c r="ADF6" s="8">
        <v>1.0</v>
      </c>
      <c r="ADG6" s="8">
        <v>0.0</v>
      </c>
      <c r="ADH6" s="8">
        <v>0.0</v>
      </c>
      <c r="ADI6" s="12"/>
      <c r="ADJ6" s="17" t="s">
        <v>872</v>
      </c>
      <c r="ADK6" s="9"/>
      <c r="ADL6" s="17" t="s">
        <v>920</v>
      </c>
      <c r="ADM6" s="9"/>
      <c r="ADN6" s="11" t="s">
        <v>921</v>
      </c>
      <c r="ADO6" s="9" t="s">
        <v>961</v>
      </c>
      <c r="ADP6" s="17" t="s">
        <v>1019</v>
      </c>
      <c r="ADQ6" s="18">
        <v>0.0</v>
      </c>
      <c r="ADR6" s="18">
        <v>1.0</v>
      </c>
      <c r="ADS6" s="18">
        <v>1.0</v>
      </c>
      <c r="ADT6" s="18">
        <v>1.0</v>
      </c>
      <c r="ADU6" s="18">
        <v>1.0</v>
      </c>
      <c r="ADV6" s="18">
        <v>1.0</v>
      </c>
      <c r="ADW6" s="18">
        <v>1.0</v>
      </c>
      <c r="ADX6" s="18">
        <v>0.0</v>
      </c>
      <c r="ADY6" s="18">
        <v>0.0</v>
      </c>
      <c r="ADZ6" s="18">
        <v>0.0</v>
      </c>
      <c r="AEA6" s="18">
        <v>0.0</v>
      </c>
      <c r="AEB6" s="18">
        <v>0.0</v>
      </c>
      <c r="AEC6" s="9"/>
      <c r="AED6" s="9" t="s">
        <v>923</v>
      </c>
      <c r="AEE6" s="9"/>
      <c r="AEF6" s="9" t="s">
        <v>924</v>
      </c>
      <c r="AEG6" s="9"/>
      <c r="AEH6" s="9" t="s">
        <v>1020</v>
      </c>
      <c r="AEI6" s="16" t="s">
        <v>1021</v>
      </c>
      <c r="AEJ6" s="9" t="s">
        <v>1022</v>
      </c>
      <c r="AEK6" s="16" t="s">
        <v>1023</v>
      </c>
      <c r="AEL6" s="9" t="s">
        <v>983</v>
      </c>
      <c r="AEM6" s="9"/>
      <c r="AEN6" s="9"/>
    </row>
    <row r="7">
      <c r="A7" s="6">
        <v>46057.0</v>
      </c>
      <c r="B7" s="6">
        <v>46057.0</v>
      </c>
      <c r="C7" s="7" t="s">
        <v>837</v>
      </c>
      <c r="D7" s="7" t="s">
        <v>1024</v>
      </c>
      <c r="E7" s="8">
        <f>+6285701460813</f>
        <v>6285701460813</v>
      </c>
      <c r="F7" s="9"/>
      <c r="G7" s="8">
        <v>-7.32433259</v>
      </c>
      <c r="H7" s="8">
        <v>110.381371</v>
      </c>
      <c r="I7" s="9"/>
      <c r="J7" s="8">
        <v>4.87</v>
      </c>
      <c r="K7" s="9"/>
      <c r="L7" s="9"/>
      <c r="M7" s="8">
        <v>-7.3243404</v>
      </c>
      <c r="N7" s="8">
        <v>110.3813</v>
      </c>
      <c r="O7" s="9"/>
      <c r="P7" s="8">
        <v>4.87</v>
      </c>
      <c r="Q7" s="9"/>
      <c r="R7" s="9" t="s">
        <v>839</v>
      </c>
      <c r="S7" s="9"/>
      <c r="T7" s="9"/>
      <c r="U7" s="9"/>
      <c r="V7" s="9"/>
      <c r="W7" s="9"/>
      <c r="X7" s="9"/>
      <c r="Y7" s="9"/>
      <c r="Z7" s="9"/>
      <c r="AA7" s="9"/>
      <c r="AB7" s="9"/>
      <c r="AC7" s="7" t="s">
        <v>1025</v>
      </c>
      <c r="AD7" s="7" t="s">
        <v>1026</v>
      </c>
      <c r="AE7" s="7" t="s">
        <v>1026</v>
      </c>
      <c r="AF7" s="9" t="s">
        <v>931</v>
      </c>
      <c r="AG7" s="9" t="s">
        <v>1027</v>
      </c>
      <c r="AH7" s="8">
        <v>16.0</v>
      </c>
      <c r="AI7" s="9" t="s">
        <v>933</v>
      </c>
      <c r="AJ7" s="9" t="s">
        <v>934</v>
      </c>
      <c r="AK7" s="8">
        <v>60.0</v>
      </c>
      <c r="AL7" s="9" t="s">
        <v>847</v>
      </c>
      <c r="AM7" s="9" t="s">
        <v>848</v>
      </c>
      <c r="AN7" s="9" t="s">
        <v>849</v>
      </c>
      <c r="AO7" s="9" t="s">
        <v>850</v>
      </c>
      <c r="AP7" s="8">
        <v>1.0</v>
      </c>
      <c r="AQ7" s="8">
        <v>0.0</v>
      </c>
      <c r="AR7" s="8">
        <v>0.0</v>
      </c>
      <c r="AS7" s="8">
        <v>0.0</v>
      </c>
      <c r="AT7" s="8">
        <v>0.0</v>
      </c>
      <c r="AU7" s="8">
        <v>0.0</v>
      </c>
      <c r="AV7" s="8">
        <v>0.0</v>
      </c>
      <c r="AW7" s="8">
        <v>0.0</v>
      </c>
      <c r="AX7" s="9"/>
      <c r="AY7" s="9" t="s">
        <v>935</v>
      </c>
      <c r="AZ7" s="8">
        <v>0.0</v>
      </c>
      <c r="BA7" s="8">
        <v>1.0</v>
      </c>
      <c r="BB7" s="8">
        <v>0.0</v>
      </c>
      <c r="BC7" s="8">
        <v>0.0</v>
      </c>
      <c r="BD7" s="8">
        <v>0.0</v>
      </c>
      <c r="BE7" s="8">
        <v>0.0</v>
      </c>
      <c r="BF7" s="8">
        <v>0.0</v>
      </c>
      <c r="BG7" s="8">
        <v>0.0</v>
      </c>
      <c r="BH7" s="9"/>
      <c r="BI7" s="9" t="s">
        <v>852</v>
      </c>
      <c r="BJ7" s="8">
        <v>1.0</v>
      </c>
      <c r="BK7" s="8">
        <v>4.0</v>
      </c>
      <c r="BL7" s="8">
        <v>0.0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2010.0</v>
      </c>
      <c r="CN7" s="9" t="s">
        <v>858</v>
      </c>
      <c r="CO7" s="9" t="s">
        <v>859</v>
      </c>
      <c r="CP7" s="9" t="s">
        <v>860</v>
      </c>
      <c r="CQ7" s="8">
        <v>0.0</v>
      </c>
      <c r="CR7" s="8">
        <v>0.0</v>
      </c>
      <c r="CS7" s="8">
        <v>0.0</v>
      </c>
      <c r="CT7" s="8">
        <v>0.0</v>
      </c>
      <c r="CU7" s="10">
        <v>1.0</v>
      </c>
      <c r="CV7" s="10">
        <v>0.0</v>
      </c>
      <c r="CW7" s="10">
        <v>0.0</v>
      </c>
      <c r="CX7" s="8">
        <v>0.0</v>
      </c>
      <c r="CY7" s="9" t="s">
        <v>860</v>
      </c>
      <c r="CZ7" s="8">
        <v>1.0</v>
      </c>
      <c r="DA7" s="8">
        <v>0.0</v>
      </c>
      <c r="DB7" s="8">
        <v>0.0</v>
      </c>
      <c r="DC7" s="9"/>
      <c r="DD7" s="9" t="s">
        <v>937</v>
      </c>
      <c r="DE7" s="8">
        <v>1.0</v>
      </c>
      <c r="DF7" s="8">
        <v>0.0</v>
      </c>
      <c r="DG7" s="8">
        <v>1.0</v>
      </c>
      <c r="DH7" s="8">
        <v>0.0</v>
      </c>
      <c r="DI7" s="9"/>
      <c r="DJ7" s="9" t="s">
        <v>937</v>
      </c>
      <c r="DK7" s="8">
        <v>1.0</v>
      </c>
      <c r="DL7" s="8">
        <v>0.0</v>
      </c>
      <c r="DM7" s="8">
        <v>1.0</v>
      </c>
      <c r="DN7" s="8">
        <v>0.0</v>
      </c>
      <c r="DO7" s="9"/>
      <c r="DP7" s="8">
        <v>1.0</v>
      </c>
      <c r="DQ7" s="8">
        <v>0.0</v>
      </c>
      <c r="DR7" s="8">
        <v>0.0</v>
      </c>
      <c r="DS7" s="9"/>
      <c r="DT7" s="9"/>
      <c r="DU7" s="9"/>
      <c r="DV7" s="9" t="s">
        <v>938</v>
      </c>
      <c r="DW7" s="9" t="s">
        <v>939</v>
      </c>
      <c r="DX7" s="9" t="s">
        <v>987</v>
      </c>
      <c r="DY7" s="9"/>
      <c r="DZ7" s="9"/>
      <c r="EA7" s="9"/>
      <c r="EB7" s="9"/>
      <c r="EC7" s="9"/>
      <c r="ED7" s="9"/>
      <c r="EE7" s="9"/>
      <c r="EF7" s="9"/>
      <c r="EG7" s="9"/>
      <c r="EH7" s="9"/>
      <c r="EI7" s="9" t="s">
        <v>941</v>
      </c>
      <c r="EJ7" s="8">
        <v>0.0</v>
      </c>
      <c r="EK7" s="8">
        <v>1.0</v>
      </c>
      <c r="EL7" s="8">
        <v>1.0</v>
      </c>
      <c r="EM7" s="8">
        <v>0.0</v>
      </c>
      <c r="EN7" s="8">
        <v>0.0</v>
      </c>
      <c r="EO7" s="11"/>
      <c r="EP7" s="9" t="s">
        <v>863</v>
      </c>
      <c r="EQ7" s="9" t="s">
        <v>864</v>
      </c>
      <c r="ER7" s="9" t="s">
        <v>861</v>
      </c>
      <c r="ES7" s="8">
        <v>1.0</v>
      </c>
      <c r="ET7" s="8">
        <v>0.0</v>
      </c>
      <c r="EU7" s="8">
        <v>0.0</v>
      </c>
      <c r="EV7" s="8">
        <v>0.0</v>
      </c>
      <c r="EW7" s="9"/>
      <c r="EX7" s="9" t="s">
        <v>1013</v>
      </c>
      <c r="EY7" s="8">
        <v>1.0</v>
      </c>
      <c r="EZ7" s="8">
        <v>1.0</v>
      </c>
      <c r="FA7" s="8">
        <v>0.0</v>
      </c>
      <c r="FB7" s="9"/>
      <c r="FC7" s="9" t="s">
        <v>1028</v>
      </c>
      <c r="FD7" s="9"/>
      <c r="FE7" s="9" t="s">
        <v>867</v>
      </c>
      <c r="FF7" s="9" t="s">
        <v>868</v>
      </c>
      <c r="FG7" s="9" t="s">
        <v>867</v>
      </c>
      <c r="FH7" s="9" t="s">
        <v>869</v>
      </c>
      <c r="FI7" s="9" t="s">
        <v>867</v>
      </c>
      <c r="FJ7" s="9" t="s">
        <v>868</v>
      </c>
      <c r="FK7" s="9" t="s">
        <v>867</v>
      </c>
      <c r="FL7" s="9" t="s">
        <v>869</v>
      </c>
      <c r="FM7" s="9" t="s">
        <v>867</v>
      </c>
      <c r="FN7" s="9" t="s">
        <v>870</v>
      </c>
      <c r="FO7" s="9" t="s">
        <v>867</v>
      </c>
      <c r="FP7" s="9" t="s">
        <v>870</v>
      </c>
      <c r="FQ7" s="9" t="s">
        <v>867</v>
      </c>
      <c r="FR7" s="9" t="s">
        <v>857</v>
      </c>
      <c r="FS7" s="9" t="s">
        <v>867</v>
      </c>
      <c r="FT7" s="9" t="s">
        <v>871</v>
      </c>
      <c r="FU7" s="9" t="s">
        <v>989</v>
      </c>
      <c r="FV7" s="8">
        <v>1.0</v>
      </c>
      <c r="FW7" s="8">
        <v>1.0</v>
      </c>
      <c r="FX7" s="8">
        <v>0.0</v>
      </c>
      <c r="FY7" s="8">
        <v>0.0</v>
      </c>
      <c r="FZ7" s="9" t="s">
        <v>944</v>
      </c>
      <c r="GA7" s="9" t="s">
        <v>990</v>
      </c>
      <c r="GB7" s="8">
        <v>1.0</v>
      </c>
      <c r="GC7" s="8">
        <v>1.0</v>
      </c>
      <c r="GD7" s="8">
        <v>0.0</v>
      </c>
      <c r="GE7" s="8">
        <v>0.0</v>
      </c>
      <c r="GF7" s="9"/>
      <c r="GG7" s="9" t="s">
        <v>875</v>
      </c>
      <c r="GH7" s="9" t="s">
        <v>857</v>
      </c>
      <c r="GI7" s="9" t="s">
        <v>876</v>
      </c>
      <c r="GJ7" s="8">
        <v>1.0</v>
      </c>
      <c r="GK7" s="8">
        <v>0.0</v>
      </c>
      <c r="GL7" s="8">
        <v>0.0</v>
      </c>
      <c r="GM7" s="8">
        <v>0.0</v>
      </c>
      <c r="GN7" s="9"/>
      <c r="GO7" s="8">
        <v>8.0</v>
      </c>
      <c r="GP7" s="9" t="s">
        <v>877</v>
      </c>
      <c r="GQ7" s="9" t="s">
        <v>878</v>
      </c>
      <c r="GR7" s="8">
        <v>1.0</v>
      </c>
      <c r="GS7" s="8">
        <v>1.0</v>
      </c>
      <c r="GT7" s="8">
        <v>0.0</v>
      </c>
      <c r="GU7" s="8">
        <v>0.0</v>
      </c>
      <c r="GV7" s="8">
        <v>0.0</v>
      </c>
      <c r="GW7" s="8">
        <v>0.0</v>
      </c>
      <c r="GX7" s="8">
        <v>0.0</v>
      </c>
      <c r="GY7" s="9"/>
      <c r="GZ7" s="9" t="s">
        <v>857</v>
      </c>
      <c r="HA7" s="8">
        <v>150.0</v>
      </c>
      <c r="HB7" s="8">
        <v>150000.0</v>
      </c>
      <c r="HC7" s="8">
        <v>50.0</v>
      </c>
      <c r="HD7" s="8">
        <v>50000.0</v>
      </c>
      <c r="HE7" s="8">
        <v>12.0</v>
      </c>
      <c r="HF7" s="8">
        <v>100000.0</v>
      </c>
      <c r="HG7" s="8">
        <v>3.0</v>
      </c>
      <c r="HH7" s="8">
        <v>25000.0</v>
      </c>
      <c r="HI7" s="9"/>
      <c r="HJ7" s="9"/>
      <c r="HK7" s="9"/>
      <c r="HL7" s="9"/>
      <c r="HM7" s="9"/>
      <c r="HN7" s="9"/>
      <c r="HO7" s="9"/>
      <c r="HP7" s="9"/>
      <c r="HQ7" s="9"/>
      <c r="HR7" s="9"/>
      <c r="HS7" s="9"/>
      <c r="HT7" s="9"/>
      <c r="HU7" s="9"/>
      <c r="HV7" s="9"/>
      <c r="HW7" s="9"/>
      <c r="HX7" s="9"/>
      <c r="HY7" s="8">
        <v>50.0</v>
      </c>
      <c r="HZ7" s="8">
        <v>50000.0</v>
      </c>
      <c r="IA7" s="8">
        <v>3.0</v>
      </c>
      <c r="IB7" s="8">
        <v>25000.0</v>
      </c>
      <c r="IC7" s="9"/>
      <c r="ID7" s="9"/>
      <c r="IE7" s="9"/>
      <c r="IF7" s="9"/>
      <c r="IG7" s="9"/>
      <c r="IH7" s="9"/>
      <c r="II7" s="9"/>
      <c r="IJ7" s="9"/>
      <c r="IK7" s="9" t="s">
        <v>879</v>
      </c>
      <c r="IL7" s="9" t="s">
        <v>880</v>
      </c>
      <c r="IM7" s="9" t="s">
        <v>857</v>
      </c>
      <c r="IN7" s="9" t="s">
        <v>881</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989</v>
      </c>
      <c r="KW7" s="8">
        <v>1.0</v>
      </c>
      <c r="KX7" s="8">
        <v>1.0</v>
      </c>
      <c r="KY7" s="8">
        <v>0.0</v>
      </c>
      <c r="KZ7" s="8">
        <v>0.0</v>
      </c>
      <c r="LA7" s="9" t="s">
        <v>884</v>
      </c>
      <c r="LB7" s="9" t="s">
        <v>884</v>
      </c>
      <c r="LC7" s="8">
        <v>0.0</v>
      </c>
      <c r="LD7" s="8">
        <v>0.0</v>
      </c>
      <c r="LE7" s="8">
        <v>0.0</v>
      </c>
      <c r="LF7" s="8">
        <v>0.0</v>
      </c>
      <c r="LG7" s="9" t="s">
        <v>857</v>
      </c>
      <c r="LH7" s="8">
        <v>100000.0</v>
      </c>
      <c r="LI7" s="9"/>
      <c r="LJ7" s="9" t="s">
        <v>887</v>
      </c>
      <c r="LK7" s="8">
        <v>0.0</v>
      </c>
      <c r="LL7" s="8">
        <v>0.0</v>
      </c>
      <c r="LM7" s="8">
        <v>0.0</v>
      </c>
      <c r="LN7" s="8">
        <v>0.0</v>
      </c>
      <c r="LO7" s="8">
        <v>1.0</v>
      </c>
      <c r="LP7" s="8">
        <v>0.0</v>
      </c>
      <c r="LQ7" s="8">
        <v>0.0</v>
      </c>
      <c r="LR7" s="9"/>
      <c r="LS7" s="8">
        <v>15.0</v>
      </c>
      <c r="LT7" s="8">
        <v>15.0</v>
      </c>
      <c r="LU7" s="8">
        <v>0.0</v>
      </c>
      <c r="LV7" s="8">
        <v>5.0</v>
      </c>
      <c r="LW7" s="8">
        <v>5.0</v>
      </c>
      <c r="LX7" s="8">
        <v>0.0</v>
      </c>
      <c r="LY7" s="8">
        <v>5.0</v>
      </c>
      <c r="LZ7" s="8">
        <v>5.0</v>
      </c>
      <c r="MA7" s="8">
        <v>0.0</v>
      </c>
      <c r="MB7" s="9" t="s">
        <v>857</v>
      </c>
      <c r="MC7" s="8">
        <v>30.0</v>
      </c>
      <c r="MD7" s="8">
        <v>15.0</v>
      </c>
      <c r="ME7" s="8">
        <v>30.0</v>
      </c>
      <c r="MF7" s="8">
        <v>15.0</v>
      </c>
      <c r="MG7" s="8">
        <v>0.0</v>
      </c>
      <c r="MH7" s="8">
        <v>0.0</v>
      </c>
      <c r="MI7" s="9" t="s">
        <v>946</v>
      </c>
      <c r="MJ7" s="8">
        <v>0.0</v>
      </c>
      <c r="MK7" s="8">
        <v>0.0</v>
      </c>
      <c r="ML7" s="8">
        <v>1.0</v>
      </c>
      <c r="MM7" s="8">
        <v>0.0</v>
      </c>
      <c r="MN7" s="8">
        <v>0.0</v>
      </c>
      <c r="MO7" s="8">
        <v>0.0</v>
      </c>
      <c r="MP7" s="9"/>
      <c r="MQ7" s="9"/>
      <c r="MR7" s="9" t="s">
        <v>1029</v>
      </c>
      <c r="MS7" s="9"/>
      <c r="MT7" s="9" t="s">
        <v>888</v>
      </c>
      <c r="MU7" s="9" t="s">
        <v>1030</v>
      </c>
      <c r="MV7" s="9" t="s">
        <v>1031</v>
      </c>
      <c r="MW7" s="8">
        <v>0.0</v>
      </c>
      <c r="MX7" s="8">
        <v>1.0</v>
      </c>
      <c r="MY7" s="8">
        <v>0.0</v>
      </c>
      <c r="MZ7" s="8">
        <v>0.0</v>
      </c>
      <c r="NA7" s="9"/>
      <c r="NB7" s="9"/>
      <c r="NC7" s="9"/>
      <c r="ND7" s="9"/>
      <c r="NE7" s="9"/>
      <c r="NF7" s="9"/>
      <c r="NG7" s="9"/>
      <c r="NH7" s="9"/>
      <c r="NI7" s="9"/>
      <c r="NJ7" s="9"/>
      <c r="NK7" s="9"/>
      <c r="NL7" s="9" t="s">
        <v>881</v>
      </c>
      <c r="NM7" s="9" t="s">
        <v>893</v>
      </c>
      <c r="NN7" s="9" t="s">
        <v>1032</v>
      </c>
      <c r="NO7" s="9" t="s">
        <v>994</v>
      </c>
      <c r="NP7" s="9"/>
      <c r="NQ7" s="9"/>
      <c r="NR7" s="9"/>
      <c r="NS7" s="9"/>
      <c r="NT7" s="9"/>
      <c r="NU7" s="9"/>
      <c r="NV7" s="9" t="s">
        <v>896</v>
      </c>
      <c r="NW7" s="9"/>
      <c r="NX7" s="9" t="s">
        <v>897</v>
      </c>
      <c r="NY7" s="8">
        <v>40.0</v>
      </c>
      <c r="NZ7" s="8">
        <v>20.0</v>
      </c>
      <c r="OA7" s="8">
        <v>0.0</v>
      </c>
      <c r="OB7" s="8">
        <v>10.0</v>
      </c>
      <c r="OC7" s="8">
        <v>10.0</v>
      </c>
      <c r="OD7" s="8">
        <v>0.0</v>
      </c>
      <c r="OE7" s="9" t="s">
        <v>898</v>
      </c>
      <c r="OF7" s="9" t="s">
        <v>899</v>
      </c>
      <c r="OG7" s="9" t="s">
        <v>857</v>
      </c>
      <c r="OH7" s="8">
        <v>0.0</v>
      </c>
      <c r="OI7" s="8">
        <v>0.0</v>
      </c>
      <c r="OJ7" s="8">
        <v>0.0</v>
      </c>
      <c r="OK7" s="8">
        <v>0.0</v>
      </c>
      <c r="OL7" s="8">
        <v>0.0</v>
      </c>
      <c r="OM7" s="8">
        <v>0.0</v>
      </c>
      <c r="ON7" s="8">
        <v>0.0</v>
      </c>
      <c r="OO7" s="8">
        <v>0.0</v>
      </c>
      <c r="OP7" s="9" t="s">
        <v>2947</v>
      </c>
      <c r="OQ7" s="8">
        <v>1.0</v>
      </c>
      <c r="OR7" s="8">
        <v>0.0</v>
      </c>
      <c r="OS7" s="8">
        <v>0.0</v>
      </c>
      <c r="OT7" s="8">
        <v>0.0</v>
      </c>
      <c r="OU7" s="8">
        <v>0.0</v>
      </c>
      <c r="OV7" s="8">
        <v>0.0</v>
      </c>
      <c r="OW7" s="8">
        <v>0.0</v>
      </c>
      <c r="OX7" s="8">
        <v>0.0</v>
      </c>
      <c r="OY7" s="9" t="s">
        <v>900</v>
      </c>
      <c r="OZ7" s="8">
        <v>1.0</v>
      </c>
      <c r="PA7" s="8">
        <v>0.0</v>
      </c>
      <c r="PB7" s="8">
        <v>0.0</v>
      </c>
      <c r="PC7" s="8">
        <v>0.0</v>
      </c>
      <c r="PD7" s="8">
        <v>0.0</v>
      </c>
      <c r="PE7" s="8">
        <v>0.0</v>
      </c>
      <c r="PF7" s="8">
        <v>1.0</v>
      </c>
      <c r="PG7" s="8">
        <v>0.0</v>
      </c>
      <c r="PH7" s="8">
        <v>0.0</v>
      </c>
      <c r="PI7" s="8">
        <v>0.0</v>
      </c>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8">
        <v>0.0</v>
      </c>
      <c r="SE7" s="9"/>
      <c r="SF7" s="9"/>
      <c r="SG7" s="9"/>
      <c r="SH7" s="9"/>
      <c r="SI7" s="9"/>
      <c r="SJ7" s="9"/>
      <c r="SK7" s="9"/>
      <c r="SL7" s="8">
        <v>0.0</v>
      </c>
      <c r="SM7" s="8">
        <v>0.0</v>
      </c>
      <c r="SN7" s="8">
        <v>0.0</v>
      </c>
      <c r="SO7" s="8">
        <v>0.0</v>
      </c>
      <c r="SP7" s="8">
        <v>0.0</v>
      </c>
      <c r="SQ7" s="8">
        <v>0.0</v>
      </c>
      <c r="SR7" s="8">
        <v>0.0</v>
      </c>
      <c r="SS7" s="8">
        <v>0.0</v>
      </c>
      <c r="ST7" s="8">
        <v>0.0</v>
      </c>
      <c r="SU7" s="8">
        <v>0.0</v>
      </c>
      <c r="SV7" s="8">
        <v>0.0</v>
      </c>
      <c r="SW7" s="8">
        <v>0.0</v>
      </c>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t="s">
        <v>857</v>
      </c>
      <c r="ZR7" s="9" t="s">
        <v>1033</v>
      </c>
      <c r="ZS7" s="8">
        <v>1.0</v>
      </c>
      <c r="ZT7" s="8">
        <v>1.0</v>
      </c>
      <c r="ZU7" s="8">
        <v>45.0</v>
      </c>
      <c r="ZV7" s="8">
        <v>45.0</v>
      </c>
      <c r="ZW7" s="9" t="s">
        <v>857</v>
      </c>
      <c r="ZX7" s="9" t="s">
        <v>867</v>
      </c>
      <c r="ZY7" s="9" t="s">
        <v>995</v>
      </c>
      <c r="ZZ7" s="8">
        <v>1.0</v>
      </c>
      <c r="AAA7" s="8">
        <v>0.0</v>
      </c>
      <c r="AAB7" s="8">
        <v>0.0</v>
      </c>
      <c r="AAC7" s="8">
        <v>0.0</v>
      </c>
      <c r="AAD7" s="8">
        <v>1.0</v>
      </c>
      <c r="AAE7" s="8">
        <v>0.0</v>
      </c>
      <c r="AAF7" s="8">
        <v>0.0</v>
      </c>
      <c r="AAG7" s="9" t="s">
        <v>907</v>
      </c>
      <c r="AAH7" s="8">
        <v>1.0</v>
      </c>
      <c r="AAI7" s="8">
        <v>0.0</v>
      </c>
      <c r="AAJ7" s="8">
        <v>0.0</v>
      </c>
      <c r="AAK7" s="8">
        <v>0.0</v>
      </c>
      <c r="AAL7" s="8">
        <v>0.0</v>
      </c>
      <c r="AAM7" s="9"/>
      <c r="AAN7" s="9"/>
      <c r="AAO7" s="9"/>
      <c r="AAP7" s="9"/>
      <c r="AAQ7" s="9"/>
      <c r="AAR7" s="9"/>
      <c r="AAS7" s="9"/>
      <c r="AAT7" s="9"/>
      <c r="AAU7" s="9"/>
      <c r="AAV7" s="11" t="s">
        <v>953</v>
      </c>
      <c r="AAW7" s="9" t="s">
        <v>909</v>
      </c>
      <c r="AAX7" s="8">
        <v>2000.0</v>
      </c>
      <c r="AAY7" s="9"/>
      <c r="AAZ7" s="8">
        <v>45.0</v>
      </c>
      <c r="ABA7" s="8">
        <v>45.0</v>
      </c>
      <c r="ABB7" s="9" t="s">
        <v>910</v>
      </c>
      <c r="ABC7" s="9"/>
      <c r="ABD7" s="8">
        <v>40.0</v>
      </c>
      <c r="ABE7" s="8">
        <v>4000.0</v>
      </c>
      <c r="ABF7" s="8">
        <v>20.0</v>
      </c>
      <c r="ABG7" s="8">
        <v>5000.0</v>
      </c>
      <c r="ABH7" s="8">
        <v>500.0</v>
      </c>
      <c r="ABI7" s="8">
        <v>500.0</v>
      </c>
      <c r="ABJ7" s="9" t="s">
        <v>857</v>
      </c>
      <c r="ABK7" s="9" t="s">
        <v>911</v>
      </c>
      <c r="ABL7" s="9" t="s">
        <v>1034</v>
      </c>
      <c r="ABM7" s="9" t="s">
        <v>911</v>
      </c>
      <c r="ABN7" s="9"/>
      <c r="ABO7" s="9"/>
      <c r="ABP7" s="9" t="s">
        <v>976</v>
      </c>
      <c r="ABQ7" s="8">
        <v>0.0</v>
      </c>
      <c r="ABR7" s="8">
        <v>0.0</v>
      </c>
      <c r="ABS7" s="8">
        <v>1.0</v>
      </c>
      <c r="ABT7" s="8">
        <v>1.0</v>
      </c>
      <c r="ABU7" s="8">
        <v>0.0</v>
      </c>
      <c r="ABV7" s="8">
        <v>0.0</v>
      </c>
      <c r="ABW7" s="8">
        <v>0.0</v>
      </c>
      <c r="ABX7" s="9"/>
      <c r="ABY7" s="9" t="s">
        <v>912</v>
      </c>
      <c r="ABZ7" s="9" t="s">
        <v>913</v>
      </c>
      <c r="ACA7" s="9" t="s">
        <v>957</v>
      </c>
      <c r="ACB7" s="9" t="s">
        <v>915</v>
      </c>
      <c r="ACC7" s="9" t="s">
        <v>916</v>
      </c>
      <c r="ACD7" s="9" t="s">
        <v>1035</v>
      </c>
      <c r="ACE7" s="8">
        <v>1.0</v>
      </c>
      <c r="ACF7" s="8">
        <v>1.0</v>
      </c>
      <c r="ACG7" s="8">
        <v>0.0</v>
      </c>
      <c r="ACH7" s="8">
        <v>0.0</v>
      </c>
      <c r="ACI7" s="9" t="s">
        <v>918</v>
      </c>
      <c r="ACJ7" s="9" t="s">
        <v>918</v>
      </c>
      <c r="ACK7" s="9" t="s">
        <v>918</v>
      </c>
      <c r="ACL7" s="9" t="s">
        <v>918</v>
      </c>
      <c r="ACM7" s="9" t="s">
        <v>881</v>
      </c>
      <c r="ACN7" s="9"/>
      <c r="ACO7" s="9" t="s">
        <v>918</v>
      </c>
      <c r="ACP7" s="9"/>
      <c r="ACQ7" s="9"/>
      <c r="ACR7" s="9"/>
      <c r="ACS7" s="9"/>
      <c r="ACT7" s="9"/>
      <c r="ACU7" s="9"/>
      <c r="ACV7" s="9"/>
      <c r="ACW7" s="9"/>
      <c r="ACX7" s="9"/>
      <c r="ACY7" s="9"/>
      <c r="ACZ7" s="9" t="s">
        <v>1018</v>
      </c>
      <c r="ADA7" s="8">
        <v>0.0</v>
      </c>
      <c r="ADB7" s="8">
        <v>0.0</v>
      </c>
      <c r="ADC7" s="8">
        <v>0.0</v>
      </c>
      <c r="ADD7" s="8">
        <v>0.0</v>
      </c>
      <c r="ADE7" s="8">
        <v>1.0</v>
      </c>
      <c r="ADF7" s="8">
        <v>1.0</v>
      </c>
      <c r="ADG7" s="8">
        <v>0.0</v>
      </c>
      <c r="ADH7" s="8">
        <v>0.0</v>
      </c>
      <c r="ADI7" s="12"/>
      <c r="ADJ7" s="17" t="s">
        <v>872</v>
      </c>
      <c r="ADK7" s="9"/>
      <c r="ADL7" s="17" t="s">
        <v>920</v>
      </c>
      <c r="ADM7" s="9"/>
      <c r="ADN7" s="11" t="s">
        <v>999</v>
      </c>
      <c r="ADO7" s="9" t="s">
        <v>961</v>
      </c>
      <c r="ADP7" s="17" t="s">
        <v>1036</v>
      </c>
      <c r="ADQ7" s="18">
        <v>0.0</v>
      </c>
      <c r="ADR7" s="18">
        <v>1.0</v>
      </c>
      <c r="ADS7" s="18">
        <v>1.0</v>
      </c>
      <c r="ADT7" s="18">
        <v>1.0</v>
      </c>
      <c r="ADU7" s="18">
        <v>1.0</v>
      </c>
      <c r="ADV7" s="18">
        <v>1.0</v>
      </c>
      <c r="ADW7" s="18">
        <v>1.0</v>
      </c>
      <c r="ADX7" s="18">
        <v>1.0</v>
      </c>
      <c r="ADY7" s="18">
        <v>1.0</v>
      </c>
      <c r="ADZ7" s="18">
        <v>0.0</v>
      </c>
      <c r="AEA7" s="18">
        <v>0.0</v>
      </c>
      <c r="AEB7" s="18">
        <v>0.0</v>
      </c>
      <c r="AEC7" s="9"/>
      <c r="AED7" s="9" t="s">
        <v>923</v>
      </c>
      <c r="AEE7" s="9"/>
      <c r="AEF7" s="9" t="s">
        <v>924</v>
      </c>
      <c r="AEG7" s="9"/>
      <c r="AEH7" s="9" t="s">
        <v>1037</v>
      </c>
      <c r="AEI7" s="16" t="s">
        <v>1038</v>
      </c>
      <c r="AEJ7" s="9" t="s">
        <v>1039</v>
      </c>
      <c r="AEK7" s="16" t="s">
        <v>1040</v>
      </c>
      <c r="AEL7" s="9" t="s">
        <v>983</v>
      </c>
      <c r="AEM7" s="9"/>
      <c r="AEN7" s="9"/>
    </row>
    <row r="8">
      <c r="A8" s="6">
        <v>46057.0</v>
      </c>
      <c r="B8" s="6">
        <v>46057.0</v>
      </c>
      <c r="C8" s="7" t="s">
        <v>837</v>
      </c>
      <c r="D8" s="7" t="s">
        <v>1041</v>
      </c>
      <c r="E8" s="8">
        <f>+6282128590068</f>
        <v>6282128590068</v>
      </c>
      <c r="F8" s="9"/>
      <c r="G8" s="8">
        <v>-7.42567126</v>
      </c>
      <c r="H8" s="8">
        <v>110.335</v>
      </c>
      <c r="I8" s="9"/>
      <c r="J8" s="8">
        <v>4.58</v>
      </c>
      <c r="K8" s="9"/>
      <c r="L8" s="9"/>
      <c r="M8" s="8">
        <v>-7.4255</v>
      </c>
      <c r="N8" s="8">
        <v>110.3350042</v>
      </c>
      <c r="O8" s="9"/>
      <c r="P8" s="8">
        <v>4.98</v>
      </c>
      <c r="Q8" s="9"/>
      <c r="R8" s="9" t="s">
        <v>839</v>
      </c>
      <c r="S8" s="9"/>
      <c r="T8" s="9"/>
      <c r="U8" s="9"/>
      <c r="V8" s="9"/>
      <c r="W8" s="9"/>
      <c r="X8" s="9"/>
      <c r="Y8" s="9"/>
      <c r="Z8" s="9"/>
      <c r="AA8" s="9"/>
      <c r="AB8" s="9"/>
      <c r="AC8" s="7" t="s">
        <v>840</v>
      </c>
      <c r="AD8" s="7" t="s">
        <v>1042</v>
      </c>
      <c r="AE8" s="7" t="s">
        <v>1043</v>
      </c>
      <c r="AF8" s="9" t="s">
        <v>1044</v>
      </c>
      <c r="AG8" s="9" t="s">
        <v>1045</v>
      </c>
      <c r="AH8" s="8">
        <v>6.0</v>
      </c>
      <c r="AI8" s="9" t="s">
        <v>845</v>
      </c>
      <c r="AJ8" s="9" t="s">
        <v>934</v>
      </c>
      <c r="AK8" s="8">
        <v>60.0</v>
      </c>
      <c r="AL8" s="9" t="s">
        <v>847</v>
      </c>
      <c r="AM8" s="9" t="s">
        <v>848</v>
      </c>
      <c r="AN8" s="9" t="s">
        <v>849</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9"/>
      <c r="BI8" s="9" t="s">
        <v>852</v>
      </c>
      <c r="BJ8" s="8">
        <v>1.0</v>
      </c>
      <c r="BK8" s="8">
        <v>3.0</v>
      </c>
      <c r="BL8" s="8">
        <v>0.0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2020.0</v>
      </c>
      <c r="CN8" s="9" t="s">
        <v>858</v>
      </c>
      <c r="CO8" s="9" t="s">
        <v>859</v>
      </c>
      <c r="CP8" s="9" t="s">
        <v>860</v>
      </c>
      <c r="CQ8" s="8">
        <v>0.0</v>
      </c>
      <c r="CR8" s="8">
        <v>0.0</v>
      </c>
      <c r="CS8" s="8">
        <v>0.0</v>
      </c>
      <c r="CT8" s="8">
        <v>0.0</v>
      </c>
      <c r="CU8" s="10">
        <v>1.0</v>
      </c>
      <c r="CV8" s="10">
        <v>0.0</v>
      </c>
      <c r="CW8" s="10">
        <v>0.0</v>
      </c>
      <c r="CX8" s="8">
        <v>0.0</v>
      </c>
      <c r="CY8" s="9" t="s">
        <v>860</v>
      </c>
      <c r="CZ8" s="8">
        <v>1.0</v>
      </c>
      <c r="DA8" s="8">
        <v>0.0</v>
      </c>
      <c r="DB8" s="8">
        <v>0.0</v>
      </c>
      <c r="DC8" s="9"/>
      <c r="DD8" s="9" t="s">
        <v>937</v>
      </c>
      <c r="DE8" s="8">
        <v>1.0</v>
      </c>
      <c r="DF8" s="8">
        <v>0.0</v>
      </c>
      <c r="DG8" s="8">
        <v>1.0</v>
      </c>
      <c r="DH8" s="8">
        <v>0.0</v>
      </c>
      <c r="DI8" s="9"/>
      <c r="DJ8" s="9" t="s">
        <v>937</v>
      </c>
      <c r="DK8" s="8">
        <v>1.0</v>
      </c>
      <c r="DL8" s="8">
        <v>0.0</v>
      </c>
      <c r="DM8" s="8">
        <v>1.0</v>
      </c>
      <c r="DN8" s="8">
        <v>0.0</v>
      </c>
      <c r="DO8" s="9"/>
      <c r="DP8" s="8">
        <v>1.0</v>
      </c>
      <c r="DQ8" s="8">
        <v>0.0</v>
      </c>
      <c r="DR8" s="8">
        <v>0.0</v>
      </c>
      <c r="DS8" s="9"/>
      <c r="DT8" s="9"/>
      <c r="DU8" s="9"/>
      <c r="DV8" s="9" t="s">
        <v>938</v>
      </c>
      <c r="DW8" s="9" t="s">
        <v>939</v>
      </c>
      <c r="DX8" s="9" t="s">
        <v>987</v>
      </c>
      <c r="DY8" s="9"/>
      <c r="DZ8" s="9"/>
      <c r="EA8" s="9"/>
      <c r="EB8" s="9"/>
      <c r="EC8" s="9"/>
      <c r="ED8" s="9"/>
      <c r="EE8" s="9"/>
      <c r="EF8" s="9"/>
      <c r="EG8" s="9"/>
      <c r="EH8" s="9"/>
      <c r="EI8" s="9" t="s">
        <v>941</v>
      </c>
      <c r="EJ8" s="8">
        <v>0.0</v>
      </c>
      <c r="EK8" s="8">
        <v>1.0</v>
      </c>
      <c r="EL8" s="8">
        <v>1.0</v>
      </c>
      <c r="EM8" s="8">
        <v>0.0</v>
      </c>
      <c r="EN8" s="8">
        <v>0.0</v>
      </c>
      <c r="EO8" s="11"/>
      <c r="EP8" s="9" t="s">
        <v>863</v>
      </c>
      <c r="EQ8" s="9" t="s">
        <v>864</v>
      </c>
      <c r="ER8" s="9" t="s">
        <v>1046</v>
      </c>
      <c r="ES8" s="8">
        <v>1.0</v>
      </c>
      <c r="ET8" s="8">
        <v>1.0</v>
      </c>
      <c r="EU8" s="8">
        <v>0.0</v>
      </c>
      <c r="EV8" s="8">
        <v>0.0</v>
      </c>
      <c r="EW8" s="9"/>
      <c r="EX8" s="9" t="s">
        <v>865</v>
      </c>
      <c r="EY8" s="8">
        <v>1.0</v>
      </c>
      <c r="EZ8" s="8">
        <v>0.0</v>
      </c>
      <c r="FA8" s="8">
        <v>0.0</v>
      </c>
      <c r="FB8" s="9"/>
      <c r="FC8" s="9" t="s">
        <v>866</v>
      </c>
      <c r="FD8" s="9"/>
      <c r="FE8" s="9" t="s">
        <v>867</v>
      </c>
      <c r="FF8" s="9" t="s">
        <v>943</v>
      </c>
      <c r="FG8" s="9" t="s">
        <v>867</v>
      </c>
      <c r="FH8" s="9" t="s">
        <v>869</v>
      </c>
      <c r="FI8" s="9" t="s">
        <v>867</v>
      </c>
      <c r="FJ8" s="9" t="s">
        <v>869</v>
      </c>
      <c r="FK8" s="9" t="s">
        <v>867</v>
      </c>
      <c r="FL8" s="9" t="s">
        <v>943</v>
      </c>
      <c r="FM8" s="9" t="s">
        <v>867</v>
      </c>
      <c r="FN8" s="9" t="s">
        <v>870</v>
      </c>
      <c r="FO8" s="9" t="s">
        <v>867</v>
      </c>
      <c r="FP8" s="9" t="s">
        <v>943</v>
      </c>
      <c r="FQ8" s="9" t="s">
        <v>867</v>
      </c>
      <c r="FR8" s="9" t="s">
        <v>857</v>
      </c>
      <c r="FS8" s="9" t="s">
        <v>867</v>
      </c>
      <c r="FT8" s="9" t="s">
        <v>871</v>
      </c>
      <c r="FU8" s="9" t="s">
        <v>989</v>
      </c>
      <c r="FV8" s="8">
        <v>1.0</v>
      </c>
      <c r="FW8" s="8">
        <v>1.0</v>
      </c>
      <c r="FX8" s="8">
        <v>0.0</v>
      </c>
      <c r="FY8" s="8">
        <v>0.0</v>
      </c>
      <c r="FZ8" s="9" t="s">
        <v>944</v>
      </c>
      <c r="GA8" s="9" t="s">
        <v>990</v>
      </c>
      <c r="GB8" s="8">
        <v>1.0</v>
      </c>
      <c r="GC8" s="8">
        <v>1.0</v>
      </c>
      <c r="GD8" s="8">
        <v>0.0</v>
      </c>
      <c r="GE8" s="8">
        <v>0.0</v>
      </c>
      <c r="GF8" s="9"/>
      <c r="GG8" s="9" t="s">
        <v>875</v>
      </c>
      <c r="GH8" s="9" t="s">
        <v>881</v>
      </c>
      <c r="GI8" s="9"/>
      <c r="GJ8" s="9"/>
      <c r="GK8" s="9"/>
      <c r="GL8" s="9"/>
      <c r="GM8" s="9"/>
      <c r="GN8" s="9"/>
      <c r="GO8" s="9"/>
      <c r="GP8" s="9" t="s">
        <v>877</v>
      </c>
      <c r="GQ8" s="9" t="s">
        <v>878</v>
      </c>
      <c r="GR8" s="8">
        <v>1.0</v>
      </c>
      <c r="GS8" s="8">
        <v>1.0</v>
      </c>
      <c r="GT8" s="8">
        <v>0.0</v>
      </c>
      <c r="GU8" s="8">
        <v>0.0</v>
      </c>
      <c r="GV8" s="8">
        <v>0.0</v>
      </c>
      <c r="GW8" s="8">
        <v>0.0</v>
      </c>
      <c r="GX8" s="8">
        <v>0.0</v>
      </c>
      <c r="GY8" s="9"/>
      <c r="GZ8" s="9" t="s">
        <v>857</v>
      </c>
      <c r="HA8" s="8">
        <v>150.0</v>
      </c>
      <c r="HB8" s="8">
        <v>175000.0</v>
      </c>
      <c r="HC8" s="8">
        <v>50.0</v>
      </c>
      <c r="HD8" s="8">
        <v>50000.0</v>
      </c>
      <c r="HE8" s="8">
        <v>12.0</v>
      </c>
      <c r="HF8" s="8">
        <v>100000.0</v>
      </c>
      <c r="HG8" s="8">
        <v>3.0</v>
      </c>
      <c r="HH8" s="8">
        <v>25000.0</v>
      </c>
      <c r="HI8" s="9"/>
      <c r="HJ8" s="9"/>
      <c r="HK8" s="9"/>
      <c r="HL8" s="9"/>
      <c r="HM8" s="9"/>
      <c r="HN8" s="9"/>
      <c r="HO8" s="9"/>
      <c r="HP8" s="9"/>
      <c r="HQ8" s="9"/>
      <c r="HR8" s="9"/>
      <c r="HS8" s="9"/>
      <c r="HT8" s="9"/>
      <c r="HU8" s="9"/>
      <c r="HV8" s="9"/>
      <c r="HW8" s="9"/>
      <c r="HX8" s="9"/>
      <c r="HY8" s="8">
        <v>100.0</v>
      </c>
      <c r="HZ8" s="8">
        <v>100000.0</v>
      </c>
      <c r="IA8" s="8">
        <v>9.0</v>
      </c>
      <c r="IB8" s="8">
        <v>75000.0</v>
      </c>
      <c r="IC8" s="9"/>
      <c r="ID8" s="9"/>
      <c r="IE8" s="9"/>
      <c r="IF8" s="9"/>
      <c r="IG8" s="9"/>
      <c r="IH8" s="9"/>
      <c r="II8" s="9"/>
      <c r="IJ8" s="9"/>
      <c r="IK8" s="9" t="s">
        <v>879</v>
      </c>
      <c r="IL8" s="9" t="s">
        <v>880</v>
      </c>
      <c r="IM8" s="9" t="s">
        <v>857</v>
      </c>
      <c r="IN8" s="9" t="s">
        <v>881</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886</v>
      </c>
      <c r="KU8" s="9" t="s">
        <v>886</v>
      </c>
      <c r="KV8" s="9" t="s">
        <v>989</v>
      </c>
      <c r="KW8" s="8">
        <v>1.0</v>
      </c>
      <c r="KX8" s="8">
        <v>1.0</v>
      </c>
      <c r="KY8" s="8">
        <v>0.0</v>
      </c>
      <c r="KZ8" s="8">
        <v>0.0</v>
      </c>
      <c r="LA8" s="9" t="s">
        <v>884</v>
      </c>
      <c r="LB8" s="9" t="s">
        <v>884</v>
      </c>
      <c r="LC8" s="8">
        <v>0.0</v>
      </c>
      <c r="LD8" s="8">
        <v>0.0</v>
      </c>
      <c r="LE8" s="8">
        <v>0.0</v>
      </c>
      <c r="LF8" s="8">
        <v>0.0</v>
      </c>
      <c r="LG8" s="9" t="s">
        <v>857</v>
      </c>
      <c r="LH8" s="8">
        <v>150000.0</v>
      </c>
      <c r="LI8" s="9"/>
      <c r="LJ8" s="9" t="s">
        <v>887</v>
      </c>
      <c r="LK8" s="8">
        <v>0.0</v>
      </c>
      <c r="LL8" s="8">
        <v>0.0</v>
      </c>
      <c r="LM8" s="8">
        <v>0.0</v>
      </c>
      <c r="LN8" s="8">
        <v>0.0</v>
      </c>
      <c r="LO8" s="8">
        <v>1.0</v>
      </c>
      <c r="LP8" s="8">
        <v>0.0</v>
      </c>
      <c r="LQ8" s="8">
        <v>0.0</v>
      </c>
      <c r="LR8" s="9"/>
      <c r="LS8" s="8">
        <v>15.0</v>
      </c>
      <c r="LT8" s="8">
        <v>15.0</v>
      </c>
      <c r="LU8" s="8">
        <v>0.0</v>
      </c>
      <c r="LV8" s="8">
        <v>5.0</v>
      </c>
      <c r="LW8" s="8">
        <v>5.0</v>
      </c>
      <c r="LX8" s="8">
        <v>0.0</v>
      </c>
      <c r="LY8" s="8">
        <v>5.0</v>
      </c>
      <c r="LZ8" s="8">
        <v>5.0</v>
      </c>
      <c r="MA8" s="8">
        <v>0.0</v>
      </c>
      <c r="MB8" s="9" t="s">
        <v>857</v>
      </c>
      <c r="MC8" s="8">
        <v>30.0</v>
      </c>
      <c r="MD8" s="8">
        <v>15.0</v>
      </c>
      <c r="ME8" s="8">
        <v>30.0</v>
      </c>
      <c r="MF8" s="8">
        <v>15.0</v>
      </c>
      <c r="MG8" s="8">
        <v>0.0</v>
      </c>
      <c r="MH8" s="8">
        <v>0.0</v>
      </c>
      <c r="MI8" s="9" t="s">
        <v>1047</v>
      </c>
      <c r="MJ8" s="8">
        <v>0.0</v>
      </c>
      <c r="MK8" s="8">
        <v>0.0</v>
      </c>
      <c r="ML8" s="8">
        <v>1.0</v>
      </c>
      <c r="MM8" s="8">
        <v>1.0</v>
      </c>
      <c r="MN8" s="8">
        <v>0.0</v>
      </c>
      <c r="MO8" s="8">
        <v>0.0</v>
      </c>
      <c r="MP8" s="9"/>
      <c r="MQ8" s="9"/>
      <c r="MR8" s="9" t="s">
        <v>1048</v>
      </c>
      <c r="MS8" s="9"/>
      <c r="MT8" s="9" t="s">
        <v>888</v>
      </c>
      <c r="MU8" s="9" t="s">
        <v>1030</v>
      </c>
      <c r="MV8" s="9" t="s">
        <v>949</v>
      </c>
      <c r="MW8" s="8">
        <v>1.0</v>
      </c>
      <c r="MX8" s="8">
        <v>0.0</v>
      </c>
      <c r="MY8" s="8">
        <v>0.0</v>
      </c>
      <c r="MZ8" s="8">
        <v>0.0</v>
      </c>
      <c r="NA8" s="9"/>
      <c r="NB8" s="9"/>
      <c r="NC8" s="9"/>
      <c r="ND8" s="9"/>
      <c r="NE8" s="9"/>
      <c r="NF8" s="9"/>
      <c r="NG8" s="9"/>
      <c r="NH8" s="9"/>
      <c r="NI8" s="9"/>
      <c r="NJ8" s="9"/>
      <c r="NK8" s="9"/>
      <c r="NL8" s="9" t="s">
        <v>881</v>
      </c>
      <c r="NM8" s="9" t="s">
        <v>893</v>
      </c>
      <c r="NN8" s="9" t="s">
        <v>993</v>
      </c>
      <c r="NO8" s="9" t="s">
        <v>973</v>
      </c>
      <c r="NP8" s="9"/>
      <c r="NQ8" s="9"/>
      <c r="NR8" s="9"/>
      <c r="NS8" s="9"/>
      <c r="NT8" s="9"/>
      <c r="NU8" s="9"/>
      <c r="NV8" s="9" t="s">
        <v>896</v>
      </c>
      <c r="NW8" s="9"/>
      <c r="NX8" s="9" t="s">
        <v>897</v>
      </c>
      <c r="NY8" s="8">
        <v>40.0</v>
      </c>
      <c r="NZ8" s="8">
        <v>20.0</v>
      </c>
      <c r="OA8" s="8">
        <v>0.0</v>
      </c>
      <c r="OB8" s="8">
        <v>10.0</v>
      </c>
      <c r="OC8" s="8">
        <v>10.0</v>
      </c>
      <c r="OD8" s="8">
        <v>0.0</v>
      </c>
      <c r="OE8" s="9" t="s">
        <v>898</v>
      </c>
      <c r="OF8" s="9" t="s">
        <v>899</v>
      </c>
      <c r="OG8" s="9" t="s">
        <v>857</v>
      </c>
      <c r="OH8" s="8">
        <v>0.0</v>
      </c>
      <c r="OI8" s="8">
        <v>0.0</v>
      </c>
      <c r="OJ8" s="8">
        <v>0.0</v>
      </c>
      <c r="OK8" s="8">
        <v>0.0</v>
      </c>
      <c r="OL8" s="8">
        <v>0.0</v>
      </c>
      <c r="OM8" s="8">
        <v>0.0</v>
      </c>
      <c r="ON8" s="8">
        <v>0.0</v>
      </c>
      <c r="OO8" s="8">
        <v>0.0</v>
      </c>
      <c r="OP8" s="9" t="s">
        <v>2947</v>
      </c>
      <c r="OQ8" s="8">
        <v>1.0</v>
      </c>
      <c r="OR8" s="8">
        <v>0.0</v>
      </c>
      <c r="OS8" s="8">
        <v>0.0</v>
      </c>
      <c r="OT8" s="8">
        <v>0.0</v>
      </c>
      <c r="OU8" s="8">
        <v>0.0</v>
      </c>
      <c r="OV8" s="8">
        <v>0.0</v>
      </c>
      <c r="OW8" s="8">
        <v>0.0</v>
      </c>
      <c r="OX8" s="8">
        <v>0.0</v>
      </c>
      <c r="OY8" s="9" t="s">
        <v>900</v>
      </c>
      <c r="OZ8" s="8">
        <v>1.0</v>
      </c>
      <c r="PA8" s="8">
        <v>0.0</v>
      </c>
      <c r="PB8" s="8">
        <v>0.0</v>
      </c>
      <c r="PC8" s="8">
        <v>0.0</v>
      </c>
      <c r="PD8" s="8">
        <v>0.0</v>
      </c>
      <c r="PE8" s="8">
        <v>0.0</v>
      </c>
      <c r="PF8" s="8">
        <v>1.0</v>
      </c>
      <c r="PG8" s="8">
        <v>0.0</v>
      </c>
      <c r="PH8" s="8">
        <v>0.0</v>
      </c>
      <c r="PI8" s="8">
        <v>0.0</v>
      </c>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8">
        <v>0.0</v>
      </c>
      <c r="SE8" s="9"/>
      <c r="SF8" s="9"/>
      <c r="SG8" s="9"/>
      <c r="SH8" s="9"/>
      <c r="SI8" s="9"/>
      <c r="SJ8" s="9"/>
      <c r="SK8" s="9"/>
      <c r="SL8" s="8">
        <v>0.0</v>
      </c>
      <c r="SM8" s="8">
        <v>0.0</v>
      </c>
      <c r="SN8" s="8">
        <v>0.0</v>
      </c>
      <c r="SO8" s="8">
        <v>0.0</v>
      </c>
      <c r="SP8" s="8">
        <v>0.0</v>
      </c>
      <c r="SQ8" s="8">
        <v>0.0</v>
      </c>
      <c r="SR8" s="8">
        <v>0.0</v>
      </c>
      <c r="SS8" s="8">
        <v>0.0</v>
      </c>
      <c r="ST8" s="8">
        <v>0.0</v>
      </c>
      <c r="SU8" s="8">
        <v>0.0</v>
      </c>
      <c r="SV8" s="8">
        <v>0.0</v>
      </c>
      <c r="SW8" s="8">
        <v>0.0</v>
      </c>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t="s">
        <v>881</v>
      </c>
      <c r="ZR8" s="9"/>
      <c r="ZS8" s="9"/>
      <c r="ZT8" s="9"/>
      <c r="ZU8" s="9"/>
      <c r="ZV8" s="9"/>
      <c r="ZW8" s="9" t="s">
        <v>857</v>
      </c>
      <c r="ZX8" s="9" t="s">
        <v>867</v>
      </c>
      <c r="ZY8" s="9" t="s">
        <v>995</v>
      </c>
      <c r="ZZ8" s="8">
        <v>1.0</v>
      </c>
      <c r="AAA8" s="8">
        <v>0.0</v>
      </c>
      <c r="AAB8" s="8">
        <v>0.0</v>
      </c>
      <c r="AAC8" s="8">
        <v>0.0</v>
      </c>
      <c r="AAD8" s="8">
        <v>1.0</v>
      </c>
      <c r="AAE8" s="8">
        <v>0.0</v>
      </c>
      <c r="AAF8" s="8">
        <v>0.0</v>
      </c>
      <c r="AAG8" s="9" t="s">
        <v>1049</v>
      </c>
      <c r="AAH8" s="8">
        <v>1.0</v>
      </c>
      <c r="AAI8" s="8">
        <v>1.0</v>
      </c>
      <c r="AAJ8" s="8">
        <v>0.0</v>
      </c>
      <c r="AAK8" s="8">
        <v>0.0</v>
      </c>
      <c r="AAL8" s="8">
        <v>0.0</v>
      </c>
      <c r="AAM8" s="9"/>
      <c r="AAN8" s="9"/>
      <c r="AAO8" s="9"/>
      <c r="AAP8" s="9"/>
      <c r="AAQ8" s="9"/>
      <c r="AAR8" s="9"/>
      <c r="AAS8" s="9"/>
      <c r="AAT8" s="9"/>
      <c r="AAU8" s="9"/>
      <c r="AAV8" s="11" t="s">
        <v>953</v>
      </c>
      <c r="AAW8" s="9" t="s">
        <v>909</v>
      </c>
      <c r="AAX8" s="8">
        <v>2000.0</v>
      </c>
      <c r="AAY8" s="9"/>
      <c r="AAZ8" s="8">
        <v>400.0</v>
      </c>
      <c r="ABA8" s="8">
        <v>400.0</v>
      </c>
      <c r="ABB8" s="9" t="s">
        <v>910</v>
      </c>
      <c r="ABC8" s="9"/>
      <c r="ABD8" s="8">
        <v>50.0</v>
      </c>
      <c r="ABE8" s="8">
        <v>6000.0</v>
      </c>
      <c r="ABF8" s="8">
        <v>20.0</v>
      </c>
      <c r="ABG8" s="8">
        <v>6000.0</v>
      </c>
      <c r="ABH8" s="8">
        <v>500.0</v>
      </c>
      <c r="ABI8" s="8">
        <v>700.0</v>
      </c>
      <c r="ABJ8" s="9" t="s">
        <v>881</v>
      </c>
      <c r="ABK8" s="9" t="s">
        <v>911</v>
      </c>
      <c r="ABL8" s="9" t="s">
        <v>1034</v>
      </c>
      <c r="ABM8" s="9" t="s">
        <v>911</v>
      </c>
      <c r="ABN8" s="9"/>
      <c r="ABO8" s="9"/>
      <c r="ABP8" s="9" t="s">
        <v>976</v>
      </c>
      <c r="ABQ8" s="8">
        <v>0.0</v>
      </c>
      <c r="ABR8" s="8">
        <v>0.0</v>
      </c>
      <c r="ABS8" s="8">
        <v>1.0</v>
      </c>
      <c r="ABT8" s="8">
        <v>1.0</v>
      </c>
      <c r="ABU8" s="8">
        <v>0.0</v>
      </c>
      <c r="ABV8" s="8">
        <v>0.0</v>
      </c>
      <c r="ABW8" s="8">
        <v>0.0</v>
      </c>
      <c r="ABX8" s="9"/>
      <c r="ABY8" s="9" t="s">
        <v>912</v>
      </c>
      <c r="ABZ8" s="9" t="s">
        <v>1050</v>
      </c>
      <c r="ACA8" s="9" t="s">
        <v>957</v>
      </c>
      <c r="ACB8" s="9" t="s">
        <v>915</v>
      </c>
      <c r="ACC8" s="9" t="s">
        <v>916</v>
      </c>
      <c r="ACD8" s="9" t="s">
        <v>1017</v>
      </c>
      <c r="ACE8" s="8">
        <v>1.0</v>
      </c>
      <c r="ACF8" s="8">
        <v>1.0</v>
      </c>
      <c r="ACG8" s="8">
        <v>1.0</v>
      </c>
      <c r="ACH8" s="8">
        <v>0.0</v>
      </c>
      <c r="ACI8" s="9" t="s">
        <v>918</v>
      </c>
      <c r="ACJ8" s="9" t="s">
        <v>918</v>
      </c>
      <c r="ACK8" s="9" t="s">
        <v>918</v>
      </c>
      <c r="ACL8" s="9" t="s">
        <v>918</v>
      </c>
      <c r="ACM8" s="9" t="s">
        <v>881</v>
      </c>
      <c r="ACN8" s="9"/>
      <c r="ACO8" s="9" t="s">
        <v>918</v>
      </c>
      <c r="ACP8" s="9"/>
      <c r="ACQ8" s="9"/>
      <c r="ACR8" s="9"/>
      <c r="ACS8" s="9"/>
      <c r="ACT8" s="9"/>
      <c r="ACU8" s="9"/>
      <c r="ACV8" s="9"/>
      <c r="ACW8" s="9"/>
      <c r="ACX8" s="9"/>
      <c r="ACY8" s="9"/>
      <c r="ACZ8" s="9" t="s">
        <v>1018</v>
      </c>
      <c r="ADA8" s="8">
        <v>0.0</v>
      </c>
      <c r="ADB8" s="8">
        <v>0.0</v>
      </c>
      <c r="ADC8" s="8">
        <v>0.0</v>
      </c>
      <c r="ADD8" s="8">
        <v>0.0</v>
      </c>
      <c r="ADE8" s="8">
        <v>1.0</v>
      </c>
      <c r="ADF8" s="8">
        <v>1.0</v>
      </c>
      <c r="ADG8" s="8">
        <v>0.0</v>
      </c>
      <c r="ADH8" s="8">
        <v>0.0</v>
      </c>
      <c r="ADI8" s="12"/>
      <c r="ADJ8" s="17" t="s">
        <v>872</v>
      </c>
      <c r="ADK8" s="9"/>
      <c r="ADL8" s="17" t="s">
        <v>920</v>
      </c>
      <c r="ADM8" s="9"/>
      <c r="ADN8" s="11" t="s">
        <v>999</v>
      </c>
      <c r="ADO8" s="9" t="s">
        <v>961</v>
      </c>
      <c r="ADP8" s="17" t="s">
        <v>1036</v>
      </c>
      <c r="ADQ8" s="18">
        <v>0.0</v>
      </c>
      <c r="ADR8" s="18">
        <v>1.0</v>
      </c>
      <c r="ADS8" s="18">
        <v>1.0</v>
      </c>
      <c r="ADT8" s="18">
        <v>1.0</v>
      </c>
      <c r="ADU8" s="18">
        <v>1.0</v>
      </c>
      <c r="ADV8" s="18">
        <v>1.0</v>
      </c>
      <c r="ADW8" s="18">
        <v>1.0</v>
      </c>
      <c r="ADX8" s="18">
        <v>1.0</v>
      </c>
      <c r="ADY8" s="18">
        <v>1.0</v>
      </c>
      <c r="ADZ8" s="18">
        <v>0.0</v>
      </c>
      <c r="AEA8" s="18">
        <v>0.0</v>
      </c>
      <c r="AEB8" s="18">
        <v>0.0</v>
      </c>
      <c r="AEC8" s="9"/>
      <c r="AED8" s="9" t="s">
        <v>923</v>
      </c>
      <c r="AEE8" s="9"/>
      <c r="AEF8" s="9" t="s">
        <v>924</v>
      </c>
      <c r="AEG8" s="9"/>
      <c r="AEH8" s="9" t="s">
        <v>1051</v>
      </c>
      <c r="AEI8" s="16" t="s">
        <v>1052</v>
      </c>
      <c r="AEJ8" s="9" t="s">
        <v>1053</v>
      </c>
      <c r="AEK8" s="16" t="s">
        <v>1054</v>
      </c>
      <c r="AEL8" s="9" t="s">
        <v>1055</v>
      </c>
      <c r="AEM8" s="9"/>
      <c r="AEN8" s="9"/>
    </row>
    <row r="9">
      <c r="A9" s="6">
        <v>46057.0</v>
      </c>
      <c r="B9" s="6">
        <v>46057.0</v>
      </c>
      <c r="C9" s="7" t="s">
        <v>837</v>
      </c>
      <c r="D9" s="7" t="s">
        <v>1056</v>
      </c>
      <c r="E9" s="8">
        <f>+6282133265228</f>
        <v>6282133265228</v>
      </c>
      <c r="F9" s="9"/>
      <c r="G9" s="8">
        <v>-7.41793</v>
      </c>
      <c r="H9" s="8">
        <v>110.3312292</v>
      </c>
      <c r="I9" s="9"/>
      <c r="J9" s="8">
        <v>4.4</v>
      </c>
      <c r="K9" s="9"/>
      <c r="L9" s="9"/>
      <c r="M9" s="8">
        <v>-7.41784</v>
      </c>
      <c r="N9" s="8">
        <v>110.3312</v>
      </c>
      <c r="O9" s="9"/>
      <c r="P9" s="8">
        <v>4.48</v>
      </c>
      <c r="Q9" s="9"/>
      <c r="R9" s="9" t="s">
        <v>839</v>
      </c>
      <c r="S9" s="9"/>
      <c r="T9" s="9"/>
      <c r="U9" s="9"/>
      <c r="V9" s="9"/>
      <c r="W9" s="9"/>
      <c r="X9" s="9"/>
      <c r="Y9" s="9"/>
      <c r="Z9" s="9"/>
      <c r="AA9" s="9"/>
      <c r="AB9" s="9"/>
      <c r="AC9" s="7" t="s">
        <v>840</v>
      </c>
      <c r="AD9" s="7" t="s">
        <v>1042</v>
      </c>
      <c r="AE9" s="7" t="s">
        <v>1057</v>
      </c>
      <c r="AF9" s="9" t="s">
        <v>1058</v>
      </c>
      <c r="AG9" s="9" t="s">
        <v>1059</v>
      </c>
      <c r="AH9" s="8">
        <v>14.0</v>
      </c>
      <c r="AI9" s="9" t="s">
        <v>933</v>
      </c>
      <c r="AJ9" s="9" t="s">
        <v>934</v>
      </c>
      <c r="AK9" s="8">
        <v>60.0</v>
      </c>
      <c r="AL9" s="9" t="s">
        <v>847</v>
      </c>
      <c r="AM9" s="9" t="s">
        <v>848</v>
      </c>
      <c r="AN9" s="9" t="s">
        <v>849</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9"/>
      <c r="BI9" s="9" t="s">
        <v>852</v>
      </c>
      <c r="BJ9" s="8">
        <v>1.0</v>
      </c>
      <c r="BK9" s="8">
        <v>1.0</v>
      </c>
      <c r="BL9" s="8">
        <v>0.0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2012.0</v>
      </c>
      <c r="CN9" s="9" t="s">
        <v>858</v>
      </c>
      <c r="CO9" s="9" t="s">
        <v>859</v>
      </c>
      <c r="CP9" s="9" t="s">
        <v>1060</v>
      </c>
      <c r="CQ9" s="8">
        <v>0.0</v>
      </c>
      <c r="CR9" s="8">
        <v>0.0</v>
      </c>
      <c r="CS9" s="8">
        <v>0.0</v>
      </c>
      <c r="CT9" s="8">
        <v>0.0</v>
      </c>
      <c r="CU9" s="10">
        <v>1.0</v>
      </c>
      <c r="CV9" s="10">
        <v>1.0</v>
      </c>
      <c r="CW9" s="10">
        <v>0.0</v>
      </c>
      <c r="CX9" s="8">
        <v>0.0</v>
      </c>
      <c r="CY9" s="9" t="s">
        <v>1060</v>
      </c>
      <c r="CZ9" s="8">
        <v>1.0</v>
      </c>
      <c r="DA9" s="8">
        <v>1.0</v>
      </c>
      <c r="DB9" s="8">
        <v>0.0</v>
      </c>
      <c r="DC9" s="9"/>
      <c r="DD9" s="9" t="s">
        <v>937</v>
      </c>
      <c r="DE9" s="8">
        <v>1.0</v>
      </c>
      <c r="DF9" s="8">
        <v>0.0</v>
      </c>
      <c r="DG9" s="8">
        <v>1.0</v>
      </c>
      <c r="DH9" s="8">
        <v>0.0</v>
      </c>
      <c r="DI9" s="9"/>
      <c r="DJ9" s="9" t="s">
        <v>937</v>
      </c>
      <c r="DK9" s="8">
        <v>1.0</v>
      </c>
      <c r="DL9" s="8">
        <v>0.0</v>
      </c>
      <c r="DM9" s="8">
        <v>1.0</v>
      </c>
      <c r="DN9" s="8">
        <v>0.0</v>
      </c>
      <c r="DO9" s="9"/>
      <c r="DP9" s="8">
        <v>1.0</v>
      </c>
      <c r="DQ9" s="8">
        <v>1.0</v>
      </c>
      <c r="DR9" s="8">
        <v>0.0</v>
      </c>
      <c r="DS9" s="9"/>
      <c r="DT9" s="9"/>
      <c r="DU9" s="9"/>
      <c r="DV9" s="9" t="s">
        <v>938</v>
      </c>
      <c r="DW9" s="9" t="s">
        <v>939</v>
      </c>
      <c r="DX9" s="9" t="s">
        <v>987</v>
      </c>
      <c r="DY9" s="9"/>
      <c r="DZ9" s="9"/>
      <c r="EA9" s="9"/>
      <c r="EB9" s="9"/>
      <c r="EC9" s="9"/>
      <c r="ED9" s="9"/>
      <c r="EE9" s="9"/>
      <c r="EF9" s="9"/>
      <c r="EG9" s="9"/>
      <c r="EH9" s="9"/>
      <c r="EI9" s="9" t="s">
        <v>988</v>
      </c>
      <c r="EJ9" s="8">
        <v>0.0</v>
      </c>
      <c r="EK9" s="8">
        <v>0.0</v>
      </c>
      <c r="EL9" s="8">
        <v>1.0</v>
      </c>
      <c r="EM9" s="8">
        <v>0.0</v>
      </c>
      <c r="EN9" s="8">
        <v>0.0</v>
      </c>
      <c r="EO9" s="11"/>
      <c r="EP9" s="9" t="s">
        <v>863</v>
      </c>
      <c r="EQ9" s="9" t="s">
        <v>864</v>
      </c>
      <c r="ER9" s="9" t="s">
        <v>861</v>
      </c>
      <c r="ES9" s="8">
        <v>1.0</v>
      </c>
      <c r="ET9" s="8">
        <v>0.0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869</v>
      </c>
      <c r="FK9" s="9" t="s">
        <v>867</v>
      </c>
      <c r="FL9" s="9" t="s">
        <v>870</v>
      </c>
      <c r="FM9" s="9" t="s">
        <v>867</v>
      </c>
      <c r="FN9" s="9" t="s">
        <v>870</v>
      </c>
      <c r="FO9" s="9" t="s">
        <v>867</v>
      </c>
      <c r="FP9" s="9" t="s">
        <v>943</v>
      </c>
      <c r="FQ9" s="9" t="s">
        <v>867</v>
      </c>
      <c r="FR9" s="9" t="s">
        <v>857</v>
      </c>
      <c r="FS9" s="9" t="s">
        <v>867</v>
      </c>
      <c r="FT9" s="9" t="s">
        <v>871</v>
      </c>
      <c r="FU9" s="9" t="s">
        <v>989</v>
      </c>
      <c r="FV9" s="8">
        <v>1.0</v>
      </c>
      <c r="FW9" s="8">
        <v>1.0</v>
      </c>
      <c r="FX9" s="8">
        <v>0.0</v>
      </c>
      <c r="FY9" s="8">
        <v>0.0</v>
      </c>
      <c r="FZ9" s="9" t="s">
        <v>944</v>
      </c>
      <c r="GA9" s="9" t="s">
        <v>990</v>
      </c>
      <c r="GB9" s="8">
        <v>1.0</v>
      </c>
      <c r="GC9" s="8">
        <v>1.0</v>
      </c>
      <c r="GD9" s="8">
        <v>0.0</v>
      </c>
      <c r="GE9" s="8">
        <v>0.0</v>
      </c>
      <c r="GF9" s="9"/>
      <c r="GG9" s="9" t="s">
        <v>875</v>
      </c>
      <c r="GH9" s="9" t="s">
        <v>881</v>
      </c>
      <c r="GI9" s="9"/>
      <c r="GJ9" s="9"/>
      <c r="GK9" s="9"/>
      <c r="GL9" s="9"/>
      <c r="GM9" s="9"/>
      <c r="GN9" s="9"/>
      <c r="GO9" s="9"/>
      <c r="GP9" s="9" t="s">
        <v>877</v>
      </c>
      <c r="GQ9" s="9" t="s">
        <v>878</v>
      </c>
      <c r="GR9" s="8">
        <v>1.0</v>
      </c>
      <c r="GS9" s="8">
        <v>1.0</v>
      </c>
      <c r="GT9" s="8">
        <v>0.0</v>
      </c>
      <c r="GU9" s="8">
        <v>0.0</v>
      </c>
      <c r="GV9" s="8">
        <v>0.0</v>
      </c>
      <c r="GW9" s="8">
        <v>0.0</v>
      </c>
      <c r="GX9" s="8">
        <v>0.0</v>
      </c>
      <c r="GY9" s="9"/>
      <c r="GZ9" s="9" t="s">
        <v>857</v>
      </c>
      <c r="HA9" s="8">
        <v>200.0</v>
      </c>
      <c r="HB9" s="8">
        <v>200000.0</v>
      </c>
      <c r="HC9" s="8">
        <v>50.0</v>
      </c>
      <c r="HD9" s="8">
        <v>50000.0</v>
      </c>
      <c r="HE9" s="8">
        <v>12.0</v>
      </c>
      <c r="HF9" s="8">
        <v>25000.0</v>
      </c>
      <c r="HG9" s="8">
        <v>3.0</v>
      </c>
      <c r="HH9" s="8">
        <v>25000.0</v>
      </c>
      <c r="HI9" s="9"/>
      <c r="HJ9" s="9"/>
      <c r="HK9" s="9"/>
      <c r="HL9" s="9"/>
      <c r="HM9" s="9"/>
      <c r="HN9" s="9"/>
      <c r="HO9" s="9"/>
      <c r="HP9" s="9"/>
      <c r="HQ9" s="9"/>
      <c r="HR9" s="9"/>
      <c r="HS9" s="9"/>
      <c r="HT9" s="9"/>
      <c r="HU9" s="9"/>
      <c r="HV9" s="9"/>
      <c r="HW9" s="9"/>
      <c r="HX9" s="9"/>
      <c r="HY9" s="8">
        <v>150.0</v>
      </c>
      <c r="HZ9" s="8">
        <v>150000.0</v>
      </c>
      <c r="IA9" s="8">
        <v>9.0</v>
      </c>
      <c r="IB9" s="8">
        <v>75000.0</v>
      </c>
      <c r="IC9" s="9"/>
      <c r="ID9" s="9"/>
      <c r="IE9" s="9"/>
      <c r="IF9" s="9"/>
      <c r="IG9" s="9"/>
      <c r="IH9" s="9"/>
      <c r="II9" s="9"/>
      <c r="IJ9" s="9"/>
      <c r="IK9" s="9" t="s">
        <v>879</v>
      </c>
      <c r="IL9" s="9" t="s">
        <v>880</v>
      </c>
      <c r="IM9" s="9" t="s">
        <v>857</v>
      </c>
      <c r="IN9" s="9" t="s">
        <v>881</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884</v>
      </c>
      <c r="KT9" s="9" t="s">
        <v>886</v>
      </c>
      <c r="KU9" s="9" t="s">
        <v>886</v>
      </c>
      <c r="KV9" s="9" t="s">
        <v>872</v>
      </c>
      <c r="KW9" s="8">
        <v>1.0</v>
      </c>
      <c r="KX9" s="8">
        <v>0.0</v>
      </c>
      <c r="KY9" s="8">
        <v>0.0</v>
      </c>
      <c r="KZ9" s="8">
        <v>0.0</v>
      </c>
      <c r="LA9" s="9" t="s">
        <v>884</v>
      </c>
      <c r="LB9" s="9" t="s">
        <v>884</v>
      </c>
      <c r="LC9" s="8">
        <v>3.0</v>
      </c>
      <c r="LD9" s="8">
        <v>3.0</v>
      </c>
      <c r="LE9" s="8">
        <v>0.0</v>
      </c>
      <c r="LF9" s="8">
        <v>0.0</v>
      </c>
      <c r="LG9" s="9" t="s">
        <v>857</v>
      </c>
      <c r="LH9" s="8">
        <v>150000.0</v>
      </c>
      <c r="LI9" s="9"/>
      <c r="LJ9" s="9" t="s">
        <v>887</v>
      </c>
      <c r="LK9" s="8">
        <v>0.0</v>
      </c>
      <c r="LL9" s="8">
        <v>0.0</v>
      </c>
      <c r="LM9" s="8">
        <v>0.0</v>
      </c>
      <c r="LN9" s="8">
        <v>0.0</v>
      </c>
      <c r="LO9" s="8">
        <v>1.0</v>
      </c>
      <c r="LP9" s="8">
        <v>0.0</v>
      </c>
      <c r="LQ9" s="8">
        <v>0.0</v>
      </c>
      <c r="LR9" s="9"/>
      <c r="LS9" s="8">
        <v>15.0</v>
      </c>
      <c r="LT9" s="8">
        <v>15.0</v>
      </c>
      <c r="LU9" s="8">
        <v>0.0</v>
      </c>
      <c r="LV9" s="8">
        <v>5.0</v>
      </c>
      <c r="LW9" s="8">
        <v>5.0</v>
      </c>
      <c r="LX9" s="8">
        <v>0.0</v>
      </c>
      <c r="LY9" s="8">
        <v>5.0</v>
      </c>
      <c r="LZ9" s="8">
        <v>5.0</v>
      </c>
      <c r="MA9" s="8">
        <v>0.0</v>
      </c>
      <c r="MB9" s="9" t="s">
        <v>857</v>
      </c>
      <c r="MC9" s="8">
        <v>30.0</v>
      </c>
      <c r="MD9" s="8">
        <v>20.0</v>
      </c>
      <c r="ME9" s="8">
        <v>30.0</v>
      </c>
      <c r="MF9" s="8">
        <v>20.0</v>
      </c>
      <c r="MG9" s="8">
        <v>0.0</v>
      </c>
      <c r="MH9" s="8">
        <v>0.0</v>
      </c>
      <c r="MI9" s="9" t="s">
        <v>946</v>
      </c>
      <c r="MJ9" s="8">
        <v>0.0</v>
      </c>
      <c r="MK9" s="8">
        <v>0.0</v>
      </c>
      <c r="ML9" s="8">
        <v>1.0</v>
      </c>
      <c r="MM9" s="8">
        <v>0.0</v>
      </c>
      <c r="MN9" s="8">
        <v>0.0</v>
      </c>
      <c r="MO9" s="8">
        <v>0.0</v>
      </c>
      <c r="MP9" s="9"/>
      <c r="MQ9" s="9"/>
      <c r="MR9" s="9" t="s">
        <v>1048</v>
      </c>
      <c r="MS9" s="9"/>
      <c r="MT9" s="9" t="s">
        <v>888</v>
      </c>
      <c r="MU9" s="9" t="s">
        <v>881</v>
      </c>
      <c r="MV9" s="9"/>
      <c r="MW9" s="9"/>
      <c r="MX9" s="9"/>
      <c r="MY9" s="9"/>
      <c r="MZ9" s="9"/>
      <c r="NA9" s="9"/>
      <c r="NB9" s="9"/>
      <c r="NC9" s="9"/>
      <c r="ND9" s="9"/>
      <c r="NE9" s="9"/>
      <c r="NF9" s="9"/>
      <c r="NG9" s="9"/>
      <c r="NH9" s="9"/>
      <c r="NI9" s="9"/>
      <c r="NJ9" s="9"/>
      <c r="NK9" s="9"/>
      <c r="NL9" s="9" t="s">
        <v>881</v>
      </c>
      <c r="NM9" s="9" t="s">
        <v>893</v>
      </c>
      <c r="NN9" s="9" t="s">
        <v>1032</v>
      </c>
      <c r="NO9" s="9" t="s">
        <v>994</v>
      </c>
      <c r="NP9" s="9"/>
      <c r="NQ9" s="9"/>
      <c r="NR9" s="9"/>
      <c r="NS9" s="9"/>
      <c r="NT9" s="9"/>
      <c r="NU9" s="9"/>
      <c r="NV9" s="9" t="s">
        <v>896</v>
      </c>
      <c r="NW9" s="9"/>
      <c r="NX9" s="9" t="s">
        <v>897</v>
      </c>
      <c r="NY9" s="8">
        <v>30.0</v>
      </c>
      <c r="NZ9" s="8">
        <v>30.0</v>
      </c>
      <c r="OA9" s="8">
        <v>0.0</v>
      </c>
      <c r="OB9" s="8">
        <v>5.0</v>
      </c>
      <c r="OC9" s="8">
        <v>5.0</v>
      </c>
      <c r="OD9" s="8">
        <v>0.0</v>
      </c>
      <c r="OE9" s="9" t="s">
        <v>898</v>
      </c>
      <c r="OF9" s="9" t="s">
        <v>899</v>
      </c>
      <c r="OG9" s="9" t="s">
        <v>857</v>
      </c>
      <c r="OH9" s="8">
        <v>0.0</v>
      </c>
      <c r="OI9" s="8">
        <v>0.0</v>
      </c>
      <c r="OJ9" s="8">
        <v>0.0</v>
      </c>
      <c r="OK9" s="8">
        <v>0.0</v>
      </c>
      <c r="OL9" s="8">
        <v>0.0</v>
      </c>
      <c r="OM9" s="8">
        <v>0.0</v>
      </c>
      <c r="ON9" s="8">
        <v>0.0</v>
      </c>
      <c r="OO9" s="8">
        <v>0.0</v>
      </c>
      <c r="OP9" s="9" t="s">
        <v>2947</v>
      </c>
      <c r="OQ9" s="8">
        <v>1.0</v>
      </c>
      <c r="OR9" s="8">
        <v>0.0</v>
      </c>
      <c r="OS9" s="8">
        <v>0.0</v>
      </c>
      <c r="OT9" s="8">
        <v>0.0</v>
      </c>
      <c r="OU9" s="8">
        <v>0.0</v>
      </c>
      <c r="OV9" s="8">
        <v>0.0</v>
      </c>
      <c r="OW9" s="8">
        <v>0.0</v>
      </c>
      <c r="OX9" s="8">
        <v>0.0</v>
      </c>
      <c r="OY9" s="9" t="s">
        <v>900</v>
      </c>
      <c r="OZ9" s="8">
        <v>1.0</v>
      </c>
      <c r="PA9" s="8">
        <v>0.0</v>
      </c>
      <c r="PB9" s="8">
        <v>0.0</v>
      </c>
      <c r="PC9" s="8">
        <v>0.0</v>
      </c>
      <c r="PD9" s="8">
        <v>0.0</v>
      </c>
      <c r="PE9" s="8">
        <v>0.0</v>
      </c>
      <c r="PF9" s="8">
        <v>1.0</v>
      </c>
      <c r="PG9" s="8">
        <v>0.0</v>
      </c>
      <c r="PH9" s="8">
        <v>0.0</v>
      </c>
      <c r="PI9" s="8">
        <v>0.0</v>
      </c>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8">
        <v>0.0</v>
      </c>
      <c r="SE9" s="9"/>
      <c r="SF9" s="9"/>
      <c r="SG9" s="9"/>
      <c r="SH9" s="9"/>
      <c r="SI9" s="9"/>
      <c r="SJ9" s="9"/>
      <c r="SK9" s="9"/>
      <c r="SL9" s="8">
        <v>0.0</v>
      </c>
      <c r="SM9" s="8">
        <v>0.0</v>
      </c>
      <c r="SN9" s="8">
        <v>0.0</v>
      </c>
      <c r="SO9" s="8">
        <v>0.0</v>
      </c>
      <c r="SP9" s="8">
        <v>0.0</v>
      </c>
      <c r="SQ9" s="8">
        <v>0.0</v>
      </c>
      <c r="SR9" s="8">
        <v>0.0</v>
      </c>
      <c r="SS9" s="8">
        <v>0.0</v>
      </c>
      <c r="ST9" s="8">
        <v>0.0</v>
      </c>
      <c r="SU9" s="8">
        <v>0.0</v>
      </c>
      <c r="SV9" s="8">
        <v>0.0</v>
      </c>
      <c r="SW9" s="8">
        <v>0.0</v>
      </c>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t="s">
        <v>881</v>
      </c>
      <c r="ZR9" s="9"/>
      <c r="ZS9" s="9"/>
      <c r="ZT9" s="9"/>
      <c r="ZU9" s="9"/>
      <c r="ZV9" s="9"/>
      <c r="ZW9" s="9" t="s">
        <v>857</v>
      </c>
      <c r="ZX9" s="9" t="s">
        <v>867</v>
      </c>
      <c r="ZY9" s="9" t="s">
        <v>995</v>
      </c>
      <c r="ZZ9" s="8">
        <v>1.0</v>
      </c>
      <c r="AAA9" s="8">
        <v>0.0</v>
      </c>
      <c r="AAB9" s="8">
        <v>0.0</v>
      </c>
      <c r="AAC9" s="8">
        <v>0.0</v>
      </c>
      <c r="AAD9" s="8">
        <v>1.0</v>
      </c>
      <c r="AAE9" s="8">
        <v>0.0</v>
      </c>
      <c r="AAF9" s="8">
        <v>0.0</v>
      </c>
      <c r="AAG9" s="9" t="s">
        <v>907</v>
      </c>
      <c r="AAH9" s="8">
        <v>1.0</v>
      </c>
      <c r="AAI9" s="8">
        <v>0.0</v>
      </c>
      <c r="AAJ9" s="8">
        <v>0.0</v>
      </c>
      <c r="AAK9" s="8">
        <v>0.0</v>
      </c>
      <c r="AAL9" s="8">
        <v>0.0</v>
      </c>
      <c r="AAM9" s="9"/>
      <c r="AAN9" s="9"/>
      <c r="AAO9" s="9"/>
      <c r="AAP9" s="9"/>
      <c r="AAQ9" s="9"/>
      <c r="AAR9" s="9"/>
      <c r="AAS9" s="9"/>
      <c r="AAT9" s="9"/>
      <c r="AAU9" s="9"/>
      <c r="AAV9" s="11" t="s">
        <v>953</v>
      </c>
      <c r="AAW9" s="9" t="s">
        <v>954</v>
      </c>
      <c r="AAX9" s="8">
        <v>1500.0</v>
      </c>
      <c r="AAY9" s="9"/>
      <c r="AAZ9" s="8">
        <v>400.0</v>
      </c>
      <c r="ABA9" s="8">
        <v>400.0</v>
      </c>
      <c r="ABB9" s="9" t="s">
        <v>910</v>
      </c>
      <c r="ABC9" s="9"/>
      <c r="ABD9" s="8">
        <v>50.0</v>
      </c>
      <c r="ABE9" s="8">
        <v>6000.0</v>
      </c>
      <c r="ABF9" s="8">
        <v>20.0</v>
      </c>
      <c r="ABG9" s="8">
        <v>6000.0</v>
      </c>
      <c r="ABH9" s="8">
        <v>500.0</v>
      </c>
      <c r="ABI9" s="8">
        <v>700.0</v>
      </c>
      <c r="ABJ9" s="9" t="s">
        <v>881</v>
      </c>
      <c r="ABK9" s="9" t="s">
        <v>911</v>
      </c>
      <c r="ABL9" s="9" t="s">
        <v>911</v>
      </c>
      <c r="ABM9" s="9" t="s">
        <v>911</v>
      </c>
      <c r="ABN9" s="9"/>
      <c r="ABO9" s="9"/>
      <c r="ABP9" s="9" t="s">
        <v>976</v>
      </c>
      <c r="ABQ9" s="8">
        <v>0.0</v>
      </c>
      <c r="ABR9" s="8">
        <v>0.0</v>
      </c>
      <c r="ABS9" s="8">
        <v>1.0</v>
      </c>
      <c r="ABT9" s="8">
        <v>1.0</v>
      </c>
      <c r="ABU9" s="8">
        <v>0.0</v>
      </c>
      <c r="ABV9" s="8">
        <v>0.0</v>
      </c>
      <c r="ABW9" s="8">
        <v>0.0</v>
      </c>
      <c r="ABX9" s="9"/>
      <c r="ABY9" s="9" t="s">
        <v>1061</v>
      </c>
      <c r="ABZ9" s="9" t="s">
        <v>1050</v>
      </c>
      <c r="ACA9" s="9" t="s">
        <v>996</v>
      </c>
      <c r="ACB9" s="9" t="s">
        <v>915</v>
      </c>
      <c r="ACC9" s="9" t="s">
        <v>958</v>
      </c>
      <c r="ACD9" s="9" t="s">
        <v>1035</v>
      </c>
      <c r="ACE9" s="8">
        <v>1.0</v>
      </c>
      <c r="ACF9" s="8">
        <v>1.0</v>
      </c>
      <c r="ACG9" s="8">
        <v>0.0</v>
      </c>
      <c r="ACH9" s="8">
        <v>0.0</v>
      </c>
      <c r="ACI9" s="9" t="s">
        <v>918</v>
      </c>
      <c r="ACJ9" s="9" t="s">
        <v>918</v>
      </c>
      <c r="ACK9" s="9" t="s">
        <v>918</v>
      </c>
      <c r="ACL9" s="9" t="s">
        <v>918</v>
      </c>
      <c r="ACM9" s="9" t="s">
        <v>881</v>
      </c>
      <c r="ACN9" s="9"/>
      <c r="ACO9" s="9" t="s">
        <v>918</v>
      </c>
      <c r="ACP9" s="9"/>
      <c r="ACQ9" s="9"/>
      <c r="ACR9" s="9"/>
      <c r="ACS9" s="9"/>
      <c r="ACT9" s="9"/>
      <c r="ACU9" s="9"/>
      <c r="ACV9" s="9"/>
      <c r="ACW9" s="9"/>
      <c r="ACX9" s="9"/>
      <c r="ACY9" s="9"/>
      <c r="ACZ9" s="9" t="s">
        <v>1018</v>
      </c>
      <c r="ADA9" s="8">
        <v>0.0</v>
      </c>
      <c r="ADB9" s="8">
        <v>0.0</v>
      </c>
      <c r="ADC9" s="8">
        <v>0.0</v>
      </c>
      <c r="ADD9" s="8">
        <v>0.0</v>
      </c>
      <c r="ADE9" s="8">
        <v>1.0</v>
      </c>
      <c r="ADF9" s="8">
        <v>1.0</v>
      </c>
      <c r="ADG9" s="8">
        <v>0.0</v>
      </c>
      <c r="ADH9" s="8">
        <v>0.0</v>
      </c>
      <c r="ADI9" s="12"/>
      <c r="ADJ9" s="17" t="s">
        <v>872</v>
      </c>
      <c r="ADK9" s="9"/>
      <c r="ADL9" s="17" t="s">
        <v>920</v>
      </c>
      <c r="ADM9" s="9"/>
      <c r="ADN9" s="11" t="s">
        <v>999</v>
      </c>
      <c r="ADO9" s="9" t="s">
        <v>961</v>
      </c>
      <c r="ADP9" s="17" t="s">
        <v>1036</v>
      </c>
      <c r="ADQ9" s="18">
        <v>0.0</v>
      </c>
      <c r="ADR9" s="18">
        <v>1.0</v>
      </c>
      <c r="ADS9" s="18">
        <v>1.0</v>
      </c>
      <c r="ADT9" s="18">
        <v>1.0</v>
      </c>
      <c r="ADU9" s="18">
        <v>1.0</v>
      </c>
      <c r="ADV9" s="18">
        <v>1.0</v>
      </c>
      <c r="ADW9" s="18">
        <v>1.0</v>
      </c>
      <c r="ADX9" s="18">
        <v>1.0</v>
      </c>
      <c r="ADY9" s="18">
        <v>1.0</v>
      </c>
      <c r="ADZ9" s="18">
        <v>0.0</v>
      </c>
      <c r="AEA9" s="18">
        <v>0.0</v>
      </c>
      <c r="AEB9" s="18">
        <v>0.0</v>
      </c>
      <c r="AEC9" s="9"/>
      <c r="AED9" s="9" t="s">
        <v>923</v>
      </c>
      <c r="AEE9" s="9"/>
      <c r="AEF9" s="9" t="s">
        <v>924</v>
      </c>
      <c r="AEG9" s="9"/>
      <c r="AEH9" s="9" t="s">
        <v>1062</v>
      </c>
      <c r="AEI9" s="16" t="s">
        <v>1063</v>
      </c>
      <c r="AEJ9" s="9" t="s">
        <v>1064</v>
      </c>
      <c r="AEK9" s="16" t="s">
        <v>1065</v>
      </c>
      <c r="AEL9" s="9" t="s">
        <v>1066</v>
      </c>
      <c r="AEM9" s="9"/>
      <c r="AEN9" s="9"/>
    </row>
    <row r="10">
      <c r="A10" s="43">
        <v>46058.0</v>
      </c>
      <c r="B10" s="43">
        <v>46058.0</v>
      </c>
      <c r="C10" s="44" t="s">
        <v>837</v>
      </c>
      <c r="D10" s="44" t="s">
        <v>1067</v>
      </c>
      <c r="E10" s="39">
        <f>+6285701460813</f>
        <v>6285701460813</v>
      </c>
      <c r="F10" s="21"/>
      <c r="G10" s="39">
        <v>-7.36738612</v>
      </c>
      <c r="H10" s="39">
        <v>110.2955068</v>
      </c>
      <c r="I10" s="21"/>
      <c r="J10" s="39">
        <v>2.57</v>
      </c>
      <c r="K10" s="21"/>
      <c r="L10" s="21"/>
      <c r="M10" s="39">
        <v>-7.36783</v>
      </c>
      <c r="N10" s="39">
        <v>110.2955314</v>
      </c>
      <c r="O10" s="21"/>
      <c r="P10" s="39">
        <v>3.92</v>
      </c>
      <c r="Q10" s="21"/>
      <c r="R10" s="21" t="s">
        <v>839</v>
      </c>
      <c r="S10" s="21"/>
      <c r="T10" s="21"/>
      <c r="U10" s="21"/>
      <c r="V10" s="21"/>
      <c r="W10" s="21"/>
      <c r="X10" s="21"/>
      <c r="Y10" s="21"/>
      <c r="Z10" s="21"/>
      <c r="AA10" s="21"/>
      <c r="AB10" s="21"/>
      <c r="AC10" s="44" t="s">
        <v>840</v>
      </c>
      <c r="AD10" s="44" t="s">
        <v>1068</v>
      </c>
      <c r="AE10" s="44" t="s">
        <v>1069</v>
      </c>
      <c r="AF10" s="21" t="s">
        <v>1070</v>
      </c>
      <c r="AG10" s="21" t="s">
        <v>1071</v>
      </c>
      <c r="AH10" s="39">
        <v>2.0</v>
      </c>
      <c r="AI10" s="21" t="s">
        <v>845</v>
      </c>
      <c r="AJ10" s="21" t="s">
        <v>846</v>
      </c>
      <c r="AK10" s="39">
        <v>47.0</v>
      </c>
      <c r="AL10" s="21" t="s">
        <v>847</v>
      </c>
      <c r="AM10" s="21" t="s">
        <v>848</v>
      </c>
      <c r="AN10" s="21" t="s">
        <v>1009</v>
      </c>
      <c r="AO10" s="21" t="s">
        <v>850</v>
      </c>
      <c r="AP10" s="39">
        <v>1.0</v>
      </c>
      <c r="AQ10" s="39">
        <v>0.0</v>
      </c>
      <c r="AR10" s="39">
        <v>0.0</v>
      </c>
      <c r="AS10" s="39">
        <v>0.0</v>
      </c>
      <c r="AT10" s="39">
        <v>0.0</v>
      </c>
      <c r="AU10" s="39">
        <v>0.0</v>
      </c>
      <c r="AV10" s="39">
        <v>0.0</v>
      </c>
      <c r="AW10" s="39">
        <v>0.0</v>
      </c>
      <c r="AX10" s="21"/>
      <c r="AY10" s="21" t="s">
        <v>935</v>
      </c>
      <c r="AZ10" s="39">
        <v>0.0</v>
      </c>
      <c r="BA10" s="39">
        <v>1.0</v>
      </c>
      <c r="BB10" s="39">
        <v>0.0</v>
      </c>
      <c r="BC10" s="39">
        <v>0.0</v>
      </c>
      <c r="BD10" s="39">
        <v>0.0</v>
      </c>
      <c r="BE10" s="39">
        <v>0.0</v>
      </c>
      <c r="BF10" s="39">
        <v>0.0</v>
      </c>
      <c r="BG10" s="39">
        <v>0.0</v>
      </c>
      <c r="BH10" s="21"/>
      <c r="BI10" s="21" t="s">
        <v>852</v>
      </c>
      <c r="BJ10" s="39">
        <v>1.0</v>
      </c>
      <c r="BK10" s="39">
        <v>1.0</v>
      </c>
      <c r="BL10" s="39">
        <v>2.0</v>
      </c>
      <c r="BM10" s="39">
        <v>0.0</v>
      </c>
      <c r="BN10" s="21" t="s">
        <v>853</v>
      </c>
      <c r="BO10" s="21" t="s">
        <v>854</v>
      </c>
      <c r="BP10" s="39">
        <v>1.0</v>
      </c>
      <c r="BQ10" s="39">
        <v>0.0</v>
      </c>
      <c r="BR10" s="39">
        <v>0.0</v>
      </c>
      <c r="BS10" s="39">
        <v>0.0</v>
      </c>
      <c r="BT10" s="39">
        <v>0.0</v>
      </c>
      <c r="BU10" s="21"/>
      <c r="BV10" s="21" t="s">
        <v>855</v>
      </c>
      <c r="BW10" s="39">
        <v>0.0</v>
      </c>
      <c r="BX10" s="39">
        <v>0.0</v>
      </c>
      <c r="BY10" s="39">
        <v>1.0</v>
      </c>
      <c r="BZ10" s="39">
        <v>0.0</v>
      </c>
      <c r="CA10" s="39">
        <v>0.0</v>
      </c>
      <c r="CB10" s="21"/>
      <c r="CC10" s="21" t="s">
        <v>856</v>
      </c>
      <c r="CD10" s="39">
        <v>0.0</v>
      </c>
      <c r="CE10" s="39">
        <v>0.0</v>
      </c>
      <c r="CF10" s="39">
        <v>0.0</v>
      </c>
      <c r="CG10" s="39">
        <v>0.0</v>
      </c>
      <c r="CH10" s="39">
        <v>0.0</v>
      </c>
      <c r="CI10" s="39">
        <v>1.0</v>
      </c>
      <c r="CJ10" s="39">
        <v>0.0</v>
      </c>
      <c r="CK10" s="21"/>
      <c r="CL10" s="21" t="s">
        <v>857</v>
      </c>
      <c r="CM10" s="39">
        <v>2023.0</v>
      </c>
      <c r="CN10" s="21" t="s">
        <v>858</v>
      </c>
      <c r="CO10" s="21" t="s">
        <v>859</v>
      </c>
      <c r="CP10" s="21" t="s">
        <v>1060</v>
      </c>
      <c r="CQ10" s="39">
        <v>0.0</v>
      </c>
      <c r="CR10" s="39">
        <v>0.0</v>
      </c>
      <c r="CS10" s="39">
        <v>0.0</v>
      </c>
      <c r="CT10" s="39">
        <v>0.0</v>
      </c>
      <c r="CU10" s="39">
        <v>1.0</v>
      </c>
      <c r="CV10" s="39">
        <v>1.0</v>
      </c>
      <c r="CW10" s="39">
        <v>0.0</v>
      </c>
      <c r="CX10" s="39">
        <v>0.0</v>
      </c>
      <c r="CY10" s="21" t="s">
        <v>1060</v>
      </c>
      <c r="CZ10" s="39">
        <v>1.0</v>
      </c>
      <c r="DA10" s="39">
        <v>1.0</v>
      </c>
      <c r="DB10" s="39">
        <v>0.0</v>
      </c>
      <c r="DC10" s="21"/>
      <c r="DD10" s="21" t="s">
        <v>937</v>
      </c>
      <c r="DE10" s="39">
        <v>1.0</v>
      </c>
      <c r="DF10" s="39">
        <v>0.0</v>
      </c>
      <c r="DG10" s="39">
        <v>1.0</v>
      </c>
      <c r="DH10" s="39">
        <v>0.0</v>
      </c>
      <c r="DI10" s="21"/>
      <c r="DJ10" s="21" t="s">
        <v>937</v>
      </c>
      <c r="DK10" s="39">
        <v>1.0</v>
      </c>
      <c r="DL10" s="39">
        <v>0.0</v>
      </c>
      <c r="DM10" s="39">
        <v>1.0</v>
      </c>
      <c r="DN10" s="39">
        <v>0.0</v>
      </c>
      <c r="DO10" s="21"/>
      <c r="DP10" s="39">
        <v>1.0</v>
      </c>
      <c r="DQ10" s="39">
        <v>1.0</v>
      </c>
      <c r="DR10" s="39">
        <v>0.0</v>
      </c>
      <c r="DS10" s="21"/>
      <c r="DT10" s="21"/>
      <c r="DU10" s="21"/>
      <c r="DV10" s="21" t="s">
        <v>857</v>
      </c>
      <c r="DW10" s="21"/>
      <c r="DX10" s="21"/>
      <c r="DY10" s="21"/>
      <c r="DZ10" s="21"/>
      <c r="EA10" s="21"/>
      <c r="EB10" s="21"/>
      <c r="EC10" s="21"/>
      <c r="ED10" s="21"/>
      <c r="EE10" s="21"/>
      <c r="EF10" s="21"/>
      <c r="EG10" s="21"/>
      <c r="EH10" s="21"/>
      <c r="EI10" s="21" t="s">
        <v>862</v>
      </c>
      <c r="EJ10" s="39">
        <v>0.0</v>
      </c>
      <c r="EK10" s="39">
        <v>0.0</v>
      </c>
      <c r="EL10" s="39">
        <v>0.0</v>
      </c>
      <c r="EM10" s="39">
        <v>1.0</v>
      </c>
      <c r="EN10" s="39">
        <v>0.0</v>
      </c>
      <c r="EO10" s="21"/>
      <c r="EP10" s="21" t="s">
        <v>863</v>
      </c>
      <c r="EQ10" s="21" t="s">
        <v>864</v>
      </c>
      <c r="ER10" s="21" t="s">
        <v>1046</v>
      </c>
      <c r="ES10" s="39">
        <v>1.0</v>
      </c>
      <c r="ET10" s="39">
        <v>1.0</v>
      </c>
      <c r="EU10" s="39">
        <v>0.0</v>
      </c>
      <c r="EV10" s="39">
        <v>0.0</v>
      </c>
      <c r="EW10" s="21"/>
      <c r="EX10" s="21" t="s">
        <v>1013</v>
      </c>
      <c r="EY10" s="39">
        <v>1.0</v>
      </c>
      <c r="EZ10" s="39">
        <v>1.0</v>
      </c>
      <c r="FA10" s="39">
        <v>0.0</v>
      </c>
      <c r="FB10" s="21"/>
      <c r="FC10" s="21" t="s">
        <v>1072</v>
      </c>
      <c r="FD10" s="21"/>
      <c r="FE10" s="21" t="s">
        <v>867</v>
      </c>
      <c r="FF10" s="21" t="s">
        <v>868</v>
      </c>
      <c r="FG10" s="21" t="s">
        <v>867</v>
      </c>
      <c r="FH10" s="21" t="s">
        <v>869</v>
      </c>
      <c r="FI10" s="21" t="s">
        <v>867</v>
      </c>
      <c r="FJ10" s="21" t="s">
        <v>869</v>
      </c>
      <c r="FK10" s="21" t="s">
        <v>867</v>
      </c>
      <c r="FL10" s="21" t="s">
        <v>943</v>
      </c>
      <c r="FM10" s="21" t="s">
        <v>867</v>
      </c>
      <c r="FN10" s="21" t="s">
        <v>869</v>
      </c>
      <c r="FO10" s="21" t="s">
        <v>867</v>
      </c>
      <c r="FP10" s="21" t="s">
        <v>943</v>
      </c>
      <c r="FQ10" s="21" t="s">
        <v>867</v>
      </c>
      <c r="FR10" s="21" t="s">
        <v>857</v>
      </c>
      <c r="FS10" s="21" t="s">
        <v>867</v>
      </c>
      <c r="FT10" s="21" t="s">
        <v>871</v>
      </c>
      <c r="FU10" s="21" t="s">
        <v>989</v>
      </c>
      <c r="FV10" s="39">
        <v>1.0</v>
      </c>
      <c r="FW10" s="39">
        <v>1.0</v>
      </c>
      <c r="FX10" s="39">
        <v>0.0</v>
      </c>
      <c r="FY10" s="39">
        <v>0.0</v>
      </c>
      <c r="FZ10" s="21" t="s">
        <v>944</v>
      </c>
      <c r="GA10" s="21" t="s">
        <v>990</v>
      </c>
      <c r="GB10" s="39">
        <v>1.0</v>
      </c>
      <c r="GC10" s="39">
        <v>1.0</v>
      </c>
      <c r="GD10" s="39">
        <v>0.0</v>
      </c>
      <c r="GE10" s="39">
        <v>0.0</v>
      </c>
      <c r="GF10" s="21"/>
      <c r="GG10" s="21" t="s">
        <v>875</v>
      </c>
      <c r="GH10" s="21" t="s">
        <v>857</v>
      </c>
      <c r="GI10" s="21" t="s">
        <v>876</v>
      </c>
      <c r="GJ10" s="39">
        <v>1.0</v>
      </c>
      <c r="GK10" s="39">
        <v>0.0</v>
      </c>
      <c r="GL10" s="39">
        <v>0.0</v>
      </c>
      <c r="GM10" s="39">
        <v>0.0</v>
      </c>
      <c r="GN10" s="21"/>
      <c r="GO10" s="39">
        <v>8.0</v>
      </c>
      <c r="GP10" s="21" t="s">
        <v>877</v>
      </c>
      <c r="GQ10" s="21" t="s">
        <v>878</v>
      </c>
      <c r="GR10" s="39">
        <v>1.0</v>
      </c>
      <c r="GS10" s="39">
        <v>1.0</v>
      </c>
      <c r="GT10" s="39">
        <v>0.0</v>
      </c>
      <c r="GU10" s="39">
        <v>0.0</v>
      </c>
      <c r="GV10" s="39">
        <v>0.0</v>
      </c>
      <c r="GW10" s="39">
        <v>0.0</v>
      </c>
      <c r="GX10" s="39">
        <v>0.0</v>
      </c>
      <c r="GY10" s="21"/>
      <c r="GZ10" s="21" t="s">
        <v>857</v>
      </c>
      <c r="HA10" s="39">
        <v>150.0</v>
      </c>
      <c r="HB10" s="39">
        <v>150000.0</v>
      </c>
      <c r="HC10" s="39">
        <v>50.0</v>
      </c>
      <c r="HD10" s="39">
        <v>50000.0</v>
      </c>
      <c r="HE10" s="39">
        <v>12.0</v>
      </c>
      <c r="HF10" s="39">
        <v>100000.0</v>
      </c>
      <c r="HG10" s="39">
        <v>3.0</v>
      </c>
      <c r="HH10" s="39">
        <v>25000.0</v>
      </c>
      <c r="HI10" s="21"/>
      <c r="HJ10" s="21"/>
      <c r="HK10" s="21"/>
      <c r="HL10" s="21"/>
      <c r="HM10" s="21"/>
      <c r="HN10" s="21"/>
      <c r="HO10" s="21"/>
      <c r="HP10" s="21"/>
      <c r="HQ10" s="21"/>
      <c r="HR10" s="21"/>
      <c r="HS10" s="21"/>
      <c r="HT10" s="21"/>
      <c r="HU10" s="21"/>
      <c r="HV10" s="21"/>
      <c r="HW10" s="21"/>
      <c r="HX10" s="21"/>
      <c r="HY10" s="39">
        <v>100.0</v>
      </c>
      <c r="HZ10" s="39">
        <v>100000.0</v>
      </c>
      <c r="IA10" s="39">
        <v>9.0</v>
      </c>
      <c r="IB10" s="39">
        <v>75000.0</v>
      </c>
      <c r="IC10" s="21"/>
      <c r="ID10" s="21"/>
      <c r="IE10" s="21"/>
      <c r="IF10" s="21"/>
      <c r="IG10" s="21"/>
      <c r="IH10" s="21"/>
      <c r="II10" s="21"/>
      <c r="IJ10" s="21"/>
      <c r="IK10" s="21" t="s">
        <v>879</v>
      </c>
      <c r="IL10" s="21" t="s">
        <v>880</v>
      </c>
      <c r="IM10" s="21" t="s">
        <v>857</v>
      </c>
      <c r="IN10" s="21" t="s">
        <v>881</v>
      </c>
      <c r="IO10" s="21" t="s">
        <v>882</v>
      </c>
      <c r="IP10" s="21"/>
      <c r="IQ10" s="21" t="s">
        <v>883</v>
      </c>
      <c r="IR10" s="21"/>
      <c r="IS10" s="21"/>
      <c r="IT10" s="21"/>
      <c r="IU10" s="21"/>
      <c r="IV10" s="21"/>
      <c r="IW10" s="21"/>
      <c r="IX10" s="21"/>
      <c r="IY10" s="21"/>
      <c r="IZ10" s="21" t="s">
        <v>883</v>
      </c>
      <c r="JA10" s="21"/>
      <c r="JB10" s="21"/>
      <c r="JC10" s="21"/>
      <c r="JD10" s="21"/>
      <c r="JE10" s="21"/>
      <c r="JF10" s="21"/>
      <c r="JG10" s="21"/>
      <c r="JH10" s="21"/>
      <c r="JI10" s="21" t="s">
        <v>883</v>
      </c>
      <c r="JJ10" s="21"/>
      <c r="JK10" s="21"/>
      <c r="JL10" s="21"/>
      <c r="JM10" s="21"/>
      <c r="JN10" s="21"/>
      <c r="JO10" s="21"/>
      <c r="JP10" s="21"/>
      <c r="JQ10" s="21"/>
      <c r="JR10" s="21" t="s">
        <v>883</v>
      </c>
      <c r="JS10" s="21"/>
      <c r="JT10" s="21"/>
      <c r="JU10" s="21"/>
      <c r="JV10" s="21"/>
      <c r="JW10" s="21"/>
      <c r="JX10" s="21"/>
      <c r="JY10" s="21"/>
      <c r="JZ10" s="21"/>
      <c r="KA10" s="21" t="s">
        <v>883</v>
      </c>
      <c r="KB10" s="21"/>
      <c r="KC10" s="21"/>
      <c r="KD10" s="21"/>
      <c r="KE10" s="21"/>
      <c r="KF10" s="21"/>
      <c r="KG10" s="21"/>
      <c r="KH10" s="21"/>
      <c r="KI10" s="21"/>
      <c r="KJ10" s="21" t="s">
        <v>883</v>
      </c>
      <c r="KK10" s="21"/>
      <c r="KL10" s="21"/>
      <c r="KM10" s="21"/>
      <c r="KN10" s="21"/>
      <c r="KO10" s="21"/>
      <c r="KP10" s="21"/>
      <c r="KQ10" s="21"/>
      <c r="KR10" s="21"/>
      <c r="KS10" s="21" t="s">
        <v>884</v>
      </c>
      <c r="KT10" s="21" t="s">
        <v>886</v>
      </c>
      <c r="KU10" s="21" t="s">
        <v>886</v>
      </c>
      <c r="KV10" s="21" t="s">
        <v>989</v>
      </c>
      <c r="KW10" s="39">
        <v>1.0</v>
      </c>
      <c r="KX10" s="39">
        <v>1.0</v>
      </c>
      <c r="KY10" s="39">
        <v>0.0</v>
      </c>
      <c r="KZ10" s="39">
        <v>0.0</v>
      </c>
      <c r="LA10" s="21" t="s">
        <v>884</v>
      </c>
      <c r="LB10" s="21" t="s">
        <v>884</v>
      </c>
      <c r="LC10" s="39">
        <v>3.0</v>
      </c>
      <c r="LD10" s="39">
        <v>3.0</v>
      </c>
      <c r="LE10" s="39">
        <v>0.0</v>
      </c>
      <c r="LF10" s="39">
        <v>0.0</v>
      </c>
      <c r="LG10" s="21" t="s">
        <v>857</v>
      </c>
      <c r="LH10" s="39">
        <v>150000.0</v>
      </c>
      <c r="LI10" s="21"/>
      <c r="LJ10" s="21" t="s">
        <v>887</v>
      </c>
      <c r="LK10" s="39">
        <v>0.0</v>
      </c>
      <c r="LL10" s="39">
        <v>0.0</v>
      </c>
      <c r="LM10" s="39">
        <v>0.0</v>
      </c>
      <c r="LN10" s="39">
        <v>0.0</v>
      </c>
      <c r="LO10" s="39">
        <v>1.0</v>
      </c>
      <c r="LP10" s="39">
        <v>0.0</v>
      </c>
      <c r="LQ10" s="39">
        <v>0.0</v>
      </c>
      <c r="LR10" s="21"/>
      <c r="LS10" s="39">
        <v>15.0</v>
      </c>
      <c r="LT10" s="39">
        <v>15.0</v>
      </c>
      <c r="LU10" s="39">
        <v>0.0</v>
      </c>
      <c r="LV10" s="39">
        <v>5.0</v>
      </c>
      <c r="LW10" s="39">
        <v>5.0</v>
      </c>
      <c r="LX10" s="39">
        <v>0.0</v>
      </c>
      <c r="LY10" s="39">
        <v>5.0</v>
      </c>
      <c r="LZ10" s="39">
        <v>5.0</v>
      </c>
      <c r="MA10" s="39">
        <v>0.0</v>
      </c>
      <c r="MB10" s="21" t="s">
        <v>857</v>
      </c>
      <c r="MC10" s="39">
        <v>30.0</v>
      </c>
      <c r="MD10" s="39">
        <v>15.0</v>
      </c>
      <c r="ME10" s="39">
        <v>30.0</v>
      </c>
      <c r="MF10" s="39">
        <v>15.0</v>
      </c>
      <c r="MG10" s="39">
        <v>0.0</v>
      </c>
      <c r="MH10" s="39">
        <v>0.0</v>
      </c>
      <c r="MI10" s="21" t="s">
        <v>946</v>
      </c>
      <c r="MJ10" s="39">
        <v>0.0</v>
      </c>
      <c r="MK10" s="39">
        <v>0.0</v>
      </c>
      <c r="ML10" s="39">
        <v>1.0</v>
      </c>
      <c r="MM10" s="39">
        <v>0.0</v>
      </c>
      <c r="MN10" s="39">
        <v>0.0</v>
      </c>
      <c r="MO10" s="39">
        <v>0.0</v>
      </c>
      <c r="MP10" s="21"/>
      <c r="MQ10" s="21"/>
      <c r="MR10" s="21" t="s">
        <v>947</v>
      </c>
      <c r="MS10" s="21"/>
      <c r="MT10" s="21" t="s">
        <v>888</v>
      </c>
      <c r="MU10" s="21" t="s">
        <v>1030</v>
      </c>
      <c r="MV10" s="21" t="s">
        <v>949</v>
      </c>
      <c r="MW10" s="39">
        <v>1.0</v>
      </c>
      <c r="MX10" s="39">
        <v>0.0</v>
      </c>
      <c r="MY10" s="39">
        <v>0.0</v>
      </c>
      <c r="MZ10" s="39">
        <v>0.0</v>
      </c>
      <c r="NA10" s="21"/>
      <c r="NB10" s="21"/>
      <c r="NC10" s="21"/>
      <c r="ND10" s="21"/>
      <c r="NE10" s="21"/>
      <c r="NF10" s="21"/>
      <c r="NG10" s="21"/>
      <c r="NH10" s="21"/>
      <c r="NI10" s="21"/>
      <c r="NJ10" s="21"/>
      <c r="NK10" s="21"/>
      <c r="NL10" s="21" t="s">
        <v>881</v>
      </c>
      <c r="NM10" s="21" t="s">
        <v>893</v>
      </c>
      <c r="NN10" s="21" t="s">
        <v>993</v>
      </c>
      <c r="NO10" s="21" t="s">
        <v>973</v>
      </c>
      <c r="NP10" s="21"/>
      <c r="NQ10" s="21"/>
      <c r="NR10" s="21"/>
      <c r="NS10" s="21"/>
      <c r="NT10" s="21"/>
      <c r="NU10" s="21"/>
      <c r="NV10" s="21" t="s">
        <v>896</v>
      </c>
      <c r="NW10" s="21"/>
      <c r="NX10" s="21" t="s">
        <v>897</v>
      </c>
      <c r="NY10" s="39">
        <v>30.0</v>
      </c>
      <c r="NZ10" s="39">
        <v>0.0</v>
      </c>
      <c r="OA10" s="39">
        <v>0.0</v>
      </c>
      <c r="OB10" s="39">
        <v>5.0</v>
      </c>
      <c r="OC10" s="39">
        <v>5.0</v>
      </c>
      <c r="OD10" s="39">
        <v>0.0</v>
      </c>
      <c r="OE10" s="21" t="s">
        <v>898</v>
      </c>
      <c r="OF10" s="21" t="s">
        <v>899</v>
      </c>
      <c r="OG10" s="21" t="s">
        <v>857</v>
      </c>
      <c r="OH10" s="39">
        <v>5.0</v>
      </c>
      <c r="OI10" s="39">
        <v>0.0</v>
      </c>
      <c r="OJ10" s="39">
        <v>0.0</v>
      </c>
      <c r="OK10" s="39">
        <v>0.0</v>
      </c>
      <c r="OL10" s="39">
        <v>0.0</v>
      </c>
      <c r="OM10" s="39">
        <v>0.0</v>
      </c>
      <c r="ON10" s="39">
        <v>0.0</v>
      </c>
      <c r="OO10" s="39">
        <v>0.0</v>
      </c>
      <c r="OP10" s="21" t="s">
        <v>2947</v>
      </c>
      <c r="OQ10" s="39">
        <v>1.0</v>
      </c>
      <c r="OR10" s="39">
        <v>0.0</v>
      </c>
      <c r="OS10" s="39">
        <v>0.0</v>
      </c>
      <c r="OT10" s="39">
        <v>0.0</v>
      </c>
      <c r="OU10" s="39">
        <v>0.0</v>
      </c>
      <c r="OV10" s="39">
        <v>0.0</v>
      </c>
      <c r="OW10" s="39">
        <v>0.0</v>
      </c>
      <c r="OX10" s="39">
        <v>0.0</v>
      </c>
      <c r="OY10" s="21" t="s">
        <v>900</v>
      </c>
      <c r="OZ10" s="39">
        <v>1.0</v>
      </c>
      <c r="PA10" s="39">
        <v>0.0</v>
      </c>
      <c r="PB10" s="39">
        <v>0.0</v>
      </c>
      <c r="PC10" s="39">
        <v>0.0</v>
      </c>
      <c r="PD10" s="39">
        <v>0.0</v>
      </c>
      <c r="PE10" s="39">
        <v>0.0</v>
      </c>
      <c r="PF10" s="39">
        <v>1.0</v>
      </c>
      <c r="PG10" s="39">
        <v>0.0</v>
      </c>
      <c r="PH10" s="39">
        <v>0.0</v>
      </c>
      <c r="PI10" s="39">
        <v>0.0</v>
      </c>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39">
        <v>5.0</v>
      </c>
      <c r="SE10" s="21"/>
      <c r="SF10" s="21"/>
      <c r="SG10" s="21"/>
      <c r="SH10" s="21"/>
      <c r="SI10" s="21"/>
      <c r="SJ10" s="21"/>
      <c r="SK10" s="21"/>
      <c r="SL10" s="39">
        <v>0.0</v>
      </c>
      <c r="SM10" s="39">
        <v>0.0</v>
      </c>
      <c r="SN10" s="39">
        <v>0.0</v>
      </c>
      <c r="SO10" s="39">
        <v>0.0</v>
      </c>
      <c r="SP10" s="39">
        <v>0.0</v>
      </c>
      <c r="SQ10" s="39">
        <v>0.0</v>
      </c>
      <c r="SR10" s="39">
        <v>0.0</v>
      </c>
      <c r="SS10" s="39">
        <v>0.0</v>
      </c>
      <c r="ST10" s="39">
        <v>0.0</v>
      </c>
      <c r="SU10" s="39">
        <v>0.0</v>
      </c>
      <c r="SV10" s="39">
        <v>0.0</v>
      </c>
      <c r="SW10" s="39">
        <v>0.0</v>
      </c>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t="s">
        <v>901</v>
      </c>
      <c r="UA10" s="21"/>
      <c r="UB10" s="21"/>
      <c r="UC10" s="21"/>
      <c r="UD10" s="21"/>
      <c r="UE10" s="21"/>
      <c r="UF10" s="21"/>
      <c r="UG10" s="21"/>
      <c r="UH10" s="21" t="s">
        <v>950</v>
      </c>
      <c r="UI10" s="21"/>
      <c r="UJ10" s="21"/>
      <c r="UK10" s="21"/>
      <c r="UL10" s="21"/>
      <c r="UM10" s="21"/>
      <c r="UN10" s="21"/>
      <c r="UO10" s="21"/>
      <c r="UP10" s="21" t="s">
        <v>903</v>
      </c>
      <c r="UQ10" s="21"/>
      <c r="UR10" s="21"/>
      <c r="US10" s="21"/>
      <c r="UT10" s="21"/>
      <c r="UU10" s="21"/>
      <c r="UV10" s="21"/>
      <c r="UW10" s="21"/>
      <c r="UX10" s="21" t="s">
        <v>1073</v>
      </c>
      <c r="UY10" s="39">
        <v>0.0</v>
      </c>
      <c r="UZ10" s="39">
        <v>0.0</v>
      </c>
      <c r="VA10" s="39">
        <v>0.0</v>
      </c>
      <c r="VB10" s="39">
        <v>0.0</v>
      </c>
      <c r="VC10" s="39">
        <v>0.0</v>
      </c>
      <c r="VD10" s="39">
        <v>0.0</v>
      </c>
      <c r="VE10" s="39">
        <v>1.0</v>
      </c>
      <c r="VF10" s="39">
        <v>1.0</v>
      </c>
      <c r="VG10" s="39">
        <v>0.0</v>
      </c>
      <c r="VH10" s="39">
        <v>0.0</v>
      </c>
      <c r="VI10" s="39">
        <v>0.0</v>
      </c>
      <c r="VJ10" s="39">
        <v>0.0</v>
      </c>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39">
        <v>2.0</v>
      </c>
      <c r="ZB10" s="21"/>
      <c r="ZC10" s="21"/>
      <c r="ZD10" s="21"/>
      <c r="ZE10" s="21"/>
      <c r="ZF10" s="21"/>
      <c r="ZG10" s="21"/>
      <c r="ZH10" s="21"/>
      <c r="ZI10" s="21" t="s">
        <v>905</v>
      </c>
      <c r="ZJ10" s="21"/>
      <c r="ZK10" s="21"/>
      <c r="ZL10" s="21"/>
      <c r="ZM10" s="21"/>
      <c r="ZN10" s="21"/>
      <c r="ZO10" s="21"/>
      <c r="ZP10" s="21"/>
      <c r="ZQ10" s="21" t="s">
        <v>857</v>
      </c>
      <c r="ZR10" s="21" t="s">
        <v>1033</v>
      </c>
      <c r="ZS10" s="39">
        <v>1.0</v>
      </c>
      <c r="ZT10" s="39">
        <v>1.0</v>
      </c>
      <c r="ZU10" s="39">
        <v>200.0</v>
      </c>
      <c r="ZV10" s="39">
        <v>200.0</v>
      </c>
      <c r="ZW10" s="21" t="s">
        <v>857</v>
      </c>
      <c r="ZX10" s="21" t="s">
        <v>867</v>
      </c>
      <c r="ZY10" s="21" t="s">
        <v>1074</v>
      </c>
      <c r="ZZ10" s="39">
        <v>1.0</v>
      </c>
      <c r="AAA10" s="39">
        <v>0.0</v>
      </c>
      <c r="AAB10" s="39">
        <v>0.0</v>
      </c>
      <c r="AAC10" s="39">
        <v>1.0</v>
      </c>
      <c r="AAD10" s="39">
        <v>1.0</v>
      </c>
      <c r="AAE10" s="39">
        <v>0.0</v>
      </c>
      <c r="AAF10" s="39">
        <v>0.0</v>
      </c>
      <c r="AAG10" s="21" t="s">
        <v>907</v>
      </c>
      <c r="AAH10" s="39">
        <v>1.0</v>
      </c>
      <c r="AAI10" s="39">
        <v>0.0</v>
      </c>
      <c r="AAJ10" s="39">
        <v>0.0</v>
      </c>
      <c r="AAK10" s="39">
        <v>0.0</v>
      </c>
      <c r="AAL10" s="39">
        <v>0.0</v>
      </c>
      <c r="AAM10" s="21"/>
      <c r="AAN10" s="21"/>
      <c r="AAO10" s="21"/>
      <c r="AAP10" s="21"/>
      <c r="AAQ10" s="21"/>
      <c r="AAR10" s="21"/>
      <c r="AAS10" s="21"/>
      <c r="AAT10" s="21"/>
      <c r="AAU10" s="21"/>
      <c r="AAV10" s="21" t="s">
        <v>953</v>
      </c>
      <c r="AAW10" s="21" t="s">
        <v>1075</v>
      </c>
      <c r="AAX10" s="39">
        <v>2000.0</v>
      </c>
      <c r="AAY10" s="39">
        <v>1500.0</v>
      </c>
      <c r="AAZ10" s="39">
        <v>250.0</v>
      </c>
      <c r="ABA10" s="39">
        <v>250.0</v>
      </c>
      <c r="ABB10" s="21" t="s">
        <v>910</v>
      </c>
      <c r="ABC10" s="21"/>
      <c r="ABD10" s="39">
        <v>15.0</v>
      </c>
      <c r="ABE10" s="39">
        <v>5000.0</v>
      </c>
      <c r="ABF10" s="39">
        <v>10.0</v>
      </c>
      <c r="ABG10" s="39">
        <v>5000.0</v>
      </c>
      <c r="ABH10" s="39">
        <v>400.0</v>
      </c>
      <c r="ABI10" s="39">
        <v>600.0</v>
      </c>
      <c r="ABJ10" s="21" t="s">
        <v>857</v>
      </c>
      <c r="ABK10" s="21" t="s">
        <v>911</v>
      </c>
      <c r="ABL10" s="21" t="s">
        <v>911</v>
      </c>
      <c r="ABM10" s="21" t="s">
        <v>911</v>
      </c>
      <c r="ABN10" s="21"/>
      <c r="ABO10" s="21"/>
      <c r="ABP10" s="21" t="s">
        <v>976</v>
      </c>
      <c r="ABQ10" s="39">
        <v>0.0</v>
      </c>
      <c r="ABR10" s="39">
        <v>0.0</v>
      </c>
      <c r="ABS10" s="39">
        <v>1.0</v>
      </c>
      <c r="ABT10" s="39">
        <v>1.0</v>
      </c>
      <c r="ABU10" s="39">
        <v>0.0</v>
      </c>
      <c r="ABV10" s="39">
        <v>0.0</v>
      </c>
      <c r="ABW10" s="39">
        <v>0.0</v>
      </c>
      <c r="ABX10" s="21"/>
      <c r="ABY10" s="21" t="s">
        <v>912</v>
      </c>
      <c r="ABZ10" s="21" t="s">
        <v>913</v>
      </c>
      <c r="ACA10" s="21" t="s">
        <v>957</v>
      </c>
      <c r="ACB10" s="21" t="s">
        <v>915</v>
      </c>
      <c r="ACC10" s="21" t="s">
        <v>916</v>
      </c>
      <c r="ACD10" s="21" t="s">
        <v>1017</v>
      </c>
      <c r="ACE10" s="39">
        <v>1.0</v>
      </c>
      <c r="ACF10" s="39">
        <v>1.0</v>
      </c>
      <c r="ACG10" s="39">
        <v>1.0</v>
      </c>
      <c r="ACH10" s="39">
        <v>0.0</v>
      </c>
      <c r="ACI10" s="21" t="s">
        <v>918</v>
      </c>
      <c r="ACJ10" s="21" t="s">
        <v>918</v>
      </c>
      <c r="ACK10" s="21" t="s">
        <v>918</v>
      </c>
      <c r="ACL10" s="21" t="s">
        <v>918</v>
      </c>
      <c r="ACM10" s="21" t="s">
        <v>881</v>
      </c>
      <c r="ACN10" s="21"/>
      <c r="ACO10" s="21" t="s">
        <v>917</v>
      </c>
      <c r="ACP10" s="21"/>
      <c r="ACQ10" s="21"/>
      <c r="ACR10" s="21"/>
      <c r="ACS10" s="21"/>
      <c r="ACT10" s="21"/>
      <c r="ACU10" s="21"/>
      <c r="ACV10" s="21"/>
      <c r="ACW10" s="21"/>
      <c r="ACX10" s="21"/>
      <c r="ACY10" s="21"/>
      <c r="ACZ10" s="21" t="s">
        <v>1018</v>
      </c>
      <c r="ADA10" s="39">
        <v>0.0</v>
      </c>
      <c r="ADB10" s="39">
        <v>0.0</v>
      </c>
      <c r="ADC10" s="39">
        <v>0.0</v>
      </c>
      <c r="ADD10" s="39">
        <v>0.0</v>
      </c>
      <c r="ADE10" s="39">
        <v>1.0</v>
      </c>
      <c r="ADF10" s="39">
        <v>1.0</v>
      </c>
      <c r="ADG10" s="39">
        <v>0.0</v>
      </c>
      <c r="ADH10" s="39">
        <v>0.0</v>
      </c>
      <c r="ADI10" s="21"/>
      <c r="ADJ10" s="19" t="s">
        <v>872</v>
      </c>
      <c r="ADK10" s="21"/>
      <c r="ADL10" s="19" t="s">
        <v>920</v>
      </c>
      <c r="ADM10" s="21"/>
      <c r="ADN10" s="21" t="s">
        <v>999</v>
      </c>
      <c r="ADO10" s="21" t="s">
        <v>961</v>
      </c>
      <c r="ADP10" s="19" t="s">
        <v>1076</v>
      </c>
      <c r="ADQ10" s="20">
        <v>1.0</v>
      </c>
      <c r="ADR10" s="20">
        <v>1.0</v>
      </c>
      <c r="ADS10" s="20">
        <v>1.0</v>
      </c>
      <c r="ADT10" s="20">
        <v>1.0</v>
      </c>
      <c r="ADU10" s="20">
        <v>1.0</v>
      </c>
      <c r="ADV10" s="20">
        <v>1.0</v>
      </c>
      <c r="ADW10" s="20">
        <v>1.0</v>
      </c>
      <c r="ADX10" s="20">
        <v>1.0</v>
      </c>
      <c r="ADY10" s="20">
        <v>0.0</v>
      </c>
      <c r="ADZ10" s="20">
        <v>0.0</v>
      </c>
      <c r="AEA10" s="20">
        <v>0.0</v>
      </c>
      <c r="AEB10" s="20">
        <v>0.0</v>
      </c>
      <c r="AEC10" s="21"/>
      <c r="AED10" s="21" t="s">
        <v>923</v>
      </c>
      <c r="AEE10" s="21"/>
      <c r="AEF10" s="21" t="s">
        <v>1077</v>
      </c>
      <c r="AEG10" s="21"/>
      <c r="AEH10" s="21" t="s">
        <v>1078</v>
      </c>
      <c r="AEI10" s="45" t="s">
        <v>1079</v>
      </c>
      <c r="AEJ10" s="21" t="s">
        <v>1080</v>
      </c>
      <c r="AEK10" s="45" t="s">
        <v>1081</v>
      </c>
      <c r="AEL10" s="21" t="s">
        <v>983</v>
      </c>
      <c r="AEM10" s="21"/>
      <c r="AEN10" s="21"/>
    </row>
    <row r="11">
      <c r="A11" s="6">
        <v>46058.0</v>
      </c>
      <c r="B11" s="6">
        <v>46058.0</v>
      </c>
      <c r="C11" s="7" t="s">
        <v>837</v>
      </c>
      <c r="D11" s="7" t="s">
        <v>1082</v>
      </c>
      <c r="E11" s="8">
        <f>+6282335193685</f>
        <v>6282335193685</v>
      </c>
      <c r="F11" s="9"/>
      <c r="G11" s="8">
        <v>-7.34482992</v>
      </c>
      <c r="H11" s="8">
        <v>110.2943778</v>
      </c>
      <c r="I11" s="9"/>
      <c r="J11" s="8">
        <v>4.87</v>
      </c>
      <c r="K11" s="9"/>
      <c r="L11" s="9"/>
      <c r="M11" s="8">
        <v>-7.34478297</v>
      </c>
      <c r="N11" s="8">
        <v>110.2943777</v>
      </c>
      <c r="O11" s="9"/>
      <c r="P11" s="8">
        <v>4.88</v>
      </c>
      <c r="Q11" s="9"/>
      <c r="R11" s="9" t="s">
        <v>839</v>
      </c>
      <c r="S11" s="9"/>
      <c r="T11" s="9"/>
      <c r="U11" s="9"/>
      <c r="V11" s="9"/>
      <c r="W11" s="9"/>
      <c r="X11" s="9"/>
      <c r="Y11" s="9"/>
      <c r="Z11" s="9"/>
      <c r="AA11" s="9"/>
      <c r="AB11" s="9"/>
      <c r="AC11" s="7" t="s">
        <v>1025</v>
      </c>
      <c r="AD11" s="7" t="s">
        <v>1083</v>
      </c>
      <c r="AE11" s="7" t="s">
        <v>1084</v>
      </c>
      <c r="AF11" s="9" t="s">
        <v>1070</v>
      </c>
      <c r="AG11" s="9" t="s">
        <v>1085</v>
      </c>
      <c r="AH11" s="8">
        <v>2.0</v>
      </c>
      <c r="AI11" s="9" t="s">
        <v>845</v>
      </c>
      <c r="AJ11" s="9" t="s">
        <v>846</v>
      </c>
      <c r="AK11" s="8">
        <v>59.0</v>
      </c>
      <c r="AL11" s="9" t="s">
        <v>847</v>
      </c>
      <c r="AM11" s="9" t="s">
        <v>848</v>
      </c>
      <c r="AN11" s="9" t="s">
        <v>849</v>
      </c>
      <c r="AO11" s="9" t="s">
        <v>850</v>
      </c>
      <c r="AP11" s="8">
        <v>1.0</v>
      </c>
      <c r="AQ11" s="8">
        <v>0.0</v>
      </c>
      <c r="AR11" s="8">
        <v>0.0</v>
      </c>
      <c r="AS11" s="8">
        <v>0.0</v>
      </c>
      <c r="AT11" s="8">
        <v>0.0</v>
      </c>
      <c r="AU11" s="8">
        <v>0.0</v>
      </c>
      <c r="AV11" s="8">
        <v>0.0</v>
      </c>
      <c r="AW11" s="8">
        <v>0.0</v>
      </c>
      <c r="AX11" s="9"/>
      <c r="AY11" s="9" t="s">
        <v>935</v>
      </c>
      <c r="AZ11" s="8">
        <v>0.0</v>
      </c>
      <c r="BA11" s="8">
        <v>1.0</v>
      </c>
      <c r="BB11" s="8">
        <v>0.0</v>
      </c>
      <c r="BC11" s="8">
        <v>0.0</v>
      </c>
      <c r="BD11" s="8">
        <v>0.0</v>
      </c>
      <c r="BE11" s="8">
        <v>0.0</v>
      </c>
      <c r="BF11" s="8">
        <v>0.0</v>
      </c>
      <c r="BG11" s="8">
        <v>0.0</v>
      </c>
      <c r="BH11" s="9"/>
      <c r="BI11" s="9" t="s">
        <v>852</v>
      </c>
      <c r="BJ11" s="8">
        <v>2.0</v>
      </c>
      <c r="BK11" s="8">
        <v>2.0</v>
      </c>
      <c r="BL11" s="8">
        <v>1.0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856</v>
      </c>
      <c r="CD11" s="8">
        <v>0.0</v>
      </c>
      <c r="CE11" s="8">
        <v>0.0</v>
      </c>
      <c r="CF11" s="8">
        <v>0.0</v>
      </c>
      <c r="CG11" s="8">
        <v>0.0</v>
      </c>
      <c r="CH11" s="8">
        <v>0.0</v>
      </c>
      <c r="CI11" s="8">
        <v>1.0</v>
      </c>
      <c r="CJ11" s="8">
        <v>0.0</v>
      </c>
      <c r="CK11" s="9"/>
      <c r="CL11" s="9" t="s">
        <v>857</v>
      </c>
      <c r="CM11" s="8">
        <v>2023.0</v>
      </c>
      <c r="CN11" s="9" t="s">
        <v>858</v>
      </c>
      <c r="CO11" s="9" t="s">
        <v>859</v>
      </c>
      <c r="CP11" s="9" t="s">
        <v>860</v>
      </c>
      <c r="CQ11" s="8">
        <v>0.0</v>
      </c>
      <c r="CR11" s="8">
        <v>0.0</v>
      </c>
      <c r="CS11" s="8">
        <v>0.0</v>
      </c>
      <c r="CT11" s="8">
        <v>0.0</v>
      </c>
      <c r="CU11" s="10">
        <v>1.0</v>
      </c>
      <c r="CV11" s="10">
        <v>0.0</v>
      </c>
      <c r="CW11" s="10">
        <v>0.0</v>
      </c>
      <c r="CX11" s="8">
        <v>0.0</v>
      </c>
      <c r="CY11" s="9" t="s">
        <v>860</v>
      </c>
      <c r="CZ11" s="8">
        <v>1.0</v>
      </c>
      <c r="DA11" s="8">
        <v>0.0</v>
      </c>
      <c r="DB11" s="8">
        <v>0.0</v>
      </c>
      <c r="DC11" s="9"/>
      <c r="DD11" s="9" t="s">
        <v>937</v>
      </c>
      <c r="DE11" s="8">
        <v>1.0</v>
      </c>
      <c r="DF11" s="8">
        <v>0.0</v>
      </c>
      <c r="DG11" s="8">
        <v>1.0</v>
      </c>
      <c r="DH11" s="8">
        <v>0.0</v>
      </c>
      <c r="DI11" s="9"/>
      <c r="DJ11" s="9" t="s">
        <v>937</v>
      </c>
      <c r="DK11" s="8">
        <v>1.0</v>
      </c>
      <c r="DL11" s="8">
        <v>0.0</v>
      </c>
      <c r="DM11" s="8">
        <v>1.0</v>
      </c>
      <c r="DN11" s="8">
        <v>0.0</v>
      </c>
      <c r="DO11" s="9"/>
      <c r="DP11" s="8">
        <v>1.0</v>
      </c>
      <c r="DQ11" s="8">
        <v>0.0</v>
      </c>
      <c r="DR11" s="8">
        <v>0.0</v>
      </c>
      <c r="DS11" s="9"/>
      <c r="DT11" s="9"/>
      <c r="DU11" s="9"/>
      <c r="DV11" s="9" t="s">
        <v>857</v>
      </c>
      <c r="DW11" s="9"/>
      <c r="DX11" s="9"/>
      <c r="DY11" s="9"/>
      <c r="DZ11" s="9"/>
      <c r="EA11" s="9"/>
      <c r="EB11" s="9"/>
      <c r="EC11" s="9"/>
      <c r="ED11" s="9"/>
      <c r="EE11" s="9"/>
      <c r="EF11" s="9"/>
      <c r="EG11" s="9"/>
      <c r="EH11" s="9"/>
      <c r="EI11" s="9" t="s">
        <v>862</v>
      </c>
      <c r="EJ11" s="8">
        <v>0.0</v>
      </c>
      <c r="EK11" s="8">
        <v>0.0</v>
      </c>
      <c r="EL11" s="8">
        <v>0.0</v>
      </c>
      <c r="EM11" s="8">
        <v>1.0</v>
      </c>
      <c r="EN11" s="8">
        <v>0.0</v>
      </c>
      <c r="EO11" s="11"/>
      <c r="EP11" s="9" t="s">
        <v>863</v>
      </c>
      <c r="EQ11" s="9" t="s">
        <v>864</v>
      </c>
      <c r="ER11" s="9" t="s">
        <v>861</v>
      </c>
      <c r="ES11" s="8">
        <v>1.0</v>
      </c>
      <c r="ET11" s="8">
        <v>0.0</v>
      </c>
      <c r="EU11" s="8">
        <v>0.0</v>
      </c>
      <c r="EV11" s="8">
        <v>0.0</v>
      </c>
      <c r="EW11" s="9"/>
      <c r="EX11" s="9" t="s">
        <v>865</v>
      </c>
      <c r="EY11" s="8">
        <v>1.0</v>
      </c>
      <c r="EZ11" s="8">
        <v>0.0</v>
      </c>
      <c r="FA11" s="8">
        <v>0.0</v>
      </c>
      <c r="FB11" s="9"/>
      <c r="FC11" s="9" t="s">
        <v>866</v>
      </c>
      <c r="FD11" s="9"/>
      <c r="FE11" s="9" t="s">
        <v>867</v>
      </c>
      <c r="FF11" s="9" t="s">
        <v>868</v>
      </c>
      <c r="FG11" s="9" t="s">
        <v>867</v>
      </c>
      <c r="FH11" s="9" t="s">
        <v>869</v>
      </c>
      <c r="FI11" s="9" t="s">
        <v>867</v>
      </c>
      <c r="FJ11" s="9" t="s">
        <v>869</v>
      </c>
      <c r="FK11" s="9" t="s">
        <v>867</v>
      </c>
      <c r="FL11" s="9" t="s">
        <v>868</v>
      </c>
      <c r="FM11" s="9" t="s">
        <v>867</v>
      </c>
      <c r="FN11" s="9" t="s">
        <v>943</v>
      </c>
      <c r="FO11" s="9" t="s">
        <v>867</v>
      </c>
      <c r="FP11" s="9" t="s">
        <v>943</v>
      </c>
      <c r="FQ11" s="9" t="s">
        <v>867</v>
      </c>
      <c r="FR11" s="9" t="s">
        <v>857</v>
      </c>
      <c r="FS11" s="9" t="s">
        <v>867</v>
      </c>
      <c r="FT11" s="9" t="s">
        <v>871</v>
      </c>
      <c r="FU11" s="9" t="s">
        <v>989</v>
      </c>
      <c r="FV11" s="8">
        <v>1.0</v>
      </c>
      <c r="FW11" s="8">
        <v>1.0</v>
      </c>
      <c r="FX11" s="8">
        <v>0.0</v>
      </c>
      <c r="FY11" s="8">
        <v>0.0</v>
      </c>
      <c r="FZ11" s="9" t="s">
        <v>944</v>
      </c>
      <c r="GA11" s="9" t="s">
        <v>990</v>
      </c>
      <c r="GB11" s="8">
        <v>1.0</v>
      </c>
      <c r="GC11" s="8">
        <v>1.0</v>
      </c>
      <c r="GD11" s="8">
        <v>0.0</v>
      </c>
      <c r="GE11" s="8">
        <v>0.0</v>
      </c>
      <c r="GF11" s="9"/>
      <c r="GG11" s="9" t="s">
        <v>875</v>
      </c>
      <c r="GH11" s="9" t="s">
        <v>857</v>
      </c>
      <c r="GI11" s="9" t="s">
        <v>1086</v>
      </c>
      <c r="GJ11" s="8">
        <v>1.0</v>
      </c>
      <c r="GK11" s="8">
        <v>1.0</v>
      </c>
      <c r="GL11" s="8">
        <v>0.0</v>
      </c>
      <c r="GM11" s="8">
        <v>0.0</v>
      </c>
      <c r="GN11" s="9"/>
      <c r="GO11" s="8">
        <v>8.0</v>
      </c>
      <c r="GP11" s="9" t="s">
        <v>877</v>
      </c>
      <c r="GQ11" s="9" t="s">
        <v>878</v>
      </c>
      <c r="GR11" s="8">
        <v>1.0</v>
      </c>
      <c r="GS11" s="8">
        <v>1.0</v>
      </c>
      <c r="GT11" s="8">
        <v>0.0</v>
      </c>
      <c r="GU11" s="8">
        <v>0.0</v>
      </c>
      <c r="GV11" s="8">
        <v>0.0</v>
      </c>
      <c r="GW11" s="8">
        <v>0.0</v>
      </c>
      <c r="GX11" s="8">
        <v>0.0</v>
      </c>
      <c r="GY11" s="9"/>
      <c r="GZ11" s="9" t="s">
        <v>857</v>
      </c>
      <c r="HA11" s="8">
        <v>150.0</v>
      </c>
      <c r="HB11" s="8">
        <v>150000.0</v>
      </c>
      <c r="HC11" s="8">
        <v>25.0</v>
      </c>
      <c r="HD11" s="8">
        <v>25000.0</v>
      </c>
      <c r="HE11" s="8">
        <v>9.0</v>
      </c>
      <c r="HF11" s="8">
        <v>75000.0</v>
      </c>
      <c r="HG11" s="8">
        <v>3.0</v>
      </c>
      <c r="HH11" s="8">
        <v>25000.0</v>
      </c>
      <c r="HI11" s="9"/>
      <c r="HJ11" s="9"/>
      <c r="HK11" s="9"/>
      <c r="HL11" s="9"/>
      <c r="HM11" s="9"/>
      <c r="HN11" s="9"/>
      <c r="HO11" s="9"/>
      <c r="HP11" s="9"/>
      <c r="HQ11" s="9"/>
      <c r="HR11" s="9"/>
      <c r="HS11" s="9"/>
      <c r="HT11" s="9"/>
      <c r="HU11" s="9"/>
      <c r="HV11" s="9"/>
      <c r="HW11" s="9"/>
      <c r="HX11" s="9"/>
      <c r="HY11" s="8">
        <v>100.0</v>
      </c>
      <c r="HZ11" s="8">
        <v>100000.0</v>
      </c>
      <c r="IA11" s="8">
        <v>6.0</v>
      </c>
      <c r="IB11" s="8">
        <v>50000.0</v>
      </c>
      <c r="IC11" s="9"/>
      <c r="ID11" s="9"/>
      <c r="IE11" s="9"/>
      <c r="IF11" s="9"/>
      <c r="IG11" s="9"/>
      <c r="IH11" s="9"/>
      <c r="II11" s="9"/>
      <c r="IJ11" s="9"/>
      <c r="IK11" s="9" t="s">
        <v>879</v>
      </c>
      <c r="IL11" s="9" t="s">
        <v>880</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989</v>
      </c>
      <c r="KW11" s="8">
        <v>1.0</v>
      </c>
      <c r="KX11" s="8">
        <v>1.0</v>
      </c>
      <c r="KY11" s="8">
        <v>0.0</v>
      </c>
      <c r="KZ11" s="8">
        <v>0.0</v>
      </c>
      <c r="LA11" s="9" t="s">
        <v>884</v>
      </c>
      <c r="LB11" s="9" t="s">
        <v>884</v>
      </c>
      <c r="LC11" s="8">
        <v>0.0</v>
      </c>
      <c r="LD11" s="8">
        <v>3.0</v>
      </c>
      <c r="LE11" s="8">
        <v>0.0</v>
      </c>
      <c r="LF11" s="8">
        <v>0.0</v>
      </c>
      <c r="LG11" s="9" t="s">
        <v>857</v>
      </c>
      <c r="LH11" s="8">
        <v>100000.0</v>
      </c>
      <c r="LI11" s="9"/>
      <c r="LJ11" s="9" t="s">
        <v>887</v>
      </c>
      <c r="LK11" s="8">
        <v>0.0</v>
      </c>
      <c r="LL11" s="8">
        <v>0.0</v>
      </c>
      <c r="LM11" s="8">
        <v>0.0</v>
      </c>
      <c r="LN11" s="8">
        <v>0.0</v>
      </c>
      <c r="LO11" s="8">
        <v>1.0</v>
      </c>
      <c r="LP11" s="8">
        <v>0.0</v>
      </c>
      <c r="LQ11" s="8">
        <v>0.0</v>
      </c>
      <c r="LR11" s="9"/>
      <c r="LS11" s="8">
        <v>10.0</v>
      </c>
      <c r="LT11" s="8">
        <v>15.0</v>
      </c>
      <c r="LU11" s="8">
        <v>0.0</v>
      </c>
      <c r="LV11" s="8">
        <v>5.0</v>
      </c>
      <c r="LW11" s="8">
        <v>5.0</v>
      </c>
      <c r="LX11" s="8">
        <v>0.0</v>
      </c>
      <c r="LY11" s="8">
        <v>5.0</v>
      </c>
      <c r="LZ11" s="8">
        <v>5.0</v>
      </c>
      <c r="MA11" s="8">
        <v>0.0</v>
      </c>
      <c r="MB11" s="9" t="s">
        <v>857</v>
      </c>
      <c r="MC11" s="8">
        <v>30.0</v>
      </c>
      <c r="MD11" s="8">
        <v>15.0</v>
      </c>
      <c r="ME11" s="8">
        <v>30.0</v>
      </c>
      <c r="MF11" s="8">
        <v>15.0</v>
      </c>
      <c r="MG11" s="8">
        <v>0.0</v>
      </c>
      <c r="MH11" s="8">
        <v>0.0</v>
      </c>
      <c r="MI11" s="9" t="s">
        <v>946</v>
      </c>
      <c r="MJ11" s="8">
        <v>0.0</v>
      </c>
      <c r="MK11" s="8">
        <v>0.0</v>
      </c>
      <c r="ML11" s="8">
        <v>1.0</v>
      </c>
      <c r="MM11" s="8">
        <v>0.0</v>
      </c>
      <c r="MN11" s="8">
        <v>0.0</v>
      </c>
      <c r="MO11" s="8">
        <v>0.0</v>
      </c>
      <c r="MP11" s="9"/>
      <c r="MQ11" s="9"/>
      <c r="MR11" s="9" t="s">
        <v>1087</v>
      </c>
      <c r="MS11" s="9"/>
      <c r="MT11" s="9" t="s">
        <v>1088</v>
      </c>
      <c r="MU11" s="9" t="s">
        <v>890</v>
      </c>
      <c r="MV11" s="9" t="s">
        <v>1031</v>
      </c>
      <c r="MW11" s="8">
        <v>0.0</v>
      </c>
      <c r="MX11" s="8">
        <v>1.0</v>
      </c>
      <c r="MY11" s="8">
        <v>0.0</v>
      </c>
      <c r="MZ11" s="8">
        <v>0.0</v>
      </c>
      <c r="NA11" s="9"/>
      <c r="NB11" s="8">
        <v>3.0</v>
      </c>
      <c r="NC11" s="9"/>
      <c r="ND11" s="9"/>
      <c r="NE11" s="9"/>
      <c r="NF11" s="9"/>
      <c r="NG11" s="9"/>
      <c r="NH11" s="9"/>
      <c r="NI11" s="9"/>
      <c r="NJ11" s="9"/>
      <c r="NK11" s="9"/>
      <c r="NL11" s="9" t="s">
        <v>881</v>
      </c>
      <c r="NM11" s="9" t="s">
        <v>893</v>
      </c>
      <c r="NN11" s="9" t="s">
        <v>993</v>
      </c>
      <c r="NO11" s="9" t="s">
        <v>973</v>
      </c>
      <c r="NP11" s="9"/>
      <c r="NQ11" s="9"/>
      <c r="NR11" s="9"/>
      <c r="NS11" s="9"/>
      <c r="NT11" s="9"/>
      <c r="NU11" s="9"/>
      <c r="NV11" s="9" t="s">
        <v>896</v>
      </c>
      <c r="NW11" s="9"/>
      <c r="NX11" s="9" t="s">
        <v>897</v>
      </c>
      <c r="NY11" s="8">
        <v>30.0</v>
      </c>
      <c r="NZ11" s="8">
        <v>30.0</v>
      </c>
      <c r="OA11" s="8">
        <v>0.0</v>
      </c>
      <c r="OB11" s="8">
        <v>5.0</v>
      </c>
      <c r="OC11" s="8">
        <v>5.0</v>
      </c>
      <c r="OD11" s="8">
        <v>0.0</v>
      </c>
      <c r="OE11" s="9" t="s">
        <v>898</v>
      </c>
      <c r="OF11" s="9" t="s">
        <v>899</v>
      </c>
      <c r="OG11" s="9" t="s">
        <v>857</v>
      </c>
      <c r="OH11" s="8">
        <v>0.0</v>
      </c>
      <c r="OI11" s="8">
        <v>5.0</v>
      </c>
      <c r="OJ11" s="8">
        <v>0.0</v>
      </c>
      <c r="OK11" s="8">
        <v>0.0</v>
      </c>
      <c r="OL11" s="8">
        <v>0.0</v>
      </c>
      <c r="OM11" s="8">
        <v>0.0</v>
      </c>
      <c r="ON11" s="8">
        <v>0.0</v>
      </c>
      <c r="OO11" s="8">
        <v>0.0</v>
      </c>
      <c r="OP11" s="9" t="s">
        <v>2948</v>
      </c>
      <c r="OQ11" s="8">
        <v>0.0</v>
      </c>
      <c r="OR11" s="8">
        <v>1.0</v>
      </c>
      <c r="OS11" s="8">
        <v>0.0</v>
      </c>
      <c r="OT11" s="8">
        <v>0.0</v>
      </c>
      <c r="OU11" s="8">
        <v>0.0</v>
      </c>
      <c r="OV11" s="8">
        <v>0.0</v>
      </c>
      <c r="OW11" s="8">
        <v>0.0</v>
      </c>
      <c r="OX11" s="8">
        <v>0.0</v>
      </c>
      <c r="OY11" s="9"/>
      <c r="OZ11" s="9"/>
      <c r="PA11" s="9"/>
      <c r="PB11" s="9"/>
      <c r="PC11" s="9"/>
      <c r="PD11" s="9"/>
      <c r="PE11" s="9"/>
      <c r="PF11" s="9"/>
      <c r="PG11" s="9"/>
      <c r="PH11" s="9"/>
      <c r="PI11" s="9"/>
      <c r="PJ11" s="9" t="s">
        <v>900</v>
      </c>
      <c r="PK11" s="8">
        <v>0.0</v>
      </c>
      <c r="PL11" s="8">
        <v>0.0</v>
      </c>
      <c r="PM11" s="8">
        <v>0.0</v>
      </c>
      <c r="PN11" s="8">
        <v>0.0</v>
      </c>
      <c r="PO11" s="8">
        <v>0.0</v>
      </c>
      <c r="PP11" s="8">
        <v>1.0</v>
      </c>
      <c r="PQ11" s="8">
        <v>0.0</v>
      </c>
      <c r="PR11" s="8">
        <v>0.0</v>
      </c>
      <c r="PS11" s="8">
        <v>0.0</v>
      </c>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8">
        <v>5.0</v>
      </c>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t="s">
        <v>901</v>
      </c>
      <c r="UB11" s="9"/>
      <c r="UC11" s="9"/>
      <c r="UD11" s="9"/>
      <c r="UE11" s="9"/>
      <c r="UF11" s="9"/>
      <c r="UG11" s="9"/>
      <c r="UH11" s="9"/>
      <c r="UI11" s="9" t="s">
        <v>950</v>
      </c>
      <c r="UJ11" s="9"/>
      <c r="UK11" s="9"/>
      <c r="UL11" s="9"/>
      <c r="UM11" s="9"/>
      <c r="UN11" s="9"/>
      <c r="UO11" s="9"/>
      <c r="UP11" s="9"/>
      <c r="UQ11" s="9" t="s">
        <v>903</v>
      </c>
      <c r="UR11" s="9"/>
      <c r="US11" s="9"/>
      <c r="UT11" s="9"/>
      <c r="UU11" s="9"/>
      <c r="UV11" s="9"/>
      <c r="UW11" s="9"/>
      <c r="UX11" s="9"/>
      <c r="UY11" s="9"/>
      <c r="UZ11" s="9"/>
      <c r="VA11" s="9"/>
      <c r="VB11" s="9"/>
      <c r="VC11" s="9"/>
      <c r="VD11" s="9"/>
      <c r="VE11" s="9"/>
      <c r="VF11" s="9"/>
      <c r="VG11" s="9"/>
      <c r="VH11" s="9"/>
      <c r="VI11" s="9"/>
      <c r="VJ11" s="9"/>
      <c r="VK11" s="9" t="s">
        <v>1089</v>
      </c>
      <c r="VL11" s="8">
        <v>0.0</v>
      </c>
      <c r="VM11" s="8">
        <v>0.0</v>
      </c>
      <c r="VN11" s="8">
        <v>1.0</v>
      </c>
      <c r="VO11" s="8">
        <v>1.0</v>
      </c>
      <c r="VP11" s="8">
        <v>1.0</v>
      </c>
      <c r="VQ11" s="8">
        <v>0.0</v>
      </c>
      <c r="VR11" s="8">
        <v>0.0</v>
      </c>
      <c r="VS11" s="8">
        <v>0.0</v>
      </c>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8">
        <v>2.0</v>
      </c>
      <c r="ZC11" s="9"/>
      <c r="ZD11" s="9"/>
      <c r="ZE11" s="9"/>
      <c r="ZF11" s="9"/>
      <c r="ZG11" s="9"/>
      <c r="ZH11" s="9"/>
      <c r="ZI11" s="9"/>
      <c r="ZJ11" s="9" t="s">
        <v>905</v>
      </c>
      <c r="ZK11" s="9"/>
      <c r="ZL11" s="9"/>
      <c r="ZM11" s="9"/>
      <c r="ZN11" s="9"/>
      <c r="ZO11" s="9"/>
      <c r="ZP11" s="9"/>
      <c r="ZQ11" s="9" t="s">
        <v>857</v>
      </c>
      <c r="ZR11" s="9" t="s">
        <v>1033</v>
      </c>
      <c r="ZS11" s="8">
        <v>1.0</v>
      </c>
      <c r="ZT11" s="8">
        <v>1.0</v>
      </c>
      <c r="ZU11" s="8">
        <v>250000.0</v>
      </c>
      <c r="ZV11" s="8">
        <v>250.0</v>
      </c>
      <c r="ZW11" s="9" t="s">
        <v>857</v>
      </c>
      <c r="ZX11" s="9" t="s">
        <v>867</v>
      </c>
      <c r="ZY11" s="9" t="s">
        <v>1074</v>
      </c>
      <c r="ZZ11" s="8">
        <v>1.0</v>
      </c>
      <c r="AAA11" s="8">
        <v>0.0</v>
      </c>
      <c r="AAB11" s="8">
        <v>0.0</v>
      </c>
      <c r="AAC11" s="8">
        <v>1.0</v>
      </c>
      <c r="AAD11" s="8">
        <v>1.0</v>
      </c>
      <c r="AAE11" s="8">
        <v>0.0</v>
      </c>
      <c r="AAF11" s="8">
        <v>0.0</v>
      </c>
      <c r="AAG11" s="9" t="s">
        <v>907</v>
      </c>
      <c r="AAH11" s="8">
        <v>1.0</v>
      </c>
      <c r="AAI11" s="8">
        <v>0.0</v>
      </c>
      <c r="AAJ11" s="8">
        <v>0.0</v>
      </c>
      <c r="AAK11" s="8">
        <v>0.0</v>
      </c>
      <c r="AAL11" s="8">
        <v>0.0</v>
      </c>
      <c r="AAM11" s="9"/>
      <c r="AAN11" s="9"/>
      <c r="AAO11" s="9"/>
      <c r="AAP11" s="9"/>
      <c r="AAQ11" s="9"/>
      <c r="AAR11" s="9"/>
      <c r="AAS11" s="9"/>
      <c r="AAT11" s="9"/>
      <c r="AAU11" s="9"/>
      <c r="AAV11" s="11" t="s">
        <v>953</v>
      </c>
      <c r="AAW11" s="9" t="s">
        <v>1075</v>
      </c>
      <c r="AAX11" s="8">
        <v>2500.0</v>
      </c>
      <c r="AAY11" s="8">
        <v>2000.0</v>
      </c>
      <c r="AAZ11" s="8">
        <v>400.0</v>
      </c>
      <c r="ABA11" s="8">
        <v>400.0</v>
      </c>
      <c r="ABB11" s="9" t="s">
        <v>910</v>
      </c>
      <c r="ABC11" s="9"/>
      <c r="ABD11" s="8">
        <v>20.0</v>
      </c>
      <c r="ABE11" s="8">
        <v>10.0</v>
      </c>
      <c r="ABF11" s="8">
        <v>10.0</v>
      </c>
      <c r="ABG11" s="8">
        <v>5000.0</v>
      </c>
      <c r="ABH11" s="8">
        <v>400.0</v>
      </c>
      <c r="ABI11" s="8">
        <v>600.0</v>
      </c>
      <c r="ABJ11" s="9" t="s">
        <v>857</v>
      </c>
      <c r="ABK11" s="9" t="s">
        <v>911</v>
      </c>
      <c r="ABL11" s="9" t="s">
        <v>911</v>
      </c>
      <c r="ABM11" s="9" t="s">
        <v>911</v>
      </c>
      <c r="ABN11" s="9"/>
      <c r="ABO11" s="9"/>
      <c r="ABP11" s="9" t="s">
        <v>976</v>
      </c>
      <c r="ABQ11" s="8">
        <v>0.0</v>
      </c>
      <c r="ABR11" s="8">
        <v>0.0</v>
      </c>
      <c r="ABS11" s="8">
        <v>1.0</v>
      </c>
      <c r="ABT11" s="8">
        <v>1.0</v>
      </c>
      <c r="ABU11" s="8">
        <v>0.0</v>
      </c>
      <c r="ABV11" s="8">
        <v>0.0</v>
      </c>
      <c r="ABW11" s="8">
        <v>0.0</v>
      </c>
      <c r="ABX11" s="9"/>
      <c r="ABY11" s="9" t="s">
        <v>912</v>
      </c>
      <c r="ABZ11" s="9" t="s">
        <v>913</v>
      </c>
      <c r="ACA11" s="9" t="s">
        <v>957</v>
      </c>
      <c r="ACB11" s="9" t="s">
        <v>915</v>
      </c>
      <c r="ACC11" s="9" t="s">
        <v>916</v>
      </c>
      <c r="ACD11" s="9" t="s">
        <v>1017</v>
      </c>
      <c r="ACE11" s="8">
        <v>1.0</v>
      </c>
      <c r="ACF11" s="8">
        <v>1.0</v>
      </c>
      <c r="ACG11" s="8">
        <v>1.0</v>
      </c>
      <c r="ACH11" s="8">
        <v>0.0</v>
      </c>
      <c r="ACI11" s="9" t="s">
        <v>917</v>
      </c>
      <c r="ACJ11" s="9" t="s">
        <v>917</v>
      </c>
      <c r="ACK11" s="9" t="s">
        <v>917</v>
      </c>
      <c r="ACL11" s="9" t="s">
        <v>917</v>
      </c>
      <c r="ACM11" s="9" t="s">
        <v>881</v>
      </c>
      <c r="ACN11" s="9"/>
      <c r="ACO11" s="9" t="s">
        <v>917</v>
      </c>
      <c r="ACP11" s="9"/>
      <c r="ACQ11" s="9"/>
      <c r="ACR11" s="9"/>
      <c r="ACS11" s="9"/>
      <c r="ACT11" s="9"/>
      <c r="ACU11" s="9"/>
      <c r="ACV11" s="9"/>
      <c r="ACW11" s="9"/>
      <c r="ACX11" s="9"/>
      <c r="ACY11" s="9"/>
      <c r="ACZ11" s="9" t="s">
        <v>1018</v>
      </c>
      <c r="ADA11" s="8">
        <v>0.0</v>
      </c>
      <c r="ADB11" s="8">
        <v>0.0</v>
      </c>
      <c r="ADC11" s="8">
        <v>0.0</v>
      </c>
      <c r="ADD11" s="8">
        <v>0.0</v>
      </c>
      <c r="ADE11" s="8">
        <v>1.0</v>
      </c>
      <c r="ADF11" s="8">
        <v>1.0</v>
      </c>
      <c r="ADG11" s="8">
        <v>0.0</v>
      </c>
      <c r="ADH11" s="8">
        <v>0.0</v>
      </c>
      <c r="ADI11" s="12"/>
      <c r="ADJ11" s="17" t="s">
        <v>872</v>
      </c>
      <c r="ADK11" s="9"/>
      <c r="ADL11" s="17" t="s">
        <v>920</v>
      </c>
      <c r="ADM11" s="9"/>
      <c r="ADN11" s="11" t="s">
        <v>999</v>
      </c>
      <c r="ADO11" s="9" t="s">
        <v>871</v>
      </c>
      <c r="ADP11" s="17" t="s">
        <v>1076</v>
      </c>
      <c r="ADQ11" s="18">
        <v>1.0</v>
      </c>
      <c r="ADR11" s="18">
        <v>1.0</v>
      </c>
      <c r="ADS11" s="18">
        <v>1.0</v>
      </c>
      <c r="ADT11" s="18">
        <v>1.0</v>
      </c>
      <c r="ADU11" s="18">
        <v>1.0</v>
      </c>
      <c r="ADV11" s="18">
        <v>1.0</v>
      </c>
      <c r="ADW11" s="18">
        <v>1.0</v>
      </c>
      <c r="ADX11" s="18">
        <v>1.0</v>
      </c>
      <c r="ADY11" s="18">
        <v>0.0</v>
      </c>
      <c r="ADZ11" s="18">
        <v>0.0</v>
      </c>
      <c r="AEA11" s="18">
        <v>0.0</v>
      </c>
      <c r="AEB11" s="18">
        <v>0.0</v>
      </c>
      <c r="AEC11" s="9"/>
      <c r="AED11" s="9" t="s">
        <v>923</v>
      </c>
      <c r="AEE11" s="9"/>
      <c r="AEF11" s="9" t="s">
        <v>924</v>
      </c>
      <c r="AEG11" s="9"/>
      <c r="AEH11" s="9" t="s">
        <v>1090</v>
      </c>
      <c r="AEI11" s="16" t="s">
        <v>1091</v>
      </c>
      <c r="AEJ11" s="9" t="s">
        <v>1092</v>
      </c>
      <c r="AEK11" s="16" t="s">
        <v>1093</v>
      </c>
      <c r="AEL11" s="9" t="s">
        <v>983</v>
      </c>
      <c r="AEM11" s="9"/>
      <c r="AEN11" s="9"/>
    </row>
    <row r="12">
      <c r="A12" s="6">
        <v>46058.0</v>
      </c>
      <c r="B12" s="6">
        <v>46058.0</v>
      </c>
      <c r="C12" s="7" t="s">
        <v>837</v>
      </c>
      <c r="D12" s="7" t="s">
        <v>1094</v>
      </c>
      <c r="E12" s="8">
        <f>+6288141110797</f>
        <v>6288141110797</v>
      </c>
      <c r="F12" s="9"/>
      <c r="G12" s="8">
        <v>-7.38530844</v>
      </c>
      <c r="H12" s="8">
        <v>110.3113402</v>
      </c>
      <c r="I12" s="9"/>
      <c r="J12" s="8">
        <v>4.91</v>
      </c>
      <c r="K12" s="9"/>
      <c r="L12" s="9"/>
      <c r="M12" s="8">
        <v>-7.38581244</v>
      </c>
      <c r="N12" s="8">
        <v>110.3112788</v>
      </c>
      <c r="O12" s="9"/>
      <c r="P12" s="8">
        <v>4.86</v>
      </c>
      <c r="Q12" s="9"/>
      <c r="R12" s="9" t="s">
        <v>839</v>
      </c>
      <c r="S12" s="9"/>
      <c r="T12" s="9"/>
      <c r="U12" s="9"/>
      <c r="V12" s="9"/>
      <c r="W12" s="9"/>
      <c r="X12" s="9"/>
      <c r="Y12" s="9"/>
      <c r="Z12" s="9"/>
      <c r="AA12" s="9"/>
      <c r="AB12" s="9"/>
      <c r="AC12" s="7" t="s">
        <v>840</v>
      </c>
      <c r="AD12" s="7" t="s">
        <v>1095</v>
      </c>
      <c r="AE12" s="7" t="s">
        <v>1096</v>
      </c>
      <c r="AF12" s="9" t="s">
        <v>1070</v>
      </c>
      <c r="AG12" s="9" t="s">
        <v>1097</v>
      </c>
      <c r="AH12" s="8">
        <v>2.0</v>
      </c>
      <c r="AI12" s="9" t="s">
        <v>845</v>
      </c>
      <c r="AJ12" s="9" t="s">
        <v>846</v>
      </c>
      <c r="AK12" s="8">
        <v>26.0</v>
      </c>
      <c r="AL12" s="9" t="s">
        <v>847</v>
      </c>
      <c r="AM12" s="9" t="s">
        <v>1098</v>
      </c>
      <c r="AN12" s="9" t="s">
        <v>1099</v>
      </c>
      <c r="AO12" s="9" t="s">
        <v>1100</v>
      </c>
      <c r="AP12" s="8">
        <v>0.0</v>
      </c>
      <c r="AQ12" s="8">
        <v>0.0</v>
      </c>
      <c r="AR12" s="8">
        <v>0.0</v>
      </c>
      <c r="AS12" s="8">
        <v>0.0</v>
      </c>
      <c r="AT12" s="8">
        <v>0.0</v>
      </c>
      <c r="AU12" s="8">
        <v>1.0</v>
      </c>
      <c r="AV12" s="8">
        <v>0.0</v>
      </c>
      <c r="AW12" s="8">
        <v>0.0</v>
      </c>
      <c r="AX12" s="9"/>
      <c r="AY12" s="9" t="s">
        <v>935</v>
      </c>
      <c r="AZ12" s="8">
        <v>0.0</v>
      </c>
      <c r="BA12" s="8">
        <v>1.0</v>
      </c>
      <c r="BB12" s="8">
        <v>0.0</v>
      </c>
      <c r="BC12" s="8">
        <v>0.0</v>
      </c>
      <c r="BD12" s="8">
        <v>0.0</v>
      </c>
      <c r="BE12" s="8">
        <v>0.0</v>
      </c>
      <c r="BF12" s="8">
        <v>0.0</v>
      </c>
      <c r="BG12" s="8">
        <v>0.0</v>
      </c>
      <c r="BH12" s="9"/>
      <c r="BI12" s="9" t="s">
        <v>1101</v>
      </c>
      <c r="BJ12" s="8">
        <v>1.0</v>
      </c>
      <c r="BK12" s="8">
        <v>2.0</v>
      </c>
      <c r="BL12" s="8">
        <v>0.0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2023.0</v>
      </c>
      <c r="CN12" s="9" t="s">
        <v>858</v>
      </c>
      <c r="CO12" s="9" t="s">
        <v>859</v>
      </c>
      <c r="CP12" s="9" t="s">
        <v>860</v>
      </c>
      <c r="CQ12" s="8">
        <v>0.0</v>
      </c>
      <c r="CR12" s="8">
        <v>0.0</v>
      </c>
      <c r="CS12" s="8">
        <v>0.0</v>
      </c>
      <c r="CT12" s="8">
        <v>0.0</v>
      </c>
      <c r="CU12" s="10">
        <v>1.0</v>
      </c>
      <c r="CV12" s="10">
        <v>0.0</v>
      </c>
      <c r="CW12" s="10">
        <v>0.0</v>
      </c>
      <c r="CX12" s="8">
        <v>0.0</v>
      </c>
      <c r="CY12" s="9" t="s">
        <v>860</v>
      </c>
      <c r="CZ12" s="8">
        <v>1.0</v>
      </c>
      <c r="DA12" s="8">
        <v>0.0</v>
      </c>
      <c r="DB12" s="8">
        <v>0.0</v>
      </c>
      <c r="DC12" s="9"/>
      <c r="DD12" s="9" t="s">
        <v>937</v>
      </c>
      <c r="DE12" s="8">
        <v>1.0</v>
      </c>
      <c r="DF12" s="8">
        <v>0.0</v>
      </c>
      <c r="DG12" s="8">
        <v>1.0</v>
      </c>
      <c r="DH12" s="8">
        <v>0.0</v>
      </c>
      <c r="DI12" s="9"/>
      <c r="DJ12" s="9" t="s">
        <v>937</v>
      </c>
      <c r="DK12" s="8">
        <v>1.0</v>
      </c>
      <c r="DL12" s="8">
        <v>0.0</v>
      </c>
      <c r="DM12" s="8">
        <v>1.0</v>
      </c>
      <c r="DN12" s="8">
        <v>0.0</v>
      </c>
      <c r="DO12" s="9"/>
      <c r="DP12" s="8">
        <v>1.0</v>
      </c>
      <c r="DQ12" s="8">
        <v>0.0</v>
      </c>
      <c r="DR12" s="8">
        <v>0.0</v>
      </c>
      <c r="DS12" s="9"/>
      <c r="DT12" s="9"/>
      <c r="DU12" s="9"/>
      <c r="DV12" s="9" t="s">
        <v>857</v>
      </c>
      <c r="DW12" s="9"/>
      <c r="DX12" s="9"/>
      <c r="DY12" s="9"/>
      <c r="DZ12" s="9"/>
      <c r="EA12" s="9"/>
      <c r="EB12" s="9"/>
      <c r="EC12" s="9"/>
      <c r="ED12" s="9"/>
      <c r="EE12" s="9"/>
      <c r="EF12" s="9"/>
      <c r="EG12" s="9"/>
      <c r="EH12" s="9"/>
      <c r="EI12" s="9" t="s">
        <v>862</v>
      </c>
      <c r="EJ12" s="8">
        <v>0.0</v>
      </c>
      <c r="EK12" s="8">
        <v>0.0</v>
      </c>
      <c r="EL12" s="8">
        <v>0.0</v>
      </c>
      <c r="EM12" s="8">
        <v>1.0</v>
      </c>
      <c r="EN12" s="8">
        <v>0.0</v>
      </c>
      <c r="EO12" s="11"/>
      <c r="EP12" s="9" t="s">
        <v>863</v>
      </c>
      <c r="EQ12" s="9" t="s">
        <v>864</v>
      </c>
      <c r="ER12" s="9" t="s">
        <v>1046</v>
      </c>
      <c r="ES12" s="8">
        <v>1.0</v>
      </c>
      <c r="ET12" s="8">
        <v>1.0</v>
      </c>
      <c r="EU12" s="8">
        <v>0.0</v>
      </c>
      <c r="EV12" s="8">
        <v>0.0</v>
      </c>
      <c r="EW12" s="9"/>
      <c r="EX12" s="9" t="s">
        <v>865</v>
      </c>
      <c r="EY12" s="8">
        <v>1.0</v>
      </c>
      <c r="EZ12" s="8">
        <v>0.0</v>
      </c>
      <c r="FA12" s="8">
        <v>0.0</v>
      </c>
      <c r="FB12" s="9"/>
      <c r="FC12" s="9" t="s">
        <v>1072</v>
      </c>
      <c r="FD12" s="9"/>
      <c r="FE12" s="9" t="s">
        <v>867</v>
      </c>
      <c r="FF12" s="9" t="s">
        <v>868</v>
      </c>
      <c r="FG12" s="9" t="s">
        <v>867</v>
      </c>
      <c r="FH12" s="9" t="s">
        <v>869</v>
      </c>
      <c r="FI12" s="9" t="s">
        <v>867</v>
      </c>
      <c r="FJ12" s="9" t="s">
        <v>868</v>
      </c>
      <c r="FK12" s="9" t="s">
        <v>867</v>
      </c>
      <c r="FL12" s="9" t="s">
        <v>869</v>
      </c>
      <c r="FM12" s="9" t="s">
        <v>867</v>
      </c>
      <c r="FN12" s="9" t="s">
        <v>868</v>
      </c>
      <c r="FO12" s="9" t="s">
        <v>867</v>
      </c>
      <c r="FP12" s="9" t="s">
        <v>943</v>
      </c>
      <c r="FQ12" s="9" t="s">
        <v>867</v>
      </c>
      <c r="FR12" s="9" t="s">
        <v>857</v>
      </c>
      <c r="FS12" s="9" t="s">
        <v>867</v>
      </c>
      <c r="FT12" s="9" t="s">
        <v>871</v>
      </c>
      <c r="FU12" s="9" t="s">
        <v>989</v>
      </c>
      <c r="FV12" s="8">
        <v>1.0</v>
      </c>
      <c r="FW12" s="8">
        <v>1.0</v>
      </c>
      <c r="FX12" s="8">
        <v>0.0</v>
      </c>
      <c r="FY12" s="8">
        <v>0.0</v>
      </c>
      <c r="FZ12" s="9" t="s">
        <v>944</v>
      </c>
      <c r="GA12" s="9" t="s">
        <v>990</v>
      </c>
      <c r="GB12" s="8">
        <v>1.0</v>
      </c>
      <c r="GC12" s="8">
        <v>1.0</v>
      </c>
      <c r="GD12" s="8">
        <v>0.0</v>
      </c>
      <c r="GE12" s="8">
        <v>0.0</v>
      </c>
      <c r="GF12" s="9"/>
      <c r="GG12" s="9" t="s">
        <v>875</v>
      </c>
      <c r="GH12" s="9" t="s">
        <v>857</v>
      </c>
      <c r="GI12" s="9" t="s">
        <v>1086</v>
      </c>
      <c r="GJ12" s="8">
        <v>1.0</v>
      </c>
      <c r="GK12" s="8">
        <v>1.0</v>
      </c>
      <c r="GL12" s="8">
        <v>0.0</v>
      </c>
      <c r="GM12" s="8">
        <v>0.0</v>
      </c>
      <c r="GN12" s="9"/>
      <c r="GO12" s="8">
        <v>8.0</v>
      </c>
      <c r="GP12" s="9" t="s">
        <v>877</v>
      </c>
      <c r="GQ12" s="9" t="s">
        <v>1102</v>
      </c>
      <c r="GR12" s="8">
        <v>1.0</v>
      </c>
      <c r="GS12" s="8">
        <v>0.0</v>
      </c>
      <c r="GT12" s="8">
        <v>0.0</v>
      </c>
      <c r="GU12" s="8">
        <v>0.0</v>
      </c>
      <c r="GV12" s="8">
        <v>0.0</v>
      </c>
      <c r="GW12" s="8">
        <v>0.0</v>
      </c>
      <c r="GX12" s="8">
        <v>0.0</v>
      </c>
      <c r="GY12" s="9"/>
      <c r="GZ12" s="9" t="s">
        <v>857</v>
      </c>
      <c r="HA12" s="9"/>
      <c r="HB12" s="9"/>
      <c r="HC12" s="9"/>
      <c r="HD12" s="9"/>
      <c r="HE12" s="8">
        <v>9.0</v>
      </c>
      <c r="HF12" s="8">
        <v>75000.0</v>
      </c>
      <c r="HG12" s="8">
        <v>3.0</v>
      </c>
      <c r="HH12" s="8">
        <v>25000.0</v>
      </c>
      <c r="HI12" s="9"/>
      <c r="HJ12" s="9"/>
      <c r="HK12" s="9"/>
      <c r="HL12" s="9"/>
      <c r="HM12" s="9"/>
      <c r="HN12" s="9"/>
      <c r="HO12" s="9"/>
      <c r="HP12" s="9"/>
      <c r="HQ12" s="9"/>
      <c r="HR12" s="9"/>
      <c r="HS12" s="9"/>
      <c r="HT12" s="9"/>
      <c r="HU12" s="9"/>
      <c r="HV12" s="9"/>
      <c r="HW12" s="9"/>
      <c r="HX12" s="9"/>
      <c r="HY12" s="9"/>
      <c r="HZ12" s="9"/>
      <c r="IA12" s="8">
        <v>6.0</v>
      </c>
      <c r="IB12" s="8">
        <v>50000.0</v>
      </c>
      <c r="IC12" s="9"/>
      <c r="ID12" s="9"/>
      <c r="IE12" s="9"/>
      <c r="IF12" s="9"/>
      <c r="IG12" s="9"/>
      <c r="IH12" s="9"/>
      <c r="II12" s="9"/>
      <c r="IJ12" s="9"/>
      <c r="IK12" s="9" t="s">
        <v>879</v>
      </c>
      <c r="IL12" s="9" t="s">
        <v>880</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884</v>
      </c>
      <c r="KT12" s="9" t="s">
        <v>886</v>
      </c>
      <c r="KU12" s="9" t="s">
        <v>886</v>
      </c>
      <c r="KV12" s="9" t="s">
        <v>989</v>
      </c>
      <c r="KW12" s="8">
        <v>1.0</v>
      </c>
      <c r="KX12" s="8">
        <v>1.0</v>
      </c>
      <c r="KY12" s="8">
        <v>0.0</v>
      </c>
      <c r="KZ12" s="8">
        <v>0.0</v>
      </c>
      <c r="LA12" s="9" t="s">
        <v>884</v>
      </c>
      <c r="LB12" s="9" t="s">
        <v>884</v>
      </c>
      <c r="LC12" s="8">
        <v>0.0</v>
      </c>
      <c r="LD12" s="8">
        <v>3.0</v>
      </c>
      <c r="LE12" s="8">
        <v>0.0</v>
      </c>
      <c r="LF12" s="8">
        <v>0.0</v>
      </c>
      <c r="LG12" s="9" t="s">
        <v>857</v>
      </c>
      <c r="LH12" s="8">
        <v>100000.0</v>
      </c>
      <c r="LI12" s="9"/>
      <c r="LJ12" s="9" t="s">
        <v>887</v>
      </c>
      <c r="LK12" s="8">
        <v>0.0</v>
      </c>
      <c r="LL12" s="8">
        <v>0.0</v>
      </c>
      <c r="LM12" s="8">
        <v>0.0</v>
      </c>
      <c r="LN12" s="8">
        <v>0.0</v>
      </c>
      <c r="LO12" s="8">
        <v>1.0</v>
      </c>
      <c r="LP12" s="8">
        <v>0.0</v>
      </c>
      <c r="LQ12" s="8">
        <v>0.0</v>
      </c>
      <c r="LR12" s="9"/>
      <c r="LS12" s="8">
        <v>15.0</v>
      </c>
      <c r="LT12" s="8">
        <v>15.0</v>
      </c>
      <c r="LU12" s="8">
        <v>0.0</v>
      </c>
      <c r="LV12" s="8">
        <v>5.0</v>
      </c>
      <c r="LW12" s="8">
        <v>5.0</v>
      </c>
      <c r="LX12" s="8">
        <v>0.0</v>
      </c>
      <c r="LY12" s="8">
        <v>5.0</v>
      </c>
      <c r="LZ12" s="8">
        <v>5.0</v>
      </c>
      <c r="MA12" s="8">
        <v>0.0</v>
      </c>
      <c r="MB12" s="9" t="s">
        <v>857</v>
      </c>
      <c r="MC12" s="8">
        <v>30.0</v>
      </c>
      <c r="MD12" s="8">
        <v>15.0</v>
      </c>
      <c r="ME12" s="8">
        <v>30.0</v>
      </c>
      <c r="MF12" s="8">
        <v>15.0</v>
      </c>
      <c r="MG12" s="8">
        <v>0.0</v>
      </c>
      <c r="MH12" s="8">
        <v>0.0</v>
      </c>
      <c r="MI12" s="9" t="s">
        <v>946</v>
      </c>
      <c r="MJ12" s="8">
        <v>0.0</v>
      </c>
      <c r="MK12" s="8">
        <v>0.0</v>
      </c>
      <c r="ML12" s="8">
        <v>1.0</v>
      </c>
      <c r="MM12" s="8">
        <v>0.0</v>
      </c>
      <c r="MN12" s="8">
        <v>0.0</v>
      </c>
      <c r="MO12" s="8">
        <v>0.0</v>
      </c>
      <c r="MP12" s="9"/>
      <c r="MQ12" s="9"/>
      <c r="MR12" s="9" t="s">
        <v>991</v>
      </c>
      <c r="MS12" s="9"/>
      <c r="MT12" s="9" t="s">
        <v>1103</v>
      </c>
      <c r="MU12" s="9" t="s">
        <v>1030</v>
      </c>
      <c r="MV12" s="9" t="s">
        <v>1104</v>
      </c>
      <c r="MW12" s="8">
        <v>1.0</v>
      </c>
      <c r="MX12" s="8">
        <v>1.0</v>
      </c>
      <c r="MY12" s="8">
        <v>0.0</v>
      </c>
      <c r="MZ12" s="8">
        <v>0.0</v>
      </c>
      <c r="NA12" s="9"/>
      <c r="NB12" s="9"/>
      <c r="NC12" s="9"/>
      <c r="ND12" s="9"/>
      <c r="NE12" s="9"/>
      <c r="NF12" s="9"/>
      <c r="NG12" s="9"/>
      <c r="NH12" s="9"/>
      <c r="NI12" s="9"/>
      <c r="NJ12" s="9"/>
      <c r="NK12" s="9"/>
      <c r="NL12" s="9" t="s">
        <v>881</v>
      </c>
      <c r="NM12" s="9" t="s">
        <v>893</v>
      </c>
      <c r="NN12" s="9" t="s">
        <v>993</v>
      </c>
      <c r="NO12" s="9" t="s">
        <v>973</v>
      </c>
      <c r="NP12" s="9"/>
      <c r="NQ12" s="9"/>
      <c r="NR12" s="9"/>
      <c r="NS12" s="9"/>
      <c r="NT12" s="9"/>
      <c r="NU12" s="9"/>
      <c r="NV12" s="9" t="s">
        <v>896</v>
      </c>
      <c r="NW12" s="9"/>
      <c r="NX12" s="9" t="s">
        <v>897</v>
      </c>
      <c r="NY12" s="8">
        <v>45.0</v>
      </c>
      <c r="NZ12" s="8">
        <v>20.0</v>
      </c>
      <c r="OA12" s="8">
        <v>0.0</v>
      </c>
      <c r="OB12" s="8">
        <v>5.0</v>
      </c>
      <c r="OC12" s="8">
        <v>5.0</v>
      </c>
      <c r="OD12" s="8">
        <v>0.0</v>
      </c>
      <c r="OE12" s="9" t="s">
        <v>898</v>
      </c>
      <c r="OF12" s="9" t="s">
        <v>899</v>
      </c>
      <c r="OG12" s="9" t="s">
        <v>857</v>
      </c>
      <c r="OH12" s="8">
        <v>0.0</v>
      </c>
      <c r="OI12" s="8">
        <v>2.0</v>
      </c>
      <c r="OJ12" s="8">
        <v>0.0</v>
      </c>
      <c r="OK12" s="8">
        <v>0.0</v>
      </c>
      <c r="OL12" s="8">
        <v>0.0</v>
      </c>
      <c r="OM12" s="8">
        <v>0.0</v>
      </c>
      <c r="ON12" s="8">
        <v>0.0</v>
      </c>
      <c r="OO12" s="8">
        <v>0.0</v>
      </c>
      <c r="OP12" s="9" t="s">
        <v>2948</v>
      </c>
      <c r="OQ12" s="8">
        <v>0.0</v>
      </c>
      <c r="OR12" s="8">
        <v>1.0</v>
      </c>
      <c r="OS12" s="8">
        <v>0.0</v>
      </c>
      <c r="OT12" s="8">
        <v>0.0</v>
      </c>
      <c r="OU12" s="8">
        <v>0.0</v>
      </c>
      <c r="OV12" s="8">
        <v>0.0</v>
      </c>
      <c r="OW12" s="8">
        <v>0.0</v>
      </c>
      <c r="OX12" s="8">
        <v>0.0</v>
      </c>
      <c r="OY12" s="9"/>
      <c r="OZ12" s="9"/>
      <c r="PA12" s="9"/>
      <c r="PB12" s="9"/>
      <c r="PC12" s="9"/>
      <c r="PD12" s="9"/>
      <c r="PE12" s="9"/>
      <c r="PF12" s="9"/>
      <c r="PG12" s="9"/>
      <c r="PH12" s="9"/>
      <c r="PI12" s="9"/>
      <c r="PJ12" s="9" t="s">
        <v>900</v>
      </c>
      <c r="PK12" s="8">
        <v>0.0</v>
      </c>
      <c r="PL12" s="8">
        <v>0.0</v>
      </c>
      <c r="PM12" s="8">
        <v>0.0</v>
      </c>
      <c r="PN12" s="8">
        <v>0.0</v>
      </c>
      <c r="PO12" s="8">
        <v>0.0</v>
      </c>
      <c r="PP12" s="8">
        <v>1.0</v>
      </c>
      <c r="PQ12" s="8">
        <v>0.0</v>
      </c>
      <c r="PR12" s="8">
        <v>0.0</v>
      </c>
      <c r="PS12" s="8">
        <v>0.0</v>
      </c>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8">
        <v>2.0</v>
      </c>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t="s">
        <v>901</v>
      </c>
      <c r="UB12" s="9"/>
      <c r="UC12" s="9"/>
      <c r="UD12" s="9"/>
      <c r="UE12" s="9"/>
      <c r="UF12" s="9"/>
      <c r="UG12" s="9"/>
      <c r="UH12" s="9"/>
      <c r="UI12" s="9" t="s">
        <v>950</v>
      </c>
      <c r="UJ12" s="9"/>
      <c r="UK12" s="9"/>
      <c r="UL12" s="9"/>
      <c r="UM12" s="9"/>
      <c r="UN12" s="9"/>
      <c r="UO12" s="9"/>
      <c r="UP12" s="9"/>
      <c r="UQ12" s="9" t="s">
        <v>903</v>
      </c>
      <c r="UR12" s="9"/>
      <c r="US12" s="9"/>
      <c r="UT12" s="9"/>
      <c r="UU12" s="9"/>
      <c r="UV12" s="9"/>
      <c r="UW12" s="9"/>
      <c r="UX12" s="9"/>
      <c r="UY12" s="9"/>
      <c r="UZ12" s="9"/>
      <c r="VA12" s="9"/>
      <c r="VB12" s="9"/>
      <c r="VC12" s="9"/>
      <c r="VD12" s="9"/>
      <c r="VE12" s="9"/>
      <c r="VF12" s="9"/>
      <c r="VG12" s="9"/>
      <c r="VH12" s="9"/>
      <c r="VI12" s="9"/>
      <c r="VJ12" s="9"/>
      <c r="VK12" s="9" t="s">
        <v>1089</v>
      </c>
      <c r="VL12" s="8">
        <v>0.0</v>
      </c>
      <c r="VM12" s="8">
        <v>0.0</v>
      </c>
      <c r="VN12" s="8">
        <v>1.0</v>
      </c>
      <c r="VO12" s="8">
        <v>1.0</v>
      </c>
      <c r="VP12" s="8">
        <v>1.0</v>
      </c>
      <c r="VQ12" s="8">
        <v>0.0</v>
      </c>
      <c r="VR12" s="8">
        <v>0.0</v>
      </c>
      <c r="VS12" s="8">
        <v>0.0</v>
      </c>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8">
        <v>2.0</v>
      </c>
      <c r="ZC12" s="9"/>
      <c r="ZD12" s="9"/>
      <c r="ZE12" s="9"/>
      <c r="ZF12" s="9"/>
      <c r="ZG12" s="9"/>
      <c r="ZH12" s="9"/>
      <c r="ZI12" s="9"/>
      <c r="ZJ12" s="9" t="s">
        <v>905</v>
      </c>
      <c r="ZK12" s="9"/>
      <c r="ZL12" s="9"/>
      <c r="ZM12" s="9"/>
      <c r="ZN12" s="9"/>
      <c r="ZO12" s="9"/>
      <c r="ZP12" s="9"/>
      <c r="ZQ12" s="9" t="s">
        <v>857</v>
      </c>
      <c r="ZR12" s="9" t="s">
        <v>1033</v>
      </c>
      <c r="ZS12" s="8">
        <v>1.0</v>
      </c>
      <c r="ZT12" s="8">
        <v>1.0</v>
      </c>
      <c r="ZU12" s="8">
        <v>60.0</v>
      </c>
      <c r="ZV12" s="8">
        <v>60.0</v>
      </c>
      <c r="ZW12" s="9" t="s">
        <v>857</v>
      </c>
      <c r="ZX12" s="9" t="s">
        <v>867</v>
      </c>
      <c r="ZY12" s="9" t="s">
        <v>1105</v>
      </c>
      <c r="ZZ12" s="8">
        <v>1.0</v>
      </c>
      <c r="AAA12" s="8">
        <v>1.0</v>
      </c>
      <c r="AAB12" s="8">
        <v>0.0</v>
      </c>
      <c r="AAC12" s="8">
        <v>0.0</v>
      </c>
      <c r="AAD12" s="8">
        <v>1.0</v>
      </c>
      <c r="AAE12" s="8">
        <v>0.0</v>
      </c>
      <c r="AAF12" s="8">
        <v>0.0</v>
      </c>
      <c r="AAG12" s="9" t="s">
        <v>1106</v>
      </c>
      <c r="AAH12" s="8">
        <v>1.0</v>
      </c>
      <c r="AAI12" s="8">
        <v>1.0</v>
      </c>
      <c r="AAJ12" s="8">
        <v>0.0</v>
      </c>
      <c r="AAK12" s="8">
        <v>1.0</v>
      </c>
      <c r="AAL12" s="8">
        <v>0.0</v>
      </c>
      <c r="AAM12" s="9"/>
      <c r="AAN12" s="9" t="s">
        <v>969</v>
      </c>
      <c r="AAO12" s="8">
        <v>0.0</v>
      </c>
      <c r="AAP12" s="8">
        <v>0.0</v>
      </c>
      <c r="AAQ12" s="8">
        <v>0.0</v>
      </c>
      <c r="AAR12" s="8">
        <v>0.0</v>
      </c>
      <c r="AAS12" s="8">
        <v>1.0</v>
      </c>
      <c r="AAT12" s="9" t="s">
        <v>975</v>
      </c>
      <c r="AAU12" s="9"/>
      <c r="AAV12" s="11" t="s">
        <v>953</v>
      </c>
      <c r="AAW12" s="9" t="s">
        <v>1075</v>
      </c>
      <c r="AAX12" s="8">
        <v>1000.0</v>
      </c>
      <c r="AAY12" s="9"/>
      <c r="AAZ12" s="8">
        <v>100.0</v>
      </c>
      <c r="ABA12" s="8">
        <v>100.0</v>
      </c>
      <c r="ABB12" s="9" t="s">
        <v>910</v>
      </c>
      <c r="ABC12" s="9"/>
      <c r="ABD12" s="8">
        <v>25.0</v>
      </c>
      <c r="ABE12" s="8">
        <v>5000.0</v>
      </c>
      <c r="ABF12" s="8">
        <v>10.0</v>
      </c>
      <c r="ABG12" s="8">
        <v>5000.0</v>
      </c>
      <c r="ABH12" s="8">
        <v>400.0</v>
      </c>
      <c r="ABI12" s="8">
        <v>500.0</v>
      </c>
      <c r="ABJ12" s="9" t="s">
        <v>857</v>
      </c>
      <c r="ABK12" s="9" t="s">
        <v>911</v>
      </c>
      <c r="ABL12" s="9" t="s">
        <v>1034</v>
      </c>
      <c r="ABM12" s="9" t="s">
        <v>911</v>
      </c>
      <c r="ABN12" s="9" t="s">
        <v>911</v>
      </c>
      <c r="ABO12" s="9" t="s">
        <v>911</v>
      </c>
      <c r="ABP12" s="9" t="s">
        <v>1107</v>
      </c>
      <c r="ABQ12" s="8">
        <v>0.0</v>
      </c>
      <c r="ABR12" s="8">
        <v>1.0</v>
      </c>
      <c r="ABS12" s="8">
        <v>1.0</v>
      </c>
      <c r="ABT12" s="8">
        <v>1.0</v>
      </c>
      <c r="ABU12" s="8">
        <v>0.0</v>
      </c>
      <c r="ABV12" s="8">
        <v>0.0</v>
      </c>
      <c r="ABW12" s="8">
        <v>0.0</v>
      </c>
      <c r="ABX12" s="9"/>
      <c r="ABY12" s="9" t="s">
        <v>912</v>
      </c>
      <c r="ABZ12" s="9" t="s">
        <v>913</v>
      </c>
      <c r="ACA12" s="9" t="s">
        <v>957</v>
      </c>
      <c r="ACB12" s="9" t="s">
        <v>915</v>
      </c>
      <c r="ACC12" s="9" t="s">
        <v>916</v>
      </c>
      <c r="ACD12" s="9" t="s">
        <v>1017</v>
      </c>
      <c r="ACE12" s="8">
        <v>1.0</v>
      </c>
      <c r="ACF12" s="8">
        <v>1.0</v>
      </c>
      <c r="ACG12" s="8">
        <v>1.0</v>
      </c>
      <c r="ACH12" s="8">
        <v>0.0</v>
      </c>
      <c r="ACI12" s="9" t="s">
        <v>918</v>
      </c>
      <c r="ACJ12" s="9" t="s">
        <v>918</v>
      </c>
      <c r="ACK12" s="9" t="s">
        <v>918</v>
      </c>
      <c r="ACL12" s="9" t="s">
        <v>918</v>
      </c>
      <c r="ACM12" s="9" t="s">
        <v>881</v>
      </c>
      <c r="ACN12" s="9"/>
      <c r="ACO12" s="9" t="s">
        <v>918</v>
      </c>
      <c r="ACP12" s="9"/>
      <c r="ACQ12" s="9"/>
      <c r="ACR12" s="9"/>
      <c r="ACS12" s="9"/>
      <c r="ACT12" s="9"/>
      <c r="ACU12" s="9"/>
      <c r="ACV12" s="9"/>
      <c r="ACW12" s="9"/>
      <c r="ACX12" s="9"/>
      <c r="ACY12" s="9"/>
      <c r="ACZ12" s="9" t="s">
        <v>1018</v>
      </c>
      <c r="ADA12" s="8">
        <v>0.0</v>
      </c>
      <c r="ADB12" s="8">
        <v>0.0</v>
      </c>
      <c r="ADC12" s="8">
        <v>0.0</v>
      </c>
      <c r="ADD12" s="8">
        <v>0.0</v>
      </c>
      <c r="ADE12" s="8">
        <v>1.0</v>
      </c>
      <c r="ADF12" s="8">
        <v>1.0</v>
      </c>
      <c r="ADG12" s="8">
        <v>0.0</v>
      </c>
      <c r="ADH12" s="8">
        <v>0.0</v>
      </c>
      <c r="ADI12" s="12"/>
      <c r="ADJ12" s="17" t="s">
        <v>872</v>
      </c>
      <c r="ADK12" s="9"/>
      <c r="ADL12" s="17" t="s">
        <v>920</v>
      </c>
      <c r="ADM12" s="9"/>
      <c r="ADN12" s="11" t="s">
        <v>999</v>
      </c>
      <c r="ADO12" s="9" t="s">
        <v>871</v>
      </c>
      <c r="ADP12" s="17" t="s">
        <v>1108</v>
      </c>
      <c r="ADQ12" s="18">
        <v>1.0</v>
      </c>
      <c r="ADR12" s="18">
        <v>1.0</v>
      </c>
      <c r="ADS12" s="18">
        <v>1.0</v>
      </c>
      <c r="ADT12" s="18">
        <v>1.0</v>
      </c>
      <c r="ADU12" s="18">
        <v>1.0</v>
      </c>
      <c r="ADV12" s="18">
        <v>1.0</v>
      </c>
      <c r="ADW12" s="18">
        <v>1.0</v>
      </c>
      <c r="ADX12" s="18">
        <v>1.0</v>
      </c>
      <c r="ADY12" s="18">
        <v>1.0</v>
      </c>
      <c r="ADZ12" s="18">
        <v>0.0</v>
      </c>
      <c r="AEA12" s="18">
        <v>0.0</v>
      </c>
      <c r="AEB12" s="18">
        <v>0.0</v>
      </c>
      <c r="AEC12" s="9"/>
      <c r="AED12" s="9" t="s">
        <v>923</v>
      </c>
      <c r="AEE12" s="9"/>
      <c r="AEF12" s="9" t="s">
        <v>924</v>
      </c>
      <c r="AEG12" s="9"/>
      <c r="AEH12" s="9" t="s">
        <v>1109</v>
      </c>
      <c r="AEI12" s="16" t="s">
        <v>1110</v>
      </c>
      <c r="AEJ12" s="9" t="s">
        <v>1111</v>
      </c>
      <c r="AEK12" s="16" t="s">
        <v>1112</v>
      </c>
      <c r="AEL12" s="9" t="s">
        <v>1113</v>
      </c>
      <c r="AEM12" s="9"/>
      <c r="AEN12" s="9"/>
    </row>
    <row r="13">
      <c r="A13" s="6">
        <v>46058.0</v>
      </c>
      <c r="B13" s="6">
        <v>46058.0</v>
      </c>
      <c r="C13" s="7" t="s">
        <v>837</v>
      </c>
      <c r="D13" s="7" t="s">
        <v>1114</v>
      </c>
      <c r="E13" s="8">
        <f>+6285642220085</f>
        <v>6285642220085</v>
      </c>
      <c r="F13" s="9"/>
      <c r="G13" s="8">
        <v>-7.40393582</v>
      </c>
      <c r="H13" s="8">
        <v>110.3366388</v>
      </c>
      <c r="I13" s="9"/>
      <c r="J13" s="8">
        <v>4.55</v>
      </c>
      <c r="K13" s="9"/>
      <c r="L13" s="9"/>
      <c r="M13" s="8">
        <v>-7.40395054</v>
      </c>
      <c r="N13" s="8">
        <v>110.3388297</v>
      </c>
      <c r="O13" s="9"/>
      <c r="P13" s="8">
        <v>4.27</v>
      </c>
      <c r="Q13" s="9"/>
      <c r="R13" s="9" t="s">
        <v>839</v>
      </c>
      <c r="S13" s="9"/>
      <c r="T13" s="9"/>
      <c r="U13" s="9"/>
      <c r="V13" s="9"/>
      <c r="W13" s="9"/>
      <c r="X13" s="9"/>
      <c r="Y13" s="9"/>
      <c r="Z13" s="9"/>
      <c r="AA13" s="9"/>
      <c r="AB13" s="9"/>
      <c r="AC13" s="7" t="s">
        <v>840</v>
      </c>
      <c r="AD13" s="7" t="s">
        <v>1115</v>
      </c>
      <c r="AE13" s="7" t="s">
        <v>1115</v>
      </c>
      <c r="AF13" s="9" t="s">
        <v>1070</v>
      </c>
      <c r="AG13" s="9" t="s">
        <v>1116</v>
      </c>
      <c r="AH13" s="8">
        <v>2.0</v>
      </c>
      <c r="AI13" s="9" t="s">
        <v>845</v>
      </c>
      <c r="AJ13" s="9" t="s">
        <v>846</v>
      </c>
      <c r="AK13" s="8">
        <v>42.0</v>
      </c>
      <c r="AL13" s="9" t="s">
        <v>847</v>
      </c>
      <c r="AM13" s="9" t="s">
        <v>848</v>
      </c>
      <c r="AN13" s="9" t="s">
        <v>1099</v>
      </c>
      <c r="AO13" s="9" t="s">
        <v>1100</v>
      </c>
      <c r="AP13" s="8">
        <v>0.0</v>
      </c>
      <c r="AQ13" s="8">
        <v>0.0</v>
      </c>
      <c r="AR13" s="8">
        <v>0.0</v>
      </c>
      <c r="AS13" s="8">
        <v>0.0</v>
      </c>
      <c r="AT13" s="8">
        <v>0.0</v>
      </c>
      <c r="AU13" s="8">
        <v>1.0</v>
      </c>
      <c r="AV13" s="8">
        <v>0.0</v>
      </c>
      <c r="AW13" s="8">
        <v>0.0</v>
      </c>
      <c r="AX13" s="9"/>
      <c r="AY13" s="9" t="s">
        <v>935</v>
      </c>
      <c r="AZ13" s="8">
        <v>0.0</v>
      </c>
      <c r="BA13" s="8">
        <v>1.0</v>
      </c>
      <c r="BB13" s="8">
        <v>0.0</v>
      </c>
      <c r="BC13" s="8">
        <v>0.0</v>
      </c>
      <c r="BD13" s="8">
        <v>0.0</v>
      </c>
      <c r="BE13" s="8">
        <v>0.0</v>
      </c>
      <c r="BF13" s="8">
        <v>0.0</v>
      </c>
      <c r="BG13" s="8">
        <v>0.0</v>
      </c>
      <c r="BH13" s="9"/>
      <c r="BI13" s="9" t="s">
        <v>1101</v>
      </c>
      <c r="BJ13" s="8">
        <v>1.0</v>
      </c>
      <c r="BK13" s="8">
        <v>1.0</v>
      </c>
      <c r="BL13" s="8">
        <v>1.0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2023.0</v>
      </c>
      <c r="CN13" s="9" t="s">
        <v>858</v>
      </c>
      <c r="CO13" s="9" t="s">
        <v>859</v>
      </c>
      <c r="CP13" s="9" t="s">
        <v>1077</v>
      </c>
      <c r="CQ13" s="8">
        <v>0.0</v>
      </c>
      <c r="CR13" s="8">
        <v>0.0</v>
      </c>
      <c r="CS13" s="8">
        <v>0.0</v>
      </c>
      <c r="CT13" s="8">
        <v>0.0</v>
      </c>
      <c r="CU13" s="10">
        <v>0.0</v>
      </c>
      <c r="CV13" s="10">
        <v>0.0</v>
      </c>
      <c r="CW13" s="10">
        <v>1.0</v>
      </c>
      <c r="CX13" s="8">
        <v>0.0</v>
      </c>
      <c r="CY13" s="9" t="s">
        <v>860</v>
      </c>
      <c r="CZ13" s="8">
        <v>1.0</v>
      </c>
      <c r="DA13" s="8">
        <v>0.0</v>
      </c>
      <c r="DB13" s="8">
        <v>0.0</v>
      </c>
      <c r="DC13" s="9"/>
      <c r="DD13" s="9" t="s">
        <v>937</v>
      </c>
      <c r="DE13" s="8">
        <v>1.0</v>
      </c>
      <c r="DF13" s="8">
        <v>0.0</v>
      </c>
      <c r="DG13" s="8">
        <v>1.0</v>
      </c>
      <c r="DH13" s="8">
        <v>0.0</v>
      </c>
      <c r="DI13" s="9"/>
      <c r="DJ13" s="9" t="s">
        <v>937</v>
      </c>
      <c r="DK13" s="8">
        <v>1.0</v>
      </c>
      <c r="DL13" s="8">
        <v>0.0</v>
      </c>
      <c r="DM13" s="8">
        <v>1.0</v>
      </c>
      <c r="DN13" s="8">
        <v>0.0</v>
      </c>
      <c r="DO13" s="9"/>
      <c r="DP13" s="8">
        <v>1.0</v>
      </c>
      <c r="DQ13" s="8">
        <v>0.0</v>
      </c>
      <c r="DR13" s="8">
        <v>0.0</v>
      </c>
      <c r="DS13" s="9"/>
      <c r="DT13" s="9"/>
      <c r="DU13" s="9"/>
      <c r="DV13" s="9" t="s">
        <v>857</v>
      </c>
      <c r="DW13" s="9"/>
      <c r="DX13" s="9"/>
      <c r="DY13" s="9"/>
      <c r="DZ13" s="9"/>
      <c r="EA13" s="9"/>
      <c r="EB13" s="9"/>
      <c r="EC13" s="9"/>
      <c r="ED13" s="9"/>
      <c r="EE13" s="9"/>
      <c r="EF13" s="9"/>
      <c r="EG13" s="9"/>
      <c r="EH13" s="9"/>
      <c r="EI13" s="9" t="s">
        <v>862</v>
      </c>
      <c r="EJ13" s="8">
        <v>0.0</v>
      </c>
      <c r="EK13" s="8">
        <v>0.0</v>
      </c>
      <c r="EL13" s="8">
        <v>0.0</v>
      </c>
      <c r="EM13" s="8">
        <v>1.0</v>
      </c>
      <c r="EN13" s="8">
        <v>0.0</v>
      </c>
      <c r="EO13" s="11"/>
      <c r="EP13" s="9" t="s">
        <v>863</v>
      </c>
      <c r="EQ13" s="9" t="s">
        <v>864</v>
      </c>
      <c r="ER13" s="9" t="s">
        <v>1046</v>
      </c>
      <c r="ES13" s="8">
        <v>1.0</v>
      </c>
      <c r="ET13" s="8">
        <v>1.0</v>
      </c>
      <c r="EU13" s="8">
        <v>0.0</v>
      </c>
      <c r="EV13" s="8">
        <v>0.0</v>
      </c>
      <c r="EW13" s="9"/>
      <c r="EX13" s="9" t="s">
        <v>1013</v>
      </c>
      <c r="EY13" s="8">
        <v>1.0</v>
      </c>
      <c r="EZ13" s="8">
        <v>1.0</v>
      </c>
      <c r="FA13" s="8">
        <v>0.0</v>
      </c>
      <c r="FB13" s="9"/>
      <c r="FC13" s="9" t="s">
        <v>1072</v>
      </c>
      <c r="FD13" s="9"/>
      <c r="FE13" s="9" t="s">
        <v>867</v>
      </c>
      <c r="FF13" s="9" t="s">
        <v>868</v>
      </c>
      <c r="FG13" s="9" t="s">
        <v>867</v>
      </c>
      <c r="FH13" s="9" t="s">
        <v>869</v>
      </c>
      <c r="FI13" s="9" t="s">
        <v>867</v>
      </c>
      <c r="FJ13" s="9" t="s">
        <v>869</v>
      </c>
      <c r="FK13" s="9" t="s">
        <v>867</v>
      </c>
      <c r="FL13" s="9" t="s">
        <v>869</v>
      </c>
      <c r="FM13" s="9" t="s">
        <v>867</v>
      </c>
      <c r="FN13" s="9" t="s">
        <v>870</v>
      </c>
      <c r="FO13" s="9" t="s">
        <v>867</v>
      </c>
      <c r="FP13" s="9" t="s">
        <v>870</v>
      </c>
      <c r="FQ13" s="9" t="s">
        <v>867</v>
      </c>
      <c r="FR13" s="9" t="s">
        <v>857</v>
      </c>
      <c r="FS13" s="9" t="s">
        <v>867</v>
      </c>
      <c r="FT13" s="9" t="s">
        <v>871</v>
      </c>
      <c r="FU13" s="9" t="s">
        <v>989</v>
      </c>
      <c r="FV13" s="8">
        <v>1.0</v>
      </c>
      <c r="FW13" s="8">
        <v>1.0</v>
      </c>
      <c r="FX13" s="8">
        <v>0.0</v>
      </c>
      <c r="FY13" s="8">
        <v>0.0</v>
      </c>
      <c r="FZ13" s="9" t="s">
        <v>944</v>
      </c>
      <c r="GA13" s="9" t="s">
        <v>990</v>
      </c>
      <c r="GB13" s="8">
        <v>1.0</v>
      </c>
      <c r="GC13" s="8">
        <v>1.0</v>
      </c>
      <c r="GD13" s="8">
        <v>0.0</v>
      </c>
      <c r="GE13" s="8">
        <v>0.0</v>
      </c>
      <c r="GF13" s="9"/>
      <c r="GG13" s="9" t="s">
        <v>875</v>
      </c>
      <c r="GH13" s="9" t="s">
        <v>881</v>
      </c>
      <c r="GI13" s="9"/>
      <c r="GJ13" s="9"/>
      <c r="GK13" s="9"/>
      <c r="GL13" s="9"/>
      <c r="GM13" s="9"/>
      <c r="GN13" s="9"/>
      <c r="GO13" s="9"/>
      <c r="GP13" s="9" t="s">
        <v>877</v>
      </c>
      <c r="GQ13" s="9" t="s">
        <v>1102</v>
      </c>
      <c r="GR13" s="8">
        <v>1.0</v>
      </c>
      <c r="GS13" s="8">
        <v>0.0</v>
      </c>
      <c r="GT13" s="8">
        <v>0.0</v>
      </c>
      <c r="GU13" s="8">
        <v>0.0</v>
      </c>
      <c r="GV13" s="8">
        <v>0.0</v>
      </c>
      <c r="GW13" s="8">
        <v>0.0</v>
      </c>
      <c r="GX13" s="8">
        <v>0.0</v>
      </c>
      <c r="GY13" s="9"/>
      <c r="GZ13" s="9" t="s">
        <v>857</v>
      </c>
      <c r="HA13" s="9"/>
      <c r="HB13" s="9"/>
      <c r="HC13" s="9"/>
      <c r="HD13" s="9"/>
      <c r="HE13" s="8">
        <v>12.0</v>
      </c>
      <c r="HF13" s="8">
        <v>100000.0</v>
      </c>
      <c r="HG13" s="8">
        <v>3.0</v>
      </c>
      <c r="HH13" s="8">
        <v>25000.0</v>
      </c>
      <c r="HI13" s="9"/>
      <c r="HJ13" s="9"/>
      <c r="HK13" s="9"/>
      <c r="HL13" s="9"/>
      <c r="HM13" s="9"/>
      <c r="HN13" s="9"/>
      <c r="HO13" s="9"/>
      <c r="HP13" s="9"/>
      <c r="HQ13" s="9"/>
      <c r="HR13" s="9"/>
      <c r="HS13" s="9"/>
      <c r="HT13" s="9"/>
      <c r="HU13" s="9"/>
      <c r="HV13" s="9"/>
      <c r="HW13" s="9"/>
      <c r="HX13" s="9"/>
      <c r="HY13" s="9"/>
      <c r="HZ13" s="9"/>
      <c r="IA13" s="8">
        <v>9.0</v>
      </c>
      <c r="IB13" s="8">
        <v>75000.0</v>
      </c>
      <c r="IC13" s="9"/>
      <c r="ID13" s="9"/>
      <c r="IE13" s="9"/>
      <c r="IF13" s="9"/>
      <c r="IG13" s="9"/>
      <c r="IH13" s="9"/>
      <c r="II13" s="9"/>
      <c r="IJ13" s="9"/>
      <c r="IK13" s="9" t="s">
        <v>879</v>
      </c>
      <c r="IL13" s="9" t="s">
        <v>880</v>
      </c>
      <c r="IM13" s="9" t="s">
        <v>857</v>
      </c>
      <c r="IN13" s="9" t="s">
        <v>881</v>
      </c>
      <c r="IO13" s="9" t="s">
        <v>882</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872</v>
      </c>
      <c r="KW13" s="8">
        <v>1.0</v>
      </c>
      <c r="KX13" s="8">
        <v>0.0</v>
      </c>
      <c r="KY13" s="8">
        <v>0.0</v>
      </c>
      <c r="KZ13" s="8">
        <v>0.0</v>
      </c>
      <c r="LA13" s="9" t="s">
        <v>884</v>
      </c>
      <c r="LB13" s="9" t="s">
        <v>884</v>
      </c>
      <c r="LC13" s="8">
        <v>0.0</v>
      </c>
      <c r="LD13" s="8">
        <v>3.0</v>
      </c>
      <c r="LE13" s="8">
        <v>0.0</v>
      </c>
      <c r="LF13" s="8">
        <v>3.0</v>
      </c>
      <c r="LG13" s="9" t="s">
        <v>857</v>
      </c>
      <c r="LH13" s="8">
        <v>75000.0</v>
      </c>
      <c r="LI13" s="9"/>
      <c r="LJ13" s="9" t="s">
        <v>887</v>
      </c>
      <c r="LK13" s="8">
        <v>0.0</v>
      </c>
      <c r="LL13" s="8">
        <v>0.0</v>
      </c>
      <c r="LM13" s="8">
        <v>0.0</v>
      </c>
      <c r="LN13" s="8">
        <v>0.0</v>
      </c>
      <c r="LO13" s="8">
        <v>1.0</v>
      </c>
      <c r="LP13" s="8">
        <v>0.0</v>
      </c>
      <c r="LQ13" s="8">
        <v>0.0</v>
      </c>
      <c r="LR13" s="9"/>
      <c r="LS13" s="8">
        <v>15.0</v>
      </c>
      <c r="LT13" s="8">
        <v>15.0</v>
      </c>
      <c r="LU13" s="8">
        <v>0.0</v>
      </c>
      <c r="LV13" s="8">
        <v>5.0</v>
      </c>
      <c r="LW13" s="8">
        <v>5.0</v>
      </c>
      <c r="LX13" s="8">
        <v>0.0</v>
      </c>
      <c r="LY13" s="8">
        <v>5.0</v>
      </c>
      <c r="LZ13" s="8">
        <v>5.0</v>
      </c>
      <c r="MA13" s="8">
        <v>0.0</v>
      </c>
      <c r="MB13" s="9" t="s">
        <v>881</v>
      </c>
      <c r="MC13" s="8">
        <v>0.0</v>
      </c>
      <c r="MD13" s="8">
        <v>0.0</v>
      </c>
      <c r="ME13" s="8">
        <v>0.0</v>
      </c>
      <c r="MF13" s="8">
        <v>0.0</v>
      </c>
      <c r="MG13" s="8">
        <v>0.0</v>
      </c>
      <c r="MH13" s="8">
        <v>0.0</v>
      </c>
      <c r="MI13" s="9"/>
      <c r="MJ13" s="9"/>
      <c r="MK13" s="9"/>
      <c r="ML13" s="9"/>
      <c r="MM13" s="9"/>
      <c r="MN13" s="9"/>
      <c r="MO13" s="9"/>
      <c r="MP13" s="9"/>
      <c r="MQ13" s="9"/>
      <c r="MR13" s="9" t="s">
        <v>1117</v>
      </c>
      <c r="MS13" s="9"/>
      <c r="MT13" s="9" t="s">
        <v>1117</v>
      </c>
      <c r="MU13" s="9" t="s">
        <v>881</v>
      </c>
      <c r="MV13" s="9"/>
      <c r="MW13" s="9"/>
      <c r="MX13" s="9"/>
      <c r="MY13" s="9"/>
      <c r="MZ13" s="9"/>
      <c r="NA13" s="9"/>
      <c r="NB13" s="9"/>
      <c r="NC13" s="9"/>
      <c r="ND13" s="9"/>
      <c r="NE13" s="9"/>
      <c r="NF13" s="9"/>
      <c r="NG13" s="9"/>
      <c r="NH13" s="9"/>
      <c r="NI13" s="9"/>
      <c r="NJ13" s="9"/>
      <c r="NK13" s="9"/>
      <c r="NL13" s="9" t="s">
        <v>881</v>
      </c>
      <c r="NM13" s="9" t="s">
        <v>893</v>
      </c>
      <c r="NN13" s="9" t="s">
        <v>993</v>
      </c>
      <c r="NO13" s="9" t="s">
        <v>1118</v>
      </c>
      <c r="NP13" s="9"/>
      <c r="NQ13" s="9"/>
      <c r="NR13" s="9"/>
      <c r="NS13" s="9"/>
      <c r="NT13" s="9"/>
      <c r="NU13" s="9"/>
      <c r="NV13" s="9" t="s">
        <v>896</v>
      </c>
      <c r="NW13" s="9"/>
      <c r="NX13" s="9" t="s">
        <v>897</v>
      </c>
      <c r="NY13" s="8">
        <v>30.0</v>
      </c>
      <c r="NZ13" s="8">
        <v>30.0</v>
      </c>
      <c r="OA13" s="8">
        <v>0.0</v>
      </c>
      <c r="OB13" s="8">
        <v>10.0</v>
      </c>
      <c r="OC13" s="8">
        <v>10.0</v>
      </c>
      <c r="OD13" s="8">
        <v>0.0</v>
      </c>
      <c r="OE13" s="9" t="s">
        <v>898</v>
      </c>
      <c r="OF13" s="9" t="s">
        <v>899</v>
      </c>
      <c r="OG13" s="9" t="s">
        <v>881</v>
      </c>
      <c r="OH13" s="8">
        <v>3.0</v>
      </c>
      <c r="OI13" s="8">
        <v>3.0</v>
      </c>
      <c r="OJ13" s="8">
        <v>0.0</v>
      </c>
      <c r="OK13" s="8">
        <v>0.0</v>
      </c>
      <c r="OL13" s="8">
        <v>0.0</v>
      </c>
      <c r="OM13" s="8">
        <v>0.0</v>
      </c>
      <c r="ON13" s="8">
        <v>0.0</v>
      </c>
      <c r="OO13" s="8">
        <v>0.0</v>
      </c>
      <c r="OP13" s="9" t="s">
        <v>2949</v>
      </c>
      <c r="OQ13" s="8">
        <v>1.0</v>
      </c>
      <c r="OR13" s="8">
        <v>1.0</v>
      </c>
      <c r="OS13" s="8">
        <v>0.0</v>
      </c>
      <c r="OT13" s="8">
        <v>0.0</v>
      </c>
      <c r="OU13" s="8">
        <v>0.0</v>
      </c>
      <c r="OV13" s="8">
        <v>0.0</v>
      </c>
      <c r="OW13" s="8">
        <v>0.0</v>
      </c>
      <c r="OX13" s="8">
        <v>0.0</v>
      </c>
      <c r="OY13" s="9" t="s">
        <v>900</v>
      </c>
      <c r="OZ13" s="8">
        <v>1.0</v>
      </c>
      <c r="PA13" s="8">
        <v>0.0</v>
      </c>
      <c r="PB13" s="8">
        <v>0.0</v>
      </c>
      <c r="PC13" s="8">
        <v>0.0</v>
      </c>
      <c r="PD13" s="8">
        <v>0.0</v>
      </c>
      <c r="PE13" s="8">
        <v>0.0</v>
      </c>
      <c r="PF13" s="8">
        <v>1.0</v>
      </c>
      <c r="PG13" s="8">
        <v>0.0</v>
      </c>
      <c r="PH13" s="8">
        <v>0.0</v>
      </c>
      <c r="PI13" s="8">
        <v>0.0</v>
      </c>
      <c r="PJ13" s="9" t="s">
        <v>900</v>
      </c>
      <c r="PK13" s="8">
        <v>0.0</v>
      </c>
      <c r="PL13" s="8">
        <v>0.0</v>
      </c>
      <c r="PM13" s="8">
        <v>0.0</v>
      </c>
      <c r="PN13" s="8">
        <v>0.0</v>
      </c>
      <c r="PO13" s="8">
        <v>0.0</v>
      </c>
      <c r="PP13" s="8">
        <v>1.0</v>
      </c>
      <c r="PQ13" s="8">
        <v>0.0</v>
      </c>
      <c r="PR13" s="8">
        <v>0.0</v>
      </c>
      <c r="PS13" s="8">
        <v>0.0</v>
      </c>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8">
        <v>3.0</v>
      </c>
      <c r="SE13" s="8">
        <v>3.0</v>
      </c>
      <c r="SF13" s="9"/>
      <c r="SG13" s="9"/>
      <c r="SH13" s="9"/>
      <c r="SI13" s="9"/>
      <c r="SJ13" s="9"/>
      <c r="SK13" s="9"/>
      <c r="SL13" s="8">
        <v>0.0</v>
      </c>
      <c r="SM13" s="8">
        <v>0.0</v>
      </c>
      <c r="SN13" s="8">
        <v>0.0</v>
      </c>
      <c r="SO13" s="8">
        <v>0.0</v>
      </c>
      <c r="SP13" s="8">
        <v>0.0</v>
      </c>
      <c r="SQ13" s="8">
        <v>0.0</v>
      </c>
      <c r="SR13" s="8">
        <v>0.0</v>
      </c>
      <c r="SS13" s="8">
        <v>0.0</v>
      </c>
      <c r="ST13" s="8">
        <v>0.0</v>
      </c>
      <c r="SU13" s="8">
        <v>0.0</v>
      </c>
      <c r="SV13" s="8">
        <v>0.0</v>
      </c>
      <c r="SW13" s="8">
        <v>0.0</v>
      </c>
      <c r="SX13" s="8">
        <v>0.0</v>
      </c>
      <c r="SY13" s="8">
        <v>0.0</v>
      </c>
      <c r="SZ13" s="8">
        <v>0.0</v>
      </c>
      <c r="TA13" s="8">
        <v>0.0</v>
      </c>
      <c r="TB13" s="9"/>
      <c r="TC13" s="9"/>
      <c r="TD13" s="9"/>
      <c r="TE13" s="9"/>
      <c r="TF13" s="9"/>
      <c r="TG13" s="9"/>
      <c r="TH13" s="9"/>
      <c r="TI13" s="9"/>
      <c r="TJ13" s="9"/>
      <c r="TK13" s="9"/>
      <c r="TL13" s="9"/>
      <c r="TM13" s="9"/>
      <c r="TN13" s="9"/>
      <c r="TO13" s="9"/>
      <c r="TP13" s="9"/>
      <c r="TQ13" s="9"/>
      <c r="TR13" s="9"/>
      <c r="TS13" s="9"/>
      <c r="TT13" s="9"/>
      <c r="TU13" s="9"/>
      <c r="TV13" s="9"/>
      <c r="TW13" s="9"/>
      <c r="TX13" s="9"/>
      <c r="TY13" s="9"/>
      <c r="TZ13" s="9" t="s">
        <v>901</v>
      </c>
      <c r="UA13" s="9" t="s">
        <v>901</v>
      </c>
      <c r="UB13" s="9"/>
      <c r="UC13" s="9"/>
      <c r="UD13" s="9"/>
      <c r="UE13" s="9"/>
      <c r="UF13" s="9"/>
      <c r="UG13" s="9"/>
      <c r="UH13" s="9" t="s">
        <v>950</v>
      </c>
      <c r="UI13" s="9" t="s">
        <v>950</v>
      </c>
      <c r="UJ13" s="9"/>
      <c r="UK13" s="9"/>
      <c r="UL13" s="9"/>
      <c r="UM13" s="9"/>
      <c r="UN13" s="9"/>
      <c r="UO13" s="9"/>
      <c r="UP13" s="9" t="s">
        <v>903</v>
      </c>
      <c r="UQ13" s="9" t="s">
        <v>903</v>
      </c>
      <c r="UR13" s="9"/>
      <c r="US13" s="9"/>
      <c r="UT13" s="9"/>
      <c r="UU13" s="9"/>
      <c r="UV13" s="9"/>
      <c r="UW13" s="9"/>
      <c r="UX13" s="9" t="s">
        <v>1089</v>
      </c>
      <c r="UY13" s="8">
        <v>0.0</v>
      </c>
      <c r="UZ13" s="8">
        <v>0.0</v>
      </c>
      <c r="VA13" s="8">
        <v>0.0</v>
      </c>
      <c r="VB13" s="8">
        <v>0.0</v>
      </c>
      <c r="VC13" s="8">
        <v>0.0</v>
      </c>
      <c r="VD13" s="8">
        <v>0.0</v>
      </c>
      <c r="VE13" s="8">
        <v>1.0</v>
      </c>
      <c r="VF13" s="8">
        <v>1.0</v>
      </c>
      <c r="VG13" s="8">
        <v>1.0</v>
      </c>
      <c r="VH13" s="8">
        <v>0.0</v>
      </c>
      <c r="VI13" s="8">
        <v>0.0</v>
      </c>
      <c r="VJ13" s="8">
        <v>0.0</v>
      </c>
      <c r="VK13" s="9" t="s">
        <v>1119</v>
      </c>
      <c r="VL13" s="8">
        <v>0.0</v>
      </c>
      <c r="VM13" s="8">
        <v>1.0</v>
      </c>
      <c r="VN13" s="8">
        <v>1.0</v>
      </c>
      <c r="VO13" s="8">
        <v>1.0</v>
      </c>
      <c r="VP13" s="8">
        <v>1.0</v>
      </c>
      <c r="VQ13" s="8">
        <v>0.0</v>
      </c>
      <c r="VR13" s="8">
        <v>0.0</v>
      </c>
      <c r="VS13" s="8">
        <v>0.0</v>
      </c>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8">
        <v>2.0</v>
      </c>
      <c r="ZB13" s="8">
        <v>2.0</v>
      </c>
      <c r="ZC13" s="9"/>
      <c r="ZD13" s="9"/>
      <c r="ZE13" s="9"/>
      <c r="ZF13" s="9"/>
      <c r="ZG13" s="9"/>
      <c r="ZH13" s="9"/>
      <c r="ZI13" s="9" t="s">
        <v>905</v>
      </c>
      <c r="ZJ13" s="9" t="s">
        <v>905</v>
      </c>
      <c r="ZK13" s="9"/>
      <c r="ZL13" s="9"/>
      <c r="ZM13" s="9"/>
      <c r="ZN13" s="9"/>
      <c r="ZO13" s="9"/>
      <c r="ZP13" s="9"/>
      <c r="ZQ13" s="9" t="s">
        <v>857</v>
      </c>
      <c r="ZR13" s="9" t="s">
        <v>1033</v>
      </c>
      <c r="ZS13" s="8">
        <v>1.0</v>
      </c>
      <c r="ZT13" s="8">
        <v>1.0</v>
      </c>
      <c r="ZU13" s="8">
        <v>300.0</v>
      </c>
      <c r="ZV13" s="8">
        <v>300.0</v>
      </c>
      <c r="ZW13" s="9" t="s">
        <v>857</v>
      </c>
      <c r="ZX13" s="9" t="s">
        <v>867</v>
      </c>
      <c r="ZY13" s="9" t="s">
        <v>1120</v>
      </c>
      <c r="ZZ13" s="8">
        <v>1.0</v>
      </c>
      <c r="AAA13" s="8">
        <v>1.0</v>
      </c>
      <c r="AAB13" s="8">
        <v>0.0</v>
      </c>
      <c r="AAC13" s="8">
        <v>1.0</v>
      </c>
      <c r="AAD13" s="8">
        <v>1.0</v>
      </c>
      <c r="AAE13" s="8">
        <v>0.0</v>
      </c>
      <c r="AAF13" s="8">
        <v>0.0</v>
      </c>
      <c r="AAG13" s="9" t="s">
        <v>1106</v>
      </c>
      <c r="AAH13" s="8">
        <v>1.0</v>
      </c>
      <c r="AAI13" s="8">
        <v>1.0</v>
      </c>
      <c r="AAJ13" s="8">
        <v>0.0</v>
      </c>
      <c r="AAK13" s="8">
        <v>1.0</v>
      </c>
      <c r="AAL13" s="8">
        <v>0.0</v>
      </c>
      <c r="AAM13" s="9"/>
      <c r="AAN13" s="9" t="s">
        <v>969</v>
      </c>
      <c r="AAO13" s="8">
        <v>0.0</v>
      </c>
      <c r="AAP13" s="8">
        <v>0.0</v>
      </c>
      <c r="AAQ13" s="8">
        <v>0.0</v>
      </c>
      <c r="AAR13" s="8">
        <v>0.0</v>
      </c>
      <c r="AAS13" s="8">
        <v>1.0</v>
      </c>
      <c r="AAT13" s="9" t="s">
        <v>975</v>
      </c>
      <c r="AAU13" s="9"/>
      <c r="AAV13" s="11" t="s">
        <v>953</v>
      </c>
      <c r="AAW13" s="9" t="s">
        <v>1075</v>
      </c>
      <c r="AAX13" s="8">
        <v>2000.0</v>
      </c>
      <c r="AAY13" s="8">
        <v>2000.0</v>
      </c>
      <c r="AAZ13" s="8">
        <v>300.0</v>
      </c>
      <c r="ABA13" s="8">
        <v>300.0</v>
      </c>
      <c r="ABB13" s="9" t="s">
        <v>910</v>
      </c>
      <c r="ABC13" s="9"/>
      <c r="ABD13" s="8">
        <v>15.0</v>
      </c>
      <c r="ABE13" s="8">
        <v>10.0</v>
      </c>
      <c r="ABF13" s="8">
        <v>10.0</v>
      </c>
      <c r="ABG13" s="8">
        <v>5000.0</v>
      </c>
      <c r="ABH13" s="8">
        <v>500.0</v>
      </c>
      <c r="ABI13" s="8">
        <v>600.0</v>
      </c>
      <c r="ABJ13" s="9" t="s">
        <v>857</v>
      </c>
      <c r="ABK13" s="9" t="s">
        <v>911</v>
      </c>
      <c r="ABL13" s="9" t="s">
        <v>911</v>
      </c>
      <c r="ABM13" s="9" t="s">
        <v>911</v>
      </c>
      <c r="ABN13" s="9" t="s">
        <v>911</v>
      </c>
      <c r="ABO13" s="9" t="s">
        <v>911</v>
      </c>
      <c r="ABP13" s="9" t="s">
        <v>976</v>
      </c>
      <c r="ABQ13" s="8">
        <v>0.0</v>
      </c>
      <c r="ABR13" s="8">
        <v>0.0</v>
      </c>
      <c r="ABS13" s="8">
        <v>1.0</v>
      </c>
      <c r="ABT13" s="8">
        <v>1.0</v>
      </c>
      <c r="ABU13" s="8">
        <v>0.0</v>
      </c>
      <c r="ABV13" s="8">
        <v>0.0</v>
      </c>
      <c r="ABW13" s="8">
        <v>0.0</v>
      </c>
      <c r="ABX13" s="9"/>
      <c r="ABY13" s="9" t="s">
        <v>912</v>
      </c>
      <c r="ABZ13" s="9" t="s">
        <v>913</v>
      </c>
      <c r="ACA13" s="9" t="s">
        <v>957</v>
      </c>
      <c r="ACB13" s="9" t="s">
        <v>915</v>
      </c>
      <c r="ACC13" s="9" t="s">
        <v>958</v>
      </c>
      <c r="ACD13" s="9" t="s">
        <v>1017</v>
      </c>
      <c r="ACE13" s="8">
        <v>1.0</v>
      </c>
      <c r="ACF13" s="8">
        <v>1.0</v>
      </c>
      <c r="ACG13" s="8">
        <v>1.0</v>
      </c>
      <c r="ACH13" s="8">
        <v>0.0</v>
      </c>
      <c r="ACI13" s="9" t="s">
        <v>918</v>
      </c>
      <c r="ACJ13" s="9" t="s">
        <v>918</v>
      </c>
      <c r="ACK13" s="9" t="s">
        <v>918</v>
      </c>
      <c r="ACL13" s="9" t="s">
        <v>918</v>
      </c>
      <c r="ACM13" s="9" t="s">
        <v>857</v>
      </c>
      <c r="ACN13" s="9" t="s">
        <v>912</v>
      </c>
      <c r="ACO13" s="9" t="s">
        <v>918</v>
      </c>
      <c r="ACP13" s="9"/>
      <c r="ACQ13" s="9"/>
      <c r="ACR13" s="9"/>
      <c r="ACS13" s="9"/>
      <c r="ACT13" s="9"/>
      <c r="ACU13" s="9"/>
      <c r="ACV13" s="9"/>
      <c r="ACW13" s="9"/>
      <c r="ACX13" s="9"/>
      <c r="ACY13" s="9"/>
      <c r="ACZ13" s="9" t="s">
        <v>1018</v>
      </c>
      <c r="ADA13" s="8">
        <v>0.0</v>
      </c>
      <c r="ADB13" s="8">
        <v>0.0</v>
      </c>
      <c r="ADC13" s="8">
        <v>0.0</v>
      </c>
      <c r="ADD13" s="8">
        <v>0.0</v>
      </c>
      <c r="ADE13" s="8">
        <v>1.0</v>
      </c>
      <c r="ADF13" s="8">
        <v>1.0</v>
      </c>
      <c r="ADG13" s="8">
        <v>0.0</v>
      </c>
      <c r="ADH13" s="8">
        <v>0.0</v>
      </c>
      <c r="ADI13" s="12"/>
      <c r="ADJ13" s="13" t="s">
        <v>872</v>
      </c>
      <c r="ADK13" s="14"/>
      <c r="ADL13" s="13" t="s">
        <v>920</v>
      </c>
      <c r="ADM13" s="9"/>
      <c r="ADN13" s="11" t="s">
        <v>999</v>
      </c>
      <c r="ADO13" s="9" t="s">
        <v>961</v>
      </c>
      <c r="ADP13" s="13" t="s">
        <v>1108</v>
      </c>
      <c r="ADQ13" s="15">
        <v>1.0</v>
      </c>
      <c r="ADR13" s="15">
        <v>1.0</v>
      </c>
      <c r="ADS13" s="15">
        <v>1.0</v>
      </c>
      <c r="ADT13" s="15">
        <v>1.0</v>
      </c>
      <c r="ADU13" s="15">
        <v>1.0</v>
      </c>
      <c r="ADV13" s="15">
        <v>1.0</v>
      </c>
      <c r="ADW13" s="15">
        <v>1.0</v>
      </c>
      <c r="ADX13" s="15">
        <v>1.0</v>
      </c>
      <c r="ADY13" s="15">
        <v>1.0</v>
      </c>
      <c r="ADZ13" s="15">
        <v>0.0</v>
      </c>
      <c r="AEA13" s="15">
        <v>0.0</v>
      </c>
      <c r="AEB13" s="15">
        <v>0.0</v>
      </c>
      <c r="AEC13" s="9"/>
      <c r="AED13" s="9" t="s">
        <v>923</v>
      </c>
      <c r="AEE13" s="9"/>
      <c r="AEF13" s="9" t="s">
        <v>1077</v>
      </c>
      <c r="AEG13" s="9"/>
      <c r="AEH13" s="9" t="s">
        <v>1121</v>
      </c>
      <c r="AEI13" s="16" t="s">
        <v>1122</v>
      </c>
      <c r="AEJ13" s="9" t="s">
        <v>1123</v>
      </c>
      <c r="AEK13" s="16" t="s">
        <v>1124</v>
      </c>
      <c r="AEL13" s="9" t="s">
        <v>1125</v>
      </c>
      <c r="AEM13" s="9"/>
      <c r="AEN13" s="9"/>
    </row>
    <row r="14">
      <c r="A14" s="6">
        <v>46058.0</v>
      </c>
      <c r="B14" s="6">
        <v>46058.0</v>
      </c>
      <c r="C14" s="7" t="s">
        <v>837</v>
      </c>
      <c r="D14" s="7" t="s">
        <v>1126</v>
      </c>
      <c r="E14" s="8">
        <f>+6281227671088</f>
        <v>6281227671088</v>
      </c>
      <c r="F14" s="9"/>
      <c r="G14" s="8">
        <v>-7.33216299</v>
      </c>
      <c r="H14" s="8">
        <v>110.3412414</v>
      </c>
      <c r="I14" s="9"/>
      <c r="J14" s="8">
        <v>3.95</v>
      </c>
      <c r="K14" s="9"/>
      <c r="L14" s="9"/>
      <c r="M14" s="8">
        <v>-7.33216299</v>
      </c>
      <c r="N14" s="8">
        <v>110.3411844</v>
      </c>
      <c r="O14" s="9"/>
      <c r="P14" s="8">
        <v>3.83</v>
      </c>
      <c r="Q14" s="9"/>
      <c r="R14" s="9" t="s">
        <v>839</v>
      </c>
      <c r="S14" s="9"/>
      <c r="T14" s="9"/>
      <c r="U14" s="9"/>
      <c r="V14" s="9"/>
      <c r="W14" s="9"/>
      <c r="X14" s="9"/>
      <c r="Y14" s="9"/>
      <c r="Z14" s="9"/>
      <c r="AA14" s="9"/>
      <c r="AB14" s="9"/>
      <c r="AC14" s="7" t="s">
        <v>1025</v>
      </c>
      <c r="AD14" s="7" t="s">
        <v>1026</v>
      </c>
      <c r="AE14" s="7" t="s">
        <v>1127</v>
      </c>
      <c r="AF14" s="9" t="s">
        <v>1128</v>
      </c>
      <c r="AG14" s="9" t="s">
        <v>1129</v>
      </c>
      <c r="AH14" s="8">
        <v>15.0</v>
      </c>
      <c r="AI14" s="9" t="s">
        <v>933</v>
      </c>
      <c r="AJ14" s="9" t="s">
        <v>934</v>
      </c>
      <c r="AK14" s="8">
        <v>59.0</v>
      </c>
      <c r="AL14" s="9" t="s">
        <v>847</v>
      </c>
      <c r="AM14" s="9" t="s">
        <v>848</v>
      </c>
      <c r="AN14" s="9" t="s">
        <v>986</v>
      </c>
      <c r="AO14" s="9" t="s">
        <v>935</v>
      </c>
      <c r="AP14" s="8">
        <v>0.0</v>
      </c>
      <c r="AQ14" s="8">
        <v>1.0</v>
      </c>
      <c r="AR14" s="8">
        <v>0.0</v>
      </c>
      <c r="AS14" s="8">
        <v>0.0</v>
      </c>
      <c r="AT14" s="8">
        <v>0.0</v>
      </c>
      <c r="AU14" s="8">
        <v>0.0</v>
      </c>
      <c r="AV14" s="8">
        <v>0.0</v>
      </c>
      <c r="AW14" s="8">
        <v>0.0</v>
      </c>
      <c r="AX14" s="9"/>
      <c r="AY14" s="9" t="s">
        <v>935</v>
      </c>
      <c r="AZ14" s="8">
        <v>0.0</v>
      </c>
      <c r="BA14" s="8">
        <v>1.0</v>
      </c>
      <c r="BB14" s="8">
        <v>0.0</v>
      </c>
      <c r="BC14" s="8">
        <v>0.0</v>
      </c>
      <c r="BD14" s="8">
        <v>0.0</v>
      </c>
      <c r="BE14" s="8">
        <v>0.0</v>
      </c>
      <c r="BF14" s="8">
        <v>0.0</v>
      </c>
      <c r="BG14" s="8">
        <v>0.0</v>
      </c>
      <c r="BH14" s="9"/>
      <c r="BI14" s="9" t="s">
        <v>852</v>
      </c>
      <c r="BJ14" s="8">
        <v>2.0</v>
      </c>
      <c r="BK14" s="8">
        <v>4.0</v>
      </c>
      <c r="BL14" s="8">
        <v>0.0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2011.0</v>
      </c>
      <c r="CN14" s="9" t="s">
        <v>858</v>
      </c>
      <c r="CO14" s="9" t="s">
        <v>859</v>
      </c>
      <c r="CP14" s="9" t="s">
        <v>860</v>
      </c>
      <c r="CQ14" s="8">
        <v>0.0</v>
      </c>
      <c r="CR14" s="8">
        <v>0.0</v>
      </c>
      <c r="CS14" s="8">
        <v>0.0</v>
      </c>
      <c r="CT14" s="8">
        <v>0.0</v>
      </c>
      <c r="CU14" s="10">
        <v>1.0</v>
      </c>
      <c r="CV14" s="10">
        <v>0.0</v>
      </c>
      <c r="CW14" s="10">
        <v>0.0</v>
      </c>
      <c r="CX14" s="8">
        <v>0.0</v>
      </c>
      <c r="CY14" s="9" t="s">
        <v>860</v>
      </c>
      <c r="CZ14" s="8">
        <v>1.0</v>
      </c>
      <c r="DA14" s="8">
        <v>0.0</v>
      </c>
      <c r="DB14" s="8">
        <v>0.0</v>
      </c>
      <c r="DC14" s="9"/>
      <c r="DD14" s="9" t="s">
        <v>937</v>
      </c>
      <c r="DE14" s="8">
        <v>1.0</v>
      </c>
      <c r="DF14" s="8">
        <v>0.0</v>
      </c>
      <c r="DG14" s="8">
        <v>1.0</v>
      </c>
      <c r="DH14" s="8">
        <v>0.0</v>
      </c>
      <c r="DI14" s="9"/>
      <c r="DJ14" s="9" t="s">
        <v>937</v>
      </c>
      <c r="DK14" s="8">
        <v>1.0</v>
      </c>
      <c r="DL14" s="8">
        <v>0.0</v>
      </c>
      <c r="DM14" s="8">
        <v>1.0</v>
      </c>
      <c r="DN14" s="8">
        <v>0.0</v>
      </c>
      <c r="DO14" s="9"/>
      <c r="DP14" s="8">
        <v>1.0</v>
      </c>
      <c r="DQ14" s="8">
        <v>0.0</v>
      </c>
      <c r="DR14" s="8">
        <v>0.0</v>
      </c>
      <c r="DS14" s="9"/>
      <c r="DT14" s="9"/>
      <c r="DU14" s="9"/>
      <c r="DV14" s="9" t="s">
        <v>938</v>
      </c>
      <c r="DW14" s="9" t="s">
        <v>939</v>
      </c>
      <c r="DX14" s="9" t="s">
        <v>987</v>
      </c>
      <c r="DY14" s="9"/>
      <c r="DZ14" s="9"/>
      <c r="EA14" s="9"/>
      <c r="EB14" s="9"/>
      <c r="EC14" s="9"/>
      <c r="ED14" s="9"/>
      <c r="EE14" s="9"/>
      <c r="EF14" s="9"/>
      <c r="EG14" s="9"/>
      <c r="EH14" s="9"/>
      <c r="EI14" s="9" t="s">
        <v>941</v>
      </c>
      <c r="EJ14" s="8">
        <v>0.0</v>
      </c>
      <c r="EK14" s="8">
        <v>1.0</v>
      </c>
      <c r="EL14" s="8">
        <v>1.0</v>
      </c>
      <c r="EM14" s="8">
        <v>0.0</v>
      </c>
      <c r="EN14" s="8">
        <v>0.0</v>
      </c>
      <c r="EO14" s="11"/>
      <c r="EP14" s="9" t="s">
        <v>863</v>
      </c>
      <c r="EQ14" s="9" t="s">
        <v>864</v>
      </c>
      <c r="ER14" s="9" t="s">
        <v>861</v>
      </c>
      <c r="ES14" s="8">
        <v>1.0</v>
      </c>
      <c r="ET14" s="8">
        <v>0.0</v>
      </c>
      <c r="EU14" s="8">
        <v>0.0</v>
      </c>
      <c r="EV14" s="8">
        <v>0.0</v>
      </c>
      <c r="EW14" s="9"/>
      <c r="EX14" s="9" t="s">
        <v>865</v>
      </c>
      <c r="EY14" s="8">
        <v>1.0</v>
      </c>
      <c r="EZ14" s="8">
        <v>0.0</v>
      </c>
      <c r="FA14" s="8">
        <v>0.0</v>
      </c>
      <c r="FB14" s="9"/>
      <c r="FC14" s="9" t="s">
        <v>1072</v>
      </c>
      <c r="FD14" s="9"/>
      <c r="FE14" s="9" t="s">
        <v>867</v>
      </c>
      <c r="FF14" s="9" t="s">
        <v>868</v>
      </c>
      <c r="FG14" s="9" t="s">
        <v>867</v>
      </c>
      <c r="FH14" s="9" t="s">
        <v>869</v>
      </c>
      <c r="FI14" s="9" t="s">
        <v>867</v>
      </c>
      <c r="FJ14" s="9" t="s">
        <v>869</v>
      </c>
      <c r="FK14" s="9" t="s">
        <v>867</v>
      </c>
      <c r="FL14" s="9" t="s">
        <v>868</v>
      </c>
      <c r="FM14" s="9" t="s">
        <v>867</v>
      </c>
      <c r="FN14" s="9" t="s">
        <v>869</v>
      </c>
      <c r="FO14" s="9" t="s">
        <v>867</v>
      </c>
      <c r="FP14" s="9" t="s">
        <v>868</v>
      </c>
      <c r="FQ14" s="9" t="s">
        <v>867</v>
      </c>
      <c r="FR14" s="9" t="s">
        <v>857</v>
      </c>
      <c r="FS14" s="9" t="s">
        <v>867</v>
      </c>
      <c r="FT14" s="9" t="s">
        <v>1130</v>
      </c>
      <c r="FU14" s="9" t="s">
        <v>989</v>
      </c>
      <c r="FV14" s="8">
        <v>1.0</v>
      </c>
      <c r="FW14" s="8">
        <v>1.0</v>
      </c>
      <c r="FX14" s="8">
        <v>0.0</v>
      </c>
      <c r="FY14" s="8">
        <v>0.0</v>
      </c>
      <c r="FZ14" s="9" t="s">
        <v>944</v>
      </c>
      <c r="GA14" s="9" t="s">
        <v>990</v>
      </c>
      <c r="GB14" s="8">
        <v>1.0</v>
      </c>
      <c r="GC14" s="8">
        <v>1.0</v>
      </c>
      <c r="GD14" s="8">
        <v>0.0</v>
      </c>
      <c r="GE14" s="8">
        <v>0.0</v>
      </c>
      <c r="GF14" s="9"/>
      <c r="GG14" s="9" t="s">
        <v>875</v>
      </c>
      <c r="GH14" s="9" t="s">
        <v>857</v>
      </c>
      <c r="GI14" s="9" t="s">
        <v>876</v>
      </c>
      <c r="GJ14" s="8">
        <v>1.0</v>
      </c>
      <c r="GK14" s="8">
        <v>0.0</v>
      </c>
      <c r="GL14" s="8">
        <v>0.0</v>
      </c>
      <c r="GM14" s="8">
        <v>0.0</v>
      </c>
      <c r="GN14" s="9"/>
      <c r="GO14" s="8">
        <v>8.0</v>
      </c>
      <c r="GP14" s="9" t="s">
        <v>877</v>
      </c>
      <c r="GQ14" s="9" t="s">
        <v>878</v>
      </c>
      <c r="GR14" s="8">
        <v>1.0</v>
      </c>
      <c r="GS14" s="8">
        <v>1.0</v>
      </c>
      <c r="GT14" s="8">
        <v>0.0</v>
      </c>
      <c r="GU14" s="8">
        <v>0.0</v>
      </c>
      <c r="GV14" s="8">
        <v>0.0</v>
      </c>
      <c r="GW14" s="8">
        <v>0.0</v>
      </c>
      <c r="GX14" s="8">
        <v>0.0</v>
      </c>
      <c r="GY14" s="9"/>
      <c r="GZ14" s="9" t="s">
        <v>857</v>
      </c>
      <c r="HA14" s="8">
        <v>90.0</v>
      </c>
      <c r="HB14" s="8">
        <v>90000.0</v>
      </c>
      <c r="HC14" s="8">
        <v>30.0</v>
      </c>
      <c r="HD14" s="8">
        <v>30000.0</v>
      </c>
      <c r="HE14" s="8">
        <v>12.0</v>
      </c>
      <c r="HF14" s="8">
        <v>100000.0</v>
      </c>
      <c r="HG14" s="8">
        <v>0.0</v>
      </c>
      <c r="HH14" s="8">
        <v>0.0</v>
      </c>
      <c r="HI14" s="9"/>
      <c r="HJ14" s="9"/>
      <c r="HK14" s="9"/>
      <c r="HL14" s="9"/>
      <c r="HM14" s="9"/>
      <c r="HN14" s="9"/>
      <c r="HO14" s="9"/>
      <c r="HP14" s="9"/>
      <c r="HQ14" s="9"/>
      <c r="HR14" s="9"/>
      <c r="HS14" s="9"/>
      <c r="HT14" s="9"/>
      <c r="HU14" s="9"/>
      <c r="HV14" s="9"/>
      <c r="HW14" s="9"/>
      <c r="HX14" s="9"/>
      <c r="HY14" s="8">
        <v>60.0</v>
      </c>
      <c r="HZ14" s="8">
        <v>60000.0</v>
      </c>
      <c r="IA14" s="8">
        <v>12.0</v>
      </c>
      <c r="IB14" s="8">
        <v>100000.0</v>
      </c>
      <c r="IC14" s="9"/>
      <c r="ID14" s="9"/>
      <c r="IE14" s="9"/>
      <c r="IF14" s="9"/>
      <c r="IG14" s="9"/>
      <c r="IH14" s="9"/>
      <c r="II14" s="9"/>
      <c r="IJ14" s="9"/>
      <c r="IK14" s="9" t="s">
        <v>879</v>
      </c>
      <c r="IL14" s="9" t="s">
        <v>880</v>
      </c>
      <c r="IM14" s="9" t="s">
        <v>857</v>
      </c>
      <c r="IN14" s="9" t="s">
        <v>857</v>
      </c>
      <c r="IO14" s="9" t="s">
        <v>882</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886</v>
      </c>
      <c r="KV14" s="9" t="s">
        <v>872</v>
      </c>
      <c r="KW14" s="8">
        <v>1.0</v>
      </c>
      <c r="KX14" s="8">
        <v>0.0</v>
      </c>
      <c r="KY14" s="8">
        <v>0.0</v>
      </c>
      <c r="KZ14" s="8">
        <v>0.0</v>
      </c>
      <c r="LA14" s="9" t="s">
        <v>884</v>
      </c>
      <c r="LB14" s="9" t="s">
        <v>884</v>
      </c>
      <c r="LC14" s="8">
        <v>3.0</v>
      </c>
      <c r="LD14" s="8">
        <v>3.0</v>
      </c>
      <c r="LE14" s="8">
        <v>0.0</v>
      </c>
      <c r="LF14" s="8">
        <v>0.0</v>
      </c>
      <c r="LG14" s="9" t="s">
        <v>857</v>
      </c>
      <c r="LH14" s="8">
        <v>100000.0</v>
      </c>
      <c r="LI14" s="9"/>
      <c r="LJ14" s="9" t="s">
        <v>887</v>
      </c>
      <c r="LK14" s="8">
        <v>0.0</v>
      </c>
      <c r="LL14" s="8">
        <v>0.0</v>
      </c>
      <c r="LM14" s="8">
        <v>0.0</v>
      </c>
      <c r="LN14" s="8">
        <v>0.0</v>
      </c>
      <c r="LO14" s="8">
        <v>1.0</v>
      </c>
      <c r="LP14" s="8">
        <v>0.0</v>
      </c>
      <c r="LQ14" s="8">
        <v>0.0</v>
      </c>
      <c r="LR14" s="9"/>
      <c r="LS14" s="8">
        <v>15.0</v>
      </c>
      <c r="LT14" s="8">
        <v>15.0</v>
      </c>
      <c r="LU14" s="8">
        <v>0.0</v>
      </c>
      <c r="LV14" s="8">
        <v>5.0</v>
      </c>
      <c r="LW14" s="8">
        <v>5.0</v>
      </c>
      <c r="LX14" s="8">
        <v>0.0</v>
      </c>
      <c r="LY14" s="8">
        <v>5.0</v>
      </c>
      <c r="LZ14" s="8">
        <v>5.0</v>
      </c>
      <c r="MA14" s="8">
        <v>0.0</v>
      </c>
      <c r="MB14" s="9" t="s">
        <v>857</v>
      </c>
      <c r="MC14" s="8">
        <v>30.0</v>
      </c>
      <c r="MD14" s="8">
        <v>20.0</v>
      </c>
      <c r="ME14" s="8">
        <v>30.0</v>
      </c>
      <c r="MF14" s="8">
        <v>20.0</v>
      </c>
      <c r="MG14" s="8">
        <v>0.0</v>
      </c>
      <c r="MH14" s="8">
        <v>0.0</v>
      </c>
      <c r="MI14" s="9" t="s">
        <v>946</v>
      </c>
      <c r="MJ14" s="8">
        <v>0.0</v>
      </c>
      <c r="MK14" s="8">
        <v>0.0</v>
      </c>
      <c r="ML14" s="8">
        <v>1.0</v>
      </c>
      <c r="MM14" s="8">
        <v>0.0</v>
      </c>
      <c r="MN14" s="8">
        <v>0.0</v>
      </c>
      <c r="MO14" s="8">
        <v>0.0</v>
      </c>
      <c r="MP14" s="9"/>
      <c r="MQ14" s="9"/>
      <c r="MR14" s="9" t="s">
        <v>1048</v>
      </c>
      <c r="MS14" s="9"/>
      <c r="MT14" s="9" t="s">
        <v>1131</v>
      </c>
      <c r="MU14" s="9" t="s">
        <v>881</v>
      </c>
      <c r="MV14" s="9"/>
      <c r="MW14" s="9"/>
      <c r="MX14" s="9"/>
      <c r="MY14" s="9"/>
      <c r="MZ14" s="9"/>
      <c r="NA14" s="9"/>
      <c r="NB14" s="9"/>
      <c r="NC14" s="9"/>
      <c r="ND14" s="9"/>
      <c r="NE14" s="9"/>
      <c r="NF14" s="9"/>
      <c r="NG14" s="9"/>
      <c r="NH14" s="9"/>
      <c r="NI14" s="9"/>
      <c r="NJ14" s="9"/>
      <c r="NK14" s="9"/>
      <c r="NL14" s="9" t="s">
        <v>881</v>
      </c>
      <c r="NM14" s="9" t="s">
        <v>893</v>
      </c>
      <c r="NN14" s="9" t="s">
        <v>1032</v>
      </c>
      <c r="NO14" s="9" t="s">
        <v>1077</v>
      </c>
      <c r="NP14" s="9"/>
      <c r="NQ14" s="9"/>
      <c r="NR14" s="9"/>
      <c r="NS14" s="9"/>
      <c r="NT14" s="9"/>
      <c r="NU14" s="9"/>
      <c r="NV14" s="9" t="s">
        <v>896</v>
      </c>
      <c r="NW14" s="9"/>
      <c r="NX14" s="9" t="s">
        <v>897</v>
      </c>
      <c r="NY14" s="8">
        <v>30.0</v>
      </c>
      <c r="NZ14" s="8">
        <v>30.0</v>
      </c>
      <c r="OA14" s="8">
        <v>0.0</v>
      </c>
      <c r="OB14" s="8">
        <v>5.0</v>
      </c>
      <c r="OC14" s="8">
        <v>5.0</v>
      </c>
      <c r="OD14" s="8">
        <v>0.0</v>
      </c>
      <c r="OE14" s="9" t="s">
        <v>898</v>
      </c>
      <c r="OF14" s="9" t="s">
        <v>899</v>
      </c>
      <c r="OG14" s="9" t="s">
        <v>857</v>
      </c>
      <c r="OH14" s="8">
        <v>0.0</v>
      </c>
      <c r="OI14" s="8">
        <v>0.0</v>
      </c>
      <c r="OJ14" s="8">
        <v>0.0</v>
      </c>
      <c r="OK14" s="8">
        <v>0.0</v>
      </c>
      <c r="OL14" s="8">
        <v>0.0</v>
      </c>
      <c r="OM14" s="8">
        <v>0.0</v>
      </c>
      <c r="ON14" s="8">
        <v>0.0</v>
      </c>
      <c r="OO14" s="8">
        <v>0.0</v>
      </c>
      <c r="OP14" s="9" t="s">
        <v>2947</v>
      </c>
      <c r="OQ14" s="8">
        <v>1.0</v>
      </c>
      <c r="OR14" s="8">
        <v>0.0</v>
      </c>
      <c r="OS14" s="8">
        <v>0.0</v>
      </c>
      <c r="OT14" s="8">
        <v>0.0</v>
      </c>
      <c r="OU14" s="8">
        <v>0.0</v>
      </c>
      <c r="OV14" s="8">
        <v>0.0</v>
      </c>
      <c r="OW14" s="8">
        <v>0.0</v>
      </c>
      <c r="OX14" s="8">
        <v>0.0</v>
      </c>
      <c r="OY14" s="9" t="s">
        <v>900</v>
      </c>
      <c r="OZ14" s="8">
        <v>1.0</v>
      </c>
      <c r="PA14" s="8">
        <v>0.0</v>
      </c>
      <c r="PB14" s="8">
        <v>0.0</v>
      </c>
      <c r="PC14" s="8">
        <v>0.0</v>
      </c>
      <c r="PD14" s="8">
        <v>0.0</v>
      </c>
      <c r="PE14" s="8">
        <v>0.0</v>
      </c>
      <c r="PF14" s="8">
        <v>1.0</v>
      </c>
      <c r="PG14" s="8">
        <v>0.0</v>
      </c>
      <c r="PH14" s="8">
        <v>0.0</v>
      </c>
      <c r="PI14" s="8">
        <v>0.0</v>
      </c>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8">
        <v>0.0</v>
      </c>
      <c r="SE14" s="9"/>
      <c r="SF14" s="9"/>
      <c r="SG14" s="9"/>
      <c r="SH14" s="9"/>
      <c r="SI14" s="9"/>
      <c r="SJ14" s="9"/>
      <c r="SK14" s="9"/>
      <c r="SL14" s="8">
        <v>0.0</v>
      </c>
      <c r="SM14" s="8">
        <v>0.0</v>
      </c>
      <c r="SN14" s="8">
        <v>0.0</v>
      </c>
      <c r="SO14" s="8">
        <v>0.0</v>
      </c>
      <c r="SP14" s="8">
        <v>0.0</v>
      </c>
      <c r="SQ14" s="8">
        <v>0.0</v>
      </c>
      <c r="SR14" s="8">
        <v>0.0</v>
      </c>
      <c r="SS14" s="8">
        <v>0.0</v>
      </c>
      <c r="ST14" s="8">
        <v>0.0</v>
      </c>
      <c r="SU14" s="8">
        <v>0.0</v>
      </c>
      <c r="SV14" s="8">
        <v>0.0</v>
      </c>
      <c r="SW14" s="8">
        <v>0.0</v>
      </c>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t="s">
        <v>881</v>
      </c>
      <c r="ZR14" s="9"/>
      <c r="ZS14" s="9"/>
      <c r="ZT14" s="9"/>
      <c r="ZU14" s="9"/>
      <c r="ZV14" s="9"/>
      <c r="ZW14" s="9" t="s">
        <v>857</v>
      </c>
      <c r="ZX14" s="9" t="s">
        <v>867</v>
      </c>
      <c r="ZY14" s="9" t="s">
        <v>906</v>
      </c>
      <c r="ZZ14" s="8">
        <v>1.0</v>
      </c>
      <c r="AAA14" s="8">
        <v>0.0</v>
      </c>
      <c r="AAB14" s="8">
        <v>0.0</v>
      </c>
      <c r="AAC14" s="8">
        <v>0.0</v>
      </c>
      <c r="AAD14" s="8">
        <v>0.0</v>
      </c>
      <c r="AAE14" s="8">
        <v>0.0</v>
      </c>
      <c r="AAF14" s="8">
        <v>0.0</v>
      </c>
      <c r="AAG14" s="9" t="s">
        <v>907</v>
      </c>
      <c r="AAH14" s="8">
        <v>1.0</v>
      </c>
      <c r="AAI14" s="8">
        <v>0.0</v>
      </c>
      <c r="AAJ14" s="8">
        <v>0.0</v>
      </c>
      <c r="AAK14" s="8">
        <v>0.0</v>
      </c>
      <c r="AAL14" s="8">
        <v>0.0</v>
      </c>
      <c r="AAM14" s="9"/>
      <c r="AAN14" s="9"/>
      <c r="AAO14" s="9"/>
      <c r="AAP14" s="9"/>
      <c r="AAQ14" s="9"/>
      <c r="AAR14" s="9"/>
      <c r="AAS14" s="9"/>
      <c r="AAT14" s="9"/>
      <c r="AAU14" s="9"/>
      <c r="AAV14" s="11" t="s">
        <v>953</v>
      </c>
      <c r="AAW14" s="9" t="s">
        <v>1075</v>
      </c>
      <c r="AAX14" s="8">
        <v>1500.0</v>
      </c>
      <c r="AAY14" s="9"/>
      <c r="AAZ14" s="8">
        <v>300.0</v>
      </c>
      <c r="ABA14" s="8">
        <v>300.0</v>
      </c>
      <c r="ABB14" s="9" t="s">
        <v>910</v>
      </c>
      <c r="ABC14" s="9"/>
      <c r="ABD14" s="8">
        <v>25.0</v>
      </c>
      <c r="ABE14" s="8">
        <v>20.0</v>
      </c>
      <c r="ABF14" s="8">
        <v>10.0</v>
      </c>
      <c r="ABG14" s="8">
        <v>6000.0</v>
      </c>
      <c r="ABH14" s="8">
        <v>400.0</v>
      </c>
      <c r="ABI14" s="8">
        <v>500.0</v>
      </c>
      <c r="ABJ14" s="9" t="s">
        <v>857</v>
      </c>
      <c r="ABK14" s="9" t="s">
        <v>911</v>
      </c>
      <c r="ABL14" s="9" t="s">
        <v>911</v>
      </c>
      <c r="ABM14" s="9" t="s">
        <v>911</v>
      </c>
      <c r="ABN14" s="9"/>
      <c r="ABO14" s="9"/>
      <c r="ABP14" s="9"/>
      <c r="ABQ14" s="9"/>
      <c r="ABR14" s="9"/>
      <c r="ABS14" s="9"/>
      <c r="ABT14" s="9"/>
      <c r="ABU14" s="9"/>
      <c r="ABV14" s="9"/>
      <c r="ABW14" s="9"/>
      <c r="ABX14" s="9"/>
      <c r="ABY14" s="9" t="s">
        <v>1132</v>
      </c>
      <c r="ABZ14" s="9" t="s">
        <v>913</v>
      </c>
      <c r="ACA14" s="9" t="s">
        <v>957</v>
      </c>
      <c r="ACB14" s="9" t="s">
        <v>915</v>
      </c>
      <c r="ACC14" s="9" t="s">
        <v>916</v>
      </c>
      <c r="ACD14" s="9" t="s">
        <v>1017</v>
      </c>
      <c r="ACE14" s="8">
        <v>1.0</v>
      </c>
      <c r="ACF14" s="8">
        <v>1.0</v>
      </c>
      <c r="ACG14" s="8">
        <v>1.0</v>
      </c>
      <c r="ACH14" s="8">
        <v>0.0</v>
      </c>
      <c r="ACI14" s="9" t="s">
        <v>918</v>
      </c>
      <c r="ACJ14" s="9" t="s">
        <v>918</v>
      </c>
      <c r="ACK14" s="9" t="s">
        <v>918</v>
      </c>
      <c r="ACL14" s="9" t="s">
        <v>918</v>
      </c>
      <c r="ACM14" s="9" t="s">
        <v>881</v>
      </c>
      <c r="ACN14" s="9"/>
      <c r="ACO14" s="9" t="s">
        <v>918</v>
      </c>
      <c r="ACP14" s="9"/>
      <c r="ACQ14" s="9"/>
      <c r="ACR14" s="9"/>
      <c r="ACS14" s="9"/>
      <c r="ACT14" s="9"/>
      <c r="ACU14" s="9"/>
      <c r="ACV14" s="9"/>
      <c r="ACW14" s="9"/>
      <c r="ACX14" s="9"/>
      <c r="ACY14" s="9"/>
      <c r="ACZ14" s="9" t="s">
        <v>1018</v>
      </c>
      <c r="ADA14" s="8">
        <v>0.0</v>
      </c>
      <c r="ADB14" s="8">
        <v>0.0</v>
      </c>
      <c r="ADC14" s="8">
        <v>0.0</v>
      </c>
      <c r="ADD14" s="8">
        <v>0.0</v>
      </c>
      <c r="ADE14" s="8">
        <v>1.0</v>
      </c>
      <c r="ADF14" s="8">
        <v>1.0</v>
      </c>
      <c r="ADG14" s="8">
        <v>0.0</v>
      </c>
      <c r="ADH14" s="8">
        <v>0.0</v>
      </c>
      <c r="ADI14" s="12"/>
      <c r="ADJ14" s="17" t="s">
        <v>872</v>
      </c>
      <c r="ADK14" s="9"/>
      <c r="ADL14" s="17" t="s">
        <v>920</v>
      </c>
      <c r="ADM14" s="9"/>
      <c r="ADN14" s="11" t="s">
        <v>999</v>
      </c>
      <c r="ADO14" s="9" t="s">
        <v>961</v>
      </c>
      <c r="ADP14" s="17" t="s">
        <v>1076</v>
      </c>
      <c r="ADQ14" s="18">
        <v>1.0</v>
      </c>
      <c r="ADR14" s="18">
        <v>1.0</v>
      </c>
      <c r="ADS14" s="18">
        <v>1.0</v>
      </c>
      <c r="ADT14" s="18">
        <v>1.0</v>
      </c>
      <c r="ADU14" s="18">
        <v>1.0</v>
      </c>
      <c r="ADV14" s="18">
        <v>1.0</v>
      </c>
      <c r="ADW14" s="18">
        <v>1.0</v>
      </c>
      <c r="ADX14" s="18">
        <v>1.0</v>
      </c>
      <c r="ADY14" s="18">
        <v>0.0</v>
      </c>
      <c r="ADZ14" s="18">
        <v>0.0</v>
      </c>
      <c r="AEA14" s="18">
        <v>0.0</v>
      </c>
      <c r="AEB14" s="18">
        <v>0.0</v>
      </c>
      <c r="AEC14" s="9"/>
      <c r="AED14" s="9" t="s">
        <v>923</v>
      </c>
      <c r="AEE14" s="9"/>
      <c r="AEF14" s="9" t="s">
        <v>1077</v>
      </c>
      <c r="AEG14" s="9"/>
      <c r="AEH14" s="9" t="s">
        <v>1133</v>
      </c>
      <c r="AEI14" s="16" t="s">
        <v>1134</v>
      </c>
      <c r="AEJ14" s="9" t="s">
        <v>1135</v>
      </c>
      <c r="AEK14" s="16" t="s">
        <v>1136</v>
      </c>
      <c r="AEL14" s="9" t="s">
        <v>1137</v>
      </c>
      <c r="AEM14" s="9"/>
      <c r="AEN14" s="9"/>
    </row>
    <row r="15">
      <c r="A15" s="6">
        <v>46058.0</v>
      </c>
      <c r="B15" s="6">
        <v>46058.0</v>
      </c>
      <c r="C15" s="7" t="s">
        <v>837</v>
      </c>
      <c r="D15" s="7" t="s">
        <v>1138</v>
      </c>
      <c r="E15" s="8">
        <f>+6285727023490</f>
        <v>6285727023490</v>
      </c>
      <c r="F15" s="9"/>
      <c r="G15" s="8">
        <v>-7.33332939</v>
      </c>
      <c r="H15" s="8">
        <v>110.3411286</v>
      </c>
      <c r="I15" s="9"/>
      <c r="J15" s="8">
        <v>2.05</v>
      </c>
      <c r="K15" s="9"/>
      <c r="L15" s="9"/>
      <c r="M15" s="8">
        <v>-7.33347641</v>
      </c>
      <c r="N15" s="8">
        <v>110.3411244</v>
      </c>
      <c r="O15" s="9"/>
      <c r="P15" s="8">
        <v>4.7</v>
      </c>
      <c r="Q15" s="9"/>
      <c r="R15" s="9" t="s">
        <v>839</v>
      </c>
      <c r="S15" s="9"/>
      <c r="T15" s="9"/>
      <c r="U15" s="9"/>
      <c r="V15" s="9"/>
      <c r="W15" s="9"/>
      <c r="X15" s="9"/>
      <c r="Y15" s="9"/>
      <c r="Z15" s="9"/>
      <c r="AA15" s="9"/>
      <c r="AB15" s="9"/>
      <c r="AC15" s="7" t="s">
        <v>1025</v>
      </c>
      <c r="AD15" s="7" t="s">
        <v>1026</v>
      </c>
      <c r="AE15" s="7" t="s">
        <v>1127</v>
      </c>
      <c r="AF15" s="9" t="s">
        <v>1128</v>
      </c>
      <c r="AG15" s="9" t="s">
        <v>1139</v>
      </c>
      <c r="AH15" s="8">
        <v>13.0</v>
      </c>
      <c r="AI15" s="9" t="s">
        <v>933</v>
      </c>
      <c r="AJ15" s="9" t="s">
        <v>934</v>
      </c>
      <c r="AK15" s="8">
        <v>60.0</v>
      </c>
      <c r="AL15" s="9" t="s">
        <v>847</v>
      </c>
      <c r="AM15" s="9" t="s">
        <v>848</v>
      </c>
      <c r="AN15" s="9" t="s">
        <v>849</v>
      </c>
      <c r="AO15" s="9" t="s">
        <v>935</v>
      </c>
      <c r="AP15" s="8">
        <v>0.0</v>
      </c>
      <c r="AQ15" s="8">
        <v>1.0</v>
      </c>
      <c r="AR15" s="8">
        <v>0.0</v>
      </c>
      <c r="AS15" s="8">
        <v>0.0</v>
      </c>
      <c r="AT15" s="8">
        <v>0.0</v>
      </c>
      <c r="AU15" s="8">
        <v>0.0</v>
      </c>
      <c r="AV15" s="8">
        <v>0.0</v>
      </c>
      <c r="AW15" s="8">
        <v>0.0</v>
      </c>
      <c r="AX15" s="9"/>
      <c r="AY15" s="9" t="s">
        <v>935</v>
      </c>
      <c r="AZ15" s="8">
        <v>0.0</v>
      </c>
      <c r="BA15" s="8">
        <v>1.0</v>
      </c>
      <c r="BB15" s="8">
        <v>0.0</v>
      </c>
      <c r="BC15" s="8">
        <v>0.0</v>
      </c>
      <c r="BD15" s="8">
        <v>0.0</v>
      </c>
      <c r="BE15" s="8">
        <v>0.0</v>
      </c>
      <c r="BF15" s="8">
        <v>0.0</v>
      </c>
      <c r="BG15" s="8">
        <v>0.0</v>
      </c>
      <c r="BH15" s="9"/>
      <c r="BI15" s="9" t="s">
        <v>852</v>
      </c>
      <c r="BJ15" s="8">
        <v>1.0</v>
      </c>
      <c r="BK15" s="8">
        <v>1.0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2012.0</v>
      </c>
      <c r="CN15" s="9" t="s">
        <v>858</v>
      </c>
      <c r="CO15" s="9" t="s">
        <v>859</v>
      </c>
      <c r="CP15" s="9" t="s">
        <v>860</v>
      </c>
      <c r="CQ15" s="8">
        <v>0.0</v>
      </c>
      <c r="CR15" s="8">
        <v>0.0</v>
      </c>
      <c r="CS15" s="8">
        <v>0.0</v>
      </c>
      <c r="CT15" s="8">
        <v>0.0</v>
      </c>
      <c r="CU15" s="10">
        <v>1.0</v>
      </c>
      <c r="CV15" s="10">
        <v>0.0</v>
      </c>
      <c r="CW15" s="10">
        <v>0.0</v>
      </c>
      <c r="CX15" s="8">
        <v>0.0</v>
      </c>
      <c r="CY15" s="9" t="s">
        <v>860</v>
      </c>
      <c r="CZ15" s="8">
        <v>1.0</v>
      </c>
      <c r="DA15" s="8">
        <v>0.0</v>
      </c>
      <c r="DB15" s="8">
        <v>0.0</v>
      </c>
      <c r="DC15" s="9"/>
      <c r="DD15" s="9" t="s">
        <v>860</v>
      </c>
      <c r="DE15" s="8">
        <v>1.0</v>
      </c>
      <c r="DF15" s="8">
        <v>0.0</v>
      </c>
      <c r="DG15" s="8">
        <v>0.0</v>
      </c>
      <c r="DH15" s="8">
        <v>0.0</v>
      </c>
      <c r="DI15" s="9"/>
      <c r="DJ15" s="9" t="s">
        <v>937</v>
      </c>
      <c r="DK15" s="8">
        <v>1.0</v>
      </c>
      <c r="DL15" s="8">
        <v>0.0</v>
      </c>
      <c r="DM15" s="8">
        <v>1.0</v>
      </c>
      <c r="DN15" s="8">
        <v>0.0</v>
      </c>
      <c r="DO15" s="9"/>
      <c r="DP15" s="8">
        <v>1.0</v>
      </c>
      <c r="DQ15" s="8">
        <v>0.0</v>
      </c>
      <c r="DR15" s="8">
        <v>0.0</v>
      </c>
      <c r="DS15" s="9"/>
      <c r="DT15" s="9"/>
      <c r="DU15" s="9"/>
      <c r="DV15" s="9" t="s">
        <v>938</v>
      </c>
      <c r="DW15" s="9" t="s">
        <v>939</v>
      </c>
      <c r="DX15" s="9" t="s">
        <v>987</v>
      </c>
      <c r="DY15" s="9"/>
      <c r="DZ15" s="9"/>
      <c r="EA15" s="9"/>
      <c r="EB15" s="9"/>
      <c r="EC15" s="9"/>
      <c r="ED15" s="9"/>
      <c r="EE15" s="9"/>
      <c r="EF15" s="9"/>
      <c r="EG15" s="9"/>
      <c r="EH15" s="9"/>
      <c r="EI15" s="9" t="s">
        <v>1140</v>
      </c>
      <c r="EJ15" s="8">
        <v>0.0</v>
      </c>
      <c r="EK15" s="8">
        <v>1.0</v>
      </c>
      <c r="EL15" s="8">
        <v>1.0</v>
      </c>
      <c r="EM15" s="8">
        <v>1.0</v>
      </c>
      <c r="EN15" s="8">
        <v>0.0</v>
      </c>
      <c r="EO15" s="11"/>
      <c r="EP15" s="9" t="s">
        <v>863</v>
      </c>
      <c r="EQ15" s="9" t="s">
        <v>864</v>
      </c>
      <c r="ER15" s="9" t="s">
        <v>1012</v>
      </c>
      <c r="ES15" s="8">
        <v>1.0</v>
      </c>
      <c r="ET15" s="8">
        <v>0.0</v>
      </c>
      <c r="EU15" s="8">
        <v>1.0</v>
      </c>
      <c r="EV15" s="8">
        <v>0.0</v>
      </c>
      <c r="EW15" s="9"/>
      <c r="EX15" s="9" t="s">
        <v>865</v>
      </c>
      <c r="EY15" s="8">
        <v>1.0</v>
      </c>
      <c r="EZ15" s="8">
        <v>0.0</v>
      </c>
      <c r="FA15" s="8">
        <v>0.0</v>
      </c>
      <c r="FB15" s="9"/>
      <c r="FC15" s="9" t="s">
        <v>866</v>
      </c>
      <c r="FD15" s="9"/>
      <c r="FE15" s="9" t="s">
        <v>867</v>
      </c>
      <c r="FF15" s="9" t="s">
        <v>868</v>
      </c>
      <c r="FG15" s="9" t="s">
        <v>867</v>
      </c>
      <c r="FH15" s="9" t="s">
        <v>869</v>
      </c>
      <c r="FI15" s="9" t="s">
        <v>867</v>
      </c>
      <c r="FJ15" s="9" t="s">
        <v>869</v>
      </c>
      <c r="FK15" s="9" t="s">
        <v>867</v>
      </c>
      <c r="FL15" s="9" t="s">
        <v>869</v>
      </c>
      <c r="FM15" s="9" t="s">
        <v>867</v>
      </c>
      <c r="FN15" s="9" t="s">
        <v>870</v>
      </c>
      <c r="FO15" s="9" t="s">
        <v>867</v>
      </c>
      <c r="FP15" s="9" t="s">
        <v>869</v>
      </c>
      <c r="FQ15" s="9" t="s">
        <v>867</v>
      </c>
      <c r="FR15" s="9" t="s">
        <v>857</v>
      </c>
      <c r="FS15" s="9" t="s">
        <v>867</v>
      </c>
      <c r="FT15" s="9" t="s">
        <v>1130</v>
      </c>
      <c r="FU15" s="9" t="s">
        <v>989</v>
      </c>
      <c r="FV15" s="8">
        <v>1.0</v>
      </c>
      <c r="FW15" s="8">
        <v>1.0</v>
      </c>
      <c r="FX15" s="8">
        <v>0.0</v>
      </c>
      <c r="FY15" s="8">
        <v>0.0</v>
      </c>
      <c r="FZ15" s="9" t="s">
        <v>944</v>
      </c>
      <c r="GA15" s="9" t="s">
        <v>874</v>
      </c>
      <c r="GB15" s="8">
        <v>1.0</v>
      </c>
      <c r="GC15" s="8">
        <v>0.0</v>
      </c>
      <c r="GD15" s="8">
        <v>0.0</v>
      </c>
      <c r="GE15" s="8">
        <v>0.0</v>
      </c>
      <c r="GF15" s="9"/>
      <c r="GG15" s="9" t="s">
        <v>875</v>
      </c>
      <c r="GH15" s="9" t="s">
        <v>857</v>
      </c>
      <c r="GI15" s="9" t="s">
        <v>876</v>
      </c>
      <c r="GJ15" s="8">
        <v>1.0</v>
      </c>
      <c r="GK15" s="8">
        <v>0.0</v>
      </c>
      <c r="GL15" s="8">
        <v>0.0</v>
      </c>
      <c r="GM15" s="8">
        <v>0.0</v>
      </c>
      <c r="GN15" s="9"/>
      <c r="GO15" s="8">
        <v>8.0</v>
      </c>
      <c r="GP15" s="9" t="s">
        <v>877</v>
      </c>
      <c r="GQ15" s="9" t="s">
        <v>878</v>
      </c>
      <c r="GR15" s="8">
        <v>1.0</v>
      </c>
      <c r="GS15" s="8">
        <v>1.0</v>
      </c>
      <c r="GT15" s="8">
        <v>0.0</v>
      </c>
      <c r="GU15" s="8">
        <v>0.0</v>
      </c>
      <c r="GV15" s="8">
        <v>0.0</v>
      </c>
      <c r="GW15" s="8">
        <v>0.0</v>
      </c>
      <c r="GX15" s="8">
        <v>0.0</v>
      </c>
      <c r="GY15" s="9"/>
      <c r="GZ15" s="9" t="s">
        <v>881</v>
      </c>
      <c r="HA15" s="8">
        <v>150.0</v>
      </c>
      <c r="HB15" s="8">
        <v>150000.0</v>
      </c>
      <c r="HC15" s="8">
        <v>0.0</v>
      </c>
      <c r="HD15" s="8">
        <v>0.0</v>
      </c>
      <c r="HE15" s="8">
        <v>9.0</v>
      </c>
      <c r="HF15" s="8">
        <v>75000.0</v>
      </c>
      <c r="HG15" s="8">
        <v>0.0</v>
      </c>
      <c r="HH15" s="8">
        <v>0.0</v>
      </c>
      <c r="HI15" s="9"/>
      <c r="HJ15" s="9"/>
      <c r="HK15" s="9"/>
      <c r="HL15" s="9"/>
      <c r="HM15" s="9"/>
      <c r="HN15" s="9"/>
      <c r="HO15" s="9"/>
      <c r="HP15" s="9"/>
      <c r="HQ15" s="9"/>
      <c r="HR15" s="9"/>
      <c r="HS15" s="9"/>
      <c r="HT15" s="9"/>
      <c r="HU15" s="9"/>
      <c r="HV15" s="9"/>
      <c r="HW15" s="9"/>
      <c r="HX15" s="9"/>
      <c r="HY15" s="8">
        <v>100.0</v>
      </c>
      <c r="HZ15" s="8">
        <v>100000.0</v>
      </c>
      <c r="IA15" s="8">
        <v>0.0</v>
      </c>
      <c r="IB15" s="8">
        <v>0.0</v>
      </c>
      <c r="IC15" s="9"/>
      <c r="ID15" s="9"/>
      <c r="IE15" s="9"/>
      <c r="IF15" s="9"/>
      <c r="IG15" s="9"/>
      <c r="IH15" s="9"/>
      <c r="II15" s="9"/>
      <c r="IJ15" s="9"/>
      <c r="IK15" s="9" t="s">
        <v>879</v>
      </c>
      <c r="IL15" s="9" t="s">
        <v>880</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884</v>
      </c>
      <c r="KT15" s="9" t="s">
        <v>886</v>
      </c>
      <c r="KU15" s="9" t="s">
        <v>886</v>
      </c>
      <c r="KV15" s="9" t="s">
        <v>872</v>
      </c>
      <c r="KW15" s="8">
        <v>1.0</v>
      </c>
      <c r="KX15" s="8">
        <v>0.0</v>
      </c>
      <c r="KY15" s="8">
        <v>0.0</v>
      </c>
      <c r="KZ15" s="8">
        <v>0.0</v>
      </c>
      <c r="LA15" s="9" t="s">
        <v>884</v>
      </c>
      <c r="LB15" s="9" t="s">
        <v>884</v>
      </c>
      <c r="LC15" s="8">
        <v>3.0</v>
      </c>
      <c r="LD15" s="8">
        <v>3.0</v>
      </c>
      <c r="LE15" s="8">
        <v>0.0</v>
      </c>
      <c r="LF15" s="8">
        <v>0.0</v>
      </c>
      <c r="LG15" s="9" t="s">
        <v>857</v>
      </c>
      <c r="LH15" s="8">
        <v>100000.0</v>
      </c>
      <c r="LI15" s="9"/>
      <c r="LJ15" s="9" t="s">
        <v>887</v>
      </c>
      <c r="LK15" s="8">
        <v>0.0</v>
      </c>
      <c r="LL15" s="8">
        <v>0.0</v>
      </c>
      <c r="LM15" s="8">
        <v>0.0</v>
      </c>
      <c r="LN15" s="8">
        <v>0.0</v>
      </c>
      <c r="LO15" s="8">
        <v>1.0</v>
      </c>
      <c r="LP15" s="8">
        <v>0.0</v>
      </c>
      <c r="LQ15" s="8">
        <v>0.0</v>
      </c>
      <c r="LR15" s="9"/>
      <c r="LS15" s="8">
        <v>15.0</v>
      </c>
      <c r="LT15" s="8">
        <v>15.0</v>
      </c>
      <c r="LU15" s="8">
        <v>0.0</v>
      </c>
      <c r="LV15" s="8">
        <v>5.0</v>
      </c>
      <c r="LW15" s="8">
        <v>5.0</v>
      </c>
      <c r="LX15" s="8">
        <v>0.0</v>
      </c>
      <c r="LY15" s="8">
        <v>5.0</v>
      </c>
      <c r="LZ15" s="8">
        <v>5.0</v>
      </c>
      <c r="MA15" s="8">
        <v>0.0</v>
      </c>
      <c r="MB15" s="9" t="s">
        <v>857</v>
      </c>
      <c r="MC15" s="8">
        <v>30.0</v>
      </c>
      <c r="MD15" s="8">
        <v>15.0</v>
      </c>
      <c r="ME15" s="8">
        <v>30.0</v>
      </c>
      <c r="MF15" s="8">
        <v>15.0</v>
      </c>
      <c r="MG15" s="8">
        <v>0.0</v>
      </c>
      <c r="MH15" s="8">
        <v>0.0</v>
      </c>
      <c r="MI15" s="9" t="s">
        <v>946</v>
      </c>
      <c r="MJ15" s="8">
        <v>0.0</v>
      </c>
      <c r="MK15" s="8">
        <v>0.0</v>
      </c>
      <c r="ML15" s="8">
        <v>1.0</v>
      </c>
      <c r="MM15" s="8">
        <v>0.0</v>
      </c>
      <c r="MN15" s="8">
        <v>0.0</v>
      </c>
      <c r="MO15" s="8">
        <v>0.0</v>
      </c>
      <c r="MP15" s="9"/>
      <c r="MQ15" s="9"/>
      <c r="MR15" s="9" t="s">
        <v>947</v>
      </c>
      <c r="MS15" s="9"/>
      <c r="MT15" s="9" t="s">
        <v>888</v>
      </c>
      <c r="MU15" s="9" t="s">
        <v>881</v>
      </c>
      <c r="MV15" s="9"/>
      <c r="MW15" s="9"/>
      <c r="MX15" s="9"/>
      <c r="MY15" s="9"/>
      <c r="MZ15" s="9"/>
      <c r="NA15" s="9"/>
      <c r="NB15" s="9"/>
      <c r="NC15" s="9"/>
      <c r="ND15" s="9"/>
      <c r="NE15" s="9"/>
      <c r="NF15" s="9"/>
      <c r="NG15" s="9"/>
      <c r="NH15" s="9"/>
      <c r="NI15" s="9"/>
      <c r="NJ15" s="9"/>
      <c r="NK15" s="9"/>
      <c r="NL15" s="9" t="s">
        <v>881</v>
      </c>
      <c r="NM15" s="9" t="s">
        <v>893</v>
      </c>
      <c r="NN15" s="9" t="s">
        <v>1141</v>
      </c>
      <c r="NO15" s="9" t="s">
        <v>1077</v>
      </c>
      <c r="NP15" s="9"/>
      <c r="NQ15" s="9"/>
      <c r="NR15" s="9"/>
      <c r="NS15" s="9"/>
      <c r="NT15" s="9"/>
      <c r="NU15" s="9"/>
      <c r="NV15" s="9" t="s">
        <v>896</v>
      </c>
      <c r="NW15" s="9"/>
      <c r="NX15" s="9" t="s">
        <v>897</v>
      </c>
      <c r="NY15" s="8">
        <v>45.0</v>
      </c>
      <c r="NZ15" s="8">
        <v>10.0</v>
      </c>
      <c r="OA15" s="8">
        <v>0.0</v>
      </c>
      <c r="OB15" s="8">
        <v>7.0</v>
      </c>
      <c r="OC15" s="8">
        <v>7.0</v>
      </c>
      <c r="OD15" s="8">
        <v>0.0</v>
      </c>
      <c r="OE15" s="9" t="s">
        <v>898</v>
      </c>
      <c r="OF15" s="9" t="s">
        <v>899</v>
      </c>
      <c r="OG15" s="9" t="s">
        <v>857</v>
      </c>
      <c r="OH15" s="8">
        <v>0.0</v>
      </c>
      <c r="OI15" s="8">
        <v>0.0</v>
      </c>
      <c r="OJ15" s="8">
        <v>0.0</v>
      </c>
      <c r="OK15" s="8">
        <v>0.0</v>
      </c>
      <c r="OL15" s="8">
        <v>0.0</v>
      </c>
      <c r="OM15" s="8">
        <v>0.0</v>
      </c>
      <c r="ON15" s="8">
        <v>0.0</v>
      </c>
      <c r="OO15" s="8">
        <v>0.0</v>
      </c>
      <c r="OP15" s="9" t="s">
        <v>2947</v>
      </c>
      <c r="OQ15" s="8">
        <v>1.0</v>
      </c>
      <c r="OR15" s="8">
        <v>0.0</v>
      </c>
      <c r="OS15" s="8">
        <v>0.0</v>
      </c>
      <c r="OT15" s="8">
        <v>0.0</v>
      </c>
      <c r="OU15" s="8">
        <v>0.0</v>
      </c>
      <c r="OV15" s="8">
        <v>0.0</v>
      </c>
      <c r="OW15" s="8">
        <v>0.0</v>
      </c>
      <c r="OX15" s="8">
        <v>0.0</v>
      </c>
      <c r="OY15" s="9" t="s">
        <v>900</v>
      </c>
      <c r="OZ15" s="8">
        <v>1.0</v>
      </c>
      <c r="PA15" s="8">
        <v>0.0</v>
      </c>
      <c r="PB15" s="8">
        <v>0.0</v>
      </c>
      <c r="PC15" s="8">
        <v>0.0</v>
      </c>
      <c r="PD15" s="8">
        <v>0.0</v>
      </c>
      <c r="PE15" s="8">
        <v>0.0</v>
      </c>
      <c r="PF15" s="8">
        <v>1.0</v>
      </c>
      <c r="PG15" s="8">
        <v>0.0</v>
      </c>
      <c r="PH15" s="8">
        <v>0.0</v>
      </c>
      <c r="PI15" s="8">
        <v>0.0</v>
      </c>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8">
        <v>0.0</v>
      </c>
      <c r="SE15" s="9"/>
      <c r="SF15" s="9"/>
      <c r="SG15" s="9"/>
      <c r="SH15" s="9"/>
      <c r="SI15" s="9"/>
      <c r="SJ15" s="9"/>
      <c r="SK15" s="9"/>
      <c r="SL15" s="8">
        <v>0.0</v>
      </c>
      <c r="SM15" s="8">
        <v>0.0</v>
      </c>
      <c r="SN15" s="8">
        <v>0.0</v>
      </c>
      <c r="SO15" s="8">
        <v>0.0</v>
      </c>
      <c r="SP15" s="8">
        <v>0.0</v>
      </c>
      <c r="SQ15" s="8">
        <v>0.0</v>
      </c>
      <c r="SR15" s="8">
        <v>0.0</v>
      </c>
      <c r="SS15" s="8">
        <v>0.0</v>
      </c>
      <c r="ST15" s="8">
        <v>0.0</v>
      </c>
      <c r="SU15" s="8">
        <v>0.0</v>
      </c>
      <c r="SV15" s="8">
        <v>0.0</v>
      </c>
      <c r="SW15" s="8">
        <v>0.0</v>
      </c>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t="s">
        <v>857</v>
      </c>
      <c r="ZR15" s="9" t="s">
        <v>1033</v>
      </c>
      <c r="ZS15" s="8">
        <v>1.0</v>
      </c>
      <c r="ZT15" s="8">
        <v>1.0</v>
      </c>
      <c r="ZU15" s="8">
        <v>100.0</v>
      </c>
      <c r="ZV15" s="8">
        <v>100.0</v>
      </c>
      <c r="ZW15" s="9" t="s">
        <v>857</v>
      </c>
      <c r="ZX15" s="9" t="s">
        <v>867</v>
      </c>
      <c r="ZY15" s="9" t="s">
        <v>906</v>
      </c>
      <c r="ZZ15" s="8">
        <v>1.0</v>
      </c>
      <c r="AAA15" s="8">
        <v>0.0</v>
      </c>
      <c r="AAB15" s="8">
        <v>0.0</v>
      </c>
      <c r="AAC15" s="8">
        <v>0.0</v>
      </c>
      <c r="AAD15" s="8">
        <v>0.0</v>
      </c>
      <c r="AAE15" s="8">
        <v>0.0</v>
      </c>
      <c r="AAF15" s="8">
        <v>0.0</v>
      </c>
      <c r="AAG15" s="9" t="s">
        <v>907</v>
      </c>
      <c r="AAH15" s="8">
        <v>1.0</v>
      </c>
      <c r="AAI15" s="8">
        <v>0.0</v>
      </c>
      <c r="AAJ15" s="8">
        <v>0.0</v>
      </c>
      <c r="AAK15" s="8">
        <v>0.0</v>
      </c>
      <c r="AAL15" s="8">
        <v>0.0</v>
      </c>
      <c r="AAM15" s="9"/>
      <c r="AAN15" s="9"/>
      <c r="AAO15" s="9"/>
      <c r="AAP15" s="9"/>
      <c r="AAQ15" s="9"/>
      <c r="AAR15" s="9"/>
      <c r="AAS15" s="9"/>
      <c r="AAT15" s="9"/>
      <c r="AAU15" s="9"/>
      <c r="AAV15" s="11" t="s">
        <v>953</v>
      </c>
      <c r="AAW15" s="9" t="s">
        <v>1075</v>
      </c>
      <c r="AAX15" s="8">
        <v>3000.0</v>
      </c>
      <c r="AAY15" s="9"/>
      <c r="AAZ15" s="8">
        <v>500.0</v>
      </c>
      <c r="ABA15" s="8">
        <v>500.0</v>
      </c>
      <c r="ABB15" s="9" t="s">
        <v>910</v>
      </c>
      <c r="ABC15" s="9"/>
      <c r="ABD15" s="8">
        <v>30.0</v>
      </c>
      <c r="ABE15" s="8">
        <v>6000.0</v>
      </c>
      <c r="ABF15" s="8">
        <v>15.0</v>
      </c>
      <c r="ABG15" s="8">
        <v>6000.0</v>
      </c>
      <c r="ABH15" s="8">
        <v>500.0</v>
      </c>
      <c r="ABI15" s="8">
        <v>700.0</v>
      </c>
      <c r="ABJ15" s="9" t="s">
        <v>857</v>
      </c>
      <c r="ABK15" s="9" t="s">
        <v>911</v>
      </c>
      <c r="ABL15" s="9" t="s">
        <v>911</v>
      </c>
      <c r="ABM15" s="9" t="s">
        <v>911</v>
      </c>
      <c r="ABN15" s="9"/>
      <c r="ABO15" s="9"/>
      <c r="ABP15" s="9"/>
      <c r="ABQ15" s="9"/>
      <c r="ABR15" s="9"/>
      <c r="ABS15" s="9"/>
      <c r="ABT15" s="9"/>
      <c r="ABU15" s="9"/>
      <c r="ABV15" s="9"/>
      <c r="ABW15" s="9"/>
      <c r="ABX15" s="9"/>
      <c r="ABY15" s="9" t="s">
        <v>912</v>
      </c>
      <c r="ABZ15" s="9" t="s">
        <v>913</v>
      </c>
      <c r="ACA15" s="9" t="s">
        <v>957</v>
      </c>
      <c r="ACB15" s="9" t="s">
        <v>915</v>
      </c>
      <c r="ACC15" s="9" t="s">
        <v>916</v>
      </c>
      <c r="ACD15" s="9" t="s">
        <v>1017</v>
      </c>
      <c r="ACE15" s="8">
        <v>1.0</v>
      </c>
      <c r="ACF15" s="8">
        <v>1.0</v>
      </c>
      <c r="ACG15" s="8">
        <v>1.0</v>
      </c>
      <c r="ACH15" s="8">
        <v>0.0</v>
      </c>
      <c r="ACI15" s="9" t="s">
        <v>918</v>
      </c>
      <c r="ACJ15" s="9" t="s">
        <v>918</v>
      </c>
      <c r="ACK15" s="9" t="s">
        <v>918</v>
      </c>
      <c r="ACL15" s="9" t="s">
        <v>918</v>
      </c>
      <c r="ACM15" s="9" t="s">
        <v>881</v>
      </c>
      <c r="ACN15" s="9"/>
      <c r="ACO15" s="9" t="s">
        <v>918</v>
      </c>
      <c r="ACP15" s="9"/>
      <c r="ACQ15" s="9"/>
      <c r="ACR15" s="9"/>
      <c r="ACS15" s="9"/>
      <c r="ACT15" s="9"/>
      <c r="ACU15" s="9"/>
      <c r="ACV15" s="9"/>
      <c r="ACW15" s="9"/>
      <c r="ACX15" s="9"/>
      <c r="ACY15" s="9"/>
      <c r="ACZ15" s="9" t="s">
        <v>1018</v>
      </c>
      <c r="ADA15" s="8">
        <v>0.0</v>
      </c>
      <c r="ADB15" s="8">
        <v>0.0</v>
      </c>
      <c r="ADC15" s="8">
        <v>0.0</v>
      </c>
      <c r="ADD15" s="8">
        <v>0.0</v>
      </c>
      <c r="ADE15" s="8">
        <v>1.0</v>
      </c>
      <c r="ADF15" s="8">
        <v>1.0</v>
      </c>
      <c r="ADG15" s="8">
        <v>0.0</v>
      </c>
      <c r="ADH15" s="8">
        <v>0.0</v>
      </c>
      <c r="ADI15" s="12"/>
      <c r="ADJ15" s="17" t="s">
        <v>872</v>
      </c>
      <c r="ADK15" s="9"/>
      <c r="ADL15" s="17" t="s">
        <v>920</v>
      </c>
      <c r="ADM15" s="9"/>
      <c r="ADN15" s="11" t="s">
        <v>999</v>
      </c>
      <c r="ADO15" s="9" t="s">
        <v>961</v>
      </c>
      <c r="ADP15" s="17" t="s">
        <v>1108</v>
      </c>
      <c r="ADQ15" s="18">
        <v>1.0</v>
      </c>
      <c r="ADR15" s="18">
        <v>1.0</v>
      </c>
      <c r="ADS15" s="18">
        <v>1.0</v>
      </c>
      <c r="ADT15" s="18">
        <v>1.0</v>
      </c>
      <c r="ADU15" s="18">
        <v>1.0</v>
      </c>
      <c r="ADV15" s="18">
        <v>1.0</v>
      </c>
      <c r="ADW15" s="18">
        <v>1.0</v>
      </c>
      <c r="ADX15" s="18">
        <v>1.0</v>
      </c>
      <c r="ADY15" s="18">
        <v>1.0</v>
      </c>
      <c r="ADZ15" s="18">
        <v>0.0</v>
      </c>
      <c r="AEA15" s="18">
        <v>0.0</v>
      </c>
      <c r="AEB15" s="18">
        <v>0.0</v>
      </c>
      <c r="AEC15" s="9"/>
      <c r="AED15" s="9" t="s">
        <v>923</v>
      </c>
      <c r="AEE15" s="9"/>
      <c r="AEF15" s="9" t="s">
        <v>1077</v>
      </c>
      <c r="AEG15" s="9"/>
      <c r="AEH15" s="9" t="s">
        <v>1142</v>
      </c>
      <c r="AEI15" s="16" t="s">
        <v>1143</v>
      </c>
      <c r="AEJ15" s="9" t="s">
        <v>1144</v>
      </c>
      <c r="AEK15" s="16" t="s">
        <v>1145</v>
      </c>
      <c r="AEL15" s="9" t="s">
        <v>1137</v>
      </c>
      <c r="AEM15" s="9"/>
      <c r="AEN15" s="9"/>
    </row>
    <row r="16">
      <c r="A16" s="6">
        <v>46058.0</v>
      </c>
      <c r="B16" s="6">
        <v>46058.0</v>
      </c>
      <c r="C16" s="7" t="s">
        <v>837</v>
      </c>
      <c r="D16" s="7" t="s">
        <v>1146</v>
      </c>
      <c r="E16" s="8">
        <f>+6285779615733</f>
        <v>6285779615733</v>
      </c>
      <c r="F16" s="9"/>
      <c r="G16" s="8">
        <v>-7.31335388</v>
      </c>
      <c r="H16" s="8">
        <v>110.3219548</v>
      </c>
      <c r="I16" s="9"/>
      <c r="J16" s="8">
        <v>2.23</v>
      </c>
      <c r="K16" s="9"/>
      <c r="L16" s="9"/>
      <c r="M16" s="8">
        <v>-7.31326388</v>
      </c>
      <c r="N16" s="8">
        <v>110.3219578</v>
      </c>
      <c r="O16" s="9"/>
      <c r="P16" s="8">
        <v>3.08</v>
      </c>
      <c r="Q16" s="9"/>
      <c r="R16" s="9" t="s">
        <v>839</v>
      </c>
      <c r="S16" s="9"/>
      <c r="T16" s="9"/>
      <c r="U16" s="9"/>
      <c r="V16" s="9"/>
      <c r="W16" s="9"/>
      <c r="X16" s="9"/>
      <c r="Y16" s="9"/>
      <c r="Z16" s="9"/>
      <c r="AA16" s="9"/>
      <c r="AB16" s="9"/>
      <c r="AC16" s="7" t="s">
        <v>1025</v>
      </c>
      <c r="AD16" s="7" t="s">
        <v>1147</v>
      </c>
      <c r="AE16" s="7" t="s">
        <v>1148</v>
      </c>
      <c r="AF16" s="9" t="s">
        <v>843</v>
      </c>
      <c r="AG16" s="9" t="s">
        <v>1149</v>
      </c>
      <c r="AH16" s="8">
        <v>10.0</v>
      </c>
      <c r="AI16" s="9" t="s">
        <v>933</v>
      </c>
      <c r="AJ16" s="9" t="s">
        <v>846</v>
      </c>
      <c r="AK16" s="8">
        <v>58.0</v>
      </c>
      <c r="AL16" s="9" t="s">
        <v>847</v>
      </c>
      <c r="AM16" s="9" t="s">
        <v>848</v>
      </c>
      <c r="AN16" s="9" t="s">
        <v>849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852</v>
      </c>
      <c r="BJ16" s="8">
        <v>1.0</v>
      </c>
      <c r="BK16" s="8">
        <v>1.0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2015.0</v>
      </c>
      <c r="CN16" s="9" t="s">
        <v>858</v>
      </c>
      <c r="CO16" s="9" t="s">
        <v>859</v>
      </c>
      <c r="CP16" s="9" t="s">
        <v>860</v>
      </c>
      <c r="CQ16" s="8">
        <v>0.0</v>
      </c>
      <c r="CR16" s="8">
        <v>0.0</v>
      </c>
      <c r="CS16" s="8">
        <v>0.0</v>
      </c>
      <c r="CT16" s="8">
        <v>0.0</v>
      </c>
      <c r="CU16" s="10">
        <v>1.0</v>
      </c>
      <c r="CV16" s="10">
        <v>0.0</v>
      </c>
      <c r="CW16" s="10">
        <v>0.0</v>
      </c>
      <c r="CX16" s="8">
        <v>0.0</v>
      </c>
      <c r="CY16" s="9" t="s">
        <v>860</v>
      </c>
      <c r="CZ16" s="8">
        <v>1.0</v>
      </c>
      <c r="DA16" s="8">
        <v>0.0</v>
      </c>
      <c r="DB16" s="8">
        <v>0.0</v>
      </c>
      <c r="DC16" s="9"/>
      <c r="DD16" s="9" t="s">
        <v>937</v>
      </c>
      <c r="DE16" s="8">
        <v>1.0</v>
      </c>
      <c r="DF16" s="8">
        <v>0.0</v>
      </c>
      <c r="DG16" s="8">
        <v>1.0</v>
      </c>
      <c r="DH16" s="8">
        <v>0.0</v>
      </c>
      <c r="DI16" s="9"/>
      <c r="DJ16" s="9" t="s">
        <v>937</v>
      </c>
      <c r="DK16" s="8">
        <v>1.0</v>
      </c>
      <c r="DL16" s="8">
        <v>0.0</v>
      </c>
      <c r="DM16" s="8">
        <v>1.0</v>
      </c>
      <c r="DN16" s="8">
        <v>0.0</v>
      </c>
      <c r="DO16" s="9"/>
      <c r="DP16" s="8">
        <v>1.0</v>
      </c>
      <c r="DQ16" s="8">
        <v>0.0</v>
      </c>
      <c r="DR16" s="8">
        <v>0.0</v>
      </c>
      <c r="DS16" s="9"/>
      <c r="DT16" s="9"/>
      <c r="DU16" s="9"/>
      <c r="DV16" s="9" t="s">
        <v>857</v>
      </c>
      <c r="DW16" s="9"/>
      <c r="DX16" s="9"/>
      <c r="DY16" s="9"/>
      <c r="DZ16" s="9"/>
      <c r="EA16" s="9"/>
      <c r="EB16" s="9"/>
      <c r="EC16" s="9"/>
      <c r="ED16" s="9"/>
      <c r="EE16" s="9"/>
      <c r="EF16" s="9"/>
      <c r="EG16" s="9"/>
      <c r="EH16" s="9"/>
      <c r="EI16" s="9" t="s">
        <v>862</v>
      </c>
      <c r="EJ16" s="8">
        <v>0.0</v>
      </c>
      <c r="EK16" s="8">
        <v>0.0</v>
      </c>
      <c r="EL16" s="8">
        <v>0.0</v>
      </c>
      <c r="EM16" s="8">
        <v>1.0</v>
      </c>
      <c r="EN16" s="8">
        <v>0.0</v>
      </c>
      <c r="EO16" s="11"/>
      <c r="EP16" s="9" t="s">
        <v>863</v>
      </c>
      <c r="EQ16" s="9" t="s">
        <v>864</v>
      </c>
      <c r="ER16" s="9" t="s">
        <v>861</v>
      </c>
      <c r="ES16" s="8">
        <v>1.0</v>
      </c>
      <c r="ET16" s="8">
        <v>0.0</v>
      </c>
      <c r="EU16" s="8">
        <v>0.0</v>
      </c>
      <c r="EV16" s="8">
        <v>0.0</v>
      </c>
      <c r="EW16" s="9"/>
      <c r="EX16" s="9" t="s">
        <v>865</v>
      </c>
      <c r="EY16" s="8">
        <v>1.0</v>
      </c>
      <c r="EZ16" s="8">
        <v>0.0</v>
      </c>
      <c r="FA16" s="8">
        <v>0.0</v>
      </c>
      <c r="FB16" s="9"/>
      <c r="FC16" s="9" t="s">
        <v>1072</v>
      </c>
      <c r="FD16" s="9"/>
      <c r="FE16" s="9" t="s">
        <v>867</v>
      </c>
      <c r="FF16" s="9" t="s">
        <v>868</v>
      </c>
      <c r="FG16" s="9" t="s">
        <v>867</v>
      </c>
      <c r="FH16" s="9" t="s">
        <v>869</v>
      </c>
      <c r="FI16" s="9" t="s">
        <v>867</v>
      </c>
      <c r="FJ16" s="9" t="s">
        <v>869</v>
      </c>
      <c r="FK16" s="9" t="s">
        <v>867</v>
      </c>
      <c r="FL16" s="9" t="s">
        <v>869</v>
      </c>
      <c r="FM16" s="9" t="s">
        <v>867</v>
      </c>
      <c r="FN16" s="9" t="s">
        <v>870</v>
      </c>
      <c r="FO16" s="9" t="s">
        <v>867</v>
      </c>
      <c r="FP16" s="9" t="s">
        <v>870</v>
      </c>
      <c r="FQ16" s="9" t="s">
        <v>867</v>
      </c>
      <c r="FR16" s="9" t="s">
        <v>857</v>
      </c>
      <c r="FS16" s="9" t="s">
        <v>867</v>
      </c>
      <c r="FT16" s="9" t="s">
        <v>871</v>
      </c>
      <c r="FU16" s="9" t="s">
        <v>989</v>
      </c>
      <c r="FV16" s="8">
        <v>1.0</v>
      </c>
      <c r="FW16" s="8">
        <v>1.0</v>
      </c>
      <c r="FX16" s="8">
        <v>0.0</v>
      </c>
      <c r="FY16" s="8">
        <v>0.0</v>
      </c>
      <c r="FZ16" s="9" t="s">
        <v>873</v>
      </c>
      <c r="GA16" s="9" t="s">
        <v>874</v>
      </c>
      <c r="GB16" s="8">
        <v>1.0</v>
      </c>
      <c r="GC16" s="8">
        <v>0.0</v>
      </c>
      <c r="GD16" s="8">
        <v>0.0</v>
      </c>
      <c r="GE16" s="8">
        <v>0.0</v>
      </c>
      <c r="GF16" s="9"/>
      <c r="GG16" s="9" t="s">
        <v>875</v>
      </c>
      <c r="GH16" s="9" t="s">
        <v>857</v>
      </c>
      <c r="GI16" s="9" t="s">
        <v>876</v>
      </c>
      <c r="GJ16" s="8">
        <v>1.0</v>
      </c>
      <c r="GK16" s="8">
        <v>0.0</v>
      </c>
      <c r="GL16" s="8">
        <v>0.0</v>
      </c>
      <c r="GM16" s="8">
        <v>0.0</v>
      </c>
      <c r="GN16" s="9"/>
      <c r="GO16" s="8">
        <v>9.0</v>
      </c>
      <c r="GP16" s="9" t="s">
        <v>877</v>
      </c>
      <c r="GQ16" s="9" t="s">
        <v>878</v>
      </c>
      <c r="GR16" s="8">
        <v>1.0</v>
      </c>
      <c r="GS16" s="8">
        <v>1.0</v>
      </c>
      <c r="GT16" s="8">
        <v>0.0</v>
      </c>
      <c r="GU16" s="8">
        <v>0.0</v>
      </c>
      <c r="GV16" s="8">
        <v>0.0</v>
      </c>
      <c r="GW16" s="8">
        <v>0.0</v>
      </c>
      <c r="GX16" s="8">
        <v>0.0</v>
      </c>
      <c r="GY16" s="9"/>
      <c r="GZ16" s="9" t="s">
        <v>857</v>
      </c>
      <c r="HA16" s="8">
        <v>150.0</v>
      </c>
      <c r="HB16" s="8">
        <v>150000.0</v>
      </c>
      <c r="HC16" s="8">
        <v>9.0</v>
      </c>
      <c r="HD16" s="8">
        <v>75000.0</v>
      </c>
      <c r="HE16" s="8">
        <v>9.0</v>
      </c>
      <c r="HF16" s="8">
        <v>75000.0</v>
      </c>
      <c r="HG16" s="8">
        <v>3.0</v>
      </c>
      <c r="HH16" s="8">
        <v>25000.0</v>
      </c>
      <c r="HI16" s="9"/>
      <c r="HJ16" s="9"/>
      <c r="HK16" s="9"/>
      <c r="HL16" s="9"/>
      <c r="HM16" s="9"/>
      <c r="HN16" s="9"/>
      <c r="HO16" s="9"/>
      <c r="HP16" s="9"/>
      <c r="HQ16" s="9"/>
      <c r="HR16" s="9"/>
      <c r="HS16" s="9"/>
      <c r="HT16" s="9"/>
      <c r="HU16" s="9"/>
      <c r="HV16" s="9"/>
      <c r="HW16" s="9"/>
      <c r="HX16" s="9"/>
      <c r="HY16" s="8">
        <v>100.0</v>
      </c>
      <c r="HZ16" s="8">
        <v>100000.0</v>
      </c>
      <c r="IA16" s="8">
        <v>6.0</v>
      </c>
      <c r="IB16" s="8">
        <v>50000.0</v>
      </c>
      <c r="IC16" s="9"/>
      <c r="ID16" s="9"/>
      <c r="IE16" s="9"/>
      <c r="IF16" s="9"/>
      <c r="IG16" s="9"/>
      <c r="IH16" s="9"/>
      <c r="II16" s="9"/>
      <c r="IJ16" s="9"/>
      <c r="IK16" s="9" t="s">
        <v>879</v>
      </c>
      <c r="IL16" s="9" t="s">
        <v>880</v>
      </c>
      <c r="IM16" s="9" t="s">
        <v>857</v>
      </c>
      <c r="IN16" s="9" t="s">
        <v>881</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999</v>
      </c>
      <c r="KW16" s="8">
        <v>0.0</v>
      </c>
      <c r="KX16" s="8">
        <v>0.0</v>
      </c>
      <c r="KY16" s="8">
        <v>0.0</v>
      </c>
      <c r="KZ16" s="8">
        <v>1.0</v>
      </c>
      <c r="LA16" s="9" t="s">
        <v>884</v>
      </c>
      <c r="LB16" s="9" t="s">
        <v>884</v>
      </c>
      <c r="LC16" s="8">
        <v>3.0</v>
      </c>
      <c r="LD16" s="8">
        <v>3.0</v>
      </c>
      <c r="LE16" s="8">
        <v>0.0</v>
      </c>
      <c r="LF16" s="8">
        <v>0.0</v>
      </c>
      <c r="LG16" s="9" t="s">
        <v>857</v>
      </c>
      <c r="LH16" s="8">
        <v>100000.0</v>
      </c>
      <c r="LI16" s="9"/>
      <c r="LJ16" s="9" t="s">
        <v>887</v>
      </c>
      <c r="LK16" s="8">
        <v>0.0</v>
      </c>
      <c r="LL16" s="8">
        <v>0.0</v>
      </c>
      <c r="LM16" s="8">
        <v>0.0</v>
      </c>
      <c r="LN16" s="8">
        <v>0.0</v>
      </c>
      <c r="LO16" s="8">
        <v>1.0</v>
      </c>
      <c r="LP16" s="8">
        <v>0.0</v>
      </c>
      <c r="LQ16" s="8">
        <v>0.0</v>
      </c>
      <c r="LR16" s="9"/>
      <c r="LS16" s="8">
        <v>15.0</v>
      </c>
      <c r="LT16" s="8">
        <v>15.0</v>
      </c>
      <c r="LU16" s="8">
        <v>0.0</v>
      </c>
      <c r="LV16" s="8">
        <v>5.0</v>
      </c>
      <c r="LW16" s="8">
        <v>5.0</v>
      </c>
      <c r="LX16" s="8">
        <v>0.0</v>
      </c>
      <c r="LY16" s="8">
        <v>5.0</v>
      </c>
      <c r="LZ16" s="8">
        <v>5.0</v>
      </c>
      <c r="MA16" s="8">
        <v>0.0</v>
      </c>
      <c r="MB16" s="9" t="s">
        <v>857</v>
      </c>
      <c r="MC16" s="8">
        <v>30.0</v>
      </c>
      <c r="MD16" s="8">
        <v>15.0</v>
      </c>
      <c r="ME16" s="8">
        <v>30.0</v>
      </c>
      <c r="MF16" s="8">
        <v>15.0</v>
      </c>
      <c r="MG16" s="8">
        <v>0.0</v>
      </c>
      <c r="MH16" s="8">
        <v>0.0</v>
      </c>
      <c r="MI16" s="9" t="s">
        <v>946</v>
      </c>
      <c r="MJ16" s="8">
        <v>0.0</v>
      </c>
      <c r="MK16" s="8">
        <v>0.0</v>
      </c>
      <c r="ML16" s="8">
        <v>1.0</v>
      </c>
      <c r="MM16" s="8">
        <v>0.0</v>
      </c>
      <c r="MN16" s="8">
        <v>0.0</v>
      </c>
      <c r="MO16" s="8">
        <v>0.0</v>
      </c>
      <c r="MP16" s="9"/>
      <c r="MQ16" s="9"/>
      <c r="MR16" s="9" t="s">
        <v>1048</v>
      </c>
      <c r="MS16" s="9"/>
      <c r="MT16" s="9" t="s">
        <v>888</v>
      </c>
      <c r="MU16" s="9" t="s">
        <v>881</v>
      </c>
      <c r="MV16" s="9"/>
      <c r="MW16" s="9"/>
      <c r="MX16" s="9"/>
      <c r="MY16" s="9"/>
      <c r="MZ16" s="9"/>
      <c r="NA16" s="9"/>
      <c r="NB16" s="9"/>
      <c r="NC16" s="9"/>
      <c r="ND16" s="9"/>
      <c r="NE16" s="9"/>
      <c r="NF16" s="9"/>
      <c r="NG16" s="9"/>
      <c r="NH16" s="9"/>
      <c r="NI16" s="9"/>
      <c r="NJ16" s="9"/>
      <c r="NK16" s="9"/>
      <c r="NL16" s="9" t="s">
        <v>881</v>
      </c>
      <c r="NM16" s="9" t="s">
        <v>893</v>
      </c>
      <c r="NN16" s="9" t="s">
        <v>1032</v>
      </c>
      <c r="NO16" s="9" t="s">
        <v>973</v>
      </c>
      <c r="NP16" s="9"/>
      <c r="NQ16" s="9"/>
      <c r="NR16" s="9"/>
      <c r="NS16" s="9"/>
      <c r="NT16" s="9"/>
      <c r="NU16" s="9"/>
      <c r="NV16" s="9" t="s">
        <v>896</v>
      </c>
      <c r="NW16" s="9"/>
      <c r="NX16" s="9" t="s">
        <v>897</v>
      </c>
      <c r="NY16" s="8">
        <v>30.0</v>
      </c>
      <c r="NZ16" s="8">
        <v>0.0</v>
      </c>
      <c r="OA16" s="8">
        <v>0.0</v>
      </c>
      <c r="OB16" s="8">
        <v>5.0</v>
      </c>
      <c r="OC16" s="8">
        <v>0.0</v>
      </c>
      <c r="OD16" s="8">
        <v>0.0</v>
      </c>
      <c r="OE16" s="9" t="s">
        <v>898</v>
      </c>
      <c r="OF16" s="9" t="s">
        <v>899</v>
      </c>
      <c r="OG16" s="9" t="s">
        <v>857</v>
      </c>
      <c r="OH16" s="8">
        <v>0.0</v>
      </c>
      <c r="OI16" s="8">
        <v>2.0</v>
      </c>
      <c r="OJ16" s="8">
        <v>0.0</v>
      </c>
      <c r="OK16" s="8">
        <v>0.0</v>
      </c>
      <c r="OL16" s="8">
        <v>0.0</v>
      </c>
      <c r="OM16" s="8">
        <v>10.0</v>
      </c>
      <c r="ON16" s="8">
        <v>0.0</v>
      </c>
      <c r="OO16" s="8">
        <v>0.0</v>
      </c>
      <c r="OP16" s="9" t="s">
        <v>2950</v>
      </c>
      <c r="OQ16" s="8">
        <v>0.0</v>
      </c>
      <c r="OR16" s="8">
        <v>1.0</v>
      </c>
      <c r="OS16" s="8">
        <v>0.0</v>
      </c>
      <c r="OT16" s="8">
        <v>0.0</v>
      </c>
      <c r="OU16" s="8">
        <v>0.0</v>
      </c>
      <c r="OV16" s="8">
        <v>1.0</v>
      </c>
      <c r="OW16" s="8">
        <v>0.0</v>
      </c>
      <c r="OX16" s="8">
        <v>0.0</v>
      </c>
      <c r="OY16" s="9"/>
      <c r="OZ16" s="9"/>
      <c r="PA16" s="9"/>
      <c r="PB16" s="9"/>
      <c r="PC16" s="9"/>
      <c r="PD16" s="9"/>
      <c r="PE16" s="9"/>
      <c r="PF16" s="9"/>
      <c r="PG16" s="9"/>
      <c r="PH16" s="9"/>
      <c r="PI16" s="9"/>
      <c r="PJ16" s="9" t="s">
        <v>900</v>
      </c>
      <c r="PK16" s="8">
        <v>0.0</v>
      </c>
      <c r="PL16" s="8">
        <v>0.0</v>
      </c>
      <c r="PM16" s="8">
        <v>0.0</v>
      </c>
      <c r="PN16" s="8">
        <v>0.0</v>
      </c>
      <c r="PO16" s="8">
        <v>0.0</v>
      </c>
      <c r="PP16" s="8">
        <v>1.0</v>
      </c>
      <c r="PQ16" s="8">
        <v>0.0</v>
      </c>
      <c r="PR16" s="8">
        <v>0.0</v>
      </c>
      <c r="PS16" s="8">
        <v>0.0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t="s">
        <v>900</v>
      </c>
      <c r="QX16" s="8">
        <v>1.0</v>
      </c>
      <c r="QY16" s="8">
        <v>0.0</v>
      </c>
      <c r="QZ16" s="8">
        <v>0.0</v>
      </c>
      <c r="RA16" s="8">
        <v>0.0</v>
      </c>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8">
        <v>2.0</v>
      </c>
      <c r="SF16" s="9"/>
      <c r="SG16" s="9"/>
      <c r="SH16" s="9"/>
      <c r="SI16" s="8">
        <v>10.0</v>
      </c>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t="s">
        <v>901</v>
      </c>
      <c r="UB16" s="9"/>
      <c r="UC16" s="9"/>
      <c r="UD16" s="9"/>
      <c r="UE16" s="9" t="s">
        <v>901</v>
      </c>
      <c r="UF16" s="9"/>
      <c r="UG16" s="9"/>
      <c r="UH16" s="9"/>
      <c r="UI16" s="9" t="s">
        <v>1150</v>
      </c>
      <c r="UJ16" s="9"/>
      <c r="UK16" s="9"/>
      <c r="UL16" s="9"/>
      <c r="UM16" s="9" t="s">
        <v>1150</v>
      </c>
      <c r="UN16" s="9"/>
      <c r="UO16" s="9"/>
      <c r="UP16" s="9"/>
      <c r="UQ16" s="9" t="s">
        <v>903</v>
      </c>
      <c r="UR16" s="9"/>
      <c r="US16" s="9"/>
      <c r="UT16" s="9"/>
      <c r="UU16" s="9" t="s">
        <v>903</v>
      </c>
      <c r="UV16" s="9"/>
      <c r="UW16" s="9"/>
      <c r="UX16" s="9"/>
      <c r="UY16" s="9"/>
      <c r="UZ16" s="9"/>
      <c r="VA16" s="9"/>
      <c r="VB16" s="9"/>
      <c r="VC16" s="9"/>
      <c r="VD16" s="9"/>
      <c r="VE16" s="9"/>
      <c r="VF16" s="9"/>
      <c r="VG16" s="9"/>
      <c r="VH16" s="9"/>
      <c r="VI16" s="9"/>
      <c r="VJ16" s="9"/>
      <c r="VK16" s="9" t="s">
        <v>1073</v>
      </c>
      <c r="VL16" s="8">
        <v>0.0</v>
      </c>
      <c r="VM16" s="8">
        <v>0.0</v>
      </c>
      <c r="VN16" s="8">
        <v>1.0</v>
      </c>
      <c r="VO16" s="8">
        <v>1.0</v>
      </c>
      <c r="VP16" s="8">
        <v>0.0</v>
      </c>
      <c r="VQ16" s="8">
        <v>0.0</v>
      </c>
      <c r="VR16" s="8">
        <v>0.0</v>
      </c>
      <c r="VS16" s="8">
        <v>0.0</v>
      </c>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t="s">
        <v>904</v>
      </c>
      <c r="XH16" s="8">
        <v>0.0</v>
      </c>
      <c r="XI16" s="8">
        <v>0.0</v>
      </c>
      <c r="XJ16" s="8">
        <v>0.0</v>
      </c>
      <c r="XK16" s="8">
        <v>1.0</v>
      </c>
      <c r="XL16" s="8">
        <v>0.0</v>
      </c>
      <c r="XM16" s="8">
        <v>0.0</v>
      </c>
      <c r="XN16" s="8">
        <v>0.0</v>
      </c>
      <c r="XO16" s="8">
        <v>0.0</v>
      </c>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8">
        <v>2.0</v>
      </c>
      <c r="ZC16" s="9"/>
      <c r="ZD16" s="9"/>
      <c r="ZE16" s="9"/>
      <c r="ZF16" s="8">
        <v>1.0</v>
      </c>
      <c r="ZG16" s="9"/>
      <c r="ZH16" s="9"/>
      <c r="ZI16" s="9"/>
      <c r="ZJ16" s="9" t="s">
        <v>905</v>
      </c>
      <c r="ZK16" s="9"/>
      <c r="ZL16" s="9"/>
      <c r="ZM16" s="9"/>
      <c r="ZN16" s="9" t="s">
        <v>905</v>
      </c>
      <c r="ZO16" s="9"/>
      <c r="ZP16" s="9"/>
      <c r="ZQ16" s="9" t="s">
        <v>857</v>
      </c>
      <c r="ZR16" s="9" t="s">
        <v>1033</v>
      </c>
      <c r="ZS16" s="8">
        <v>1.0</v>
      </c>
      <c r="ZT16" s="8">
        <v>1.0</v>
      </c>
      <c r="ZU16" s="8">
        <v>100.0</v>
      </c>
      <c r="ZV16" s="8">
        <v>100.0</v>
      </c>
      <c r="ZW16" s="9" t="s">
        <v>857</v>
      </c>
      <c r="ZX16" s="9" t="s">
        <v>867</v>
      </c>
      <c r="ZY16" s="9" t="s">
        <v>906</v>
      </c>
      <c r="ZZ16" s="8">
        <v>1.0</v>
      </c>
      <c r="AAA16" s="8">
        <v>0.0</v>
      </c>
      <c r="AAB16" s="8">
        <v>0.0</v>
      </c>
      <c r="AAC16" s="8">
        <v>0.0</v>
      </c>
      <c r="AAD16" s="8">
        <v>0.0</v>
      </c>
      <c r="AAE16" s="8">
        <v>0.0</v>
      </c>
      <c r="AAF16" s="8">
        <v>0.0</v>
      </c>
      <c r="AAG16" s="9" t="s">
        <v>907</v>
      </c>
      <c r="AAH16" s="8">
        <v>1.0</v>
      </c>
      <c r="AAI16" s="8">
        <v>0.0</v>
      </c>
      <c r="AAJ16" s="8">
        <v>0.0</v>
      </c>
      <c r="AAK16" s="8">
        <v>0.0</v>
      </c>
      <c r="AAL16" s="8">
        <v>0.0</v>
      </c>
      <c r="AAM16" s="9"/>
      <c r="AAN16" s="9"/>
      <c r="AAO16" s="9"/>
      <c r="AAP16" s="9"/>
      <c r="AAQ16" s="9"/>
      <c r="AAR16" s="9"/>
      <c r="AAS16" s="9"/>
      <c r="AAT16" s="9"/>
      <c r="AAU16" s="9"/>
      <c r="AAV16" s="11" t="s">
        <v>953</v>
      </c>
      <c r="AAW16" s="9" t="s">
        <v>1075</v>
      </c>
      <c r="AAX16" s="8">
        <v>2000.0</v>
      </c>
      <c r="AAY16" s="9"/>
      <c r="AAZ16" s="8">
        <v>200.0</v>
      </c>
      <c r="ABA16" s="8">
        <v>200.0</v>
      </c>
      <c r="ABB16" s="9" t="s">
        <v>910</v>
      </c>
      <c r="ABC16" s="9"/>
      <c r="ABD16" s="8">
        <v>25.0</v>
      </c>
      <c r="ABE16" s="8">
        <v>6000.0</v>
      </c>
      <c r="ABF16" s="8">
        <v>10.0</v>
      </c>
      <c r="ABG16" s="8">
        <v>6000.0</v>
      </c>
      <c r="ABH16" s="8">
        <v>400.0</v>
      </c>
      <c r="ABI16" s="8">
        <v>600.0</v>
      </c>
      <c r="ABJ16" s="9" t="s">
        <v>857</v>
      </c>
      <c r="ABK16" s="9" t="s">
        <v>911</v>
      </c>
      <c r="ABL16" s="9" t="s">
        <v>911</v>
      </c>
      <c r="ABM16" s="9" t="s">
        <v>911</v>
      </c>
      <c r="ABN16" s="9"/>
      <c r="ABO16" s="9"/>
      <c r="ABP16" s="9"/>
      <c r="ABQ16" s="9"/>
      <c r="ABR16" s="9"/>
      <c r="ABS16" s="9"/>
      <c r="ABT16" s="9"/>
      <c r="ABU16" s="9"/>
      <c r="ABV16" s="9"/>
      <c r="ABW16" s="9"/>
      <c r="ABX16" s="9"/>
      <c r="ABY16" s="9" t="s">
        <v>912</v>
      </c>
      <c r="ABZ16" s="9" t="s">
        <v>913</v>
      </c>
      <c r="ACA16" s="9" t="s">
        <v>957</v>
      </c>
      <c r="ACB16" s="9" t="s">
        <v>915</v>
      </c>
      <c r="ACC16" s="9" t="s">
        <v>916</v>
      </c>
      <c r="ACD16" s="9" t="s">
        <v>1017</v>
      </c>
      <c r="ACE16" s="8">
        <v>1.0</v>
      </c>
      <c r="ACF16" s="8">
        <v>1.0</v>
      </c>
      <c r="ACG16" s="8">
        <v>1.0</v>
      </c>
      <c r="ACH16" s="8">
        <v>0.0</v>
      </c>
      <c r="ACI16" s="9" t="s">
        <v>918</v>
      </c>
      <c r="ACJ16" s="9" t="s">
        <v>918</v>
      </c>
      <c r="ACK16" s="9" t="s">
        <v>918</v>
      </c>
      <c r="ACL16" s="9" t="s">
        <v>918</v>
      </c>
      <c r="ACM16" s="9" t="s">
        <v>881</v>
      </c>
      <c r="ACN16" s="9"/>
      <c r="ACO16" s="9" t="s">
        <v>918</v>
      </c>
      <c r="ACP16" s="9"/>
      <c r="ACQ16" s="9"/>
      <c r="ACR16" s="9"/>
      <c r="ACS16" s="9"/>
      <c r="ACT16" s="9"/>
      <c r="ACU16" s="9"/>
      <c r="ACV16" s="9"/>
      <c r="ACW16" s="9"/>
      <c r="ACX16" s="9"/>
      <c r="ACY16" s="9"/>
      <c r="ACZ16" s="9" t="s">
        <v>1018</v>
      </c>
      <c r="ADA16" s="8">
        <v>0.0</v>
      </c>
      <c r="ADB16" s="8">
        <v>0.0</v>
      </c>
      <c r="ADC16" s="8">
        <v>0.0</v>
      </c>
      <c r="ADD16" s="8">
        <v>0.0</v>
      </c>
      <c r="ADE16" s="8">
        <v>1.0</v>
      </c>
      <c r="ADF16" s="8">
        <v>1.0</v>
      </c>
      <c r="ADG16" s="8">
        <v>0.0</v>
      </c>
      <c r="ADH16" s="8">
        <v>0.0</v>
      </c>
      <c r="ADI16" s="12"/>
      <c r="ADJ16" s="17" t="s">
        <v>872</v>
      </c>
      <c r="ADK16" s="9"/>
      <c r="ADL16" s="17" t="s">
        <v>920</v>
      </c>
      <c r="ADM16" s="9"/>
      <c r="ADN16" s="11" t="s">
        <v>999</v>
      </c>
      <c r="ADO16" s="9" t="s">
        <v>961</v>
      </c>
      <c r="ADP16" s="19" t="s">
        <v>1151</v>
      </c>
      <c r="ADQ16" s="18">
        <v>1.0</v>
      </c>
      <c r="ADR16" s="18">
        <v>1.0</v>
      </c>
      <c r="ADS16" s="18">
        <v>1.0</v>
      </c>
      <c r="ADT16" s="18">
        <v>1.0</v>
      </c>
      <c r="ADU16" s="18">
        <v>1.0</v>
      </c>
      <c r="ADV16" s="18">
        <v>1.0</v>
      </c>
      <c r="ADW16" s="18">
        <v>1.0</v>
      </c>
      <c r="ADX16" s="18">
        <v>1.0</v>
      </c>
      <c r="ADY16" s="18">
        <v>1.0</v>
      </c>
      <c r="ADZ16" s="18">
        <v>0.0</v>
      </c>
      <c r="AEA16" s="18">
        <v>0.0</v>
      </c>
      <c r="AEB16" s="20">
        <v>0.0</v>
      </c>
      <c r="AEC16" s="21"/>
      <c r="AED16" s="9" t="s">
        <v>923</v>
      </c>
      <c r="AEE16" s="9"/>
      <c r="AEF16" s="9" t="s">
        <v>924</v>
      </c>
      <c r="AEG16" s="9"/>
      <c r="AEH16" s="9" t="s">
        <v>1152</v>
      </c>
      <c r="AEI16" s="16" t="s">
        <v>1153</v>
      </c>
      <c r="AEJ16" s="9" t="s">
        <v>1154</v>
      </c>
      <c r="AEK16" s="16" t="s">
        <v>1155</v>
      </c>
      <c r="AEL16" s="9" t="s">
        <v>1137</v>
      </c>
      <c r="AEM16" s="9"/>
      <c r="AEN16" s="9"/>
    </row>
    <row r="17">
      <c r="A17" s="6">
        <v>46058.0</v>
      </c>
      <c r="B17" s="6">
        <v>46058.0</v>
      </c>
      <c r="C17" s="7" t="s">
        <v>837</v>
      </c>
      <c r="D17" s="7" t="s">
        <v>1156</v>
      </c>
      <c r="E17" s="8">
        <f>+628139099012</f>
        <v>628139099012</v>
      </c>
      <c r="F17" s="9"/>
      <c r="G17" s="8">
        <v>-7.33150059</v>
      </c>
      <c r="H17" s="8">
        <v>110.341182</v>
      </c>
      <c r="I17" s="9"/>
      <c r="J17" s="8">
        <v>2.84</v>
      </c>
      <c r="K17" s="9"/>
      <c r="L17" s="9"/>
      <c r="M17" s="8">
        <v>-7.33153659</v>
      </c>
      <c r="N17" s="8">
        <v>110.3412659</v>
      </c>
      <c r="O17" s="9"/>
      <c r="P17" s="8">
        <v>4.63</v>
      </c>
      <c r="Q17" s="9"/>
      <c r="R17" s="9" t="s">
        <v>839</v>
      </c>
      <c r="S17" s="9"/>
      <c r="T17" s="9"/>
      <c r="U17" s="9"/>
      <c r="V17" s="9"/>
      <c r="W17" s="9"/>
      <c r="X17" s="9"/>
      <c r="Y17" s="9"/>
      <c r="Z17" s="9"/>
      <c r="AA17" s="9"/>
      <c r="AB17" s="9"/>
      <c r="AC17" s="7" t="s">
        <v>1025</v>
      </c>
      <c r="AD17" s="7" t="s">
        <v>1026</v>
      </c>
      <c r="AE17" s="7" t="s">
        <v>1127</v>
      </c>
      <c r="AF17" s="9" t="s">
        <v>1128</v>
      </c>
      <c r="AG17" s="9" t="s">
        <v>1157</v>
      </c>
      <c r="AH17" s="8">
        <v>16.0</v>
      </c>
      <c r="AI17" s="9" t="s">
        <v>933</v>
      </c>
      <c r="AJ17" s="9" t="s">
        <v>846</v>
      </c>
      <c r="AK17" s="8">
        <v>58.0</v>
      </c>
      <c r="AL17" s="9" t="s">
        <v>847</v>
      </c>
      <c r="AM17" s="9" t="s">
        <v>848</v>
      </c>
      <c r="AN17" s="9" t="s">
        <v>1009</v>
      </c>
      <c r="AO17" s="9" t="s">
        <v>850</v>
      </c>
      <c r="AP17" s="8">
        <v>1.0</v>
      </c>
      <c r="AQ17" s="8">
        <v>0.0</v>
      </c>
      <c r="AR17" s="8">
        <v>0.0</v>
      </c>
      <c r="AS17" s="8">
        <v>0.0</v>
      </c>
      <c r="AT17" s="8">
        <v>0.0</v>
      </c>
      <c r="AU17" s="8">
        <v>0.0</v>
      </c>
      <c r="AV17" s="8">
        <v>0.0</v>
      </c>
      <c r="AW17" s="8">
        <v>0.0</v>
      </c>
      <c r="AX17" s="9"/>
      <c r="AY17" s="9" t="s">
        <v>935</v>
      </c>
      <c r="AZ17" s="8">
        <v>0.0</v>
      </c>
      <c r="BA17" s="8">
        <v>1.0</v>
      </c>
      <c r="BB17" s="8">
        <v>0.0</v>
      </c>
      <c r="BC17" s="8">
        <v>0.0</v>
      </c>
      <c r="BD17" s="8">
        <v>0.0</v>
      </c>
      <c r="BE17" s="8">
        <v>0.0</v>
      </c>
      <c r="BF17" s="8">
        <v>0.0</v>
      </c>
      <c r="BG17" s="8">
        <v>0.0</v>
      </c>
      <c r="BH17" s="9"/>
      <c r="BI17" s="9" t="s">
        <v>852</v>
      </c>
      <c r="BJ17" s="8">
        <v>4.0</v>
      </c>
      <c r="BK17" s="8">
        <v>4.0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2010.0</v>
      </c>
      <c r="CN17" s="9" t="s">
        <v>858</v>
      </c>
      <c r="CO17" s="9" t="s">
        <v>859</v>
      </c>
      <c r="CP17" s="9" t="s">
        <v>1060</v>
      </c>
      <c r="CQ17" s="8">
        <v>0.0</v>
      </c>
      <c r="CR17" s="8">
        <v>0.0</v>
      </c>
      <c r="CS17" s="8">
        <v>0.0</v>
      </c>
      <c r="CT17" s="8">
        <v>0.0</v>
      </c>
      <c r="CU17" s="10">
        <v>1.0</v>
      </c>
      <c r="CV17" s="10">
        <v>1.0</v>
      </c>
      <c r="CW17" s="10">
        <v>0.0</v>
      </c>
      <c r="CX17" s="8">
        <v>0.0</v>
      </c>
      <c r="CY17" s="9" t="s">
        <v>860</v>
      </c>
      <c r="CZ17" s="8">
        <v>1.0</v>
      </c>
      <c r="DA17" s="8">
        <v>0.0</v>
      </c>
      <c r="DB17" s="8">
        <v>0.0</v>
      </c>
      <c r="DC17" s="9"/>
      <c r="DD17" s="9" t="s">
        <v>937</v>
      </c>
      <c r="DE17" s="8">
        <v>1.0</v>
      </c>
      <c r="DF17" s="8">
        <v>0.0</v>
      </c>
      <c r="DG17" s="8">
        <v>1.0</v>
      </c>
      <c r="DH17" s="8">
        <v>0.0</v>
      </c>
      <c r="DI17" s="9"/>
      <c r="DJ17" s="9" t="s">
        <v>937</v>
      </c>
      <c r="DK17" s="8">
        <v>1.0</v>
      </c>
      <c r="DL17" s="8">
        <v>0.0</v>
      </c>
      <c r="DM17" s="8">
        <v>1.0</v>
      </c>
      <c r="DN17" s="8">
        <v>0.0</v>
      </c>
      <c r="DO17" s="9"/>
      <c r="DP17" s="8">
        <v>1.0</v>
      </c>
      <c r="DQ17" s="8">
        <v>0.0</v>
      </c>
      <c r="DR17" s="8">
        <v>0.0</v>
      </c>
      <c r="DS17" s="9"/>
      <c r="DT17" s="9"/>
      <c r="DU17" s="9"/>
      <c r="DV17" s="9" t="s">
        <v>857</v>
      </c>
      <c r="DW17" s="9"/>
      <c r="DX17" s="9"/>
      <c r="DY17" s="9"/>
      <c r="DZ17" s="9"/>
      <c r="EA17" s="9"/>
      <c r="EB17" s="9"/>
      <c r="EC17" s="9"/>
      <c r="ED17" s="9"/>
      <c r="EE17" s="9"/>
      <c r="EF17" s="9"/>
      <c r="EG17" s="9"/>
      <c r="EH17" s="9"/>
      <c r="EI17" s="9" t="s">
        <v>862</v>
      </c>
      <c r="EJ17" s="8">
        <v>0.0</v>
      </c>
      <c r="EK17" s="8">
        <v>0.0</v>
      </c>
      <c r="EL17" s="8">
        <v>0.0</v>
      </c>
      <c r="EM17" s="8">
        <v>1.0</v>
      </c>
      <c r="EN17" s="8">
        <v>0.0</v>
      </c>
      <c r="EO17" s="11"/>
      <c r="EP17" s="9" t="s">
        <v>863</v>
      </c>
      <c r="EQ17" s="9" t="s">
        <v>864</v>
      </c>
      <c r="ER17" s="9" t="s">
        <v>1012</v>
      </c>
      <c r="ES17" s="8">
        <v>1.0</v>
      </c>
      <c r="ET17" s="8">
        <v>0.0</v>
      </c>
      <c r="EU17" s="8">
        <v>1.0</v>
      </c>
      <c r="EV17" s="8">
        <v>0.0</v>
      </c>
      <c r="EW17" s="9"/>
      <c r="EX17" s="9" t="s">
        <v>865</v>
      </c>
      <c r="EY17" s="8">
        <v>1.0</v>
      </c>
      <c r="EZ17" s="8">
        <v>0.0</v>
      </c>
      <c r="FA17" s="8">
        <v>0.0</v>
      </c>
      <c r="FB17" s="9"/>
      <c r="FC17" s="9" t="s">
        <v>1072</v>
      </c>
      <c r="FD17" s="9"/>
      <c r="FE17" s="9" t="s">
        <v>867</v>
      </c>
      <c r="FF17" s="9" t="s">
        <v>868</v>
      </c>
      <c r="FG17" s="9" t="s">
        <v>867</v>
      </c>
      <c r="FH17" s="9" t="s">
        <v>868</v>
      </c>
      <c r="FI17" s="9" t="s">
        <v>867</v>
      </c>
      <c r="FJ17" s="9" t="s">
        <v>868</v>
      </c>
      <c r="FK17" s="9" t="s">
        <v>867</v>
      </c>
      <c r="FL17" s="9" t="s">
        <v>869</v>
      </c>
      <c r="FM17" s="9" t="s">
        <v>867</v>
      </c>
      <c r="FN17" s="9" t="s">
        <v>870</v>
      </c>
      <c r="FO17" s="9" t="s">
        <v>867</v>
      </c>
      <c r="FP17" s="9" t="s">
        <v>870</v>
      </c>
      <c r="FQ17" s="9" t="s">
        <v>867</v>
      </c>
      <c r="FR17" s="9" t="s">
        <v>857</v>
      </c>
      <c r="FS17" s="9" t="s">
        <v>867</v>
      </c>
      <c r="FT17" s="9" t="s">
        <v>1130</v>
      </c>
      <c r="FU17" s="9" t="s">
        <v>989</v>
      </c>
      <c r="FV17" s="8">
        <v>1.0</v>
      </c>
      <c r="FW17" s="8">
        <v>1.0</v>
      </c>
      <c r="FX17" s="8">
        <v>0.0</v>
      </c>
      <c r="FY17" s="8">
        <v>0.0</v>
      </c>
      <c r="FZ17" s="9" t="s">
        <v>944</v>
      </c>
      <c r="GA17" s="9" t="s">
        <v>874</v>
      </c>
      <c r="GB17" s="8">
        <v>1.0</v>
      </c>
      <c r="GC17" s="8">
        <v>0.0</v>
      </c>
      <c r="GD17" s="8">
        <v>0.0</v>
      </c>
      <c r="GE17" s="8">
        <v>0.0</v>
      </c>
      <c r="GF17" s="9"/>
      <c r="GG17" s="9" t="s">
        <v>875</v>
      </c>
      <c r="GH17" s="9" t="s">
        <v>857</v>
      </c>
      <c r="GI17" s="9" t="s">
        <v>876</v>
      </c>
      <c r="GJ17" s="8">
        <v>1.0</v>
      </c>
      <c r="GK17" s="8">
        <v>0.0</v>
      </c>
      <c r="GL17" s="8">
        <v>0.0</v>
      </c>
      <c r="GM17" s="8">
        <v>0.0</v>
      </c>
      <c r="GN17" s="9"/>
      <c r="GO17" s="8">
        <v>10.0</v>
      </c>
      <c r="GP17" s="9" t="s">
        <v>877</v>
      </c>
      <c r="GQ17" s="9" t="s">
        <v>878</v>
      </c>
      <c r="GR17" s="8">
        <v>1.0</v>
      </c>
      <c r="GS17" s="8">
        <v>1.0</v>
      </c>
      <c r="GT17" s="8">
        <v>0.0</v>
      </c>
      <c r="GU17" s="8">
        <v>0.0</v>
      </c>
      <c r="GV17" s="8">
        <v>0.0</v>
      </c>
      <c r="GW17" s="8">
        <v>0.0</v>
      </c>
      <c r="GX17" s="8">
        <v>0.0</v>
      </c>
      <c r="GY17" s="9"/>
      <c r="GZ17" s="9" t="s">
        <v>857</v>
      </c>
      <c r="HA17" s="8">
        <v>200.0</v>
      </c>
      <c r="HB17" s="8">
        <v>200000.0</v>
      </c>
      <c r="HC17" s="8">
        <v>50.0</v>
      </c>
      <c r="HD17" s="8">
        <v>50000.0</v>
      </c>
      <c r="HE17" s="8">
        <v>15.0</v>
      </c>
      <c r="HF17" s="8">
        <v>125000.0</v>
      </c>
      <c r="HG17" s="8">
        <v>6.0</v>
      </c>
      <c r="HH17" s="8">
        <v>50000.0</v>
      </c>
      <c r="HI17" s="9"/>
      <c r="HJ17" s="9"/>
      <c r="HK17" s="9"/>
      <c r="HL17" s="9"/>
      <c r="HM17" s="9"/>
      <c r="HN17" s="9"/>
      <c r="HO17" s="9"/>
      <c r="HP17" s="9"/>
      <c r="HQ17" s="9"/>
      <c r="HR17" s="9"/>
      <c r="HS17" s="9"/>
      <c r="HT17" s="9"/>
      <c r="HU17" s="9"/>
      <c r="HV17" s="9"/>
      <c r="HW17" s="9"/>
      <c r="HX17" s="9"/>
      <c r="HY17" s="8">
        <v>150.0</v>
      </c>
      <c r="HZ17" s="8">
        <v>150000.0</v>
      </c>
      <c r="IA17" s="8">
        <v>9.0</v>
      </c>
      <c r="IB17" s="8">
        <v>75000.0</v>
      </c>
      <c r="IC17" s="9"/>
      <c r="ID17" s="9"/>
      <c r="IE17" s="9"/>
      <c r="IF17" s="9"/>
      <c r="IG17" s="9"/>
      <c r="IH17" s="9"/>
      <c r="II17" s="9"/>
      <c r="IJ17" s="9"/>
      <c r="IK17" s="9" t="s">
        <v>879</v>
      </c>
      <c r="IL17" s="9" t="s">
        <v>880</v>
      </c>
      <c r="IM17" s="9" t="s">
        <v>857</v>
      </c>
      <c r="IN17" s="9" t="s">
        <v>881</v>
      </c>
      <c r="IO17" s="9" t="s">
        <v>882</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884</v>
      </c>
      <c r="KT17" s="9" t="s">
        <v>886</v>
      </c>
      <c r="KU17" s="9" t="s">
        <v>886</v>
      </c>
      <c r="KV17" s="9" t="s">
        <v>872</v>
      </c>
      <c r="KW17" s="8">
        <v>1.0</v>
      </c>
      <c r="KX17" s="8">
        <v>0.0</v>
      </c>
      <c r="KY17" s="8">
        <v>0.0</v>
      </c>
      <c r="KZ17" s="8">
        <v>0.0</v>
      </c>
      <c r="LA17" s="9" t="s">
        <v>884</v>
      </c>
      <c r="LB17" s="9" t="s">
        <v>884</v>
      </c>
      <c r="LC17" s="8">
        <v>3.0</v>
      </c>
      <c r="LD17" s="8">
        <v>3.0</v>
      </c>
      <c r="LE17" s="8">
        <v>0.0</v>
      </c>
      <c r="LF17" s="8">
        <v>0.0</v>
      </c>
      <c r="LG17" s="9" t="s">
        <v>857</v>
      </c>
      <c r="LH17" s="8">
        <v>150000.0</v>
      </c>
      <c r="LI17" s="9"/>
      <c r="LJ17" s="9" t="s">
        <v>887</v>
      </c>
      <c r="LK17" s="8">
        <v>0.0</v>
      </c>
      <c r="LL17" s="8">
        <v>0.0</v>
      </c>
      <c r="LM17" s="8">
        <v>0.0</v>
      </c>
      <c r="LN17" s="8">
        <v>0.0</v>
      </c>
      <c r="LO17" s="8">
        <v>1.0</v>
      </c>
      <c r="LP17" s="8">
        <v>0.0</v>
      </c>
      <c r="LQ17" s="8">
        <v>0.0</v>
      </c>
      <c r="LR17" s="9"/>
      <c r="LS17" s="8">
        <v>15.0</v>
      </c>
      <c r="LT17" s="8">
        <v>15.0</v>
      </c>
      <c r="LU17" s="8">
        <v>0.0</v>
      </c>
      <c r="LV17" s="8">
        <v>5.0</v>
      </c>
      <c r="LW17" s="8">
        <v>5.0</v>
      </c>
      <c r="LX17" s="8">
        <v>0.0</v>
      </c>
      <c r="LY17" s="8">
        <v>5.0</v>
      </c>
      <c r="LZ17" s="8">
        <v>10.0</v>
      </c>
      <c r="MA17" s="8">
        <v>0.0</v>
      </c>
      <c r="MB17" s="9" t="s">
        <v>857</v>
      </c>
      <c r="MC17" s="8">
        <v>30.0</v>
      </c>
      <c r="MD17" s="8">
        <v>20.0</v>
      </c>
      <c r="ME17" s="8">
        <v>30.0</v>
      </c>
      <c r="MF17" s="8">
        <v>20.0</v>
      </c>
      <c r="MG17" s="8">
        <v>0.0</v>
      </c>
      <c r="MH17" s="8">
        <v>0.0</v>
      </c>
      <c r="MI17" s="9" t="s">
        <v>946</v>
      </c>
      <c r="MJ17" s="8">
        <v>0.0</v>
      </c>
      <c r="MK17" s="8">
        <v>0.0</v>
      </c>
      <c r="ML17" s="8">
        <v>1.0</v>
      </c>
      <c r="MM17" s="8">
        <v>0.0</v>
      </c>
      <c r="MN17" s="8">
        <v>0.0</v>
      </c>
      <c r="MO17" s="8">
        <v>0.0</v>
      </c>
      <c r="MP17" s="9"/>
      <c r="MQ17" s="9"/>
      <c r="MR17" s="9" t="s">
        <v>1048</v>
      </c>
      <c r="MS17" s="9"/>
      <c r="MT17" s="9" t="s">
        <v>888</v>
      </c>
      <c r="MU17" s="9" t="s">
        <v>881</v>
      </c>
      <c r="MV17" s="9"/>
      <c r="MW17" s="9"/>
      <c r="MX17" s="9"/>
      <c r="MY17" s="9"/>
      <c r="MZ17" s="9"/>
      <c r="NA17" s="9"/>
      <c r="NB17" s="9"/>
      <c r="NC17" s="9"/>
      <c r="ND17" s="9"/>
      <c r="NE17" s="9"/>
      <c r="NF17" s="9"/>
      <c r="NG17" s="9"/>
      <c r="NH17" s="9"/>
      <c r="NI17" s="9"/>
      <c r="NJ17" s="9"/>
      <c r="NK17" s="9"/>
      <c r="NL17" s="9" t="s">
        <v>881</v>
      </c>
      <c r="NM17" s="9" t="s">
        <v>893</v>
      </c>
      <c r="NN17" s="9" t="s">
        <v>1032</v>
      </c>
      <c r="NO17" s="9" t="s">
        <v>1077</v>
      </c>
      <c r="NP17" s="9"/>
      <c r="NQ17" s="9"/>
      <c r="NR17" s="9"/>
      <c r="NS17" s="9"/>
      <c r="NT17" s="9"/>
      <c r="NU17" s="9"/>
      <c r="NV17" s="9" t="s">
        <v>896</v>
      </c>
      <c r="NW17" s="9"/>
      <c r="NX17" s="9" t="s">
        <v>897</v>
      </c>
      <c r="NY17" s="8">
        <v>45.0</v>
      </c>
      <c r="NZ17" s="8">
        <v>0.0</v>
      </c>
      <c r="OA17" s="8">
        <v>0.0</v>
      </c>
      <c r="OB17" s="8">
        <v>5.0</v>
      </c>
      <c r="OC17" s="8">
        <v>0.0</v>
      </c>
      <c r="OD17" s="8">
        <v>0.0</v>
      </c>
      <c r="OE17" s="9" t="s">
        <v>898</v>
      </c>
      <c r="OF17" s="9" t="s">
        <v>899</v>
      </c>
      <c r="OG17" s="9" t="s">
        <v>857</v>
      </c>
      <c r="OH17" s="8">
        <v>0.0</v>
      </c>
      <c r="OI17" s="8">
        <v>8.0</v>
      </c>
      <c r="OJ17" s="8">
        <v>0.0</v>
      </c>
      <c r="OK17" s="8">
        <v>0.0</v>
      </c>
      <c r="OL17" s="8">
        <v>0.0</v>
      </c>
      <c r="OM17" s="8">
        <v>0.0</v>
      </c>
      <c r="ON17" s="8">
        <v>0.0</v>
      </c>
      <c r="OO17" s="8">
        <v>0.0</v>
      </c>
      <c r="OP17" s="9" t="s">
        <v>2948</v>
      </c>
      <c r="OQ17" s="8">
        <v>0.0</v>
      </c>
      <c r="OR17" s="8">
        <v>1.0</v>
      </c>
      <c r="OS17" s="8">
        <v>0.0</v>
      </c>
      <c r="OT17" s="8">
        <v>0.0</v>
      </c>
      <c r="OU17" s="8">
        <v>0.0</v>
      </c>
      <c r="OV17" s="8">
        <v>0.0</v>
      </c>
      <c r="OW17" s="8">
        <v>0.0</v>
      </c>
      <c r="OX17" s="8">
        <v>0.0</v>
      </c>
      <c r="OY17" s="9"/>
      <c r="OZ17" s="9"/>
      <c r="PA17" s="9"/>
      <c r="PB17" s="9"/>
      <c r="PC17" s="9"/>
      <c r="PD17" s="9"/>
      <c r="PE17" s="9"/>
      <c r="PF17" s="9"/>
      <c r="PG17" s="9"/>
      <c r="PH17" s="9"/>
      <c r="PI17" s="9"/>
      <c r="PJ17" s="9" t="s">
        <v>900</v>
      </c>
      <c r="PK17" s="8">
        <v>0.0</v>
      </c>
      <c r="PL17" s="8">
        <v>0.0</v>
      </c>
      <c r="PM17" s="8">
        <v>0.0</v>
      </c>
      <c r="PN17" s="8">
        <v>0.0</v>
      </c>
      <c r="PO17" s="8">
        <v>0.0</v>
      </c>
      <c r="PP17" s="8">
        <v>1.0</v>
      </c>
      <c r="PQ17" s="8">
        <v>0.0</v>
      </c>
      <c r="PR17" s="8">
        <v>0.0</v>
      </c>
      <c r="PS17" s="8">
        <v>0.0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8">
        <v>8.0</v>
      </c>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t="s">
        <v>901</v>
      </c>
      <c r="UB17" s="9"/>
      <c r="UC17" s="9"/>
      <c r="UD17" s="9"/>
      <c r="UE17" s="9"/>
      <c r="UF17" s="9"/>
      <c r="UG17" s="9"/>
      <c r="UH17" s="9"/>
      <c r="UI17" s="9" t="s">
        <v>950</v>
      </c>
      <c r="UJ17" s="9"/>
      <c r="UK17" s="9"/>
      <c r="UL17" s="9"/>
      <c r="UM17" s="9"/>
      <c r="UN17" s="9"/>
      <c r="UO17" s="9"/>
      <c r="UP17" s="9"/>
      <c r="UQ17" s="9" t="s">
        <v>1158</v>
      </c>
      <c r="UR17" s="9"/>
      <c r="US17" s="9"/>
      <c r="UT17" s="9"/>
      <c r="UU17" s="9"/>
      <c r="UV17" s="9"/>
      <c r="UW17" s="9"/>
      <c r="UX17" s="9"/>
      <c r="UY17" s="9"/>
      <c r="UZ17" s="9"/>
      <c r="VA17" s="9"/>
      <c r="VB17" s="9"/>
      <c r="VC17" s="9"/>
      <c r="VD17" s="9"/>
      <c r="VE17" s="9"/>
      <c r="VF17" s="9"/>
      <c r="VG17" s="9"/>
      <c r="VH17" s="9"/>
      <c r="VI17" s="9"/>
      <c r="VJ17" s="9"/>
      <c r="VK17" s="9" t="s">
        <v>904</v>
      </c>
      <c r="VL17" s="8">
        <v>0.0</v>
      </c>
      <c r="VM17" s="8">
        <v>0.0</v>
      </c>
      <c r="VN17" s="8">
        <v>0.0</v>
      </c>
      <c r="VO17" s="8">
        <v>1.0</v>
      </c>
      <c r="VP17" s="8">
        <v>0.0</v>
      </c>
      <c r="VQ17" s="8">
        <v>0.0</v>
      </c>
      <c r="VR17" s="8">
        <v>0.0</v>
      </c>
      <c r="VS17" s="8">
        <v>0.0</v>
      </c>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8">
        <v>2.0</v>
      </c>
      <c r="ZC17" s="9"/>
      <c r="ZD17" s="9"/>
      <c r="ZE17" s="9"/>
      <c r="ZF17" s="9"/>
      <c r="ZG17" s="9"/>
      <c r="ZH17" s="9"/>
      <c r="ZI17" s="9"/>
      <c r="ZJ17" s="9" t="s">
        <v>905</v>
      </c>
      <c r="ZK17" s="9"/>
      <c r="ZL17" s="9"/>
      <c r="ZM17" s="9"/>
      <c r="ZN17" s="9"/>
      <c r="ZO17" s="9"/>
      <c r="ZP17" s="9"/>
      <c r="ZQ17" s="9" t="s">
        <v>857</v>
      </c>
      <c r="ZR17" s="9" t="s">
        <v>1033</v>
      </c>
      <c r="ZS17" s="8">
        <v>1.0</v>
      </c>
      <c r="ZT17" s="8">
        <v>1.0</v>
      </c>
      <c r="ZU17" s="8">
        <v>400.0</v>
      </c>
      <c r="ZV17" s="8">
        <v>400.0</v>
      </c>
      <c r="ZW17" s="9" t="s">
        <v>857</v>
      </c>
      <c r="ZX17" s="9" t="s">
        <v>867</v>
      </c>
      <c r="ZY17" s="9" t="s">
        <v>906</v>
      </c>
      <c r="ZZ17" s="8">
        <v>1.0</v>
      </c>
      <c r="AAA17" s="8">
        <v>0.0</v>
      </c>
      <c r="AAB17" s="8">
        <v>0.0</v>
      </c>
      <c r="AAC17" s="8">
        <v>0.0</v>
      </c>
      <c r="AAD17" s="8">
        <v>0.0</v>
      </c>
      <c r="AAE17" s="8">
        <v>0.0</v>
      </c>
      <c r="AAF17" s="8">
        <v>0.0</v>
      </c>
      <c r="AAG17" s="9" t="s">
        <v>907</v>
      </c>
      <c r="AAH17" s="8">
        <v>1.0</v>
      </c>
      <c r="AAI17" s="8">
        <v>0.0</v>
      </c>
      <c r="AAJ17" s="8">
        <v>0.0</v>
      </c>
      <c r="AAK17" s="8">
        <v>0.0</v>
      </c>
      <c r="AAL17" s="8">
        <v>0.0</v>
      </c>
      <c r="AAM17" s="9"/>
      <c r="AAN17" s="9"/>
      <c r="AAO17" s="9"/>
      <c r="AAP17" s="9"/>
      <c r="AAQ17" s="9"/>
      <c r="AAR17" s="9"/>
      <c r="AAS17" s="9"/>
      <c r="AAT17" s="9"/>
      <c r="AAU17" s="9"/>
      <c r="AAV17" s="11" t="s">
        <v>1159</v>
      </c>
      <c r="AAW17" s="9" t="s">
        <v>909</v>
      </c>
      <c r="AAX17" s="8">
        <v>2000.0</v>
      </c>
      <c r="AAY17" s="9"/>
      <c r="AAZ17" s="8">
        <v>400.0</v>
      </c>
      <c r="ABA17" s="8">
        <v>400.0</v>
      </c>
      <c r="ABB17" s="9" t="s">
        <v>910</v>
      </c>
      <c r="ABC17" s="9"/>
      <c r="ABD17" s="8">
        <v>25.0</v>
      </c>
      <c r="ABE17" s="8">
        <v>5000.0</v>
      </c>
      <c r="ABF17" s="8">
        <v>10.0</v>
      </c>
      <c r="ABG17" s="8">
        <v>6000.0</v>
      </c>
      <c r="ABH17" s="8">
        <v>500.0</v>
      </c>
      <c r="ABI17" s="8">
        <v>650.0</v>
      </c>
      <c r="ABJ17" s="9" t="s">
        <v>857</v>
      </c>
      <c r="ABK17" s="9" t="s">
        <v>911</v>
      </c>
      <c r="ABL17" s="9" t="s">
        <v>1034</v>
      </c>
      <c r="ABM17" s="9" t="s">
        <v>911</v>
      </c>
      <c r="ABN17" s="9"/>
      <c r="ABO17" s="9"/>
      <c r="ABP17" s="9"/>
      <c r="ABQ17" s="9"/>
      <c r="ABR17" s="9"/>
      <c r="ABS17" s="9"/>
      <c r="ABT17" s="9"/>
      <c r="ABU17" s="9"/>
      <c r="ABV17" s="9"/>
      <c r="ABW17" s="9"/>
      <c r="ABX17" s="9"/>
      <c r="ABY17" s="9" t="s">
        <v>1061</v>
      </c>
      <c r="ABZ17" s="9" t="s">
        <v>913</v>
      </c>
      <c r="ACA17" s="9" t="s">
        <v>996</v>
      </c>
      <c r="ACB17" s="9" t="s">
        <v>915</v>
      </c>
      <c r="ACC17" s="9" t="s">
        <v>916</v>
      </c>
      <c r="ACD17" s="9" t="s">
        <v>1017</v>
      </c>
      <c r="ACE17" s="8">
        <v>1.0</v>
      </c>
      <c r="ACF17" s="8">
        <v>1.0</v>
      </c>
      <c r="ACG17" s="8">
        <v>1.0</v>
      </c>
      <c r="ACH17" s="8">
        <v>0.0</v>
      </c>
      <c r="ACI17" s="9" t="s">
        <v>918</v>
      </c>
      <c r="ACJ17" s="9" t="s">
        <v>918</v>
      </c>
      <c r="ACK17" s="9" t="s">
        <v>917</v>
      </c>
      <c r="ACL17" s="9" t="s">
        <v>917</v>
      </c>
      <c r="ACM17" s="9" t="s">
        <v>881</v>
      </c>
      <c r="ACN17" s="9"/>
      <c r="ACO17" s="9" t="s">
        <v>918</v>
      </c>
      <c r="ACP17" s="9"/>
      <c r="ACQ17" s="9"/>
      <c r="ACR17" s="9"/>
      <c r="ACS17" s="9"/>
      <c r="ACT17" s="9"/>
      <c r="ACU17" s="9"/>
      <c r="ACV17" s="9"/>
      <c r="ACW17" s="9"/>
      <c r="ACX17" s="9"/>
      <c r="ACY17" s="9"/>
      <c r="ACZ17" s="9" t="s">
        <v>1018</v>
      </c>
      <c r="ADA17" s="8">
        <v>0.0</v>
      </c>
      <c r="ADB17" s="8">
        <v>0.0</v>
      </c>
      <c r="ADC17" s="8">
        <v>0.0</v>
      </c>
      <c r="ADD17" s="8">
        <v>0.0</v>
      </c>
      <c r="ADE17" s="8">
        <v>1.0</v>
      </c>
      <c r="ADF17" s="8">
        <v>1.0</v>
      </c>
      <c r="ADG17" s="8">
        <v>0.0</v>
      </c>
      <c r="ADH17" s="8">
        <v>0.0</v>
      </c>
      <c r="ADI17" s="12"/>
      <c r="ADJ17" s="17" t="s">
        <v>872</v>
      </c>
      <c r="ADK17" s="9"/>
      <c r="ADL17" s="17" t="s">
        <v>920</v>
      </c>
      <c r="ADM17" s="9"/>
      <c r="ADN17" s="11" t="s">
        <v>999</v>
      </c>
      <c r="ADO17" s="9" t="s">
        <v>961</v>
      </c>
      <c r="ADP17" s="17" t="s">
        <v>1076</v>
      </c>
      <c r="ADQ17" s="18">
        <v>1.0</v>
      </c>
      <c r="ADR17" s="18">
        <v>1.0</v>
      </c>
      <c r="ADS17" s="18">
        <v>1.0</v>
      </c>
      <c r="ADT17" s="18">
        <v>1.0</v>
      </c>
      <c r="ADU17" s="18">
        <v>1.0</v>
      </c>
      <c r="ADV17" s="18">
        <v>1.0</v>
      </c>
      <c r="ADW17" s="18">
        <v>1.0</v>
      </c>
      <c r="ADX17" s="18">
        <v>1.0</v>
      </c>
      <c r="ADY17" s="18">
        <v>0.0</v>
      </c>
      <c r="ADZ17" s="18">
        <v>0.0</v>
      </c>
      <c r="AEA17" s="18">
        <v>0.0</v>
      </c>
      <c r="AEB17" s="18">
        <v>0.0</v>
      </c>
      <c r="AEC17" s="9"/>
      <c r="AED17" s="9" t="s">
        <v>923</v>
      </c>
      <c r="AEE17" s="9"/>
      <c r="AEF17" s="9" t="s">
        <v>1077</v>
      </c>
      <c r="AEG17" s="9"/>
      <c r="AEH17" s="9" t="s">
        <v>1160</v>
      </c>
      <c r="AEI17" s="16" t="s">
        <v>1161</v>
      </c>
      <c r="AEJ17" s="9" t="s">
        <v>1162</v>
      </c>
      <c r="AEK17" s="16" t="s">
        <v>1163</v>
      </c>
      <c r="AEL17" s="9" t="s">
        <v>1137</v>
      </c>
      <c r="AEM17" s="9"/>
      <c r="AEN17" s="9"/>
    </row>
    <row r="18">
      <c r="A18" s="6">
        <v>46058.0</v>
      </c>
      <c r="B18" s="6">
        <v>46058.0</v>
      </c>
      <c r="C18" s="7" t="s">
        <v>837</v>
      </c>
      <c r="D18" s="7" t="s">
        <v>1164</v>
      </c>
      <c r="E18" s="8">
        <f>+6288225162432</f>
        <v>6288225162432</v>
      </c>
      <c r="F18" s="9"/>
      <c r="G18" s="8">
        <v>-7.31277021</v>
      </c>
      <c r="H18" s="8">
        <v>110.3113379</v>
      </c>
      <c r="I18" s="9"/>
      <c r="J18" s="8">
        <v>3.58</v>
      </c>
      <c r="K18" s="9"/>
      <c r="L18" s="9"/>
      <c r="M18" s="8">
        <v>-7.31272161</v>
      </c>
      <c r="N18" s="8">
        <v>110.3113321</v>
      </c>
      <c r="O18" s="9"/>
      <c r="P18" s="8">
        <v>4.67</v>
      </c>
      <c r="Q18" s="9"/>
      <c r="R18" s="9" t="s">
        <v>839</v>
      </c>
      <c r="S18" s="9"/>
      <c r="T18" s="9"/>
      <c r="U18" s="9"/>
      <c r="V18" s="9"/>
      <c r="W18" s="9"/>
      <c r="X18" s="9"/>
      <c r="Y18" s="9"/>
      <c r="Z18" s="9"/>
      <c r="AA18" s="9"/>
      <c r="AB18" s="9"/>
      <c r="AC18" s="7" t="s">
        <v>1025</v>
      </c>
      <c r="AD18" s="7" t="s">
        <v>1147</v>
      </c>
      <c r="AE18" s="7" t="s">
        <v>1165</v>
      </c>
      <c r="AF18" s="9" t="s">
        <v>1166</v>
      </c>
      <c r="AG18" s="9" t="s">
        <v>1167</v>
      </c>
      <c r="AH18" s="8">
        <v>11.0</v>
      </c>
      <c r="AI18" s="9" t="s">
        <v>933</v>
      </c>
      <c r="AJ18" s="9" t="s">
        <v>846</v>
      </c>
      <c r="AK18" s="8">
        <v>58.0</v>
      </c>
      <c r="AL18" s="9" t="s">
        <v>847</v>
      </c>
      <c r="AM18" s="9" t="s">
        <v>848</v>
      </c>
      <c r="AN18" s="9" t="s">
        <v>1099</v>
      </c>
      <c r="AO18" s="9" t="s">
        <v>850</v>
      </c>
      <c r="AP18" s="8">
        <v>1.0</v>
      </c>
      <c r="AQ18" s="8">
        <v>0.0</v>
      </c>
      <c r="AR18" s="8">
        <v>0.0</v>
      </c>
      <c r="AS18" s="8">
        <v>0.0</v>
      </c>
      <c r="AT18" s="8">
        <v>0.0</v>
      </c>
      <c r="AU18" s="8">
        <v>0.0</v>
      </c>
      <c r="AV18" s="8">
        <v>0.0</v>
      </c>
      <c r="AW18" s="8">
        <v>0.0</v>
      </c>
      <c r="AX18" s="9"/>
      <c r="AY18" s="9" t="s">
        <v>1168</v>
      </c>
      <c r="AZ18" s="8">
        <v>0.0</v>
      </c>
      <c r="BA18" s="8">
        <v>0.0</v>
      </c>
      <c r="BB18" s="8">
        <v>0.0</v>
      </c>
      <c r="BC18" s="8">
        <v>0.0</v>
      </c>
      <c r="BD18" s="8">
        <v>1.0</v>
      </c>
      <c r="BE18" s="8">
        <v>0.0</v>
      </c>
      <c r="BF18" s="8">
        <v>0.0</v>
      </c>
      <c r="BG18" s="8">
        <v>0.0</v>
      </c>
      <c r="BH18" s="9"/>
      <c r="BI18" s="9" t="s">
        <v>1101</v>
      </c>
      <c r="BJ18" s="8">
        <v>2.0</v>
      </c>
      <c r="BK18" s="8">
        <v>1.0</v>
      </c>
      <c r="BL18" s="8">
        <v>0.0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2014.0</v>
      </c>
      <c r="CN18" s="9" t="s">
        <v>858</v>
      </c>
      <c r="CO18" s="9" t="s">
        <v>859</v>
      </c>
      <c r="CP18" s="9" t="s">
        <v>860</v>
      </c>
      <c r="CQ18" s="8">
        <v>0.0</v>
      </c>
      <c r="CR18" s="8">
        <v>0.0</v>
      </c>
      <c r="CS18" s="8">
        <v>0.0</v>
      </c>
      <c r="CT18" s="8">
        <v>0.0</v>
      </c>
      <c r="CU18" s="10">
        <v>1.0</v>
      </c>
      <c r="CV18" s="10">
        <v>0.0</v>
      </c>
      <c r="CW18" s="10">
        <v>0.0</v>
      </c>
      <c r="CX18" s="8">
        <v>0.0</v>
      </c>
      <c r="CY18" s="9" t="s">
        <v>860</v>
      </c>
      <c r="CZ18" s="8">
        <v>1.0</v>
      </c>
      <c r="DA18" s="8">
        <v>0.0</v>
      </c>
      <c r="DB18" s="8">
        <v>0.0</v>
      </c>
      <c r="DC18" s="9"/>
      <c r="DD18" s="9" t="s">
        <v>937</v>
      </c>
      <c r="DE18" s="8">
        <v>1.0</v>
      </c>
      <c r="DF18" s="8">
        <v>0.0</v>
      </c>
      <c r="DG18" s="8">
        <v>1.0</v>
      </c>
      <c r="DH18" s="8">
        <v>0.0</v>
      </c>
      <c r="DI18" s="9"/>
      <c r="DJ18" s="9" t="s">
        <v>937</v>
      </c>
      <c r="DK18" s="8">
        <v>1.0</v>
      </c>
      <c r="DL18" s="8">
        <v>0.0</v>
      </c>
      <c r="DM18" s="8">
        <v>1.0</v>
      </c>
      <c r="DN18" s="8">
        <v>0.0</v>
      </c>
      <c r="DO18" s="9"/>
      <c r="DP18" s="8">
        <v>1.0</v>
      </c>
      <c r="DQ18" s="8">
        <v>0.0</v>
      </c>
      <c r="DR18" s="8">
        <v>0.0</v>
      </c>
      <c r="DS18" s="9"/>
      <c r="DT18" s="9"/>
      <c r="DU18" s="9"/>
      <c r="DV18" s="9" t="s">
        <v>857</v>
      </c>
      <c r="DW18" s="9"/>
      <c r="DX18" s="9"/>
      <c r="DY18" s="9"/>
      <c r="DZ18" s="9"/>
      <c r="EA18" s="9"/>
      <c r="EB18" s="9"/>
      <c r="EC18" s="9"/>
      <c r="ED18" s="9"/>
      <c r="EE18" s="9"/>
      <c r="EF18" s="9"/>
      <c r="EG18" s="9"/>
      <c r="EH18" s="9"/>
      <c r="EI18" s="9" t="s">
        <v>862</v>
      </c>
      <c r="EJ18" s="8">
        <v>0.0</v>
      </c>
      <c r="EK18" s="8">
        <v>0.0</v>
      </c>
      <c r="EL18" s="8">
        <v>0.0</v>
      </c>
      <c r="EM18" s="8">
        <v>1.0</v>
      </c>
      <c r="EN18" s="8">
        <v>0.0</v>
      </c>
      <c r="EO18" s="11"/>
      <c r="EP18" s="9" t="s">
        <v>863</v>
      </c>
      <c r="EQ18" s="9" t="s">
        <v>864</v>
      </c>
      <c r="ER18" s="9" t="s">
        <v>861</v>
      </c>
      <c r="ES18" s="8">
        <v>1.0</v>
      </c>
      <c r="ET18" s="8">
        <v>0.0</v>
      </c>
      <c r="EU18" s="8">
        <v>0.0</v>
      </c>
      <c r="EV18" s="8">
        <v>0.0</v>
      </c>
      <c r="EW18" s="9"/>
      <c r="EX18" s="9" t="s">
        <v>865</v>
      </c>
      <c r="EY18" s="8">
        <v>1.0</v>
      </c>
      <c r="EZ18" s="8">
        <v>0.0</v>
      </c>
      <c r="FA18" s="8">
        <v>0.0</v>
      </c>
      <c r="FB18" s="9"/>
      <c r="FC18" s="9" t="s">
        <v>1028</v>
      </c>
      <c r="FD18" s="9"/>
      <c r="FE18" s="9" t="s">
        <v>867</v>
      </c>
      <c r="FF18" s="9" t="s">
        <v>868</v>
      </c>
      <c r="FG18" s="9" t="s">
        <v>867</v>
      </c>
      <c r="FH18" s="9" t="s">
        <v>869</v>
      </c>
      <c r="FI18" s="9" t="s">
        <v>867</v>
      </c>
      <c r="FJ18" s="9" t="s">
        <v>869</v>
      </c>
      <c r="FK18" s="9" t="s">
        <v>867</v>
      </c>
      <c r="FL18" s="9" t="s">
        <v>869</v>
      </c>
      <c r="FM18" s="9" t="s">
        <v>867</v>
      </c>
      <c r="FN18" s="9" t="s">
        <v>870</v>
      </c>
      <c r="FO18" s="9" t="s">
        <v>867</v>
      </c>
      <c r="FP18" s="9" t="s">
        <v>870</v>
      </c>
      <c r="FQ18" s="9" t="s">
        <v>867</v>
      </c>
      <c r="FR18" s="9" t="s">
        <v>857</v>
      </c>
      <c r="FS18" s="9" t="s">
        <v>867</v>
      </c>
      <c r="FT18" s="9" t="s">
        <v>1130</v>
      </c>
      <c r="FU18" s="9" t="s">
        <v>989</v>
      </c>
      <c r="FV18" s="8">
        <v>1.0</v>
      </c>
      <c r="FW18" s="8">
        <v>1.0</v>
      </c>
      <c r="FX18" s="8">
        <v>0.0</v>
      </c>
      <c r="FY18" s="8">
        <v>0.0</v>
      </c>
      <c r="FZ18" s="9" t="s">
        <v>873</v>
      </c>
      <c r="GA18" s="9" t="s">
        <v>874</v>
      </c>
      <c r="GB18" s="8">
        <v>1.0</v>
      </c>
      <c r="GC18" s="8">
        <v>0.0</v>
      </c>
      <c r="GD18" s="8">
        <v>0.0</v>
      </c>
      <c r="GE18" s="8">
        <v>0.0</v>
      </c>
      <c r="GF18" s="9"/>
      <c r="GG18" s="9" t="s">
        <v>875</v>
      </c>
      <c r="GH18" s="9" t="s">
        <v>857</v>
      </c>
      <c r="GI18" s="9" t="s">
        <v>876</v>
      </c>
      <c r="GJ18" s="8">
        <v>1.0</v>
      </c>
      <c r="GK18" s="8">
        <v>0.0</v>
      </c>
      <c r="GL18" s="8">
        <v>0.0</v>
      </c>
      <c r="GM18" s="8">
        <v>0.0</v>
      </c>
      <c r="GN18" s="9"/>
      <c r="GO18" s="8">
        <v>10.0</v>
      </c>
      <c r="GP18" s="9" t="s">
        <v>877</v>
      </c>
      <c r="GQ18" s="9" t="s">
        <v>878</v>
      </c>
      <c r="GR18" s="8">
        <v>1.0</v>
      </c>
      <c r="GS18" s="8">
        <v>1.0</v>
      </c>
      <c r="GT18" s="8">
        <v>0.0</v>
      </c>
      <c r="GU18" s="8">
        <v>0.0</v>
      </c>
      <c r="GV18" s="8">
        <v>0.0</v>
      </c>
      <c r="GW18" s="8">
        <v>0.0</v>
      </c>
      <c r="GX18" s="8">
        <v>0.0</v>
      </c>
      <c r="GY18" s="9"/>
      <c r="GZ18" s="9" t="s">
        <v>857</v>
      </c>
      <c r="HA18" s="8">
        <v>150.0</v>
      </c>
      <c r="HB18" s="8">
        <v>150000.0</v>
      </c>
      <c r="HC18" s="8">
        <v>0.0</v>
      </c>
      <c r="HD18" s="8">
        <v>0.0</v>
      </c>
      <c r="HE18" s="8">
        <v>9.0</v>
      </c>
      <c r="HF18" s="8">
        <v>75000.0</v>
      </c>
      <c r="HG18" s="8">
        <v>3.0</v>
      </c>
      <c r="HH18" s="8">
        <v>25000.0</v>
      </c>
      <c r="HI18" s="9"/>
      <c r="HJ18" s="9"/>
      <c r="HK18" s="9"/>
      <c r="HL18" s="9"/>
      <c r="HM18" s="9"/>
      <c r="HN18" s="9"/>
      <c r="HO18" s="9"/>
      <c r="HP18" s="9"/>
      <c r="HQ18" s="9"/>
      <c r="HR18" s="9"/>
      <c r="HS18" s="9"/>
      <c r="HT18" s="9"/>
      <c r="HU18" s="9"/>
      <c r="HV18" s="9"/>
      <c r="HW18" s="9"/>
      <c r="HX18" s="9"/>
      <c r="HY18" s="8">
        <v>150.0</v>
      </c>
      <c r="HZ18" s="8">
        <v>150000.0</v>
      </c>
      <c r="IA18" s="8">
        <v>6.0</v>
      </c>
      <c r="IB18" s="8">
        <v>50000.0</v>
      </c>
      <c r="IC18" s="9"/>
      <c r="ID18" s="9"/>
      <c r="IE18" s="9"/>
      <c r="IF18" s="9"/>
      <c r="IG18" s="9"/>
      <c r="IH18" s="9"/>
      <c r="II18" s="9"/>
      <c r="IJ18" s="9"/>
      <c r="IK18" s="9" t="s">
        <v>879</v>
      </c>
      <c r="IL18" s="9" t="s">
        <v>880</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884</v>
      </c>
      <c r="KT18" s="9" t="s">
        <v>886</v>
      </c>
      <c r="KU18" s="9" t="s">
        <v>886</v>
      </c>
      <c r="KV18" s="9" t="s">
        <v>1014</v>
      </c>
      <c r="KW18" s="8">
        <v>0.0</v>
      </c>
      <c r="KX18" s="8">
        <v>1.0</v>
      </c>
      <c r="KY18" s="8">
        <v>0.0</v>
      </c>
      <c r="KZ18" s="8">
        <v>0.0</v>
      </c>
      <c r="LA18" s="9" t="s">
        <v>884</v>
      </c>
      <c r="LB18" s="9" t="s">
        <v>884</v>
      </c>
      <c r="LC18" s="8">
        <v>3.0</v>
      </c>
      <c r="LD18" s="8">
        <v>3.0</v>
      </c>
      <c r="LE18" s="8">
        <v>0.0</v>
      </c>
      <c r="LF18" s="8">
        <v>0.0</v>
      </c>
      <c r="LG18" s="9" t="s">
        <v>857</v>
      </c>
      <c r="LH18" s="8">
        <v>150000.0</v>
      </c>
      <c r="LI18" s="9"/>
      <c r="LJ18" s="9" t="s">
        <v>887</v>
      </c>
      <c r="LK18" s="8">
        <v>0.0</v>
      </c>
      <c r="LL18" s="8">
        <v>0.0</v>
      </c>
      <c r="LM18" s="8">
        <v>0.0</v>
      </c>
      <c r="LN18" s="8">
        <v>0.0</v>
      </c>
      <c r="LO18" s="8">
        <v>1.0</v>
      </c>
      <c r="LP18" s="8">
        <v>0.0</v>
      </c>
      <c r="LQ18" s="8">
        <v>0.0</v>
      </c>
      <c r="LR18" s="9"/>
      <c r="LS18" s="8">
        <v>15.0</v>
      </c>
      <c r="LT18" s="8">
        <v>15.0</v>
      </c>
      <c r="LU18" s="8">
        <v>0.0</v>
      </c>
      <c r="LV18" s="8">
        <v>7.0</v>
      </c>
      <c r="LW18" s="8">
        <v>7.0</v>
      </c>
      <c r="LX18" s="8">
        <v>0.0</v>
      </c>
      <c r="LY18" s="8">
        <v>5.0</v>
      </c>
      <c r="LZ18" s="8">
        <v>5.0</v>
      </c>
      <c r="MA18" s="8">
        <v>0.0</v>
      </c>
      <c r="MB18" s="9" t="s">
        <v>857</v>
      </c>
      <c r="MC18" s="8">
        <v>30.0</v>
      </c>
      <c r="MD18" s="8">
        <v>0.0</v>
      </c>
      <c r="ME18" s="8">
        <v>0.0</v>
      </c>
      <c r="MF18" s="8">
        <v>0.0</v>
      </c>
      <c r="MG18" s="8">
        <v>0.0</v>
      </c>
      <c r="MH18" s="8">
        <v>0.0</v>
      </c>
      <c r="MI18" s="9" t="s">
        <v>946</v>
      </c>
      <c r="MJ18" s="8">
        <v>0.0</v>
      </c>
      <c r="MK18" s="8">
        <v>0.0</v>
      </c>
      <c r="ML18" s="8">
        <v>1.0</v>
      </c>
      <c r="MM18" s="8">
        <v>0.0</v>
      </c>
      <c r="MN18" s="8">
        <v>0.0</v>
      </c>
      <c r="MO18" s="8">
        <v>0.0</v>
      </c>
      <c r="MP18" s="9"/>
      <c r="MQ18" s="9"/>
      <c r="MR18" s="9" t="s">
        <v>1048</v>
      </c>
      <c r="MS18" s="9"/>
      <c r="MT18" s="9" t="s">
        <v>991</v>
      </c>
      <c r="MU18" s="9" t="s">
        <v>881</v>
      </c>
      <c r="MV18" s="9"/>
      <c r="MW18" s="9"/>
      <c r="MX18" s="9"/>
      <c r="MY18" s="9"/>
      <c r="MZ18" s="9"/>
      <c r="NA18" s="9"/>
      <c r="NB18" s="9"/>
      <c r="NC18" s="9"/>
      <c r="ND18" s="9"/>
      <c r="NE18" s="9"/>
      <c r="NF18" s="9"/>
      <c r="NG18" s="9"/>
      <c r="NH18" s="9"/>
      <c r="NI18" s="9"/>
      <c r="NJ18" s="9"/>
      <c r="NK18" s="9"/>
      <c r="NL18" s="9" t="s">
        <v>857</v>
      </c>
      <c r="NM18" s="9" t="s">
        <v>893</v>
      </c>
      <c r="NN18" s="9" t="s">
        <v>1032</v>
      </c>
      <c r="NO18" s="9" t="s">
        <v>973</v>
      </c>
      <c r="NP18" s="9"/>
      <c r="NQ18" s="9"/>
      <c r="NR18" s="9"/>
      <c r="NS18" s="9"/>
      <c r="NT18" s="9"/>
      <c r="NU18" s="9"/>
      <c r="NV18" s="9" t="s">
        <v>896</v>
      </c>
      <c r="NW18" s="9"/>
      <c r="NX18" s="9" t="s">
        <v>897</v>
      </c>
      <c r="NY18" s="8">
        <v>45.0</v>
      </c>
      <c r="NZ18" s="8">
        <v>20.0</v>
      </c>
      <c r="OA18" s="8">
        <v>0.0</v>
      </c>
      <c r="OB18" s="8">
        <v>5.0</v>
      </c>
      <c r="OC18" s="8">
        <v>5.0</v>
      </c>
      <c r="OD18" s="8">
        <v>0.0</v>
      </c>
      <c r="OE18" s="9" t="s">
        <v>898</v>
      </c>
      <c r="OF18" s="9" t="s">
        <v>899</v>
      </c>
      <c r="OG18" s="9" t="s">
        <v>857</v>
      </c>
      <c r="OH18" s="8">
        <v>0.0</v>
      </c>
      <c r="OI18" s="8">
        <v>3.0</v>
      </c>
      <c r="OJ18" s="8">
        <v>0.0</v>
      </c>
      <c r="OK18" s="8">
        <v>0.0</v>
      </c>
      <c r="OL18" s="8">
        <v>0.0</v>
      </c>
      <c r="OM18" s="8">
        <v>0.0</v>
      </c>
      <c r="ON18" s="8">
        <v>0.0</v>
      </c>
      <c r="OO18" s="8">
        <v>0.0</v>
      </c>
      <c r="OP18" s="9" t="s">
        <v>2948</v>
      </c>
      <c r="OQ18" s="8">
        <v>0.0</v>
      </c>
      <c r="OR18" s="8">
        <v>1.0</v>
      </c>
      <c r="OS18" s="8">
        <v>0.0</v>
      </c>
      <c r="OT18" s="8">
        <v>0.0</v>
      </c>
      <c r="OU18" s="8">
        <v>0.0</v>
      </c>
      <c r="OV18" s="8">
        <v>0.0</v>
      </c>
      <c r="OW18" s="8">
        <v>0.0</v>
      </c>
      <c r="OX18" s="8">
        <v>0.0</v>
      </c>
      <c r="OY18" s="9"/>
      <c r="OZ18" s="9"/>
      <c r="PA18" s="9"/>
      <c r="PB18" s="9"/>
      <c r="PC18" s="9"/>
      <c r="PD18" s="9"/>
      <c r="PE18" s="9"/>
      <c r="PF18" s="9"/>
      <c r="PG18" s="9"/>
      <c r="PH18" s="9"/>
      <c r="PI18" s="9"/>
      <c r="PJ18" s="9" t="s">
        <v>900</v>
      </c>
      <c r="PK18" s="8">
        <v>0.0</v>
      </c>
      <c r="PL18" s="8">
        <v>0.0</v>
      </c>
      <c r="PM18" s="8">
        <v>0.0</v>
      </c>
      <c r="PN18" s="8">
        <v>0.0</v>
      </c>
      <c r="PO18" s="8">
        <v>0.0</v>
      </c>
      <c r="PP18" s="8">
        <v>1.0</v>
      </c>
      <c r="PQ18" s="8">
        <v>0.0</v>
      </c>
      <c r="PR18" s="8">
        <v>0.0</v>
      </c>
      <c r="PS18" s="8">
        <v>0.0</v>
      </c>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8">
        <v>3.0</v>
      </c>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t="s">
        <v>901</v>
      </c>
      <c r="UB18" s="9"/>
      <c r="UC18" s="9"/>
      <c r="UD18" s="9"/>
      <c r="UE18" s="9"/>
      <c r="UF18" s="9"/>
      <c r="UG18" s="9"/>
      <c r="UH18" s="9"/>
      <c r="UI18" s="9" t="s">
        <v>950</v>
      </c>
      <c r="UJ18" s="9"/>
      <c r="UK18" s="9"/>
      <c r="UL18" s="9"/>
      <c r="UM18" s="9"/>
      <c r="UN18" s="9"/>
      <c r="UO18" s="9"/>
      <c r="UP18" s="9"/>
      <c r="UQ18" s="9" t="s">
        <v>903</v>
      </c>
      <c r="UR18" s="9"/>
      <c r="US18" s="9"/>
      <c r="UT18" s="9"/>
      <c r="UU18" s="9"/>
      <c r="UV18" s="9"/>
      <c r="UW18" s="9"/>
      <c r="UX18" s="9"/>
      <c r="UY18" s="9"/>
      <c r="UZ18" s="9"/>
      <c r="VA18" s="9"/>
      <c r="VB18" s="9"/>
      <c r="VC18" s="9"/>
      <c r="VD18" s="9"/>
      <c r="VE18" s="9"/>
      <c r="VF18" s="9"/>
      <c r="VG18" s="9"/>
      <c r="VH18" s="9"/>
      <c r="VI18" s="9"/>
      <c r="VJ18" s="9"/>
      <c r="VK18" s="9" t="s">
        <v>904</v>
      </c>
      <c r="VL18" s="8">
        <v>0.0</v>
      </c>
      <c r="VM18" s="8">
        <v>0.0</v>
      </c>
      <c r="VN18" s="8">
        <v>0.0</v>
      </c>
      <c r="VO18" s="8">
        <v>1.0</v>
      </c>
      <c r="VP18" s="8">
        <v>0.0</v>
      </c>
      <c r="VQ18" s="8">
        <v>0.0</v>
      </c>
      <c r="VR18" s="8">
        <v>0.0</v>
      </c>
      <c r="VS18" s="8">
        <v>0.0</v>
      </c>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8">
        <v>2.0</v>
      </c>
      <c r="ZC18" s="9"/>
      <c r="ZD18" s="9"/>
      <c r="ZE18" s="9"/>
      <c r="ZF18" s="9"/>
      <c r="ZG18" s="9"/>
      <c r="ZH18" s="9"/>
      <c r="ZI18" s="9"/>
      <c r="ZJ18" s="9" t="s">
        <v>905</v>
      </c>
      <c r="ZK18" s="9"/>
      <c r="ZL18" s="9"/>
      <c r="ZM18" s="9"/>
      <c r="ZN18" s="9"/>
      <c r="ZO18" s="9"/>
      <c r="ZP18" s="9"/>
      <c r="ZQ18" s="9" t="s">
        <v>857</v>
      </c>
      <c r="ZR18" s="9" t="s">
        <v>1033</v>
      </c>
      <c r="ZS18" s="8">
        <v>1.0</v>
      </c>
      <c r="ZT18" s="8">
        <v>1.0</v>
      </c>
      <c r="ZU18" s="8">
        <v>100.0</v>
      </c>
      <c r="ZV18" s="8">
        <v>100.0</v>
      </c>
      <c r="ZW18" s="9" t="s">
        <v>857</v>
      </c>
      <c r="ZX18" s="9" t="s">
        <v>867</v>
      </c>
      <c r="ZY18" s="9" t="s">
        <v>906</v>
      </c>
      <c r="ZZ18" s="8">
        <v>1.0</v>
      </c>
      <c r="AAA18" s="8">
        <v>0.0</v>
      </c>
      <c r="AAB18" s="8">
        <v>0.0</v>
      </c>
      <c r="AAC18" s="8">
        <v>0.0</v>
      </c>
      <c r="AAD18" s="8">
        <v>0.0</v>
      </c>
      <c r="AAE18" s="8">
        <v>0.0</v>
      </c>
      <c r="AAF18" s="8">
        <v>0.0</v>
      </c>
      <c r="AAG18" s="9" t="s">
        <v>907</v>
      </c>
      <c r="AAH18" s="8">
        <v>1.0</v>
      </c>
      <c r="AAI18" s="8">
        <v>0.0</v>
      </c>
      <c r="AAJ18" s="8">
        <v>0.0</v>
      </c>
      <c r="AAK18" s="8">
        <v>0.0</v>
      </c>
      <c r="AAL18" s="8">
        <v>0.0</v>
      </c>
      <c r="AAM18" s="9"/>
      <c r="AAN18" s="9"/>
      <c r="AAO18" s="9"/>
      <c r="AAP18" s="9"/>
      <c r="AAQ18" s="9"/>
      <c r="AAR18" s="9"/>
      <c r="AAS18" s="9"/>
      <c r="AAT18" s="9"/>
      <c r="AAU18" s="9"/>
      <c r="AAV18" s="11" t="s">
        <v>1159</v>
      </c>
      <c r="AAW18" s="9" t="s">
        <v>1075</v>
      </c>
      <c r="AAX18" s="8">
        <v>3500.0</v>
      </c>
      <c r="AAY18" s="9"/>
      <c r="AAZ18" s="8">
        <v>100.0</v>
      </c>
      <c r="ABA18" s="8">
        <v>100.0</v>
      </c>
      <c r="ABB18" s="9" t="s">
        <v>910</v>
      </c>
      <c r="ABC18" s="9"/>
      <c r="ABD18" s="8">
        <v>30.0</v>
      </c>
      <c r="ABE18" s="8">
        <v>4000.0</v>
      </c>
      <c r="ABF18" s="8">
        <v>10.0</v>
      </c>
      <c r="ABG18" s="8">
        <v>4000.0</v>
      </c>
      <c r="ABH18" s="8">
        <v>550.0</v>
      </c>
      <c r="ABI18" s="8">
        <v>700.0</v>
      </c>
      <c r="ABJ18" s="9" t="s">
        <v>857</v>
      </c>
      <c r="ABK18" s="9" t="s">
        <v>911</v>
      </c>
      <c r="ABL18" s="9" t="s">
        <v>1034</v>
      </c>
      <c r="ABM18" s="9" t="s">
        <v>911</v>
      </c>
      <c r="ABN18" s="9"/>
      <c r="ABO18" s="9"/>
      <c r="ABP18" s="9"/>
      <c r="ABQ18" s="9"/>
      <c r="ABR18" s="9"/>
      <c r="ABS18" s="9"/>
      <c r="ABT18" s="9"/>
      <c r="ABU18" s="9"/>
      <c r="ABV18" s="9"/>
      <c r="ABW18" s="9"/>
      <c r="ABX18" s="9"/>
      <c r="ABY18" s="9" t="s">
        <v>912</v>
      </c>
      <c r="ABZ18" s="9" t="s">
        <v>913</v>
      </c>
      <c r="ACA18" s="9" t="s">
        <v>996</v>
      </c>
      <c r="ACB18" s="9" t="s">
        <v>915</v>
      </c>
      <c r="ACC18" s="9" t="s">
        <v>916</v>
      </c>
      <c r="ACD18" s="9" t="s">
        <v>1017</v>
      </c>
      <c r="ACE18" s="8">
        <v>1.0</v>
      </c>
      <c r="ACF18" s="8">
        <v>1.0</v>
      </c>
      <c r="ACG18" s="8">
        <v>1.0</v>
      </c>
      <c r="ACH18" s="8">
        <v>0.0</v>
      </c>
      <c r="ACI18" s="9" t="s">
        <v>918</v>
      </c>
      <c r="ACJ18" s="9" t="s">
        <v>918</v>
      </c>
      <c r="ACK18" s="9" t="s">
        <v>918</v>
      </c>
      <c r="ACL18" s="9" t="s">
        <v>918</v>
      </c>
      <c r="ACM18" s="9" t="s">
        <v>881</v>
      </c>
      <c r="ACN18" s="9"/>
      <c r="ACO18" s="9" t="s">
        <v>917</v>
      </c>
      <c r="ACP18" s="9"/>
      <c r="ACQ18" s="9"/>
      <c r="ACR18" s="9"/>
      <c r="ACS18" s="9"/>
      <c r="ACT18" s="9"/>
      <c r="ACU18" s="9"/>
      <c r="ACV18" s="9"/>
      <c r="ACW18" s="9"/>
      <c r="ACX18" s="9"/>
      <c r="ACY18" s="9"/>
      <c r="ACZ18" s="9" t="s">
        <v>1018</v>
      </c>
      <c r="ADA18" s="8">
        <v>0.0</v>
      </c>
      <c r="ADB18" s="8">
        <v>0.0</v>
      </c>
      <c r="ADC18" s="8">
        <v>0.0</v>
      </c>
      <c r="ADD18" s="8">
        <v>0.0</v>
      </c>
      <c r="ADE18" s="8">
        <v>1.0</v>
      </c>
      <c r="ADF18" s="8">
        <v>1.0</v>
      </c>
      <c r="ADG18" s="8">
        <v>0.0</v>
      </c>
      <c r="ADH18" s="8">
        <v>0.0</v>
      </c>
      <c r="ADI18" s="12"/>
      <c r="ADJ18" s="17" t="s">
        <v>872</v>
      </c>
      <c r="ADK18" s="9"/>
      <c r="ADL18" s="17" t="s">
        <v>920</v>
      </c>
      <c r="ADM18" s="9"/>
      <c r="ADN18" s="11" t="s">
        <v>999</v>
      </c>
      <c r="ADO18" s="9" t="s">
        <v>961</v>
      </c>
      <c r="ADP18" s="17" t="s">
        <v>1169</v>
      </c>
      <c r="ADQ18" s="18">
        <v>1.0</v>
      </c>
      <c r="ADR18" s="18">
        <v>1.0</v>
      </c>
      <c r="ADS18" s="18">
        <v>0.0</v>
      </c>
      <c r="ADT18" s="18">
        <v>1.0</v>
      </c>
      <c r="ADU18" s="18">
        <v>1.0</v>
      </c>
      <c r="ADV18" s="18">
        <v>1.0</v>
      </c>
      <c r="ADW18" s="18">
        <v>0.0</v>
      </c>
      <c r="ADX18" s="18">
        <v>0.0</v>
      </c>
      <c r="ADY18" s="18">
        <v>0.0</v>
      </c>
      <c r="ADZ18" s="18">
        <v>0.0</v>
      </c>
      <c r="AEA18" s="18">
        <v>0.0</v>
      </c>
      <c r="AEB18" s="18">
        <v>0.0</v>
      </c>
      <c r="AEC18" s="9"/>
      <c r="AED18" s="9" t="s">
        <v>923</v>
      </c>
      <c r="AEE18" s="9"/>
      <c r="AEF18" s="9" t="s">
        <v>924</v>
      </c>
      <c r="AEG18" s="9"/>
      <c r="AEH18" s="9" t="s">
        <v>1170</v>
      </c>
      <c r="AEI18" s="16" t="s">
        <v>1171</v>
      </c>
      <c r="AEJ18" s="9" t="s">
        <v>1172</v>
      </c>
      <c r="AEK18" s="16" t="s">
        <v>1173</v>
      </c>
      <c r="AEL18" s="9" t="s">
        <v>1137</v>
      </c>
      <c r="AEM18" s="9"/>
      <c r="AEN18" s="9"/>
    </row>
    <row r="19">
      <c r="A19" s="6">
        <v>46058.0</v>
      </c>
      <c r="B19" s="6">
        <v>46059.0</v>
      </c>
      <c r="C19" s="7" t="s">
        <v>837</v>
      </c>
      <c r="D19" s="7" t="s">
        <v>1174</v>
      </c>
      <c r="E19" s="8">
        <f>+6285640326850</f>
        <v>6285640326850</v>
      </c>
      <c r="F19" s="9"/>
      <c r="G19" s="8">
        <v>-7.214702</v>
      </c>
      <c r="H19" s="8">
        <v>110.2733276</v>
      </c>
      <c r="I19" s="9"/>
      <c r="J19" s="8">
        <v>2.32</v>
      </c>
      <c r="K19" s="9"/>
      <c r="L19" s="9"/>
      <c r="M19" s="8">
        <v>-7.2145414</v>
      </c>
      <c r="N19" s="8">
        <v>110.2732406</v>
      </c>
      <c r="O19" s="9"/>
      <c r="P19" s="8">
        <v>4.97</v>
      </c>
      <c r="Q19" s="9"/>
      <c r="R19" s="9" t="s">
        <v>839</v>
      </c>
      <c r="S19" s="9"/>
      <c r="T19" s="9"/>
      <c r="U19" s="9"/>
      <c r="V19" s="9"/>
      <c r="W19" s="9"/>
      <c r="X19" s="9"/>
      <c r="Y19" s="9"/>
      <c r="Z19" s="9"/>
      <c r="AA19" s="9"/>
      <c r="AB19" s="9"/>
      <c r="AC19" s="7" t="s">
        <v>1175</v>
      </c>
      <c r="AD19" s="7" t="s">
        <v>1176</v>
      </c>
      <c r="AE19" s="7" t="s">
        <v>1177</v>
      </c>
      <c r="AF19" s="9" t="s">
        <v>1178</v>
      </c>
      <c r="AG19" s="9" t="s">
        <v>1179</v>
      </c>
      <c r="AH19" s="8">
        <v>2.0</v>
      </c>
      <c r="AI19" s="9" t="s">
        <v>845</v>
      </c>
      <c r="AJ19" s="9" t="s">
        <v>846</v>
      </c>
      <c r="AK19" s="8">
        <v>50.0</v>
      </c>
      <c r="AL19" s="9" t="s">
        <v>847</v>
      </c>
      <c r="AM19" s="9" t="s">
        <v>848</v>
      </c>
      <c r="AN19" s="9" t="s">
        <v>986</v>
      </c>
      <c r="AO19" s="9" t="s">
        <v>1168</v>
      </c>
      <c r="AP19" s="8">
        <v>0.0</v>
      </c>
      <c r="AQ19" s="8">
        <v>0.0</v>
      </c>
      <c r="AR19" s="8">
        <v>0.0</v>
      </c>
      <c r="AS19" s="8">
        <v>0.0</v>
      </c>
      <c r="AT19" s="8">
        <v>1.0</v>
      </c>
      <c r="AU19" s="8">
        <v>0.0</v>
      </c>
      <c r="AV19" s="8">
        <v>0.0</v>
      </c>
      <c r="AW19" s="8">
        <v>0.0</v>
      </c>
      <c r="AX19" s="9"/>
      <c r="AY19" s="9" t="s">
        <v>935</v>
      </c>
      <c r="AZ19" s="8">
        <v>0.0</v>
      </c>
      <c r="BA19" s="8">
        <v>1.0</v>
      </c>
      <c r="BB19" s="8">
        <v>0.0</v>
      </c>
      <c r="BC19" s="8">
        <v>0.0</v>
      </c>
      <c r="BD19" s="8">
        <v>0.0</v>
      </c>
      <c r="BE19" s="8">
        <v>0.0</v>
      </c>
      <c r="BF19" s="8">
        <v>0.0</v>
      </c>
      <c r="BG19" s="8">
        <v>0.0</v>
      </c>
      <c r="BH19" s="9"/>
      <c r="BI19" s="9" t="s">
        <v>852</v>
      </c>
      <c r="BJ19" s="8">
        <v>1.0</v>
      </c>
      <c r="BK19" s="8">
        <v>3.0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2024.0</v>
      </c>
      <c r="CN19" s="9" t="s">
        <v>858</v>
      </c>
      <c r="CO19" s="9" t="s">
        <v>859</v>
      </c>
      <c r="CP19" s="9" t="s">
        <v>860</v>
      </c>
      <c r="CQ19" s="8">
        <v>0.0</v>
      </c>
      <c r="CR19" s="8">
        <v>0.0</v>
      </c>
      <c r="CS19" s="8">
        <v>0.0</v>
      </c>
      <c r="CT19" s="8">
        <v>0.0</v>
      </c>
      <c r="CU19" s="10">
        <v>1.0</v>
      </c>
      <c r="CV19" s="10">
        <v>0.0</v>
      </c>
      <c r="CW19" s="10">
        <v>0.0</v>
      </c>
      <c r="CX19" s="8">
        <v>0.0</v>
      </c>
      <c r="CY19" s="9" t="s">
        <v>860</v>
      </c>
      <c r="CZ19" s="8">
        <v>1.0</v>
      </c>
      <c r="DA19" s="8">
        <v>0.0</v>
      </c>
      <c r="DB19" s="8">
        <v>0.0</v>
      </c>
      <c r="DC19" s="9"/>
      <c r="DD19" s="9" t="s">
        <v>937</v>
      </c>
      <c r="DE19" s="8">
        <v>1.0</v>
      </c>
      <c r="DF19" s="8">
        <v>0.0</v>
      </c>
      <c r="DG19" s="8">
        <v>1.0</v>
      </c>
      <c r="DH19" s="8">
        <v>0.0</v>
      </c>
      <c r="DI19" s="9"/>
      <c r="DJ19" s="9" t="s">
        <v>937</v>
      </c>
      <c r="DK19" s="8">
        <v>1.0</v>
      </c>
      <c r="DL19" s="8">
        <v>0.0</v>
      </c>
      <c r="DM19" s="8">
        <v>1.0</v>
      </c>
      <c r="DN19" s="8">
        <v>0.0</v>
      </c>
      <c r="DO19" s="9"/>
      <c r="DP19" s="8">
        <v>1.0</v>
      </c>
      <c r="DQ19" s="8">
        <v>0.0</v>
      </c>
      <c r="DR19" s="8">
        <v>0.0</v>
      </c>
      <c r="DS19" s="9"/>
      <c r="DT19" s="9"/>
      <c r="DU19" s="9"/>
      <c r="DV19" s="9" t="s">
        <v>857</v>
      </c>
      <c r="DW19" s="9"/>
      <c r="DX19" s="9"/>
      <c r="DY19" s="9"/>
      <c r="DZ19" s="9"/>
      <c r="EA19" s="9"/>
      <c r="EB19" s="9"/>
      <c r="EC19" s="9"/>
      <c r="ED19" s="9"/>
      <c r="EE19" s="9"/>
      <c r="EF19" s="9"/>
      <c r="EG19" s="9"/>
      <c r="EH19" s="9"/>
      <c r="EI19" s="9" t="s">
        <v>862</v>
      </c>
      <c r="EJ19" s="8">
        <v>0.0</v>
      </c>
      <c r="EK19" s="8">
        <v>0.0</v>
      </c>
      <c r="EL19" s="8">
        <v>0.0</v>
      </c>
      <c r="EM19" s="8">
        <v>1.0</v>
      </c>
      <c r="EN19" s="8">
        <v>0.0</v>
      </c>
      <c r="EO19" s="11"/>
      <c r="EP19" s="9" t="s">
        <v>863</v>
      </c>
      <c r="EQ19" s="9" t="s">
        <v>864</v>
      </c>
      <c r="ER19" s="9" t="s">
        <v>861</v>
      </c>
      <c r="ES19" s="8">
        <v>1.0</v>
      </c>
      <c r="ET19" s="8">
        <v>0.0</v>
      </c>
      <c r="EU19" s="8">
        <v>0.0</v>
      </c>
      <c r="EV19" s="8">
        <v>0.0</v>
      </c>
      <c r="EW19" s="9"/>
      <c r="EX19" s="9" t="s">
        <v>865</v>
      </c>
      <c r="EY19" s="8">
        <v>1.0</v>
      </c>
      <c r="EZ19" s="8">
        <v>0.0</v>
      </c>
      <c r="FA19" s="8">
        <v>0.0</v>
      </c>
      <c r="FB19" s="9"/>
      <c r="FC19" s="9" t="s">
        <v>1072</v>
      </c>
      <c r="FD19" s="9"/>
      <c r="FE19" s="9" t="s">
        <v>867</v>
      </c>
      <c r="FF19" s="9" t="s">
        <v>869</v>
      </c>
      <c r="FG19" s="9" t="s">
        <v>867</v>
      </c>
      <c r="FH19" s="9" t="s">
        <v>869</v>
      </c>
      <c r="FI19" s="9" t="s">
        <v>867</v>
      </c>
      <c r="FJ19" s="9" t="s">
        <v>868</v>
      </c>
      <c r="FK19" s="9" t="s">
        <v>867</v>
      </c>
      <c r="FL19" s="9" t="s">
        <v>868</v>
      </c>
      <c r="FM19" s="9" t="s">
        <v>867</v>
      </c>
      <c r="FN19" s="9" t="s">
        <v>868</v>
      </c>
      <c r="FO19" s="9" t="s">
        <v>867</v>
      </c>
      <c r="FP19" s="9" t="s">
        <v>943</v>
      </c>
      <c r="FQ19" s="9" t="s">
        <v>867</v>
      </c>
      <c r="FR19" s="9" t="s">
        <v>857</v>
      </c>
      <c r="FS19" s="9" t="s">
        <v>867</v>
      </c>
      <c r="FT19" s="9" t="s">
        <v>871</v>
      </c>
      <c r="FU19" s="9" t="s">
        <v>872</v>
      </c>
      <c r="FV19" s="8">
        <v>1.0</v>
      </c>
      <c r="FW19" s="8">
        <v>0.0</v>
      </c>
      <c r="FX19" s="8">
        <v>0.0</v>
      </c>
      <c r="FY19" s="8">
        <v>0.0</v>
      </c>
      <c r="FZ19" s="9" t="s">
        <v>873</v>
      </c>
      <c r="GA19" s="9" t="s">
        <v>990</v>
      </c>
      <c r="GB19" s="8">
        <v>1.0</v>
      </c>
      <c r="GC19" s="8">
        <v>1.0</v>
      </c>
      <c r="GD19" s="8">
        <v>0.0</v>
      </c>
      <c r="GE19" s="8">
        <v>0.0</v>
      </c>
      <c r="GF19" s="9"/>
      <c r="GG19" s="9" t="s">
        <v>875</v>
      </c>
      <c r="GH19" s="9" t="s">
        <v>857</v>
      </c>
      <c r="GI19" s="9" t="s">
        <v>876</v>
      </c>
      <c r="GJ19" s="8">
        <v>1.0</v>
      </c>
      <c r="GK19" s="8">
        <v>0.0</v>
      </c>
      <c r="GL19" s="8">
        <v>0.0</v>
      </c>
      <c r="GM19" s="8">
        <v>0.0</v>
      </c>
      <c r="GN19" s="9"/>
      <c r="GO19" s="8">
        <v>9.0</v>
      </c>
      <c r="GP19" s="9" t="s">
        <v>877</v>
      </c>
      <c r="GQ19" s="9" t="s">
        <v>878</v>
      </c>
      <c r="GR19" s="8">
        <v>1.0</v>
      </c>
      <c r="GS19" s="8">
        <v>1.0</v>
      </c>
      <c r="GT19" s="8">
        <v>0.0</v>
      </c>
      <c r="GU19" s="8">
        <v>0.0</v>
      </c>
      <c r="GV19" s="8">
        <v>0.0</v>
      </c>
      <c r="GW19" s="8">
        <v>0.0</v>
      </c>
      <c r="GX19" s="8">
        <v>0.0</v>
      </c>
      <c r="GY19" s="9"/>
      <c r="GZ19" s="9" t="s">
        <v>857</v>
      </c>
      <c r="HA19" s="8">
        <v>150.0</v>
      </c>
      <c r="HB19" s="8">
        <v>150000.0</v>
      </c>
      <c r="HC19" s="8">
        <v>10.0</v>
      </c>
      <c r="HD19" s="8">
        <v>100000.0</v>
      </c>
      <c r="HE19" s="8">
        <v>3.0</v>
      </c>
      <c r="HF19" s="8">
        <v>25000.0</v>
      </c>
      <c r="HG19" s="8">
        <v>3.0</v>
      </c>
      <c r="HH19" s="8">
        <v>25000.0</v>
      </c>
      <c r="HI19" s="9"/>
      <c r="HJ19" s="9"/>
      <c r="HK19" s="9"/>
      <c r="HL19" s="9"/>
      <c r="HM19" s="9"/>
      <c r="HN19" s="9"/>
      <c r="HO19" s="9"/>
      <c r="HP19" s="9"/>
      <c r="HQ19" s="9"/>
      <c r="HR19" s="9"/>
      <c r="HS19" s="9"/>
      <c r="HT19" s="9"/>
      <c r="HU19" s="9"/>
      <c r="HV19" s="9"/>
      <c r="HW19" s="9"/>
      <c r="HX19" s="9"/>
      <c r="HY19" s="8">
        <v>100.0</v>
      </c>
      <c r="HZ19" s="8">
        <v>100000.0</v>
      </c>
      <c r="IA19" s="8">
        <v>6.0</v>
      </c>
      <c r="IB19" s="8">
        <v>50000.0</v>
      </c>
      <c r="IC19" s="9"/>
      <c r="ID19" s="9"/>
      <c r="IE19" s="9"/>
      <c r="IF19" s="9"/>
      <c r="IG19" s="9"/>
      <c r="IH19" s="9"/>
      <c r="II19" s="9"/>
      <c r="IJ19" s="9"/>
      <c r="IK19" s="9" t="s">
        <v>879</v>
      </c>
      <c r="IL19" s="9" t="s">
        <v>880</v>
      </c>
      <c r="IM19" s="9" t="s">
        <v>857</v>
      </c>
      <c r="IN19" s="9" t="s">
        <v>881</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886</v>
      </c>
      <c r="KU19" s="9" t="s">
        <v>886</v>
      </c>
      <c r="KV19" s="9" t="s">
        <v>999</v>
      </c>
      <c r="KW19" s="8">
        <v>0.0</v>
      </c>
      <c r="KX19" s="8">
        <v>0.0</v>
      </c>
      <c r="KY19" s="8">
        <v>0.0</v>
      </c>
      <c r="KZ19" s="8">
        <v>1.0</v>
      </c>
      <c r="LA19" s="9" t="s">
        <v>884</v>
      </c>
      <c r="LB19" s="9" t="s">
        <v>884</v>
      </c>
      <c r="LC19" s="8">
        <v>0.0</v>
      </c>
      <c r="LD19" s="8">
        <v>3.0</v>
      </c>
      <c r="LE19" s="8">
        <v>0.0</v>
      </c>
      <c r="LF19" s="8">
        <v>0.0</v>
      </c>
      <c r="LG19" s="9" t="s">
        <v>857</v>
      </c>
      <c r="LH19" s="8">
        <v>100000.0</v>
      </c>
      <c r="LI19" s="9"/>
      <c r="LJ19" s="9" t="s">
        <v>887</v>
      </c>
      <c r="LK19" s="8">
        <v>0.0</v>
      </c>
      <c r="LL19" s="8">
        <v>0.0</v>
      </c>
      <c r="LM19" s="8">
        <v>0.0</v>
      </c>
      <c r="LN19" s="8">
        <v>0.0</v>
      </c>
      <c r="LO19" s="8">
        <v>1.0</v>
      </c>
      <c r="LP19" s="8">
        <v>0.0</v>
      </c>
      <c r="LQ19" s="8">
        <v>0.0</v>
      </c>
      <c r="LR19" s="9"/>
      <c r="LS19" s="8">
        <v>10.0</v>
      </c>
      <c r="LT19" s="8">
        <v>10.0</v>
      </c>
      <c r="LU19" s="8">
        <v>0.0</v>
      </c>
      <c r="LV19" s="8">
        <v>5.0</v>
      </c>
      <c r="LW19" s="8">
        <v>5.0</v>
      </c>
      <c r="LX19" s="8">
        <v>0.0</v>
      </c>
      <c r="LY19" s="8">
        <v>5.0</v>
      </c>
      <c r="LZ19" s="8">
        <v>5.0</v>
      </c>
      <c r="MA19" s="8">
        <v>0.0</v>
      </c>
      <c r="MB19" s="9" t="s">
        <v>857</v>
      </c>
      <c r="MC19" s="8">
        <v>30.0</v>
      </c>
      <c r="MD19" s="8">
        <v>15.0</v>
      </c>
      <c r="ME19" s="8">
        <v>15.0</v>
      </c>
      <c r="MF19" s="8">
        <v>0.0</v>
      </c>
      <c r="MG19" s="8">
        <v>0.0</v>
      </c>
      <c r="MH19" s="8">
        <v>0.0</v>
      </c>
      <c r="MI19" s="9" t="s">
        <v>946</v>
      </c>
      <c r="MJ19" s="8">
        <v>0.0</v>
      </c>
      <c r="MK19" s="8">
        <v>0.0</v>
      </c>
      <c r="ML19" s="8">
        <v>1.0</v>
      </c>
      <c r="MM19" s="8">
        <v>0.0</v>
      </c>
      <c r="MN19" s="8">
        <v>0.0</v>
      </c>
      <c r="MO19" s="8">
        <v>0.0</v>
      </c>
      <c r="MP19" s="9"/>
      <c r="MQ19" s="9"/>
      <c r="MR19" s="9" t="s">
        <v>1181</v>
      </c>
      <c r="MS19" s="9"/>
      <c r="MT19" s="9" t="s">
        <v>1182</v>
      </c>
      <c r="MU19" s="9" t="s">
        <v>881</v>
      </c>
      <c r="MV19" s="9"/>
      <c r="MW19" s="9"/>
      <c r="MX19" s="9"/>
      <c r="MY19" s="9"/>
      <c r="MZ19" s="9"/>
      <c r="NA19" s="9"/>
      <c r="NB19" s="9"/>
      <c r="NC19" s="9"/>
      <c r="ND19" s="9"/>
      <c r="NE19" s="9"/>
      <c r="NF19" s="9"/>
      <c r="NG19" s="9"/>
      <c r="NH19" s="9"/>
      <c r="NI19" s="9"/>
      <c r="NJ19" s="9"/>
      <c r="NK19" s="9"/>
      <c r="NL19" s="9" t="s">
        <v>881</v>
      </c>
      <c r="NM19" s="9" t="s">
        <v>893</v>
      </c>
      <c r="NN19" s="9" t="s">
        <v>993</v>
      </c>
      <c r="NO19" s="9" t="s">
        <v>994</v>
      </c>
      <c r="NP19" s="9"/>
      <c r="NQ19" s="9"/>
      <c r="NR19" s="9"/>
      <c r="NS19" s="9"/>
      <c r="NT19" s="9"/>
      <c r="NU19" s="9"/>
      <c r="NV19" s="9" t="s">
        <v>896</v>
      </c>
      <c r="NW19" s="9"/>
      <c r="NX19" s="9" t="s">
        <v>1183</v>
      </c>
      <c r="NY19" s="8">
        <v>40.0</v>
      </c>
      <c r="NZ19" s="8">
        <v>20.0</v>
      </c>
      <c r="OA19" s="8">
        <v>15.0</v>
      </c>
      <c r="OB19" s="8">
        <v>5.0</v>
      </c>
      <c r="OC19" s="8">
        <v>5.0</v>
      </c>
      <c r="OD19" s="8">
        <v>5.0</v>
      </c>
      <c r="OE19" s="9" t="s">
        <v>1180</v>
      </c>
      <c r="OF19" s="9" t="s">
        <v>1184</v>
      </c>
      <c r="OG19" s="9" t="s">
        <v>857</v>
      </c>
      <c r="OH19" s="8">
        <v>0.0</v>
      </c>
      <c r="OI19" s="8">
        <v>4.0</v>
      </c>
      <c r="OJ19" s="8">
        <v>0.0</v>
      </c>
      <c r="OK19" s="8">
        <v>0.0</v>
      </c>
      <c r="OL19" s="8">
        <v>0.0</v>
      </c>
      <c r="OM19" s="8">
        <v>0.0</v>
      </c>
      <c r="ON19" s="8">
        <v>0.0</v>
      </c>
      <c r="OO19" s="8">
        <v>0.0</v>
      </c>
      <c r="OP19" s="9" t="s">
        <v>2948</v>
      </c>
      <c r="OQ19" s="8">
        <v>0.0</v>
      </c>
      <c r="OR19" s="8">
        <v>1.0</v>
      </c>
      <c r="OS19" s="8">
        <v>0.0</v>
      </c>
      <c r="OT19" s="8">
        <v>0.0</v>
      </c>
      <c r="OU19" s="8">
        <v>0.0</v>
      </c>
      <c r="OV19" s="8">
        <v>0.0</v>
      </c>
      <c r="OW19" s="8">
        <v>0.0</v>
      </c>
      <c r="OX19" s="8">
        <v>0.0</v>
      </c>
      <c r="OY19" s="9"/>
      <c r="OZ19" s="9"/>
      <c r="PA19" s="9"/>
      <c r="PB19" s="9"/>
      <c r="PC19" s="9"/>
      <c r="PD19" s="9"/>
      <c r="PE19" s="9"/>
      <c r="PF19" s="9"/>
      <c r="PG19" s="9"/>
      <c r="PH19" s="9"/>
      <c r="PI19" s="9"/>
      <c r="PJ19" s="9" t="s">
        <v>900</v>
      </c>
      <c r="PK19" s="8">
        <v>0.0</v>
      </c>
      <c r="PL19" s="8">
        <v>0.0</v>
      </c>
      <c r="PM19" s="8">
        <v>0.0</v>
      </c>
      <c r="PN19" s="8">
        <v>0.0</v>
      </c>
      <c r="PO19" s="8">
        <v>0.0</v>
      </c>
      <c r="PP19" s="8">
        <v>1.0</v>
      </c>
      <c r="PQ19" s="8">
        <v>0.0</v>
      </c>
      <c r="PR19" s="8">
        <v>0.0</v>
      </c>
      <c r="PS19" s="8">
        <v>0.0</v>
      </c>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8">
        <v>4.0</v>
      </c>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t="s">
        <v>901</v>
      </c>
      <c r="UB19" s="9"/>
      <c r="UC19" s="9"/>
      <c r="UD19" s="9"/>
      <c r="UE19" s="9"/>
      <c r="UF19" s="9"/>
      <c r="UG19" s="9"/>
      <c r="UH19" s="9"/>
      <c r="UI19" s="9" t="s">
        <v>950</v>
      </c>
      <c r="UJ19" s="9"/>
      <c r="UK19" s="9"/>
      <c r="UL19" s="9"/>
      <c r="UM19" s="9"/>
      <c r="UN19" s="9"/>
      <c r="UO19" s="9"/>
      <c r="UP19" s="9"/>
      <c r="UQ19" s="9" t="s">
        <v>1158</v>
      </c>
      <c r="UR19" s="9"/>
      <c r="US19" s="9"/>
      <c r="UT19" s="9"/>
      <c r="UU19" s="9"/>
      <c r="UV19" s="9"/>
      <c r="UW19" s="9"/>
      <c r="UX19" s="9"/>
      <c r="UY19" s="9"/>
      <c r="UZ19" s="9"/>
      <c r="VA19" s="9"/>
      <c r="VB19" s="9"/>
      <c r="VC19" s="9"/>
      <c r="VD19" s="9"/>
      <c r="VE19" s="9"/>
      <c r="VF19" s="9"/>
      <c r="VG19" s="9"/>
      <c r="VH19" s="9"/>
      <c r="VI19" s="9"/>
      <c r="VJ19" s="9"/>
      <c r="VK19" s="9" t="s">
        <v>1185</v>
      </c>
      <c r="VL19" s="8">
        <v>0.0</v>
      </c>
      <c r="VM19" s="8">
        <v>0.0</v>
      </c>
      <c r="VN19" s="8">
        <v>1.0</v>
      </c>
      <c r="VO19" s="8">
        <v>0.0</v>
      </c>
      <c r="VP19" s="8">
        <v>0.0</v>
      </c>
      <c r="VQ19" s="8">
        <v>1.0</v>
      </c>
      <c r="VR19" s="8">
        <v>0.0</v>
      </c>
      <c r="VS19" s="8">
        <v>0.0</v>
      </c>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8">
        <v>60.0</v>
      </c>
      <c r="YU19" s="9"/>
      <c r="YV19" s="9"/>
      <c r="YW19" s="9"/>
      <c r="YX19" s="9"/>
      <c r="YY19" s="9"/>
      <c r="YZ19" s="9"/>
      <c r="ZA19" s="9"/>
      <c r="ZB19" s="8">
        <v>2.0</v>
      </c>
      <c r="ZC19" s="9"/>
      <c r="ZD19" s="9"/>
      <c r="ZE19" s="9"/>
      <c r="ZF19" s="9"/>
      <c r="ZG19" s="9"/>
      <c r="ZH19" s="9"/>
      <c r="ZI19" s="9"/>
      <c r="ZJ19" s="9" t="s">
        <v>1186</v>
      </c>
      <c r="ZK19" s="9"/>
      <c r="ZL19" s="9"/>
      <c r="ZM19" s="9"/>
      <c r="ZN19" s="9"/>
      <c r="ZO19" s="9"/>
      <c r="ZP19" s="9"/>
      <c r="ZQ19" s="9" t="s">
        <v>857</v>
      </c>
      <c r="ZR19" s="9" t="s">
        <v>1033</v>
      </c>
      <c r="ZS19" s="8">
        <v>1.0</v>
      </c>
      <c r="ZT19" s="8">
        <v>1.0</v>
      </c>
      <c r="ZU19" s="8">
        <v>60.0</v>
      </c>
      <c r="ZV19" s="8">
        <v>60.0</v>
      </c>
      <c r="ZW19" s="9" t="s">
        <v>857</v>
      </c>
      <c r="ZX19" s="9" t="s">
        <v>867</v>
      </c>
      <c r="ZY19" s="9" t="s">
        <v>995</v>
      </c>
      <c r="ZZ19" s="8">
        <v>1.0</v>
      </c>
      <c r="AAA19" s="8">
        <v>0.0</v>
      </c>
      <c r="AAB19" s="8">
        <v>0.0</v>
      </c>
      <c r="AAC19" s="8">
        <v>0.0</v>
      </c>
      <c r="AAD19" s="8">
        <v>1.0</v>
      </c>
      <c r="AAE19" s="8">
        <v>0.0</v>
      </c>
      <c r="AAF19" s="8">
        <v>0.0</v>
      </c>
      <c r="AAG19" s="9" t="s">
        <v>907</v>
      </c>
      <c r="AAH19" s="8">
        <v>1.0</v>
      </c>
      <c r="AAI19" s="8">
        <v>0.0</v>
      </c>
      <c r="AAJ19" s="8">
        <v>0.0</v>
      </c>
      <c r="AAK19" s="8">
        <v>0.0</v>
      </c>
      <c r="AAL19" s="8">
        <v>0.0</v>
      </c>
      <c r="AAM19" s="9"/>
      <c r="AAN19" s="9"/>
      <c r="AAO19" s="9"/>
      <c r="AAP19" s="9"/>
      <c r="AAQ19" s="9"/>
      <c r="AAR19" s="9"/>
      <c r="AAS19" s="9"/>
      <c r="AAT19" s="9"/>
      <c r="AAU19" s="9"/>
      <c r="AAV19" s="11" t="s">
        <v>953</v>
      </c>
      <c r="AAW19" s="9" t="s">
        <v>1075</v>
      </c>
      <c r="AAX19" s="8">
        <v>2000.0</v>
      </c>
      <c r="AAY19" s="9"/>
      <c r="AAZ19" s="8">
        <v>100.0</v>
      </c>
      <c r="ABA19" s="8">
        <v>100.0</v>
      </c>
      <c r="ABB19" s="9" t="s">
        <v>910</v>
      </c>
      <c r="ABC19" s="9"/>
      <c r="ABD19" s="8">
        <v>40.0</v>
      </c>
      <c r="ABE19" s="8">
        <v>4000.0</v>
      </c>
      <c r="ABF19" s="8">
        <v>15.0</v>
      </c>
      <c r="ABG19" s="8">
        <v>4000.0</v>
      </c>
      <c r="ABH19" s="8">
        <v>400.0</v>
      </c>
      <c r="ABI19" s="8">
        <v>600.0</v>
      </c>
      <c r="ABJ19" s="9" t="s">
        <v>857</v>
      </c>
      <c r="ABK19" s="9" t="s">
        <v>911</v>
      </c>
      <c r="ABL19" s="9" t="s">
        <v>911</v>
      </c>
      <c r="ABM19" s="9" t="s">
        <v>911</v>
      </c>
      <c r="ABN19" s="9"/>
      <c r="ABO19" s="9"/>
      <c r="ABP19" s="9" t="s">
        <v>976</v>
      </c>
      <c r="ABQ19" s="8">
        <v>0.0</v>
      </c>
      <c r="ABR19" s="8">
        <v>0.0</v>
      </c>
      <c r="ABS19" s="8">
        <v>1.0</v>
      </c>
      <c r="ABT19" s="8">
        <v>1.0</v>
      </c>
      <c r="ABU19" s="8">
        <v>0.0</v>
      </c>
      <c r="ABV19" s="8">
        <v>0.0</v>
      </c>
      <c r="ABW19" s="8">
        <v>0.0</v>
      </c>
      <c r="ABX19" s="9"/>
      <c r="ABY19" s="9" t="s">
        <v>912</v>
      </c>
      <c r="ABZ19" s="9" t="s">
        <v>1050</v>
      </c>
      <c r="ACA19" s="9" t="s">
        <v>957</v>
      </c>
      <c r="ACB19" s="9" t="s">
        <v>915</v>
      </c>
      <c r="ACC19" s="9" t="s">
        <v>916</v>
      </c>
      <c r="ACD19" s="9" t="s">
        <v>1017</v>
      </c>
      <c r="ACE19" s="8">
        <v>1.0</v>
      </c>
      <c r="ACF19" s="8">
        <v>1.0</v>
      </c>
      <c r="ACG19" s="8">
        <v>1.0</v>
      </c>
      <c r="ACH19" s="8">
        <v>0.0</v>
      </c>
      <c r="ACI19" s="9" t="s">
        <v>917</v>
      </c>
      <c r="ACJ19" s="9" t="s">
        <v>917</v>
      </c>
      <c r="ACK19" s="9" t="s">
        <v>917</v>
      </c>
      <c r="ACL19" s="9" t="s">
        <v>1187</v>
      </c>
      <c r="ACM19" s="9" t="s">
        <v>881</v>
      </c>
      <c r="ACN19" s="9"/>
      <c r="ACO19" s="9" t="s">
        <v>1187</v>
      </c>
      <c r="ACP19" s="9"/>
      <c r="ACQ19" s="9"/>
      <c r="ACR19" s="9"/>
      <c r="ACS19" s="9"/>
      <c r="ACT19" s="9"/>
      <c r="ACU19" s="9"/>
      <c r="ACV19" s="9"/>
      <c r="ACW19" s="9"/>
      <c r="ACX19" s="9"/>
      <c r="ACY19" s="9"/>
      <c r="ACZ19" s="9" t="s">
        <v>919</v>
      </c>
      <c r="ADA19" s="8">
        <v>0.0</v>
      </c>
      <c r="ADB19" s="8">
        <v>0.0</v>
      </c>
      <c r="ADC19" s="8">
        <v>0.0</v>
      </c>
      <c r="ADD19" s="8">
        <v>0.0</v>
      </c>
      <c r="ADE19" s="8">
        <v>1.0</v>
      </c>
      <c r="ADF19" s="8">
        <v>0.0</v>
      </c>
      <c r="ADG19" s="8">
        <v>0.0</v>
      </c>
      <c r="ADH19" s="8">
        <v>0.0</v>
      </c>
      <c r="ADI19" s="12"/>
      <c r="ADJ19" s="17" t="s">
        <v>872</v>
      </c>
      <c r="ADK19" s="9"/>
      <c r="ADL19" s="17" t="s">
        <v>920</v>
      </c>
      <c r="ADM19" s="9"/>
      <c r="ADN19" s="11" t="s">
        <v>999</v>
      </c>
      <c r="ADO19" s="9" t="s">
        <v>871</v>
      </c>
      <c r="ADP19" s="17" t="s">
        <v>1108</v>
      </c>
      <c r="ADQ19" s="18">
        <v>1.0</v>
      </c>
      <c r="ADR19" s="18">
        <v>1.0</v>
      </c>
      <c r="ADS19" s="18">
        <v>1.0</v>
      </c>
      <c r="ADT19" s="18">
        <v>1.0</v>
      </c>
      <c r="ADU19" s="18">
        <v>1.0</v>
      </c>
      <c r="ADV19" s="18">
        <v>1.0</v>
      </c>
      <c r="ADW19" s="18">
        <v>1.0</v>
      </c>
      <c r="ADX19" s="18">
        <v>1.0</v>
      </c>
      <c r="ADY19" s="18">
        <v>1.0</v>
      </c>
      <c r="ADZ19" s="18">
        <v>0.0</v>
      </c>
      <c r="AEA19" s="18">
        <v>0.0</v>
      </c>
      <c r="AEB19" s="18">
        <v>0.0</v>
      </c>
      <c r="AEC19" s="9"/>
      <c r="AED19" s="9" t="s">
        <v>923</v>
      </c>
      <c r="AEE19" s="9"/>
      <c r="AEF19" s="9" t="s">
        <v>1188</v>
      </c>
      <c r="AEG19" s="9"/>
      <c r="AEH19" s="9" t="s">
        <v>1189</v>
      </c>
      <c r="AEI19" s="16" t="s">
        <v>1190</v>
      </c>
      <c r="AEJ19" s="9" t="s">
        <v>1191</v>
      </c>
      <c r="AEK19" s="16" t="s">
        <v>1192</v>
      </c>
      <c r="AEL19" s="9" t="s">
        <v>1193</v>
      </c>
      <c r="AEM19" s="9"/>
      <c r="AEN19" s="9"/>
    </row>
    <row r="20">
      <c r="A20" s="22">
        <v>46059.0</v>
      </c>
      <c r="B20" s="22">
        <v>46059.0</v>
      </c>
      <c r="C20" s="23" t="s">
        <v>837</v>
      </c>
      <c r="D20" s="23" t="s">
        <v>1194</v>
      </c>
      <c r="E20" s="24">
        <f>+6282143382909</f>
        <v>6282143382909</v>
      </c>
      <c r="F20" s="14"/>
      <c r="G20" s="24">
        <v>-7.21524099</v>
      </c>
      <c r="H20" s="24">
        <v>110.2641442</v>
      </c>
      <c r="I20" s="14"/>
      <c r="J20" s="24">
        <v>2.38</v>
      </c>
      <c r="K20" s="14"/>
      <c r="L20" s="14"/>
      <c r="M20" s="24">
        <v>-7.21529362</v>
      </c>
      <c r="N20" s="24">
        <v>110.2640822</v>
      </c>
      <c r="O20" s="14"/>
      <c r="P20" s="24">
        <v>4.98</v>
      </c>
      <c r="Q20" s="14"/>
      <c r="R20" s="14" t="s">
        <v>839</v>
      </c>
      <c r="S20" s="14"/>
      <c r="T20" s="14"/>
      <c r="U20" s="14"/>
      <c r="V20" s="14"/>
      <c r="W20" s="14"/>
      <c r="X20" s="14"/>
      <c r="Y20" s="14"/>
      <c r="Z20" s="14"/>
      <c r="AA20" s="14"/>
      <c r="AB20" s="14"/>
      <c r="AC20" s="23" t="s">
        <v>1175</v>
      </c>
      <c r="AD20" s="23" t="s">
        <v>1176</v>
      </c>
      <c r="AE20" s="23" t="s">
        <v>1195</v>
      </c>
      <c r="AF20" s="14" t="s">
        <v>1178</v>
      </c>
      <c r="AG20" s="14" t="s">
        <v>1450</v>
      </c>
      <c r="AH20" s="24">
        <v>2.0</v>
      </c>
      <c r="AI20" s="14" t="s">
        <v>845</v>
      </c>
      <c r="AJ20" s="14" t="s">
        <v>846</v>
      </c>
      <c r="AK20" s="24">
        <v>56.0</v>
      </c>
      <c r="AL20" s="14" t="s">
        <v>847</v>
      </c>
      <c r="AM20" s="14" t="s">
        <v>848</v>
      </c>
      <c r="AN20" s="14" t="s">
        <v>849</v>
      </c>
      <c r="AO20" s="9" t="s">
        <v>850</v>
      </c>
      <c r="AP20" s="24">
        <v>1.0</v>
      </c>
      <c r="AQ20" s="24">
        <v>0.0</v>
      </c>
      <c r="AR20" s="24">
        <v>0.0</v>
      </c>
      <c r="AS20" s="24">
        <v>0.0</v>
      </c>
      <c r="AT20" s="24">
        <v>0.0</v>
      </c>
      <c r="AU20" s="24">
        <v>0.0</v>
      </c>
      <c r="AV20" s="24">
        <v>0.0</v>
      </c>
      <c r="AW20" s="24">
        <v>0.0</v>
      </c>
      <c r="AX20" s="14"/>
      <c r="AY20" s="14" t="s">
        <v>935</v>
      </c>
      <c r="AZ20" s="24">
        <v>0.0</v>
      </c>
      <c r="BA20" s="24">
        <v>1.0</v>
      </c>
      <c r="BB20" s="24">
        <v>0.0</v>
      </c>
      <c r="BC20" s="24">
        <v>0.0</v>
      </c>
      <c r="BD20" s="24">
        <v>0.0</v>
      </c>
      <c r="BE20" s="24">
        <v>0.0</v>
      </c>
      <c r="BF20" s="24">
        <v>0.0</v>
      </c>
      <c r="BG20" s="24">
        <v>0.0</v>
      </c>
      <c r="BH20" s="14"/>
      <c r="BI20" s="14" t="s">
        <v>852</v>
      </c>
      <c r="BJ20" s="24">
        <v>1.0</v>
      </c>
      <c r="BK20" s="24">
        <v>3.0</v>
      </c>
      <c r="BL20" s="24">
        <v>0.0</v>
      </c>
      <c r="BM20" s="24">
        <v>0.0</v>
      </c>
      <c r="BN20" s="14" t="s">
        <v>853</v>
      </c>
      <c r="BO20" s="14" t="s">
        <v>854</v>
      </c>
      <c r="BP20" s="24">
        <v>1.0</v>
      </c>
      <c r="BQ20" s="24">
        <v>0.0</v>
      </c>
      <c r="BR20" s="24">
        <v>0.0</v>
      </c>
      <c r="BS20" s="24">
        <v>0.0</v>
      </c>
      <c r="BT20" s="24">
        <v>0.0</v>
      </c>
      <c r="BU20" s="14"/>
      <c r="BV20" s="14" t="s">
        <v>855</v>
      </c>
      <c r="BW20" s="24">
        <v>0.0</v>
      </c>
      <c r="BX20" s="24">
        <v>0.0</v>
      </c>
      <c r="BY20" s="24">
        <v>1.0</v>
      </c>
      <c r="BZ20" s="24">
        <v>0.0</v>
      </c>
      <c r="CA20" s="24">
        <v>0.0</v>
      </c>
      <c r="CB20" s="14"/>
      <c r="CC20" s="14" t="s">
        <v>856</v>
      </c>
      <c r="CD20" s="24">
        <v>0.0</v>
      </c>
      <c r="CE20" s="24">
        <v>0.0</v>
      </c>
      <c r="CF20" s="24">
        <v>0.0</v>
      </c>
      <c r="CG20" s="24">
        <v>0.0</v>
      </c>
      <c r="CH20" s="24">
        <v>0.0</v>
      </c>
      <c r="CI20" s="24">
        <v>1.0</v>
      </c>
      <c r="CJ20" s="24">
        <v>0.0</v>
      </c>
      <c r="CK20" s="14"/>
      <c r="CL20" s="14" t="s">
        <v>857</v>
      </c>
      <c r="CM20" s="24">
        <v>2024.0</v>
      </c>
      <c r="CN20" s="14" t="s">
        <v>858</v>
      </c>
      <c r="CO20" s="14" t="s">
        <v>859</v>
      </c>
      <c r="CP20" s="14" t="s">
        <v>1060</v>
      </c>
      <c r="CQ20" s="24">
        <v>0.0</v>
      </c>
      <c r="CR20" s="24">
        <v>0.0</v>
      </c>
      <c r="CS20" s="24">
        <v>0.0</v>
      </c>
      <c r="CT20" s="24">
        <v>0.0</v>
      </c>
      <c r="CU20" s="10">
        <v>1.0</v>
      </c>
      <c r="CV20" s="10">
        <v>1.0</v>
      </c>
      <c r="CW20" s="10">
        <v>0.0</v>
      </c>
      <c r="CX20" s="8">
        <v>0.0</v>
      </c>
      <c r="CY20" s="9" t="s">
        <v>860</v>
      </c>
      <c r="CZ20" s="8">
        <v>1.0</v>
      </c>
      <c r="DA20" s="8">
        <v>0.0</v>
      </c>
      <c r="DB20" s="8">
        <v>0.0</v>
      </c>
      <c r="DC20" s="9"/>
      <c r="DD20" s="9" t="s">
        <v>937</v>
      </c>
      <c r="DE20" s="8">
        <v>1.0</v>
      </c>
      <c r="DF20" s="8">
        <v>0.0</v>
      </c>
      <c r="DG20" s="8">
        <v>1.0</v>
      </c>
      <c r="DH20" s="8">
        <v>0.0</v>
      </c>
      <c r="DI20" s="9"/>
      <c r="DJ20" s="9" t="s">
        <v>937</v>
      </c>
      <c r="DK20" s="8">
        <v>1.0</v>
      </c>
      <c r="DL20" s="8">
        <v>0.0</v>
      </c>
      <c r="DM20" s="8">
        <v>1.0</v>
      </c>
      <c r="DN20" s="8">
        <v>0.0</v>
      </c>
      <c r="DO20" s="9"/>
      <c r="DP20" s="8">
        <v>1.0</v>
      </c>
      <c r="DQ20" s="8">
        <v>0.0</v>
      </c>
      <c r="DR20" s="8">
        <v>0.0</v>
      </c>
      <c r="DS20" s="14"/>
      <c r="DT20" s="14"/>
      <c r="DU20" s="14"/>
      <c r="DV20" s="14" t="s">
        <v>857</v>
      </c>
      <c r="DW20" s="14"/>
      <c r="DX20" s="14"/>
      <c r="DY20" s="14"/>
      <c r="DZ20" s="14"/>
      <c r="EA20" s="14"/>
      <c r="EB20" s="14"/>
      <c r="EC20" s="14"/>
      <c r="ED20" s="14"/>
      <c r="EE20" s="14"/>
      <c r="EF20" s="14"/>
      <c r="EG20" s="14"/>
      <c r="EH20" s="14"/>
      <c r="EI20" s="14" t="s">
        <v>862</v>
      </c>
      <c r="EJ20" s="24">
        <v>0.0</v>
      </c>
      <c r="EK20" s="24">
        <v>0.0</v>
      </c>
      <c r="EL20" s="24">
        <v>0.0</v>
      </c>
      <c r="EM20" s="24">
        <v>1.0</v>
      </c>
      <c r="EN20" s="24">
        <v>0.0</v>
      </c>
      <c r="EO20" s="11"/>
      <c r="EP20" s="14" t="s">
        <v>863</v>
      </c>
      <c r="EQ20" s="14" t="s">
        <v>864</v>
      </c>
      <c r="ER20" s="14" t="s">
        <v>861</v>
      </c>
      <c r="ES20" s="24">
        <v>1.0</v>
      </c>
      <c r="ET20" s="24">
        <v>0.0</v>
      </c>
      <c r="EU20" s="24">
        <v>0.0</v>
      </c>
      <c r="EV20" s="24">
        <v>0.0</v>
      </c>
      <c r="EW20" s="14"/>
      <c r="EX20" s="9" t="s">
        <v>1013</v>
      </c>
      <c r="EY20" s="8">
        <v>1.0</v>
      </c>
      <c r="EZ20" s="8">
        <v>1.0</v>
      </c>
      <c r="FA20" s="8">
        <v>0.0</v>
      </c>
      <c r="FB20" s="14"/>
      <c r="FC20" s="14" t="s">
        <v>1072</v>
      </c>
      <c r="FD20" s="14"/>
      <c r="FE20" s="14" t="s">
        <v>867</v>
      </c>
      <c r="FF20" s="14" t="s">
        <v>868</v>
      </c>
      <c r="FG20" s="14" t="s">
        <v>867</v>
      </c>
      <c r="FH20" s="14" t="s">
        <v>868</v>
      </c>
      <c r="FI20" s="14" t="s">
        <v>867</v>
      </c>
      <c r="FJ20" s="14" t="s">
        <v>868</v>
      </c>
      <c r="FK20" s="14" t="s">
        <v>867</v>
      </c>
      <c r="FL20" s="14" t="s">
        <v>869</v>
      </c>
      <c r="FM20" s="14" t="s">
        <v>867</v>
      </c>
      <c r="FN20" s="14" t="s">
        <v>943</v>
      </c>
      <c r="FO20" s="14" t="s">
        <v>867</v>
      </c>
      <c r="FP20" s="14" t="s">
        <v>943</v>
      </c>
      <c r="FQ20" s="14" t="s">
        <v>867</v>
      </c>
      <c r="FR20" s="14" t="s">
        <v>857</v>
      </c>
      <c r="FS20" s="14" t="s">
        <v>867</v>
      </c>
      <c r="FT20" s="14" t="s">
        <v>871</v>
      </c>
      <c r="FU20" s="14" t="s">
        <v>989</v>
      </c>
      <c r="FV20" s="24">
        <v>1.0</v>
      </c>
      <c r="FW20" s="24">
        <v>1.0</v>
      </c>
      <c r="FX20" s="24">
        <v>0.0</v>
      </c>
      <c r="FY20" s="24">
        <v>0.0</v>
      </c>
      <c r="FZ20" s="14" t="s">
        <v>1197</v>
      </c>
      <c r="GA20" s="14" t="s">
        <v>874</v>
      </c>
      <c r="GB20" s="24">
        <v>1.0</v>
      </c>
      <c r="GC20" s="24">
        <v>0.0</v>
      </c>
      <c r="GD20" s="24">
        <v>0.0</v>
      </c>
      <c r="GE20" s="24">
        <v>0.0</v>
      </c>
      <c r="GF20" s="14"/>
      <c r="GG20" s="14" t="s">
        <v>875</v>
      </c>
      <c r="GH20" s="14" t="s">
        <v>857</v>
      </c>
      <c r="GI20" s="14" t="s">
        <v>876</v>
      </c>
      <c r="GJ20" s="24">
        <v>1.0</v>
      </c>
      <c r="GK20" s="24">
        <v>0.0</v>
      </c>
      <c r="GL20" s="24">
        <v>0.0</v>
      </c>
      <c r="GM20" s="24">
        <v>0.0</v>
      </c>
      <c r="GN20" s="14"/>
      <c r="GO20" s="24">
        <v>10.0</v>
      </c>
      <c r="GP20" s="14" t="s">
        <v>877</v>
      </c>
      <c r="GQ20" s="14" t="s">
        <v>878</v>
      </c>
      <c r="GR20" s="24">
        <v>1.0</v>
      </c>
      <c r="GS20" s="24">
        <v>1.0</v>
      </c>
      <c r="GT20" s="24">
        <v>0.0</v>
      </c>
      <c r="GU20" s="24">
        <v>0.0</v>
      </c>
      <c r="GV20" s="24">
        <v>0.0</v>
      </c>
      <c r="GW20" s="24">
        <v>0.0</v>
      </c>
      <c r="GX20" s="24">
        <v>0.0</v>
      </c>
      <c r="GY20" s="14"/>
      <c r="GZ20" s="14" t="s">
        <v>857</v>
      </c>
      <c r="HA20" s="24">
        <v>150.0</v>
      </c>
      <c r="HB20" s="24">
        <v>150000.0</v>
      </c>
      <c r="HC20" s="24">
        <v>10.0</v>
      </c>
      <c r="HD20" s="24">
        <v>100000.0</v>
      </c>
      <c r="HE20" s="24">
        <v>9.0</v>
      </c>
      <c r="HF20" s="24">
        <v>75000.0</v>
      </c>
      <c r="HG20" s="24">
        <v>3.0</v>
      </c>
      <c r="HH20" s="24">
        <v>25000.0</v>
      </c>
      <c r="HI20" s="14"/>
      <c r="HJ20" s="14"/>
      <c r="HK20" s="14"/>
      <c r="HL20" s="14"/>
      <c r="HM20" s="14"/>
      <c r="HN20" s="14"/>
      <c r="HO20" s="14"/>
      <c r="HP20" s="14"/>
      <c r="HQ20" s="14"/>
      <c r="HR20" s="14"/>
      <c r="HS20" s="14"/>
      <c r="HT20" s="14"/>
      <c r="HU20" s="14"/>
      <c r="HV20" s="14"/>
      <c r="HW20" s="14"/>
      <c r="HX20" s="14"/>
      <c r="HY20" s="24">
        <v>100.0</v>
      </c>
      <c r="HZ20" s="24">
        <v>100000.0</v>
      </c>
      <c r="IA20" s="24">
        <v>6.0</v>
      </c>
      <c r="IB20" s="24">
        <v>50000.0</v>
      </c>
      <c r="IC20" s="14"/>
      <c r="ID20" s="14"/>
      <c r="IE20" s="14"/>
      <c r="IF20" s="14"/>
      <c r="IG20" s="14"/>
      <c r="IH20" s="14"/>
      <c r="II20" s="14"/>
      <c r="IJ20" s="14"/>
      <c r="IK20" s="14" t="s">
        <v>879</v>
      </c>
      <c r="IL20" s="14" t="s">
        <v>880</v>
      </c>
      <c r="IM20" s="14" t="s">
        <v>857</v>
      </c>
      <c r="IN20" s="14" t="s">
        <v>857</v>
      </c>
      <c r="IO20" s="14" t="s">
        <v>882</v>
      </c>
      <c r="IP20" s="14"/>
      <c r="IQ20" s="14" t="s">
        <v>883</v>
      </c>
      <c r="IR20" s="14"/>
      <c r="IS20" s="14"/>
      <c r="IT20" s="14"/>
      <c r="IU20" s="14"/>
      <c r="IV20" s="14"/>
      <c r="IW20" s="14"/>
      <c r="IX20" s="14"/>
      <c r="IY20" s="14"/>
      <c r="IZ20" s="14" t="s">
        <v>883</v>
      </c>
      <c r="JA20" s="14"/>
      <c r="JB20" s="14"/>
      <c r="JC20" s="14"/>
      <c r="JD20" s="14"/>
      <c r="JE20" s="14"/>
      <c r="JF20" s="14"/>
      <c r="JG20" s="14"/>
      <c r="JH20" s="14"/>
      <c r="JI20" s="14" t="s">
        <v>883</v>
      </c>
      <c r="JJ20" s="14"/>
      <c r="JK20" s="14"/>
      <c r="JL20" s="14"/>
      <c r="JM20" s="14"/>
      <c r="JN20" s="14"/>
      <c r="JO20" s="14"/>
      <c r="JP20" s="14"/>
      <c r="JQ20" s="14"/>
      <c r="JR20" s="14" t="s">
        <v>883</v>
      </c>
      <c r="JS20" s="14"/>
      <c r="JT20" s="14"/>
      <c r="JU20" s="14"/>
      <c r="JV20" s="14"/>
      <c r="JW20" s="14"/>
      <c r="JX20" s="14"/>
      <c r="JY20" s="14"/>
      <c r="JZ20" s="14"/>
      <c r="KA20" s="14" t="s">
        <v>883</v>
      </c>
      <c r="KB20" s="14"/>
      <c r="KC20" s="14"/>
      <c r="KD20" s="14"/>
      <c r="KE20" s="14"/>
      <c r="KF20" s="14"/>
      <c r="KG20" s="14"/>
      <c r="KH20" s="14"/>
      <c r="KI20" s="14"/>
      <c r="KJ20" s="14" t="s">
        <v>883</v>
      </c>
      <c r="KK20" s="14"/>
      <c r="KL20" s="14"/>
      <c r="KM20" s="14"/>
      <c r="KN20" s="14"/>
      <c r="KO20" s="14"/>
      <c r="KP20" s="14"/>
      <c r="KQ20" s="14"/>
      <c r="KR20" s="14"/>
      <c r="KS20" s="14" t="s">
        <v>1180</v>
      </c>
      <c r="KT20" s="14" t="s">
        <v>886</v>
      </c>
      <c r="KU20" s="14" t="s">
        <v>886</v>
      </c>
      <c r="KV20" s="14" t="s">
        <v>999</v>
      </c>
      <c r="KW20" s="24">
        <v>0.0</v>
      </c>
      <c r="KX20" s="24">
        <v>0.0</v>
      </c>
      <c r="KY20" s="24">
        <v>0.0</v>
      </c>
      <c r="KZ20" s="24">
        <v>1.0</v>
      </c>
      <c r="LA20" s="14" t="s">
        <v>884</v>
      </c>
      <c r="LB20" s="14" t="s">
        <v>884</v>
      </c>
      <c r="LC20" s="24">
        <v>3.0</v>
      </c>
      <c r="LD20" s="24">
        <v>3.0</v>
      </c>
      <c r="LE20" s="24">
        <v>0.0</v>
      </c>
      <c r="LF20" s="24">
        <v>0.0</v>
      </c>
      <c r="LG20" s="14" t="s">
        <v>857</v>
      </c>
      <c r="LH20" s="24">
        <v>100000.0</v>
      </c>
      <c r="LI20" s="14"/>
      <c r="LJ20" s="14" t="s">
        <v>887</v>
      </c>
      <c r="LK20" s="24">
        <v>0.0</v>
      </c>
      <c r="LL20" s="24">
        <v>0.0</v>
      </c>
      <c r="LM20" s="24">
        <v>0.0</v>
      </c>
      <c r="LN20" s="24">
        <v>0.0</v>
      </c>
      <c r="LO20" s="24">
        <v>1.0</v>
      </c>
      <c r="LP20" s="24">
        <v>0.0</v>
      </c>
      <c r="LQ20" s="24">
        <v>0.0</v>
      </c>
      <c r="LR20" s="14"/>
      <c r="LS20" s="24">
        <v>15.0</v>
      </c>
      <c r="LT20" s="24">
        <v>15.0</v>
      </c>
      <c r="LU20" s="24">
        <v>0.0</v>
      </c>
      <c r="LV20" s="24">
        <v>5.0</v>
      </c>
      <c r="LW20" s="24">
        <v>5.0</v>
      </c>
      <c r="LX20" s="24">
        <v>0.0</v>
      </c>
      <c r="LY20" s="24">
        <v>5.0</v>
      </c>
      <c r="LZ20" s="24">
        <v>5.0</v>
      </c>
      <c r="MA20" s="24">
        <v>0.0</v>
      </c>
      <c r="MB20" s="14" t="s">
        <v>857</v>
      </c>
      <c r="MC20" s="24">
        <v>30.0</v>
      </c>
      <c r="MD20" s="24">
        <v>15.0</v>
      </c>
      <c r="ME20" s="24">
        <v>30.0</v>
      </c>
      <c r="MF20" s="24">
        <v>15.0</v>
      </c>
      <c r="MG20" s="24">
        <v>30.0</v>
      </c>
      <c r="MH20" s="24">
        <v>15.0</v>
      </c>
      <c r="MI20" s="14" t="s">
        <v>946</v>
      </c>
      <c r="MJ20" s="24">
        <v>0.0</v>
      </c>
      <c r="MK20" s="24">
        <v>0.0</v>
      </c>
      <c r="ML20" s="24">
        <v>1.0</v>
      </c>
      <c r="MM20" s="24">
        <v>0.0</v>
      </c>
      <c r="MN20" s="24">
        <v>0.0</v>
      </c>
      <c r="MO20" s="24">
        <v>0.0</v>
      </c>
      <c r="MP20" s="14"/>
      <c r="MQ20" s="14"/>
      <c r="MR20" s="14" t="s">
        <v>1048</v>
      </c>
      <c r="MS20" s="14"/>
      <c r="MT20" s="14" t="s">
        <v>888</v>
      </c>
      <c r="MU20" s="14" t="s">
        <v>881</v>
      </c>
      <c r="MV20" s="14"/>
      <c r="MW20" s="14"/>
      <c r="MX20" s="14"/>
      <c r="MY20" s="14"/>
      <c r="MZ20" s="14"/>
      <c r="NA20" s="14"/>
      <c r="NB20" s="14"/>
      <c r="NC20" s="14"/>
      <c r="ND20" s="14"/>
      <c r="NE20" s="14"/>
      <c r="NF20" s="14"/>
      <c r="NG20" s="14"/>
      <c r="NH20" s="14"/>
      <c r="NI20" s="14"/>
      <c r="NJ20" s="14"/>
      <c r="NK20" s="14"/>
      <c r="NL20" s="14" t="s">
        <v>857</v>
      </c>
      <c r="NM20" s="14" t="s">
        <v>893</v>
      </c>
      <c r="NN20" s="14" t="s">
        <v>993</v>
      </c>
      <c r="NO20" s="14" t="s">
        <v>994</v>
      </c>
      <c r="NP20" s="14"/>
      <c r="NQ20" s="14"/>
      <c r="NR20" s="14"/>
      <c r="NS20" s="14"/>
      <c r="NT20" s="14"/>
      <c r="NU20" s="14"/>
      <c r="NV20" s="14" t="s">
        <v>896</v>
      </c>
      <c r="NW20" s="14"/>
      <c r="NX20" s="14" t="s">
        <v>1183</v>
      </c>
      <c r="NY20" s="24">
        <v>40.0</v>
      </c>
      <c r="NZ20" s="24">
        <v>20.0</v>
      </c>
      <c r="OA20" s="24">
        <v>10.0</v>
      </c>
      <c r="OB20" s="24">
        <v>5.0</v>
      </c>
      <c r="OC20" s="24">
        <v>5.0</v>
      </c>
      <c r="OD20" s="24">
        <v>5.0</v>
      </c>
      <c r="OE20" s="14" t="s">
        <v>1180</v>
      </c>
      <c r="OF20" s="14" t="s">
        <v>1184</v>
      </c>
      <c r="OG20" s="14" t="s">
        <v>857</v>
      </c>
      <c r="OH20" s="24">
        <v>0.0</v>
      </c>
      <c r="OI20" s="24">
        <v>3.0</v>
      </c>
      <c r="OJ20" s="24">
        <v>0.0</v>
      </c>
      <c r="OK20" s="24">
        <v>0.0</v>
      </c>
      <c r="OL20" s="24">
        <v>0.0</v>
      </c>
      <c r="OM20" s="24">
        <v>0.0</v>
      </c>
      <c r="ON20" s="24">
        <v>0.0</v>
      </c>
      <c r="OO20" s="24">
        <v>0.0</v>
      </c>
      <c r="OP20" s="14" t="s">
        <v>2948</v>
      </c>
      <c r="OQ20" s="24">
        <v>0.0</v>
      </c>
      <c r="OR20" s="24">
        <v>1.0</v>
      </c>
      <c r="OS20" s="24">
        <v>0.0</v>
      </c>
      <c r="OT20" s="24">
        <v>0.0</v>
      </c>
      <c r="OU20" s="24">
        <v>0.0</v>
      </c>
      <c r="OV20" s="24">
        <v>0.0</v>
      </c>
      <c r="OW20" s="24">
        <v>0.0</v>
      </c>
      <c r="OX20" s="24">
        <v>0.0</v>
      </c>
      <c r="OY20" s="14"/>
      <c r="OZ20" s="14"/>
      <c r="PA20" s="14"/>
      <c r="PB20" s="14"/>
      <c r="PC20" s="14"/>
      <c r="PD20" s="14"/>
      <c r="PE20" s="14"/>
      <c r="PF20" s="14"/>
      <c r="PG20" s="14"/>
      <c r="PH20" s="14"/>
      <c r="PI20" s="14"/>
      <c r="PJ20" s="14" t="s">
        <v>900</v>
      </c>
      <c r="PK20" s="24">
        <v>0.0</v>
      </c>
      <c r="PL20" s="24">
        <v>0.0</v>
      </c>
      <c r="PM20" s="24">
        <v>0.0</v>
      </c>
      <c r="PN20" s="24">
        <v>0.0</v>
      </c>
      <c r="PO20" s="24">
        <v>0.0</v>
      </c>
      <c r="PP20" s="24">
        <v>1.0</v>
      </c>
      <c r="PQ20" s="24">
        <v>0.0</v>
      </c>
      <c r="PR20" s="24">
        <v>0.0</v>
      </c>
      <c r="PS20" s="24">
        <v>0.0</v>
      </c>
      <c r="PT20" s="14"/>
      <c r="PU20" s="14"/>
      <c r="PV20" s="14"/>
      <c r="PW20" s="14"/>
      <c r="PX20" s="14"/>
      <c r="PY20" s="14"/>
      <c r="PZ20" s="14"/>
      <c r="QA20" s="14"/>
      <c r="QB20" s="14"/>
      <c r="QC20" s="14"/>
      <c r="QD20" s="14"/>
      <c r="QE20" s="14"/>
      <c r="QF20" s="14"/>
      <c r="QG20" s="14"/>
      <c r="QH20" s="14"/>
      <c r="QI20" s="14"/>
      <c r="QJ20" s="14"/>
      <c r="QK20" s="14"/>
      <c r="QL20" s="14"/>
      <c r="QM20" s="14"/>
      <c r="QN20" s="14"/>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24">
        <v>3.0</v>
      </c>
      <c r="SF20" s="14"/>
      <c r="SG20" s="14"/>
      <c r="SH20" s="14"/>
      <c r="SI20" s="14"/>
      <c r="SJ20" s="14"/>
      <c r="SK20" s="14"/>
      <c r="SL20" s="14"/>
      <c r="SM20" s="14"/>
      <c r="SN20" s="14"/>
      <c r="SO20" s="14"/>
      <c r="SP20" s="14"/>
      <c r="SQ20" s="14"/>
      <c r="SR20" s="14"/>
      <c r="SS20" s="14"/>
      <c r="ST20" s="14"/>
      <c r="SU20" s="14"/>
      <c r="SV20" s="14"/>
      <c r="SW20" s="14"/>
      <c r="SX20" s="14"/>
      <c r="SY20" s="14"/>
      <c r="SZ20" s="14"/>
      <c r="TA20" s="14"/>
      <c r="TB20" s="14"/>
      <c r="TC20" s="14"/>
      <c r="TD20" s="14"/>
      <c r="TE20" s="14"/>
      <c r="TF20" s="14"/>
      <c r="TG20" s="14"/>
      <c r="TH20" s="14"/>
      <c r="TI20" s="14"/>
      <c r="TJ20" s="14"/>
      <c r="TK20" s="14"/>
      <c r="TL20" s="14"/>
      <c r="TM20" s="14"/>
      <c r="TN20" s="14"/>
      <c r="TO20" s="14"/>
      <c r="TP20" s="14"/>
      <c r="TQ20" s="14"/>
      <c r="TR20" s="14"/>
      <c r="TS20" s="14"/>
      <c r="TT20" s="14"/>
      <c r="TU20" s="14"/>
      <c r="TV20" s="14"/>
      <c r="TW20" s="14"/>
      <c r="TX20" s="14"/>
      <c r="TY20" s="14"/>
      <c r="TZ20" s="14"/>
      <c r="UA20" s="14" t="s">
        <v>901</v>
      </c>
      <c r="UB20" s="14"/>
      <c r="UC20" s="14"/>
      <c r="UD20" s="14"/>
      <c r="UE20" s="14"/>
      <c r="UF20" s="14"/>
      <c r="UG20" s="14"/>
      <c r="UH20" s="14"/>
      <c r="UI20" s="14" t="s">
        <v>950</v>
      </c>
      <c r="UJ20" s="14"/>
      <c r="UK20" s="14"/>
      <c r="UL20" s="14"/>
      <c r="UM20" s="14"/>
      <c r="UN20" s="14"/>
      <c r="UO20" s="14"/>
      <c r="UP20" s="14"/>
      <c r="UQ20" s="14" t="s">
        <v>1158</v>
      </c>
      <c r="UR20" s="14"/>
      <c r="US20" s="14"/>
      <c r="UT20" s="14"/>
      <c r="UU20" s="14"/>
      <c r="UV20" s="14"/>
      <c r="UW20" s="14"/>
      <c r="UX20" s="14"/>
      <c r="UY20" s="14"/>
      <c r="UZ20" s="14"/>
      <c r="VA20" s="14"/>
      <c r="VB20" s="14"/>
      <c r="VC20" s="14"/>
      <c r="VD20" s="14"/>
      <c r="VE20" s="14"/>
      <c r="VF20" s="14"/>
      <c r="VG20" s="14"/>
      <c r="VH20" s="14"/>
      <c r="VI20" s="14"/>
      <c r="VJ20" s="14"/>
      <c r="VK20" s="14" t="s">
        <v>1198</v>
      </c>
      <c r="VL20" s="24">
        <v>0.0</v>
      </c>
      <c r="VM20" s="24">
        <v>0.0</v>
      </c>
      <c r="VN20" s="24">
        <v>0.0</v>
      </c>
      <c r="VO20" s="24">
        <v>1.0</v>
      </c>
      <c r="VP20" s="24">
        <v>0.0</v>
      </c>
      <c r="VQ20" s="24">
        <v>1.0</v>
      </c>
      <c r="VR20" s="24">
        <v>0.0</v>
      </c>
      <c r="VS20" s="24">
        <v>0.0</v>
      </c>
      <c r="VT20" s="14"/>
      <c r="VU20" s="14"/>
      <c r="VV20" s="14"/>
      <c r="VW20" s="14"/>
      <c r="VX20" s="14"/>
      <c r="VY20" s="14"/>
      <c r="VZ20" s="14"/>
      <c r="WA20" s="14"/>
      <c r="WB20" s="14"/>
      <c r="WC20" s="14"/>
      <c r="WD20" s="14"/>
      <c r="WE20" s="14"/>
      <c r="WF20" s="14"/>
      <c r="WG20" s="14"/>
      <c r="WH20" s="14"/>
      <c r="WI20" s="14"/>
      <c r="WJ20" s="14"/>
      <c r="WK20" s="14"/>
      <c r="WL20" s="14"/>
      <c r="WM20" s="14"/>
      <c r="WN20" s="14"/>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24">
        <v>50.0</v>
      </c>
      <c r="YU20" s="14"/>
      <c r="YV20" s="14"/>
      <c r="YW20" s="14"/>
      <c r="YX20" s="14"/>
      <c r="YY20" s="14"/>
      <c r="YZ20" s="14"/>
      <c r="ZA20" s="14"/>
      <c r="ZB20" s="24">
        <v>2.0</v>
      </c>
      <c r="ZC20" s="14"/>
      <c r="ZD20" s="14"/>
      <c r="ZE20" s="14"/>
      <c r="ZF20" s="14"/>
      <c r="ZG20" s="14"/>
      <c r="ZH20" s="14"/>
      <c r="ZI20" s="14"/>
      <c r="ZJ20" s="14" t="s">
        <v>1186</v>
      </c>
      <c r="ZK20" s="14"/>
      <c r="ZL20" s="14"/>
      <c r="ZM20" s="14"/>
      <c r="ZN20" s="14"/>
      <c r="ZO20" s="14"/>
      <c r="ZP20" s="14"/>
      <c r="ZQ20" s="14" t="s">
        <v>857</v>
      </c>
      <c r="ZR20" s="14" t="s">
        <v>1033</v>
      </c>
      <c r="ZS20" s="24">
        <v>1.0</v>
      </c>
      <c r="ZT20" s="24">
        <v>1.0</v>
      </c>
      <c r="ZU20" s="24">
        <v>50.0</v>
      </c>
      <c r="ZV20" s="24">
        <v>50.0</v>
      </c>
      <c r="ZW20" s="14" t="s">
        <v>857</v>
      </c>
      <c r="ZX20" s="14" t="s">
        <v>867</v>
      </c>
      <c r="ZY20" s="14" t="s">
        <v>1074</v>
      </c>
      <c r="ZZ20" s="24">
        <v>1.0</v>
      </c>
      <c r="AAA20" s="24">
        <v>0.0</v>
      </c>
      <c r="AAB20" s="24">
        <v>0.0</v>
      </c>
      <c r="AAC20" s="24">
        <v>1.0</v>
      </c>
      <c r="AAD20" s="24">
        <v>1.0</v>
      </c>
      <c r="AAE20" s="24">
        <v>0.0</v>
      </c>
      <c r="AAF20" s="24">
        <v>0.0</v>
      </c>
      <c r="AAG20" s="14" t="s">
        <v>907</v>
      </c>
      <c r="AAH20" s="24">
        <v>1.0</v>
      </c>
      <c r="AAI20" s="24">
        <v>0.0</v>
      </c>
      <c r="AAJ20" s="24">
        <v>0.0</v>
      </c>
      <c r="AAK20" s="24">
        <v>0.0</v>
      </c>
      <c r="AAL20" s="24">
        <v>0.0</v>
      </c>
      <c r="AAM20" s="14"/>
      <c r="AAN20" s="14"/>
      <c r="AAO20" s="14"/>
      <c r="AAP20" s="14"/>
      <c r="AAQ20" s="14"/>
      <c r="AAR20" s="14"/>
      <c r="AAS20" s="14"/>
      <c r="AAT20" s="14"/>
      <c r="AAU20" s="14"/>
      <c r="AAV20" s="11" t="s">
        <v>953</v>
      </c>
      <c r="AAW20" s="14" t="s">
        <v>909</v>
      </c>
      <c r="AAX20" s="24">
        <v>2000.0</v>
      </c>
      <c r="AAY20" s="24">
        <v>2000.0</v>
      </c>
      <c r="AAZ20" s="24">
        <v>50.0</v>
      </c>
      <c r="ABA20" s="24">
        <v>50.0</v>
      </c>
      <c r="ABB20" s="14" t="s">
        <v>1199</v>
      </c>
      <c r="ABC20" s="14"/>
      <c r="ABD20" s="24">
        <v>30.0</v>
      </c>
      <c r="ABE20" s="24">
        <v>4000.0</v>
      </c>
      <c r="ABF20" s="24">
        <v>10.0</v>
      </c>
      <c r="ABG20" s="24">
        <v>4000.0</v>
      </c>
      <c r="ABH20" s="24">
        <v>500.0</v>
      </c>
      <c r="ABI20" s="24">
        <v>650.0</v>
      </c>
      <c r="ABJ20" s="14" t="s">
        <v>857</v>
      </c>
      <c r="ABK20" s="14" t="s">
        <v>1183</v>
      </c>
      <c r="ABL20" s="14" t="s">
        <v>1034</v>
      </c>
      <c r="ABM20" s="14" t="s">
        <v>911</v>
      </c>
      <c r="ABN20" s="14"/>
      <c r="ABO20" s="14"/>
      <c r="ABP20" s="14" t="s">
        <v>976</v>
      </c>
      <c r="ABQ20" s="24">
        <v>0.0</v>
      </c>
      <c r="ABR20" s="24">
        <v>0.0</v>
      </c>
      <c r="ABS20" s="24">
        <v>1.0</v>
      </c>
      <c r="ABT20" s="24">
        <v>1.0</v>
      </c>
      <c r="ABU20" s="24">
        <v>0.0</v>
      </c>
      <c r="ABV20" s="24">
        <v>0.0</v>
      </c>
      <c r="ABW20" s="24">
        <v>0.0</v>
      </c>
      <c r="ABX20" s="14"/>
      <c r="ABY20" s="14" t="s">
        <v>912</v>
      </c>
      <c r="ABZ20" s="14" t="s">
        <v>1050</v>
      </c>
      <c r="ACA20" s="14" t="s">
        <v>957</v>
      </c>
      <c r="ACB20" s="14" t="s">
        <v>915</v>
      </c>
      <c r="ACC20" s="14" t="s">
        <v>916</v>
      </c>
      <c r="ACD20" s="14" t="s">
        <v>1017</v>
      </c>
      <c r="ACE20" s="24">
        <v>1.0</v>
      </c>
      <c r="ACF20" s="24">
        <v>1.0</v>
      </c>
      <c r="ACG20" s="24">
        <v>1.0</v>
      </c>
      <c r="ACH20" s="24">
        <v>0.0</v>
      </c>
      <c r="ACI20" s="14" t="s">
        <v>917</v>
      </c>
      <c r="ACJ20" s="14" t="s">
        <v>917</v>
      </c>
      <c r="ACK20" s="14" t="s">
        <v>917</v>
      </c>
      <c r="ACL20" s="14" t="s">
        <v>917</v>
      </c>
      <c r="ACM20" s="14" t="s">
        <v>881</v>
      </c>
      <c r="ACN20" s="14"/>
      <c r="ACO20" s="14" t="s">
        <v>917</v>
      </c>
      <c r="ACP20" s="14"/>
      <c r="ACQ20" s="14"/>
      <c r="ACR20" s="14"/>
      <c r="ACS20" s="14"/>
      <c r="ACT20" s="14"/>
      <c r="ACU20" s="14"/>
      <c r="ACV20" s="14"/>
      <c r="ACW20" s="14"/>
      <c r="ACX20" s="14"/>
      <c r="ACY20" s="14"/>
      <c r="ACZ20" s="14" t="s">
        <v>919</v>
      </c>
      <c r="ADA20" s="24">
        <v>0.0</v>
      </c>
      <c r="ADB20" s="24">
        <v>0.0</v>
      </c>
      <c r="ADC20" s="24">
        <v>0.0</v>
      </c>
      <c r="ADD20" s="24">
        <v>0.0</v>
      </c>
      <c r="ADE20" s="24">
        <v>1.0</v>
      </c>
      <c r="ADF20" s="24">
        <v>0.0</v>
      </c>
      <c r="ADG20" s="24">
        <v>0.0</v>
      </c>
      <c r="ADH20" s="24">
        <v>0.0</v>
      </c>
      <c r="ADI20" s="12"/>
      <c r="ADJ20" s="17" t="s">
        <v>872</v>
      </c>
      <c r="ADK20" s="9"/>
      <c r="ADL20" s="17" t="s">
        <v>920</v>
      </c>
      <c r="ADM20" s="14"/>
      <c r="ADN20" s="11" t="s">
        <v>999</v>
      </c>
      <c r="ADO20" s="14" t="s">
        <v>871</v>
      </c>
      <c r="ADP20" s="17" t="s">
        <v>1108</v>
      </c>
      <c r="ADQ20" s="18">
        <v>1.0</v>
      </c>
      <c r="ADR20" s="18">
        <v>1.0</v>
      </c>
      <c r="ADS20" s="18">
        <v>1.0</v>
      </c>
      <c r="ADT20" s="18">
        <v>1.0</v>
      </c>
      <c r="ADU20" s="18">
        <v>1.0</v>
      </c>
      <c r="ADV20" s="18">
        <v>1.0</v>
      </c>
      <c r="ADW20" s="18">
        <v>1.0</v>
      </c>
      <c r="ADX20" s="18">
        <v>1.0</v>
      </c>
      <c r="ADY20" s="18">
        <v>1.0</v>
      </c>
      <c r="ADZ20" s="18">
        <v>0.0</v>
      </c>
      <c r="AEA20" s="18">
        <v>0.0</v>
      </c>
      <c r="AEB20" s="18">
        <v>0.0</v>
      </c>
      <c r="AEC20" s="14"/>
      <c r="AED20" s="14" t="s">
        <v>923</v>
      </c>
      <c r="AEE20" s="14"/>
      <c r="AEF20" s="14" t="s">
        <v>1188</v>
      </c>
      <c r="AEG20" s="14"/>
      <c r="AEH20" s="14" t="s">
        <v>1200</v>
      </c>
      <c r="AEI20" s="25" t="s">
        <v>1201</v>
      </c>
      <c r="AEJ20" s="14" t="s">
        <v>1202</v>
      </c>
      <c r="AEK20" s="25" t="s">
        <v>1203</v>
      </c>
      <c r="AEL20" s="14" t="s">
        <v>1137</v>
      </c>
      <c r="AEM20" s="14"/>
      <c r="AEN20" s="14"/>
    </row>
    <row r="21">
      <c r="A21" s="6">
        <v>46059.0</v>
      </c>
      <c r="B21" s="6">
        <v>46059.0</v>
      </c>
      <c r="C21" s="7" t="s">
        <v>837</v>
      </c>
      <c r="D21" s="7" t="s">
        <v>1204</v>
      </c>
      <c r="E21" s="8">
        <f>+6282138033049</f>
        <v>6282138033049</v>
      </c>
      <c r="F21" s="9"/>
      <c r="G21" s="8">
        <v>-7.21401879</v>
      </c>
      <c r="H21" s="8">
        <v>110.2638694</v>
      </c>
      <c r="I21" s="9"/>
      <c r="J21" s="8">
        <v>4.52</v>
      </c>
      <c r="K21" s="9"/>
      <c r="L21" s="9"/>
      <c r="M21" s="8">
        <v>-7.21401062</v>
      </c>
      <c r="N21" s="8">
        <v>110.2638854</v>
      </c>
      <c r="O21" s="9"/>
      <c r="P21" s="8">
        <v>4.96</v>
      </c>
      <c r="Q21" s="9"/>
      <c r="R21" s="9" t="s">
        <v>839</v>
      </c>
      <c r="S21" s="9"/>
      <c r="T21" s="9"/>
      <c r="U21" s="9"/>
      <c r="V21" s="9"/>
      <c r="W21" s="9"/>
      <c r="X21" s="9"/>
      <c r="Y21" s="9"/>
      <c r="Z21" s="9"/>
      <c r="AA21" s="9"/>
      <c r="AB21" s="9"/>
      <c r="AC21" s="7" t="s">
        <v>1175</v>
      </c>
      <c r="AD21" s="7" t="s">
        <v>1176</v>
      </c>
      <c r="AE21" s="7" t="s">
        <v>1195</v>
      </c>
      <c r="AF21" s="9" t="s">
        <v>1178</v>
      </c>
      <c r="AG21" s="9" t="s">
        <v>1205</v>
      </c>
      <c r="AH21" s="8">
        <v>2.0</v>
      </c>
      <c r="AI21" s="9" t="s">
        <v>845</v>
      </c>
      <c r="AJ21" s="9" t="s">
        <v>846</v>
      </c>
      <c r="AK21" s="8">
        <v>55.0</v>
      </c>
      <c r="AL21" s="9" t="s">
        <v>847</v>
      </c>
      <c r="AM21" s="9" t="s">
        <v>848</v>
      </c>
      <c r="AN21" s="9" t="s">
        <v>986</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9"/>
      <c r="BI21" s="9" t="s">
        <v>852</v>
      </c>
      <c r="BJ21" s="8">
        <v>1.0</v>
      </c>
      <c r="BK21" s="8">
        <v>1.0</v>
      </c>
      <c r="BL21" s="8">
        <v>0.0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2024.0</v>
      </c>
      <c r="CN21" s="9" t="s">
        <v>858</v>
      </c>
      <c r="CO21" s="9" t="s">
        <v>859</v>
      </c>
      <c r="CP21" s="9" t="s">
        <v>860</v>
      </c>
      <c r="CQ21" s="8">
        <v>0.0</v>
      </c>
      <c r="CR21" s="8">
        <v>0.0</v>
      </c>
      <c r="CS21" s="8">
        <v>0.0</v>
      </c>
      <c r="CT21" s="8">
        <v>0.0</v>
      </c>
      <c r="CU21" s="10">
        <v>1.0</v>
      </c>
      <c r="CV21" s="10">
        <v>0.0</v>
      </c>
      <c r="CW21" s="10">
        <v>0.0</v>
      </c>
      <c r="CX21" s="8">
        <v>0.0</v>
      </c>
      <c r="CY21" s="9" t="s">
        <v>860</v>
      </c>
      <c r="CZ21" s="8">
        <v>1.0</v>
      </c>
      <c r="DA21" s="8">
        <v>0.0</v>
      </c>
      <c r="DB21" s="8">
        <v>0.0</v>
      </c>
      <c r="DC21" s="9"/>
      <c r="DD21" s="9" t="s">
        <v>937</v>
      </c>
      <c r="DE21" s="8">
        <v>1.0</v>
      </c>
      <c r="DF21" s="8">
        <v>0.0</v>
      </c>
      <c r="DG21" s="8">
        <v>1.0</v>
      </c>
      <c r="DH21" s="8">
        <v>0.0</v>
      </c>
      <c r="DI21" s="9"/>
      <c r="DJ21" s="9" t="s">
        <v>937</v>
      </c>
      <c r="DK21" s="8">
        <v>1.0</v>
      </c>
      <c r="DL21" s="8">
        <v>0.0</v>
      </c>
      <c r="DM21" s="8">
        <v>1.0</v>
      </c>
      <c r="DN21" s="8">
        <v>0.0</v>
      </c>
      <c r="DO21" s="9"/>
      <c r="DP21" s="8">
        <v>1.0</v>
      </c>
      <c r="DQ21" s="8">
        <v>0.0</v>
      </c>
      <c r="DR21" s="8">
        <v>0.0</v>
      </c>
      <c r="DS21" s="9"/>
      <c r="DT21" s="9"/>
      <c r="DU21" s="9"/>
      <c r="DV21" s="9" t="s">
        <v>857</v>
      </c>
      <c r="DW21" s="9"/>
      <c r="DX21" s="9"/>
      <c r="DY21" s="9"/>
      <c r="DZ21" s="9"/>
      <c r="EA21" s="9"/>
      <c r="EB21" s="9"/>
      <c r="EC21" s="9"/>
      <c r="ED21" s="9"/>
      <c r="EE21" s="9"/>
      <c r="EF21" s="9"/>
      <c r="EG21" s="9"/>
      <c r="EH21" s="9"/>
      <c r="EI21" s="9" t="s">
        <v>862</v>
      </c>
      <c r="EJ21" s="8">
        <v>0.0</v>
      </c>
      <c r="EK21" s="8">
        <v>0.0</v>
      </c>
      <c r="EL21" s="8">
        <v>0.0</v>
      </c>
      <c r="EM21" s="8">
        <v>1.0</v>
      </c>
      <c r="EN21" s="8">
        <v>0.0</v>
      </c>
      <c r="EO21" s="11"/>
      <c r="EP21" s="9" t="s">
        <v>863</v>
      </c>
      <c r="EQ21" s="9" t="s">
        <v>864</v>
      </c>
      <c r="ER21" s="9" t="s">
        <v>861</v>
      </c>
      <c r="ES21" s="8">
        <v>1.0</v>
      </c>
      <c r="ET21" s="8">
        <v>0.0</v>
      </c>
      <c r="EU21" s="8">
        <v>0.0</v>
      </c>
      <c r="EV21" s="8">
        <v>0.0</v>
      </c>
      <c r="EW21" s="9"/>
      <c r="EX21" s="9" t="s">
        <v>865</v>
      </c>
      <c r="EY21" s="8">
        <v>1.0</v>
      </c>
      <c r="EZ21" s="8">
        <v>0.0</v>
      </c>
      <c r="FA21" s="8">
        <v>0.0</v>
      </c>
      <c r="FB21" s="9"/>
      <c r="FC21" s="9" t="s">
        <v>866</v>
      </c>
      <c r="FD21" s="9"/>
      <c r="FE21" s="9" t="s">
        <v>867</v>
      </c>
      <c r="FF21" s="9" t="s">
        <v>868</v>
      </c>
      <c r="FG21" s="9" t="s">
        <v>867</v>
      </c>
      <c r="FH21" s="9" t="s">
        <v>869</v>
      </c>
      <c r="FI21" s="9" t="s">
        <v>867</v>
      </c>
      <c r="FJ21" s="9" t="s">
        <v>869</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874</v>
      </c>
      <c r="GB21" s="8">
        <v>1.0</v>
      </c>
      <c r="GC21" s="8">
        <v>0.0</v>
      </c>
      <c r="GD21" s="8">
        <v>0.0</v>
      </c>
      <c r="GE21" s="8">
        <v>0.0</v>
      </c>
      <c r="GF21" s="9"/>
      <c r="GG21" s="9" t="s">
        <v>875</v>
      </c>
      <c r="GH21" s="9" t="s">
        <v>857</v>
      </c>
      <c r="GI21" s="9" t="s">
        <v>876</v>
      </c>
      <c r="GJ21" s="8">
        <v>1.0</v>
      </c>
      <c r="GK21" s="8">
        <v>0.0</v>
      </c>
      <c r="GL21" s="8">
        <v>0.0</v>
      </c>
      <c r="GM21" s="8">
        <v>0.0</v>
      </c>
      <c r="GN21" s="9"/>
      <c r="GO21" s="8">
        <v>10.0</v>
      </c>
      <c r="GP21" s="9" t="s">
        <v>877</v>
      </c>
      <c r="GQ21" s="9" t="s">
        <v>878</v>
      </c>
      <c r="GR21" s="8">
        <v>1.0</v>
      </c>
      <c r="GS21" s="8">
        <v>1.0</v>
      </c>
      <c r="GT21" s="8">
        <v>0.0</v>
      </c>
      <c r="GU21" s="8">
        <v>0.0</v>
      </c>
      <c r="GV21" s="8">
        <v>0.0</v>
      </c>
      <c r="GW21" s="8">
        <v>0.0</v>
      </c>
      <c r="GX21" s="8">
        <v>0.0</v>
      </c>
      <c r="GY21" s="9"/>
      <c r="GZ21" s="9" t="s">
        <v>857</v>
      </c>
      <c r="HA21" s="8">
        <v>150.0</v>
      </c>
      <c r="HB21" s="8">
        <v>150000.0</v>
      </c>
      <c r="HC21" s="8">
        <v>50.0</v>
      </c>
      <c r="HD21" s="8">
        <v>50000.0</v>
      </c>
      <c r="HE21" s="8">
        <v>9.0</v>
      </c>
      <c r="HF21" s="8">
        <v>75000.0</v>
      </c>
      <c r="HG21" s="8">
        <v>3.0</v>
      </c>
      <c r="HH21" s="8">
        <v>25000.0</v>
      </c>
      <c r="HI21" s="9"/>
      <c r="HJ21" s="9"/>
      <c r="HK21" s="9"/>
      <c r="HL21" s="9"/>
      <c r="HM21" s="9"/>
      <c r="HN21" s="9"/>
      <c r="HO21" s="9"/>
      <c r="HP21" s="9"/>
      <c r="HQ21" s="9"/>
      <c r="HR21" s="9"/>
      <c r="HS21" s="9"/>
      <c r="HT21" s="9"/>
      <c r="HU21" s="9"/>
      <c r="HV21" s="9"/>
      <c r="HW21" s="9"/>
      <c r="HX21" s="9"/>
      <c r="HY21" s="8">
        <v>100.0</v>
      </c>
      <c r="HZ21" s="8">
        <v>100000.0</v>
      </c>
      <c r="IA21" s="8">
        <v>6.0</v>
      </c>
      <c r="IB21" s="8">
        <v>50000.0</v>
      </c>
      <c r="IC21" s="9"/>
      <c r="ID21" s="9"/>
      <c r="IE21" s="9"/>
      <c r="IF21" s="9"/>
      <c r="IG21" s="9"/>
      <c r="IH21" s="9"/>
      <c r="II21" s="9"/>
      <c r="IJ21" s="9"/>
      <c r="IK21" s="9" t="s">
        <v>879</v>
      </c>
      <c r="IL21" s="9" t="s">
        <v>880</v>
      </c>
      <c r="IM21" s="9" t="s">
        <v>857</v>
      </c>
      <c r="IN21" s="9" t="s">
        <v>857</v>
      </c>
      <c r="IO21" s="9" t="s">
        <v>1206</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886</v>
      </c>
      <c r="KU21" s="9" t="s">
        <v>886</v>
      </c>
      <c r="KV21" s="9" t="s">
        <v>999</v>
      </c>
      <c r="KW21" s="8">
        <v>0.0</v>
      </c>
      <c r="KX21" s="8">
        <v>0.0</v>
      </c>
      <c r="KY21" s="8">
        <v>0.0</v>
      </c>
      <c r="KZ21" s="8">
        <v>1.0</v>
      </c>
      <c r="LA21" s="9" t="s">
        <v>1180</v>
      </c>
      <c r="LB21" s="9" t="s">
        <v>884</v>
      </c>
      <c r="LC21" s="8">
        <v>0.0</v>
      </c>
      <c r="LD21" s="8">
        <v>3.0</v>
      </c>
      <c r="LE21" s="8">
        <v>0.0</v>
      </c>
      <c r="LF21" s="8">
        <v>3.0</v>
      </c>
      <c r="LG21" s="9" t="s">
        <v>857</v>
      </c>
      <c r="LH21" s="8">
        <v>100000.0</v>
      </c>
      <c r="LI21" s="9"/>
      <c r="LJ21" s="9" t="s">
        <v>887</v>
      </c>
      <c r="LK21" s="8">
        <v>0.0</v>
      </c>
      <c r="LL21" s="8">
        <v>0.0</v>
      </c>
      <c r="LM21" s="8">
        <v>0.0</v>
      </c>
      <c r="LN21" s="8">
        <v>0.0</v>
      </c>
      <c r="LO21" s="8">
        <v>1.0</v>
      </c>
      <c r="LP21" s="8">
        <v>0.0</v>
      </c>
      <c r="LQ21" s="8">
        <v>0.0</v>
      </c>
      <c r="LR21" s="9"/>
      <c r="LS21" s="8">
        <v>15.0</v>
      </c>
      <c r="LT21" s="8">
        <v>15.0</v>
      </c>
      <c r="LU21" s="8">
        <v>0.0</v>
      </c>
      <c r="LV21" s="8">
        <v>5.0</v>
      </c>
      <c r="LW21" s="8">
        <v>5.0</v>
      </c>
      <c r="LX21" s="8">
        <v>0.0</v>
      </c>
      <c r="LY21" s="8">
        <v>5.0</v>
      </c>
      <c r="LZ21" s="8">
        <v>5.0</v>
      </c>
      <c r="MA21" s="8">
        <v>0.0</v>
      </c>
      <c r="MB21" s="9" t="s">
        <v>857</v>
      </c>
      <c r="MC21" s="8">
        <v>30.0</v>
      </c>
      <c r="MD21" s="8">
        <v>15.0</v>
      </c>
      <c r="ME21" s="8">
        <v>30.0</v>
      </c>
      <c r="MF21" s="8">
        <v>15.0</v>
      </c>
      <c r="MG21" s="8">
        <v>0.0</v>
      </c>
      <c r="MH21" s="8">
        <v>0.0</v>
      </c>
      <c r="MI21" s="9" t="s">
        <v>946</v>
      </c>
      <c r="MJ21" s="8">
        <v>0.0</v>
      </c>
      <c r="MK21" s="8">
        <v>0.0</v>
      </c>
      <c r="ML21" s="8">
        <v>1.0</v>
      </c>
      <c r="MM21" s="8">
        <v>0.0</v>
      </c>
      <c r="MN21" s="8">
        <v>0.0</v>
      </c>
      <c r="MO21" s="8">
        <v>0.0</v>
      </c>
      <c r="MP21" s="9"/>
      <c r="MQ21" s="9"/>
      <c r="MR21" s="9" t="s">
        <v>1048</v>
      </c>
      <c r="MS21" s="9"/>
      <c r="MT21" s="9" t="s">
        <v>888</v>
      </c>
      <c r="MU21" s="9" t="s">
        <v>881</v>
      </c>
      <c r="MV21" s="9"/>
      <c r="MW21" s="9"/>
      <c r="MX21" s="9"/>
      <c r="MY21" s="9"/>
      <c r="MZ21" s="9"/>
      <c r="NA21" s="9"/>
      <c r="NB21" s="9"/>
      <c r="NC21" s="9"/>
      <c r="ND21" s="9"/>
      <c r="NE21" s="9"/>
      <c r="NF21" s="9"/>
      <c r="NG21" s="9"/>
      <c r="NH21" s="9"/>
      <c r="NI21" s="9"/>
      <c r="NJ21" s="9"/>
      <c r="NK21" s="9"/>
      <c r="NL21" s="9" t="s">
        <v>857</v>
      </c>
      <c r="NM21" s="9" t="s">
        <v>893</v>
      </c>
      <c r="NN21" s="9" t="s">
        <v>993</v>
      </c>
      <c r="NO21" s="9" t="s">
        <v>994</v>
      </c>
      <c r="NP21" s="9"/>
      <c r="NQ21" s="9"/>
      <c r="NR21" s="9"/>
      <c r="NS21" s="9"/>
      <c r="NT21" s="9"/>
      <c r="NU21" s="9"/>
      <c r="NV21" s="9" t="s">
        <v>896</v>
      </c>
      <c r="NW21" s="9"/>
      <c r="NX21" s="9" t="s">
        <v>1183</v>
      </c>
      <c r="NY21" s="8">
        <v>40.0</v>
      </c>
      <c r="NZ21" s="8">
        <v>15.0</v>
      </c>
      <c r="OA21" s="8">
        <v>0.0</v>
      </c>
      <c r="OB21" s="8">
        <v>5.0</v>
      </c>
      <c r="OC21" s="8">
        <v>5.0</v>
      </c>
      <c r="OD21" s="8">
        <v>0.0</v>
      </c>
      <c r="OE21" s="9" t="s">
        <v>1180</v>
      </c>
      <c r="OF21" s="9" t="s">
        <v>1184</v>
      </c>
      <c r="OG21" s="9" t="s">
        <v>857</v>
      </c>
      <c r="OH21" s="8">
        <v>0.0</v>
      </c>
      <c r="OI21" s="8">
        <v>3.0</v>
      </c>
      <c r="OJ21" s="8">
        <v>0.0</v>
      </c>
      <c r="OK21" s="8">
        <v>0.0</v>
      </c>
      <c r="OL21" s="8">
        <v>0.0</v>
      </c>
      <c r="OM21" s="8">
        <v>0.0</v>
      </c>
      <c r="ON21" s="8">
        <v>0.0</v>
      </c>
      <c r="OO21" s="8">
        <v>0.0</v>
      </c>
      <c r="OP21" s="9" t="s">
        <v>2948</v>
      </c>
      <c r="OQ21" s="8">
        <v>0.0</v>
      </c>
      <c r="OR21" s="8">
        <v>1.0</v>
      </c>
      <c r="OS21" s="8">
        <v>0.0</v>
      </c>
      <c r="OT21" s="8">
        <v>0.0</v>
      </c>
      <c r="OU21" s="8">
        <v>0.0</v>
      </c>
      <c r="OV21" s="8">
        <v>0.0</v>
      </c>
      <c r="OW21" s="8">
        <v>0.0</v>
      </c>
      <c r="OX21" s="8">
        <v>0.0</v>
      </c>
      <c r="OY21" s="9"/>
      <c r="OZ21" s="9"/>
      <c r="PA21" s="9"/>
      <c r="PB21" s="9"/>
      <c r="PC21" s="9"/>
      <c r="PD21" s="9"/>
      <c r="PE21" s="9"/>
      <c r="PF21" s="9"/>
      <c r="PG21" s="9"/>
      <c r="PH21" s="9"/>
      <c r="PI21" s="9"/>
      <c r="PJ21" s="9" t="s">
        <v>900</v>
      </c>
      <c r="PK21" s="8">
        <v>0.0</v>
      </c>
      <c r="PL21" s="8">
        <v>0.0</v>
      </c>
      <c r="PM21" s="8">
        <v>0.0</v>
      </c>
      <c r="PN21" s="8">
        <v>0.0</v>
      </c>
      <c r="PO21" s="8">
        <v>0.0</v>
      </c>
      <c r="PP21" s="8">
        <v>1.0</v>
      </c>
      <c r="PQ21" s="8">
        <v>0.0</v>
      </c>
      <c r="PR21" s="8">
        <v>0.0</v>
      </c>
      <c r="PS21" s="8">
        <v>0.0</v>
      </c>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8">
        <v>3.0</v>
      </c>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t="s">
        <v>901</v>
      </c>
      <c r="UB21" s="9"/>
      <c r="UC21" s="9"/>
      <c r="UD21" s="9"/>
      <c r="UE21" s="9"/>
      <c r="UF21" s="9"/>
      <c r="UG21" s="9"/>
      <c r="UH21" s="9"/>
      <c r="UI21" s="9" t="s">
        <v>950</v>
      </c>
      <c r="UJ21" s="9"/>
      <c r="UK21" s="9"/>
      <c r="UL21" s="9"/>
      <c r="UM21" s="9"/>
      <c r="UN21" s="9"/>
      <c r="UO21" s="9"/>
      <c r="UP21" s="9"/>
      <c r="UQ21" s="9" t="s">
        <v>903</v>
      </c>
      <c r="UR21" s="9"/>
      <c r="US21" s="9"/>
      <c r="UT21" s="9"/>
      <c r="UU21" s="9"/>
      <c r="UV21" s="9"/>
      <c r="UW21" s="9"/>
      <c r="UX21" s="9"/>
      <c r="UY21" s="9"/>
      <c r="UZ21" s="9"/>
      <c r="VA21" s="9"/>
      <c r="VB21" s="9"/>
      <c r="VC21" s="9"/>
      <c r="VD21" s="9"/>
      <c r="VE21" s="9"/>
      <c r="VF21" s="9"/>
      <c r="VG21" s="9"/>
      <c r="VH21" s="9"/>
      <c r="VI21" s="9"/>
      <c r="VJ21" s="9"/>
      <c r="VK21" s="9" t="s">
        <v>1207</v>
      </c>
      <c r="VL21" s="8">
        <v>0.0</v>
      </c>
      <c r="VM21" s="8">
        <v>0.0</v>
      </c>
      <c r="VN21" s="8">
        <v>0.0</v>
      </c>
      <c r="VO21" s="8">
        <v>1.0</v>
      </c>
      <c r="VP21" s="8">
        <v>1.0</v>
      </c>
      <c r="VQ21" s="8">
        <v>1.0</v>
      </c>
      <c r="VR21" s="8">
        <v>0.0</v>
      </c>
      <c r="VS21" s="8">
        <v>0.0</v>
      </c>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8">
        <v>60.0</v>
      </c>
      <c r="YU21" s="9"/>
      <c r="YV21" s="9"/>
      <c r="YW21" s="9"/>
      <c r="YX21" s="9"/>
      <c r="YY21" s="9"/>
      <c r="YZ21" s="9"/>
      <c r="ZA21" s="9"/>
      <c r="ZB21" s="8">
        <v>2.0</v>
      </c>
      <c r="ZC21" s="9"/>
      <c r="ZD21" s="9"/>
      <c r="ZE21" s="9"/>
      <c r="ZF21" s="9"/>
      <c r="ZG21" s="9"/>
      <c r="ZH21" s="9"/>
      <c r="ZI21" s="9"/>
      <c r="ZJ21" s="9" t="s">
        <v>905</v>
      </c>
      <c r="ZK21" s="9"/>
      <c r="ZL21" s="9"/>
      <c r="ZM21" s="9"/>
      <c r="ZN21" s="9"/>
      <c r="ZO21" s="9"/>
      <c r="ZP21" s="9"/>
      <c r="ZQ21" s="9" t="s">
        <v>857</v>
      </c>
      <c r="ZR21" s="9" t="s">
        <v>1033</v>
      </c>
      <c r="ZS21" s="8">
        <v>1.0</v>
      </c>
      <c r="ZT21" s="8">
        <v>1.0</v>
      </c>
      <c r="ZU21" s="8">
        <v>60.0</v>
      </c>
      <c r="ZV21" s="8">
        <v>60.0</v>
      </c>
      <c r="ZW21" s="9" t="s">
        <v>857</v>
      </c>
      <c r="ZX21" s="9" t="s">
        <v>867</v>
      </c>
      <c r="ZY21" s="9" t="s">
        <v>906</v>
      </c>
      <c r="ZZ21" s="8">
        <v>1.0</v>
      </c>
      <c r="AAA21" s="8">
        <v>0.0</v>
      </c>
      <c r="AAB21" s="8">
        <v>0.0</v>
      </c>
      <c r="AAC21" s="8">
        <v>0.0</v>
      </c>
      <c r="AAD21" s="8">
        <v>0.0</v>
      </c>
      <c r="AAE21" s="8">
        <v>0.0</v>
      </c>
      <c r="AAF21" s="8">
        <v>0.0</v>
      </c>
      <c r="AAG21" s="9" t="s">
        <v>907</v>
      </c>
      <c r="AAH21" s="8">
        <v>1.0</v>
      </c>
      <c r="AAI21" s="8">
        <v>0.0</v>
      </c>
      <c r="AAJ21" s="8">
        <v>0.0</v>
      </c>
      <c r="AAK21" s="8">
        <v>0.0</v>
      </c>
      <c r="AAL21" s="8">
        <v>0.0</v>
      </c>
      <c r="AAM21" s="9"/>
      <c r="AAN21" s="9"/>
      <c r="AAO21" s="9"/>
      <c r="AAP21" s="9"/>
      <c r="AAQ21" s="9"/>
      <c r="AAR21" s="9"/>
      <c r="AAS21" s="9"/>
      <c r="AAT21" s="9"/>
      <c r="AAU21" s="9"/>
      <c r="AAV21" s="11" t="s">
        <v>953</v>
      </c>
      <c r="AAW21" s="9" t="s">
        <v>1075</v>
      </c>
      <c r="AAX21" s="8">
        <v>3000.0</v>
      </c>
      <c r="AAY21" s="9"/>
      <c r="AAZ21" s="8">
        <v>60.0</v>
      </c>
      <c r="ABA21" s="8">
        <v>60.0</v>
      </c>
      <c r="ABB21" s="9" t="s">
        <v>1199</v>
      </c>
      <c r="ABC21" s="9"/>
      <c r="ABD21" s="8">
        <v>30.0</v>
      </c>
      <c r="ABE21" s="8">
        <v>4000.0</v>
      </c>
      <c r="ABF21" s="8">
        <v>0.0</v>
      </c>
      <c r="ABG21" s="8">
        <v>4000.0</v>
      </c>
      <c r="ABH21" s="8">
        <v>600.0</v>
      </c>
      <c r="ABI21" s="8">
        <v>750.0</v>
      </c>
      <c r="ABJ21" s="9" t="s">
        <v>857</v>
      </c>
      <c r="ABK21" s="9" t="s">
        <v>1183</v>
      </c>
      <c r="ABL21" s="9" t="s">
        <v>911</v>
      </c>
      <c r="ABM21" s="9" t="s">
        <v>911</v>
      </c>
      <c r="ABN21" s="9"/>
      <c r="ABO21" s="9"/>
      <c r="ABP21" s="9"/>
      <c r="ABQ21" s="9"/>
      <c r="ABR21" s="9"/>
      <c r="ABS21" s="9"/>
      <c r="ABT21" s="9"/>
      <c r="ABU21" s="9"/>
      <c r="ABV21" s="9"/>
      <c r="ABW21" s="9"/>
      <c r="ABX21" s="9"/>
      <c r="ABY21" s="9" t="s">
        <v>912</v>
      </c>
      <c r="ABZ21" s="9" t="s">
        <v>1050</v>
      </c>
      <c r="ACA21" s="9" t="s">
        <v>957</v>
      </c>
      <c r="ACB21" s="9" t="s">
        <v>915</v>
      </c>
      <c r="ACC21" s="9" t="s">
        <v>916</v>
      </c>
      <c r="ACD21" s="9" t="s">
        <v>1017</v>
      </c>
      <c r="ACE21" s="8">
        <v>1.0</v>
      </c>
      <c r="ACF21" s="8">
        <v>1.0</v>
      </c>
      <c r="ACG21" s="8">
        <v>1.0</v>
      </c>
      <c r="ACH21" s="8">
        <v>0.0</v>
      </c>
      <c r="ACI21" s="9" t="s">
        <v>917</v>
      </c>
      <c r="ACJ21" s="9" t="s">
        <v>917</v>
      </c>
      <c r="ACK21" s="9" t="s">
        <v>917</v>
      </c>
      <c r="ACL21" s="9" t="s">
        <v>917</v>
      </c>
      <c r="ACM21" s="9" t="s">
        <v>881</v>
      </c>
      <c r="ACN21" s="9"/>
      <c r="ACO21" s="9" t="s">
        <v>917</v>
      </c>
      <c r="ACP21" s="9"/>
      <c r="ACQ21" s="9"/>
      <c r="ACR21" s="9"/>
      <c r="ACS21" s="9"/>
      <c r="ACT21" s="9"/>
      <c r="ACU21" s="9"/>
      <c r="ACV21" s="9"/>
      <c r="ACW21" s="9"/>
      <c r="ACX21" s="9"/>
      <c r="ACY21" s="9"/>
      <c r="ACZ21" s="9" t="s">
        <v>919</v>
      </c>
      <c r="ADA21" s="8">
        <v>0.0</v>
      </c>
      <c r="ADB21" s="8">
        <v>0.0</v>
      </c>
      <c r="ADC21" s="8">
        <v>0.0</v>
      </c>
      <c r="ADD21" s="8">
        <v>0.0</v>
      </c>
      <c r="ADE21" s="8">
        <v>1.0</v>
      </c>
      <c r="ADF21" s="8">
        <v>0.0</v>
      </c>
      <c r="ADG21" s="8">
        <v>0.0</v>
      </c>
      <c r="ADH21" s="8">
        <v>0.0</v>
      </c>
      <c r="ADI21" s="12"/>
      <c r="ADJ21" s="17" t="s">
        <v>872</v>
      </c>
      <c r="ADK21" s="9"/>
      <c r="ADL21" s="17" t="s">
        <v>920</v>
      </c>
      <c r="ADM21" s="9"/>
      <c r="ADN21" s="11" t="s">
        <v>999</v>
      </c>
      <c r="ADO21" s="9" t="s">
        <v>871</v>
      </c>
      <c r="ADP21" s="17" t="s">
        <v>1076</v>
      </c>
      <c r="ADQ21" s="18">
        <v>1.0</v>
      </c>
      <c r="ADR21" s="18">
        <v>1.0</v>
      </c>
      <c r="ADS21" s="18">
        <v>1.0</v>
      </c>
      <c r="ADT21" s="18">
        <v>1.0</v>
      </c>
      <c r="ADU21" s="18">
        <v>1.0</v>
      </c>
      <c r="ADV21" s="18">
        <v>1.0</v>
      </c>
      <c r="ADW21" s="18">
        <v>1.0</v>
      </c>
      <c r="ADX21" s="18">
        <v>1.0</v>
      </c>
      <c r="ADY21" s="18">
        <v>0.0</v>
      </c>
      <c r="ADZ21" s="18">
        <v>0.0</v>
      </c>
      <c r="AEA21" s="18">
        <v>0.0</v>
      </c>
      <c r="AEB21" s="18">
        <v>0.0</v>
      </c>
      <c r="AEC21" s="9"/>
      <c r="AED21" s="9" t="s">
        <v>923</v>
      </c>
      <c r="AEE21" s="9"/>
      <c r="AEF21" s="9" t="s">
        <v>1188</v>
      </c>
      <c r="AEG21" s="9"/>
      <c r="AEH21" s="9" t="s">
        <v>1208</v>
      </c>
      <c r="AEI21" s="16" t="s">
        <v>1209</v>
      </c>
      <c r="AEJ21" s="9" t="s">
        <v>1210</v>
      </c>
      <c r="AEK21" s="16" t="s">
        <v>1211</v>
      </c>
      <c r="AEL21" s="9" t="s">
        <v>1137</v>
      </c>
      <c r="AEM21" s="9"/>
      <c r="AEN21" s="9"/>
    </row>
    <row r="22">
      <c r="A22" s="6">
        <v>46059.0</v>
      </c>
      <c r="B22" s="6">
        <v>46059.0</v>
      </c>
      <c r="C22" s="7" t="s">
        <v>837</v>
      </c>
      <c r="D22" s="7" t="s">
        <v>1212</v>
      </c>
      <c r="E22" s="8">
        <f>+6283153516334</f>
        <v>6283153516334</v>
      </c>
      <c r="F22" s="9"/>
      <c r="G22" s="8">
        <v>-7.212259</v>
      </c>
      <c r="H22" s="8">
        <v>110.2652614</v>
      </c>
      <c r="I22" s="9"/>
      <c r="J22" s="8">
        <v>2.68</v>
      </c>
      <c r="K22" s="9"/>
      <c r="L22" s="9"/>
      <c r="M22" s="8">
        <v>-7.2122466</v>
      </c>
      <c r="N22" s="8">
        <v>110.2653124</v>
      </c>
      <c r="O22" s="9"/>
      <c r="P22" s="8">
        <v>3.48</v>
      </c>
      <c r="Q22" s="9"/>
      <c r="R22" s="9" t="s">
        <v>839</v>
      </c>
      <c r="S22" s="9"/>
      <c r="T22" s="9"/>
      <c r="U22" s="9"/>
      <c r="V22" s="9"/>
      <c r="W22" s="9"/>
      <c r="X22" s="9"/>
      <c r="Y22" s="9"/>
      <c r="Z22" s="9"/>
      <c r="AA22" s="9"/>
      <c r="AB22" s="9"/>
      <c r="AC22" s="7" t="s">
        <v>1175</v>
      </c>
      <c r="AD22" s="7" t="s">
        <v>1176</v>
      </c>
      <c r="AE22" s="7" t="s">
        <v>1195</v>
      </c>
      <c r="AF22" s="9" t="s">
        <v>1178</v>
      </c>
      <c r="AG22" s="9" t="s">
        <v>1213</v>
      </c>
      <c r="AH22" s="8">
        <v>3.0</v>
      </c>
      <c r="AI22" s="9" t="s">
        <v>845</v>
      </c>
      <c r="AJ22" s="9" t="s">
        <v>846</v>
      </c>
      <c r="AK22" s="8">
        <v>60.0</v>
      </c>
      <c r="AL22" s="9" t="s">
        <v>847</v>
      </c>
      <c r="AM22" s="9" t="s">
        <v>848</v>
      </c>
      <c r="AN22" s="9" t="s">
        <v>1009</v>
      </c>
      <c r="AO22" s="9" t="s">
        <v>850</v>
      </c>
      <c r="AP22" s="8">
        <v>1.0</v>
      </c>
      <c r="AQ22" s="8">
        <v>0.0</v>
      </c>
      <c r="AR22" s="8">
        <v>0.0</v>
      </c>
      <c r="AS22" s="8">
        <v>0.0</v>
      </c>
      <c r="AT22" s="8">
        <v>0.0</v>
      </c>
      <c r="AU22" s="8">
        <v>0.0</v>
      </c>
      <c r="AV22" s="8">
        <v>0.0</v>
      </c>
      <c r="AW22" s="8">
        <v>0.0</v>
      </c>
      <c r="AX22" s="9"/>
      <c r="AY22" s="9" t="s">
        <v>935</v>
      </c>
      <c r="AZ22" s="8">
        <v>0.0</v>
      </c>
      <c r="BA22" s="8">
        <v>1.0</v>
      </c>
      <c r="BB22" s="8">
        <v>0.0</v>
      </c>
      <c r="BC22" s="8">
        <v>0.0</v>
      </c>
      <c r="BD22" s="8">
        <v>0.0</v>
      </c>
      <c r="BE22" s="8">
        <v>0.0</v>
      </c>
      <c r="BF22" s="8">
        <v>0.0</v>
      </c>
      <c r="BG22" s="8">
        <v>0.0</v>
      </c>
      <c r="BH22" s="9"/>
      <c r="BI22" s="9" t="s">
        <v>852</v>
      </c>
      <c r="BJ22" s="8">
        <v>2.0</v>
      </c>
      <c r="BK22" s="8">
        <v>2.0</v>
      </c>
      <c r="BL22" s="8">
        <v>0.0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859</v>
      </c>
      <c r="CP22" s="9" t="s">
        <v>860</v>
      </c>
      <c r="CQ22" s="8">
        <v>0.0</v>
      </c>
      <c r="CR22" s="8">
        <v>0.0</v>
      </c>
      <c r="CS22" s="8">
        <v>0.0</v>
      </c>
      <c r="CT22" s="8">
        <v>0.0</v>
      </c>
      <c r="CU22" s="10">
        <v>1.0</v>
      </c>
      <c r="CV22" s="10">
        <v>0.0</v>
      </c>
      <c r="CW22" s="10">
        <v>0.0</v>
      </c>
      <c r="CX22" s="8">
        <v>0.0</v>
      </c>
      <c r="CY22" s="9" t="s">
        <v>860</v>
      </c>
      <c r="CZ22" s="8">
        <v>1.0</v>
      </c>
      <c r="DA22" s="8">
        <v>0.0</v>
      </c>
      <c r="DB22" s="8">
        <v>0.0</v>
      </c>
      <c r="DC22" s="9"/>
      <c r="DD22" s="9" t="s">
        <v>937</v>
      </c>
      <c r="DE22" s="8">
        <v>1.0</v>
      </c>
      <c r="DF22" s="8">
        <v>0.0</v>
      </c>
      <c r="DG22" s="8">
        <v>1.0</v>
      </c>
      <c r="DH22" s="8">
        <v>0.0</v>
      </c>
      <c r="DI22" s="9"/>
      <c r="DJ22" s="9" t="s">
        <v>937</v>
      </c>
      <c r="DK22" s="8">
        <v>1.0</v>
      </c>
      <c r="DL22" s="8">
        <v>0.0</v>
      </c>
      <c r="DM22" s="8">
        <v>1.0</v>
      </c>
      <c r="DN22" s="8">
        <v>0.0</v>
      </c>
      <c r="DO22" s="9"/>
      <c r="DP22" s="8">
        <v>1.0</v>
      </c>
      <c r="DQ22" s="8">
        <v>0.0</v>
      </c>
      <c r="DR22" s="8">
        <v>0.0</v>
      </c>
      <c r="DS22" s="9"/>
      <c r="DT22" s="9"/>
      <c r="DU22" s="9"/>
      <c r="DV22" s="9" t="s">
        <v>857</v>
      </c>
      <c r="DW22" s="9"/>
      <c r="DX22" s="9"/>
      <c r="DY22" s="9"/>
      <c r="DZ22" s="9"/>
      <c r="EA22" s="9"/>
      <c r="EB22" s="9"/>
      <c r="EC22" s="9"/>
      <c r="ED22" s="9"/>
      <c r="EE22" s="9"/>
      <c r="EF22" s="9"/>
      <c r="EG22" s="9"/>
      <c r="EH22" s="9"/>
      <c r="EI22" s="9" t="s">
        <v>862</v>
      </c>
      <c r="EJ22" s="8">
        <v>0.0</v>
      </c>
      <c r="EK22" s="8">
        <v>0.0</v>
      </c>
      <c r="EL22" s="8">
        <v>0.0</v>
      </c>
      <c r="EM22" s="8">
        <v>1.0</v>
      </c>
      <c r="EN22" s="8">
        <v>0.0</v>
      </c>
      <c r="EO22" s="11"/>
      <c r="EP22" s="9" t="s">
        <v>863</v>
      </c>
      <c r="EQ22" s="9" t="s">
        <v>864</v>
      </c>
      <c r="ER22" s="9" t="s">
        <v>861</v>
      </c>
      <c r="ES22" s="8">
        <v>1.0</v>
      </c>
      <c r="ET22" s="8">
        <v>0.0</v>
      </c>
      <c r="EU22" s="8">
        <v>0.0</v>
      </c>
      <c r="EV22" s="8">
        <v>0.0</v>
      </c>
      <c r="EW22" s="9"/>
      <c r="EX22" s="9" t="s">
        <v>865</v>
      </c>
      <c r="EY22" s="8">
        <v>1.0</v>
      </c>
      <c r="EZ22" s="8">
        <v>0.0</v>
      </c>
      <c r="FA22" s="8">
        <v>0.0</v>
      </c>
      <c r="FB22" s="9"/>
      <c r="FC22" s="9" t="s">
        <v>1072</v>
      </c>
      <c r="FD22" s="9"/>
      <c r="FE22" s="9" t="s">
        <v>867</v>
      </c>
      <c r="FF22" s="9" t="s">
        <v>868</v>
      </c>
      <c r="FG22" s="9" t="s">
        <v>867</v>
      </c>
      <c r="FH22" s="9" t="s">
        <v>868</v>
      </c>
      <c r="FI22" s="9" t="s">
        <v>867</v>
      </c>
      <c r="FJ22" s="9" t="s">
        <v>868</v>
      </c>
      <c r="FK22" s="9" t="s">
        <v>867</v>
      </c>
      <c r="FL22" s="9" t="s">
        <v>943</v>
      </c>
      <c r="FM22" s="9" t="s">
        <v>867</v>
      </c>
      <c r="FN22" s="9" t="s">
        <v>869</v>
      </c>
      <c r="FO22" s="9" t="s">
        <v>867</v>
      </c>
      <c r="FP22" s="9" t="s">
        <v>869</v>
      </c>
      <c r="FQ22" s="9" t="s">
        <v>867</v>
      </c>
      <c r="FR22" s="9" t="s">
        <v>857</v>
      </c>
      <c r="FS22" s="9" t="s">
        <v>867</v>
      </c>
      <c r="FT22" s="9" t="s">
        <v>871</v>
      </c>
      <c r="FU22" s="9" t="s">
        <v>989</v>
      </c>
      <c r="FV22" s="8">
        <v>1.0</v>
      </c>
      <c r="FW22" s="8">
        <v>1.0</v>
      </c>
      <c r="FX22" s="8">
        <v>0.0</v>
      </c>
      <c r="FY22" s="8">
        <v>0.0</v>
      </c>
      <c r="FZ22" s="9" t="s">
        <v>873</v>
      </c>
      <c r="GA22" s="9" t="s">
        <v>874</v>
      </c>
      <c r="GB22" s="8">
        <v>1.0</v>
      </c>
      <c r="GC22" s="8">
        <v>0.0</v>
      </c>
      <c r="GD22" s="8">
        <v>0.0</v>
      </c>
      <c r="GE22" s="8">
        <v>0.0</v>
      </c>
      <c r="GF22" s="9"/>
      <c r="GG22" s="9" t="s">
        <v>875</v>
      </c>
      <c r="GH22" s="9" t="s">
        <v>857</v>
      </c>
      <c r="GI22" s="9" t="s">
        <v>876</v>
      </c>
      <c r="GJ22" s="8">
        <v>1.0</v>
      </c>
      <c r="GK22" s="8">
        <v>0.0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20.0</v>
      </c>
      <c r="HB22" s="8">
        <v>200000.0</v>
      </c>
      <c r="HC22" s="8">
        <v>12.0</v>
      </c>
      <c r="HD22" s="8">
        <v>100000.0</v>
      </c>
      <c r="HE22" s="8">
        <v>12.0</v>
      </c>
      <c r="HF22" s="8">
        <v>100000.0</v>
      </c>
      <c r="HG22" s="8">
        <v>3.0</v>
      </c>
      <c r="HH22" s="8">
        <v>25000.0</v>
      </c>
      <c r="HI22" s="9"/>
      <c r="HJ22" s="9"/>
      <c r="HK22" s="9"/>
      <c r="HL22" s="9"/>
      <c r="HM22" s="9"/>
      <c r="HN22" s="9"/>
      <c r="HO22" s="9"/>
      <c r="HP22" s="9"/>
      <c r="HQ22" s="9"/>
      <c r="HR22" s="9"/>
      <c r="HS22" s="9"/>
      <c r="HT22" s="9"/>
      <c r="HU22" s="9"/>
      <c r="HV22" s="9"/>
      <c r="HW22" s="9"/>
      <c r="HX22" s="9"/>
      <c r="HY22" s="8">
        <v>15.0</v>
      </c>
      <c r="HZ22" s="8">
        <v>150000.0</v>
      </c>
      <c r="IA22" s="8">
        <v>9.0</v>
      </c>
      <c r="IB22" s="8">
        <v>75000.0</v>
      </c>
      <c r="IC22" s="9"/>
      <c r="ID22" s="9"/>
      <c r="IE22" s="9"/>
      <c r="IF22" s="9"/>
      <c r="IG22" s="9"/>
      <c r="IH22" s="9"/>
      <c r="II22" s="9"/>
      <c r="IJ22" s="9"/>
      <c r="IK22" s="9" t="s">
        <v>879</v>
      </c>
      <c r="IL22" s="9" t="s">
        <v>880</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1180</v>
      </c>
      <c r="KT22" s="9" t="s">
        <v>886</v>
      </c>
      <c r="KU22" s="9" t="s">
        <v>886</v>
      </c>
      <c r="KV22" s="9" t="s">
        <v>999</v>
      </c>
      <c r="KW22" s="8">
        <v>0.0</v>
      </c>
      <c r="KX22" s="8">
        <v>0.0</v>
      </c>
      <c r="KY22" s="8">
        <v>0.0</v>
      </c>
      <c r="KZ22" s="8">
        <v>1.0</v>
      </c>
      <c r="LA22" s="9" t="s">
        <v>884</v>
      </c>
      <c r="LB22" s="9" t="s">
        <v>884</v>
      </c>
      <c r="LC22" s="8">
        <v>0.0</v>
      </c>
      <c r="LD22" s="8">
        <v>3.0</v>
      </c>
      <c r="LE22" s="8">
        <v>0.0</v>
      </c>
      <c r="LF22" s="8">
        <v>3.0</v>
      </c>
      <c r="LG22" s="9" t="s">
        <v>857</v>
      </c>
      <c r="LH22" s="8">
        <v>100000.0</v>
      </c>
      <c r="LI22" s="9"/>
      <c r="LJ22" s="9" t="s">
        <v>887</v>
      </c>
      <c r="LK22" s="8">
        <v>0.0</v>
      </c>
      <c r="LL22" s="8">
        <v>0.0</v>
      </c>
      <c r="LM22" s="8">
        <v>0.0</v>
      </c>
      <c r="LN22" s="8">
        <v>0.0</v>
      </c>
      <c r="LO22" s="8">
        <v>1.0</v>
      </c>
      <c r="LP22" s="8">
        <v>0.0</v>
      </c>
      <c r="LQ22" s="8">
        <v>0.0</v>
      </c>
      <c r="LR22" s="9"/>
      <c r="LS22" s="8">
        <v>15.0</v>
      </c>
      <c r="LT22" s="8">
        <v>15.0</v>
      </c>
      <c r="LU22" s="8">
        <v>0.0</v>
      </c>
      <c r="LV22" s="8">
        <v>5.0</v>
      </c>
      <c r="LW22" s="8">
        <v>5.0</v>
      </c>
      <c r="LX22" s="8">
        <v>0.0</v>
      </c>
      <c r="LY22" s="8">
        <v>5.0</v>
      </c>
      <c r="LZ22" s="8">
        <v>5.0</v>
      </c>
      <c r="MA22" s="8">
        <v>0.0</v>
      </c>
      <c r="MB22" s="9" t="s">
        <v>857</v>
      </c>
      <c r="MC22" s="8">
        <v>30.0</v>
      </c>
      <c r="MD22" s="8">
        <v>15.0</v>
      </c>
      <c r="ME22" s="8">
        <v>30.0</v>
      </c>
      <c r="MF22" s="8">
        <v>15.0</v>
      </c>
      <c r="MG22" s="8">
        <v>0.0</v>
      </c>
      <c r="MH22" s="8">
        <v>0.0</v>
      </c>
      <c r="MI22" s="9" t="s">
        <v>946</v>
      </c>
      <c r="MJ22" s="8">
        <v>0.0</v>
      </c>
      <c r="MK22" s="8">
        <v>0.0</v>
      </c>
      <c r="ML22" s="8">
        <v>1.0</v>
      </c>
      <c r="MM22" s="8">
        <v>0.0</v>
      </c>
      <c r="MN22" s="8">
        <v>0.0</v>
      </c>
      <c r="MO22" s="8">
        <v>0.0</v>
      </c>
      <c r="MP22" s="9"/>
      <c r="MQ22" s="9"/>
      <c r="MR22" s="9" t="s">
        <v>1181</v>
      </c>
      <c r="MS22" s="9"/>
      <c r="MT22" s="9" t="s">
        <v>888</v>
      </c>
      <c r="MU22" s="9" t="s">
        <v>881</v>
      </c>
      <c r="MV22" s="9"/>
      <c r="MW22" s="9"/>
      <c r="MX22" s="9"/>
      <c r="MY22" s="9"/>
      <c r="MZ22" s="9"/>
      <c r="NA22" s="9"/>
      <c r="NB22" s="9"/>
      <c r="NC22" s="9"/>
      <c r="ND22" s="9"/>
      <c r="NE22" s="9"/>
      <c r="NF22" s="9"/>
      <c r="NG22" s="9"/>
      <c r="NH22" s="9"/>
      <c r="NI22" s="9"/>
      <c r="NJ22" s="9"/>
      <c r="NK22" s="9"/>
      <c r="NL22" s="9" t="s">
        <v>857</v>
      </c>
      <c r="NM22" s="9" t="s">
        <v>893</v>
      </c>
      <c r="NN22" s="9" t="s">
        <v>993</v>
      </c>
      <c r="NO22" s="9" t="s">
        <v>994</v>
      </c>
      <c r="NP22" s="9"/>
      <c r="NQ22" s="9"/>
      <c r="NR22" s="9"/>
      <c r="NS22" s="9"/>
      <c r="NT22" s="9"/>
      <c r="NU22" s="9"/>
      <c r="NV22" s="9" t="s">
        <v>896</v>
      </c>
      <c r="NW22" s="9"/>
      <c r="NX22" s="9" t="s">
        <v>1183</v>
      </c>
      <c r="NY22" s="8">
        <v>40.0</v>
      </c>
      <c r="NZ22" s="8">
        <v>20.0</v>
      </c>
      <c r="OA22" s="8">
        <v>0.0</v>
      </c>
      <c r="OB22" s="8">
        <v>5.0</v>
      </c>
      <c r="OC22" s="8">
        <v>5.0</v>
      </c>
      <c r="OD22" s="8">
        <v>0.0</v>
      </c>
      <c r="OE22" s="9" t="s">
        <v>898</v>
      </c>
      <c r="OF22" s="9" t="s">
        <v>1184</v>
      </c>
      <c r="OG22" s="9" t="s">
        <v>857</v>
      </c>
      <c r="OH22" s="8">
        <v>0.0</v>
      </c>
      <c r="OI22" s="8">
        <v>5.0</v>
      </c>
      <c r="OJ22" s="8">
        <v>0.0</v>
      </c>
      <c r="OK22" s="8">
        <v>0.0</v>
      </c>
      <c r="OL22" s="8">
        <v>0.0</v>
      </c>
      <c r="OM22" s="8">
        <v>0.0</v>
      </c>
      <c r="ON22" s="8">
        <v>0.0</v>
      </c>
      <c r="OO22" s="8">
        <v>0.0</v>
      </c>
      <c r="OP22" s="9" t="s">
        <v>2948</v>
      </c>
      <c r="OQ22" s="8">
        <v>0.0</v>
      </c>
      <c r="OR22" s="8">
        <v>1.0</v>
      </c>
      <c r="OS22" s="8">
        <v>0.0</v>
      </c>
      <c r="OT22" s="8">
        <v>0.0</v>
      </c>
      <c r="OU22" s="8">
        <v>0.0</v>
      </c>
      <c r="OV22" s="8">
        <v>0.0</v>
      </c>
      <c r="OW22" s="8">
        <v>0.0</v>
      </c>
      <c r="OX22" s="8">
        <v>0.0</v>
      </c>
      <c r="OY22" s="9"/>
      <c r="OZ22" s="9"/>
      <c r="PA22" s="9"/>
      <c r="PB22" s="9"/>
      <c r="PC22" s="9"/>
      <c r="PD22" s="9"/>
      <c r="PE22" s="9"/>
      <c r="PF22" s="9"/>
      <c r="PG22" s="9"/>
      <c r="PH22" s="9"/>
      <c r="PI22" s="9"/>
      <c r="PJ22" s="9" t="s">
        <v>900</v>
      </c>
      <c r="PK22" s="8">
        <v>0.0</v>
      </c>
      <c r="PL22" s="8">
        <v>0.0</v>
      </c>
      <c r="PM22" s="8">
        <v>0.0</v>
      </c>
      <c r="PN22" s="8">
        <v>0.0</v>
      </c>
      <c r="PO22" s="8">
        <v>0.0</v>
      </c>
      <c r="PP22" s="8">
        <v>1.0</v>
      </c>
      <c r="PQ22" s="8">
        <v>0.0</v>
      </c>
      <c r="PR22" s="8">
        <v>0.0</v>
      </c>
      <c r="PS22" s="8">
        <v>0.0</v>
      </c>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8">
        <v>5.0</v>
      </c>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t="s">
        <v>901</v>
      </c>
      <c r="UB22" s="9"/>
      <c r="UC22" s="9"/>
      <c r="UD22" s="9"/>
      <c r="UE22" s="9"/>
      <c r="UF22" s="9"/>
      <c r="UG22" s="9"/>
      <c r="UH22" s="9"/>
      <c r="UI22" s="9" t="s">
        <v>950</v>
      </c>
      <c r="UJ22" s="9"/>
      <c r="UK22" s="9"/>
      <c r="UL22" s="9"/>
      <c r="UM22" s="9"/>
      <c r="UN22" s="9"/>
      <c r="UO22" s="9"/>
      <c r="UP22" s="9"/>
      <c r="UQ22" s="9" t="s">
        <v>903</v>
      </c>
      <c r="UR22" s="9"/>
      <c r="US22" s="9"/>
      <c r="UT22" s="9"/>
      <c r="UU22" s="9"/>
      <c r="UV22" s="9"/>
      <c r="UW22" s="9"/>
      <c r="UX22" s="9"/>
      <c r="UY22" s="9"/>
      <c r="UZ22" s="9"/>
      <c r="VA22" s="9"/>
      <c r="VB22" s="9"/>
      <c r="VC22" s="9"/>
      <c r="VD22" s="9"/>
      <c r="VE22" s="9"/>
      <c r="VF22" s="9"/>
      <c r="VG22" s="9"/>
      <c r="VH22" s="9"/>
      <c r="VI22" s="9"/>
      <c r="VJ22" s="9"/>
      <c r="VK22" s="9" t="s">
        <v>1214</v>
      </c>
      <c r="VL22" s="8">
        <v>0.0</v>
      </c>
      <c r="VM22" s="8">
        <v>0.0</v>
      </c>
      <c r="VN22" s="8">
        <v>1.0</v>
      </c>
      <c r="VO22" s="8">
        <v>1.0</v>
      </c>
      <c r="VP22" s="8">
        <v>0.0</v>
      </c>
      <c r="VQ22" s="8">
        <v>1.0</v>
      </c>
      <c r="VR22" s="8">
        <v>0.0</v>
      </c>
      <c r="VS22" s="8">
        <v>0.0</v>
      </c>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8">
        <v>60.0</v>
      </c>
      <c r="YU22" s="9"/>
      <c r="YV22" s="9"/>
      <c r="YW22" s="9"/>
      <c r="YX22" s="9"/>
      <c r="YY22" s="9"/>
      <c r="YZ22" s="9"/>
      <c r="ZA22" s="9"/>
      <c r="ZB22" s="8">
        <v>2.0</v>
      </c>
      <c r="ZC22" s="9"/>
      <c r="ZD22" s="9"/>
      <c r="ZE22" s="9"/>
      <c r="ZF22" s="9"/>
      <c r="ZG22" s="9"/>
      <c r="ZH22" s="9"/>
      <c r="ZI22" s="9"/>
      <c r="ZJ22" s="9" t="s">
        <v>905</v>
      </c>
      <c r="ZK22" s="9"/>
      <c r="ZL22" s="9"/>
      <c r="ZM22" s="9"/>
      <c r="ZN22" s="9"/>
      <c r="ZO22" s="9"/>
      <c r="ZP22" s="9"/>
      <c r="ZQ22" s="9" t="s">
        <v>857</v>
      </c>
      <c r="ZR22" s="9" t="s">
        <v>1033</v>
      </c>
      <c r="ZS22" s="8">
        <v>1.0</v>
      </c>
      <c r="ZT22" s="8">
        <v>1.0</v>
      </c>
      <c r="ZU22" s="8">
        <v>60.0</v>
      </c>
      <c r="ZV22" s="8">
        <v>60.0</v>
      </c>
      <c r="ZW22" s="9" t="s">
        <v>857</v>
      </c>
      <c r="ZX22" s="9" t="s">
        <v>867</v>
      </c>
      <c r="ZY22" s="9" t="s">
        <v>1074</v>
      </c>
      <c r="ZZ22" s="8">
        <v>1.0</v>
      </c>
      <c r="AAA22" s="8">
        <v>0.0</v>
      </c>
      <c r="AAB22" s="8">
        <v>0.0</v>
      </c>
      <c r="AAC22" s="8">
        <v>1.0</v>
      </c>
      <c r="AAD22" s="8">
        <v>1.0</v>
      </c>
      <c r="AAE22" s="8">
        <v>0.0</v>
      </c>
      <c r="AAF22" s="8">
        <v>0.0</v>
      </c>
      <c r="AAG22" s="9" t="s">
        <v>907</v>
      </c>
      <c r="AAH22" s="8">
        <v>1.0</v>
      </c>
      <c r="AAI22" s="8">
        <v>0.0</v>
      </c>
      <c r="AAJ22" s="8">
        <v>0.0</v>
      </c>
      <c r="AAK22" s="8">
        <v>0.0</v>
      </c>
      <c r="AAL22" s="8">
        <v>0.0</v>
      </c>
      <c r="AAM22" s="9"/>
      <c r="AAN22" s="9"/>
      <c r="AAO22" s="9"/>
      <c r="AAP22" s="9"/>
      <c r="AAQ22" s="9"/>
      <c r="AAR22" s="9"/>
      <c r="AAS22" s="9"/>
      <c r="AAT22" s="9"/>
      <c r="AAU22" s="9"/>
      <c r="AAV22" s="11" t="s">
        <v>953</v>
      </c>
      <c r="AAW22" s="9" t="s">
        <v>1075</v>
      </c>
      <c r="AAX22" s="8">
        <v>2500.0</v>
      </c>
      <c r="AAY22" s="8">
        <v>1000.0</v>
      </c>
      <c r="AAZ22" s="8">
        <v>60.0</v>
      </c>
      <c r="ABA22" s="8">
        <v>60.0</v>
      </c>
      <c r="ABB22" s="9" t="s">
        <v>1199</v>
      </c>
      <c r="ABC22" s="9"/>
      <c r="ABD22" s="8">
        <v>40.0</v>
      </c>
      <c r="ABE22" s="8">
        <v>4000.0</v>
      </c>
      <c r="ABF22" s="8">
        <v>0.0</v>
      </c>
      <c r="ABG22" s="8">
        <v>4000.0</v>
      </c>
      <c r="ABH22" s="8">
        <v>500.0</v>
      </c>
      <c r="ABI22" s="8">
        <v>600.0</v>
      </c>
      <c r="ABJ22" s="9" t="s">
        <v>857</v>
      </c>
      <c r="ABK22" s="9" t="s">
        <v>1183</v>
      </c>
      <c r="ABL22" s="9" t="s">
        <v>1034</v>
      </c>
      <c r="ABM22" s="9" t="s">
        <v>911</v>
      </c>
      <c r="ABN22" s="9"/>
      <c r="ABO22" s="9"/>
      <c r="ABP22" s="9" t="s">
        <v>1215</v>
      </c>
      <c r="ABQ22" s="8">
        <v>0.0</v>
      </c>
      <c r="ABR22" s="8">
        <v>1.0</v>
      </c>
      <c r="ABS22" s="8">
        <v>0.0</v>
      </c>
      <c r="ABT22" s="8">
        <v>1.0</v>
      </c>
      <c r="ABU22" s="8">
        <v>0.0</v>
      </c>
      <c r="ABV22" s="8">
        <v>0.0</v>
      </c>
      <c r="ABW22" s="8">
        <v>0.0</v>
      </c>
      <c r="ABX22" s="9"/>
      <c r="ABY22" s="9" t="s">
        <v>912</v>
      </c>
      <c r="ABZ22" s="9" t="s">
        <v>1216</v>
      </c>
      <c r="ACA22" s="9" t="s">
        <v>957</v>
      </c>
      <c r="ACB22" s="9" t="s">
        <v>915</v>
      </c>
      <c r="ACC22" s="9" t="s">
        <v>916</v>
      </c>
      <c r="ACD22" s="9" t="s">
        <v>1017</v>
      </c>
      <c r="ACE22" s="8">
        <v>1.0</v>
      </c>
      <c r="ACF22" s="8">
        <v>1.0</v>
      </c>
      <c r="ACG22" s="8">
        <v>1.0</v>
      </c>
      <c r="ACH22" s="8">
        <v>0.0</v>
      </c>
      <c r="ACI22" s="9" t="s">
        <v>917</v>
      </c>
      <c r="ACJ22" s="9" t="s">
        <v>917</v>
      </c>
      <c r="ACK22" s="9" t="s">
        <v>917</v>
      </c>
      <c r="ACL22" s="9" t="s">
        <v>917</v>
      </c>
      <c r="ACM22" s="9" t="s">
        <v>881</v>
      </c>
      <c r="ACN22" s="9"/>
      <c r="ACO22" s="9" t="s">
        <v>917</v>
      </c>
      <c r="ACP22" s="9"/>
      <c r="ACQ22" s="9"/>
      <c r="ACR22" s="9"/>
      <c r="ACS22" s="9"/>
      <c r="ACT22" s="9"/>
      <c r="ACU22" s="9"/>
      <c r="ACV22" s="9"/>
      <c r="ACW22" s="9"/>
      <c r="ACX22" s="9"/>
      <c r="ACY22" s="9"/>
      <c r="ACZ22" s="9" t="s">
        <v>919</v>
      </c>
      <c r="ADA22" s="8">
        <v>0.0</v>
      </c>
      <c r="ADB22" s="8">
        <v>0.0</v>
      </c>
      <c r="ADC22" s="8">
        <v>0.0</v>
      </c>
      <c r="ADD22" s="8">
        <v>0.0</v>
      </c>
      <c r="ADE22" s="8">
        <v>1.0</v>
      </c>
      <c r="ADF22" s="8">
        <v>0.0</v>
      </c>
      <c r="ADG22" s="8">
        <v>0.0</v>
      </c>
      <c r="ADH22" s="8">
        <v>0.0</v>
      </c>
      <c r="ADI22" s="12"/>
      <c r="ADJ22" s="17" t="s">
        <v>872</v>
      </c>
      <c r="ADK22" s="9"/>
      <c r="ADL22" s="17" t="s">
        <v>920</v>
      </c>
      <c r="ADM22" s="9"/>
      <c r="ADN22" s="11" t="s">
        <v>999</v>
      </c>
      <c r="ADO22" s="9" t="s">
        <v>871</v>
      </c>
      <c r="ADP22" s="17" t="s">
        <v>1076</v>
      </c>
      <c r="ADQ22" s="18">
        <v>1.0</v>
      </c>
      <c r="ADR22" s="18">
        <v>1.0</v>
      </c>
      <c r="ADS22" s="18">
        <v>1.0</v>
      </c>
      <c r="ADT22" s="18">
        <v>1.0</v>
      </c>
      <c r="ADU22" s="18">
        <v>1.0</v>
      </c>
      <c r="ADV22" s="18">
        <v>1.0</v>
      </c>
      <c r="ADW22" s="18">
        <v>1.0</v>
      </c>
      <c r="ADX22" s="18">
        <v>1.0</v>
      </c>
      <c r="ADY22" s="18">
        <v>0.0</v>
      </c>
      <c r="ADZ22" s="18">
        <v>0.0</v>
      </c>
      <c r="AEA22" s="18">
        <v>0.0</v>
      </c>
      <c r="AEB22" s="18">
        <v>0.0</v>
      </c>
      <c r="AEC22" s="9"/>
      <c r="AED22" s="9" t="s">
        <v>923</v>
      </c>
      <c r="AEE22" s="9"/>
      <c r="AEF22" s="9" t="s">
        <v>1188</v>
      </c>
      <c r="AEG22" s="9"/>
      <c r="AEH22" s="9" t="s">
        <v>1217</v>
      </c>
      <c r="AEI22" s="16" t="s">
        <v>1218</v>
      </c>
      <c r="AEJ22" s="9" t="s">
        <v>1219</v>
      </c>
      <c r="AEK22" s="16" t="s">
        <v>1220</v>
      </c>
      <c r="AEL22" s="9" t="s">
        <v>1137</v>
      </c>
      <c r="AEM22" s="9"/>
      <c r="AEN22" s="9"/>
    </row>
    <row r="23">
      <c r="A23" s="6">
        <v>46059.0</v>
      </c>
      <c r="B23" s="6">
        <v>46059.0</v>
      </c>
      <c r="C23" s="7" t="s">
        <v>837</v>
      </c>
      <c r="D23" s="7" t="s">
        <v>1221</v>
      </c>
      <c r="E23" s="8">
        <f>+6285172380065</f>
        <v>6285172380065</v>
      </c>
      <c r="F23" s="9"/>
      <c r="G23" s="8">
        <v>-7.21185821</v>
      </c>
      <c r="H23" s="8">
        <v>110.2633904</v>
      </c>
      <c r="I23" s="9"/>
      <c r="J23" s="8">
        <v>4.93</v>
      </c>
      <c r="K23" s="9"/>
      <c r="L23" s="9"/>
      <c r="M23" s="8">
        <v>-7.21182221</v>
      </c>
      <c r="N23" s="8">
        <v>110.2653</v>
      </c>
      <c r="O23" s="9"/>
      <c r="P23" s="8">
        <v>4.69</v>
      </c>
      <c r="Q23" s="9"/>
      <c r="R23" s="9" t="s">
        <v>839</v>
      </c>
      <c r="S23" s="9"/>
      <c r="T23" s="9"/>
      <c r="U23" s="9"/>
      <c r="V23" s="9"/>
      <c r="W23" s="9"/>
      <c r="X23" s="9"/>
      <c r="Y23" s="9"/>
      <c r="Z23" s="9"/>
      <c r="AA23" s="9"/>
      <c r="AB23" s="9"/>
      <c r="AC23" s="7" t="s">
        <v>1175</v>
      </c>
      <c r="AD23" s="7" t="s">
        <v>1176</v>
      </c>
      <c r="AE23" s="7" t="s">
        <v>1195</v>
      </c>
      <c r="AF23" s="9" t="s">
        <v>1178</v>
      </c>
      <c r="AG23" s="9" t="s">
        <v>1222</v>
      </c>
      <c r="AH23" s="8">
        <v>3.0</v>
      </c>
      <c r="AI23" s="9" t="s">
        <v>845</v>
      </c>
      <c r="AJ23" s="9" t="s">
        <v>846</v>
      </c>
      <c r="AK23" s="8">
        <v>59.0</v>
      </c>
      <c r="AL23" s="9" t="s">
        <v>847</v>
      </c>
      <c r="AM23" s="9" t="s">
        <v>848</v>
      </c>
      <c r="AN23" s="9" t="s">
        <v>849</v>
      </c>
      <c r="AO23" s="9" t="s">
        <v>850</v>
      </c>
      <c r="AP23" s="8">
        <v>1.0</v>
      </c>
      <c r="AQ23" s="8">
        <v>0.0</v>
      </c>
      <c r="AR23" s="8">
        <v>0.0</v>
      </c>
      <c r="AS23" s="8">
        <v>0.0</v>
      </c>
      <c r="AT23" s="8">
        <v>0.0</v>
      </c>
      <c r="AU23" s="8">
        <v>0.0</v>
      </c>
      <c r="AV23" s="8">
        <v>0.0</v>
      </c>
      <c r="AW23" s="8">
        <v>0.0</v>
      </c>
      <c r="AX23" s="9"/>
      <c r="AY23" s="9" t="s">
        <v>935</v>
      </c>
      <c r="AZ23" s="8">
        <v>0.0</v>
      </c>
      <c r="BA23" s="8">
        <v>1.0</v>
      </c>
      <c r="BB23" s="8">
        <v>0.0</v>
      </c>
      <c r="BC23" s="8">
        <v>0.0</v>
      </c>
      <c r="BD23" s="8">
        <v>0.0</v>
      </c>
      <c r="BE23" s="8">
        <v>0.0</v>
      </c>
      <c r="BF23" s="8">
        <v>0.0</v>
      </c>
      <c r="BG23" s="8">
        <v>0.0</v>
      </c>
      <c r="BH23" s="9"/>
      <c r="BI23" s="9" t="s">
        <v>852</v>
      </c>
      <c r="BJ23" s="8">
        <v>1.0</v>
      </c>
      <c r="BK23" s="8">
        <v>2.0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2023.0</v>
      </c>
      <c r="CN23" s="9" t="s">
        <v>858</v>
      </c>
      <c r="CO23" s="9" t="s">
        <v>859</v>
      </c>
      <c r="CP23" s="9" t="s">
        <v>860</v>
      </c>
      <c r="CQ23" s="8">
        <v>0.0</v>
      </c>
      <c r="CR23" s="8">
        <v>0.0</v>
      </c>
      <c r="CS23" s="8">
        <v>0.0</v>
      </c>
      <c r="CT23" s="8">
        <v>0.0</v>
      </c>
      <c r="CU23" s="10">
        <v>1.0</v>
      </c>
      <c r="CV23" s="10">
        <v>0.0</v>
      </c>
      <c r="CW23" s="10">
        <v>0.0</v>
      </c>
      <c r="CX23" s="8">
        <v>0.0</v>
      </c>
      <c r="CY23" s="9" t="s">
        <v>860</v>
      </c>
      <c r="CZ23" s="8">
        <v>1.0</v>
      </c>
      <c r="DA23" s="8">
        <v>0.0</v>
      </c>
      <c r="DB23" s="8">
        <v>0.0</v>
      </c>
      <c r="DC23" s="9"/>
      <c r="DD23" s="9" t="s">
        <v>937</v>
      </c>
      <c r="DE23" s="8">
        <v>1.0</v>
      </c>
      <c r="DF23" s="8">
        <v>0.0</v>
      </c>
      <c r="DG23" s="8">
        <v>1.0</v>
      </c>
      <c r="DH23" s="8">
        <v>0.0</v>
      </c>
      <c r="DI23" s="9"/>
      <c r="DJ23" s="9" t="s">
        <v>937</v>
      </c>
      <c r="DK23" s="8">
        <v>1.0</v>
      </c>
      <c r="DL23" s="8">
        <v>0.0</v>
      </c>
      <c r="DM23" s="8">
        <v>1.0</v>
      </c>
      <c r="DN23" s="8">
        <v>0.0</v>
      </c>
      <c r="DO23" s="9"/>
      <c r="DP23" s="8">
        <v>1.0</v>
      </c>
      <c r="DQ23" s="8">
        <v>0.0</v>
      </c>
      <c r="DR23" s="8">
        <v>0.0</v>
      </c>
      <c r="DS23" s="9"/>
      <c r="DT23" s="9"/>
      <c r="DU23" s="9"/>
      <c r="DV23" s="9" t="s">
        <v>857</v>
      </c>
      <c r="DW23" s="9"/>
      <c r="DX23" s="9"/>
      <c r="DY23" s="9"/>
      <c r="DZ23" s="9"/>
      <c r="EA23" s="9"/>
      <c r="EB23" s="9"/>
      <c r="EC23" s="9"/>
      <c r="ED23" s="9"/>
      <c r="EE23" s="9"/>
      <c r="EF23" s="9"/>
      <c r="EG23" s="9"/>
      <c r="EH23" s="9"/>
      <c r="EI23" s="9" t="s">
        <v>862</v>
      </c>
      <c r="EJ23" s="8">
        <v>0.0</v>
      </c>
      <c r="EK23" s="8">
        <v>0.0</v>
      </c>
      <c r="EL23" s="8">
        <v>0.0</v>
      </c>
      <c r="EM23" s="8">
        <v>1.0</v>
      </c>
      <c r="EN23" s="8">
        <v>0.0</v>
      </c>
      <c r="EO23" s="11"/>
      <c r="EP23" s="9" t="s">
        <v>863</v>
      </c>
      <c r="EQ23" s="9" t="s">
        <v>864</v>
      </c>
      <c r="ER23" s="9" t="s">
        <v>861</v>
      </c>
      <c r="ES23" s="8">
        <v>1.0</v>
      </c>
      <c r="ET23" s="8">
        <v>0.0</v>
      </c>
      <c r="EU23" s="8">
        <v>0.0</v>
      </c>
      <c r="EV23" s="8">
        <v>0.0</v>
      </c>
      <c r="EW23" s="9"/>
      <c r="EX23" s="9" t="s">
        <v>865</v>
      </c>
      <c r="EY23" s="8">
        <v>1.0</v>
      </c>
      <c r="EZ23" s="8">
        <v>0.0</v>
      </c>
      <c r="FA23" s="8">
        <v>0.0</v>
      </c>
      <c r="FB23" s="9"/>
      <c r="FC23" s="9" t="s">
        <v>1072</v>
      </c>
      <c r="FD23" s="9"/>
      <c r="FE23" s="9" t="s">
        <v>867</v>
      </c>
      <c r="FF23" s="9" t="s">
        <v>868</v>
      </c>
      <c r="FG23" s="9" t="s">
        <v>867</v>
      </c>
      <c r="FH23" s="9" t="s">
        <v>868</v>
      </c>
      <c r="FI23" s="9" t="s">
        <v>867</v>
      </c>
      <c r="FJ23" s="9" t="s">
        <v>869</v>
      </c>
      <c r="FK23" s="9" t="s">
        <v>867</v>
      </c>
      <c r="FL23" s="9" t="s">
        <v>869</v>
      </c>
      <c r="FM23" s="9" t="s">
        <v>867</v>
      </c>
      <c r="FN23" s="9" t="s">
        <v>869</v>
      </c>
      <c r="FO23" s="9" t="s">
        <v>867</v>
      </c>
      <c r="FP23" s="9" t="s">
        <v>943</v>
      </c>
      <c r="FQ23" s="9" t="s">
        <v>867</v>
      </c>
      <c r="FR23" s="9" t="s">
        <v>857</v>
      </c>
      <c r="FS23" s="9" t="s">
        <v>867</v>
      </c>
      <c r="FT23" s="9" t="s">
        <v>871</v>
      </c>
      <c r="FU23" s="9" t="s">
        <v>989</v>
      </c>
      <c r="FV23" s="8">
        <v>1.0</v>
      </c>
      <c r="FW23" s="8">
        <v>1.0</v>
      </c>
      <c r="FX23" s="8">
        <v>0.0</v>
      </c>
      <c r="FY23" s="8">
        <v>0.0</v>
      </c>
      <c r="FZ23" s="9" t="s">
        <v>873</v>
      </c>
      <c r="GA23" s="9" t="s">
        <v>874</v>
      </c>
      <c r="GB23" s="8">
        <v>1.0</v>
      </c>
      <c r="GC23" s="8">
        <v>0.0</v>
      </c>
      <c r="GD23" s="8">
        <v>0.0</v>
      </c>
      <c r="GE23" s="8">
        <v>0.0</v>
      </c>
      <c r="GF23" s="9"/>
      <c r="GG23" s="9" t="s">
        <v>875</v>
      </c>
      <c r="GH23" s="9" t="s">
        <v>857</v>
      </c>
      <c r="GI23" s="9" t="s">
        <v>876</v>
      </c>
      <c r="GJ23" s="8">
        <v>1.0</v>
      </c>
      <c r="GK23" s="8">
        <v>0.0</v>
      </c>
      <c r="GL23" s="8">
        <v>0.0</v>
      </c>
      <c r="GM23" s="8">
        <v>0.0</v>
      </c>
      <c r="GN23" s="9"/>
      <c r="GO23" s="8">
        <v>9.0</v>
      </c>
      <c r="GP23" s="9" t="s">
        <v>877</v>
      </c>
      <c r="GQ23" s="9" t="s">
        <v>878</v>
      </c>
      <c r="GR23" s="8">
        <v>1.0</v>
      </c>
      <c r="GS23" s="8">
        <v>1.0</v>
      </c>
      <c r="GT23" s="8">
        <v>0.0</v>
      </c>
      <c r="GU23" s="8">
        <v>0.0</v>
      </c>
      <c r="GV23" s="8">
        <v>0.0</v>
      </c>
      <c r="GW23" s="8">
        <v>0.0</v>
      </c>
      <c r="GX23" s="8">
        <v>0.0</v>
      </c>
      <c r="GY23" s="9"/>
      <c r="GZ23" s="9" t="s">
        <v>857</v>
      </c>
      <c r="HA23" s="8">
        <v>20.0</v>
      </c>
      <c r="HB23" s="8">
        <v>200000.0</v>
      </c>
      <c r="HC23" s="8">
        <v>5.0</v>
      </c>
      <c r="HD23" s="8">
        <v>50000.0</v>
      </c>
      <c r="HE23" s="8">
        <v>9.0</v>
      </c>
      <c r="HF23" s="8">
        <v>75000.0</v>
      </c>
      <c r="HG23" s="8">
        <v>3.0</v>
      </c>
      <c r="HH23" s="8">
        <v>25000.0</v>
      </c>
      <c r="HI23" s="9"/>
      <c r="HJ23" s="9"/>
      <c r="HK23" s="9"/>
      <c r="HL23" s="9"/>
      <c r="HM23" s="9"/>
      <c r="HN23" s="9"/>
      <c r="HO23" s="9"/>
      <c r="HP23" s="9"/>
      <c r="HQ23" s="9"/>
      <c r="HR23" s="9"/>
      <c r="HS23" s="9"/>
      <c r="HT23" s="9"/>
      <c r="HU23" s="9"/>
      <c r="HV23" s="9"/>
      <c r="HW23" s="9"/>
      <c r="HX23" s="9"/>
      <c r="HY23" s="8">
        <v>15.0</v>
      </c>
      <c r="HZ23" s="8">
        <v>150000.0</v>
      </c>
      <c r="IA23" s="8">
        <v>6.0</v>
      </c>
      <c r="IB23" s="8">
        <v>50000.0</v>
      </c>
      <c r="IC23" s="9"/>
      <c r="ID23" s="9"/>
      <c r="IE23" s="9"/>
      <c r="IF23" s="9"/>
      <c r="IG23" s="9"/>
      <c r="IH23" s="9"/>
      <c r="II23" s="9"/>
      <c r="IJ23" s="9"/>
      <c r="IK23" s="9" t="s">
        <v>879</v>
      </c>
      <c r="IL23" s="9" t="s">
        <v>880</v>
      </c>
      <c r="IM23" s="9" t="s">
        <v>857</v>
      </c>
      <c r="IN23" s="9" t="s">
        <v>857</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999</v>
      </c>
      <c r="KW23" s="8">
        <v>0.0</v>
      </c>
      <c r="KX23" s="8">
        <v>0.0</v>
      </c>
      <c r="KY23" s="8">
        <v>0.0</v>
      </c>
      <c r="KZ23" s="8">
        <v>1.0</v>
      </c>
      <c r="LA23" s="9" t="s">
        <v>884</v>
      </c>
      <c r="LB23" s="9" t="s">
        <v>884</v>
      </c>
      <c r="LC23" s="8">
        <v>0.0</v>
      </c>
      <c r="LD23" s="8">
        <v>3.0</v>
      </c>
      <c r="LE23" s="8">
        <v>0.0</v>
      </c>
      <c r="LF23" s="8">
        <v>3.0</v>
      </c>
      <c r="LG23" s="9" t="s">
        <v>857</v>
      </c>
      <c r="LH23" s="8">
        <v>150000.0</v>
      </c>
      <c r="LI23" s="9"/>
      <c r="LJ23" s="9" t="s">
        <v>887</v>
      </c>
      <c r="LK23" s="8">
        <v>0.0</v>
      </c>
      <c r="LL23" s="8">
        <v>0.0</v>
      </c>
      <c r="LM23" s="8">
        <v>0.0</v>
      </c>
      <c r="LN23" s="8">
        <v>0.0</v>
      </c>
      <c r="LO23" s="8">
        <v>1.0</v>
      </c>
      <c r="LP23" s="8">
        <v>0.0</v>
      </c>
      <c r="LQ23" s="8">
        <v>0.0</v>
      </c>
      <c r="LR23" s="9"/>
      <c r="LS23" s="8">
        <v>15.0</v>
      </c>
      <c r="LT23" s="8">
        <v>15.0</v>
      </c>
      <c r="LU23" s="8">
        <v>0.0</v>
      </c>
      <c r="LV23" s="8">
        <v>5.0</v>
      </c>
      <c r="LW23" s="8">
        <v>5.0</v>
      </c>
      <c r="LX23" s="8">
        <v>0.0</v>
      </c>
      <c r="LY23" s="8">
        <v>0.0</v>
      </c>
      <c r="LZ23" s="8">
        <v>5.0</v>
      </c>
      <c r="MA23" s="8">
        <v>5.0</v>
      </c>
      <c r="MB23" s="9" t="s">
        <v>857</v>
      </c>
      <c r="MC23" s="8">
        <v>30.0</v>
      </c>
      <c r="MD23" s="8">
        <v>15.0</v>
      </c>
      <c r="ME23" s="8">
        <v>30.0</v>
      </c>
      <c r="MF23" s="8">
        <v>15.0</v>
      </c>
      <c r="MG23" s="8">
        <v>0.0</v>
      </c>
      <c r="MH23" s="8">
        <v>0.0</v>
      </c>
      <c r="MI23" s="9" t="s">
        <v>946</v>
      </c>
      <c r="MJ23" s="8">
        <v>0.0</v>
      </c>
      <c r="MK23" s="8">
        <v>0.0</v>
      </c>
      <c r="ML23" s="8">
        <v>1.0</v>
      </c>
      <c r="MM23" s="8">
        <v>0.0</v>
      </c>
      <c r="MN23" s="8">
        <v>0.0</v>
      </c>
      <c r="MO23" s="8">
        <v>0.0</v>
      </c>
      <c r="MP23" s="9"/>
      <c r="MQ23" s="9"/>
      <c r="MR23" s="9" t="s">
        <v>1048</v>
      </c>
      <c r="MS23" s="9"/>
      <c r="MT23" s="9" t="s">
        <v>1223</v>
      </c>
      <c r="MU23" s="9" t="s">
        <v>881</v>
      </c>
      <c r="MV23" s="9"/>
      <c r="MW23" s="9"/>
      <c r="MX23" s="9"/>
      <c r="MY23" s="9"/>
      <c r="MZ23" s="9"/>
      <c r="NA23" s="9"/>
      <c r="NB23" s="9"/>
      <c r="NC23" s="9"/>
      <c r="ND23" s="9"/>
      <c r="NE23" s="9"/>
      <c r="NF23" s="9"/>
      <c r="NG23" s="9"/>
      <c r="NH23" s="9"/>
      <c r="NI23" s="9"/>
      <c r="NJ23" s="9"/>
      <c r="NK23" s="9"/>
      <c r="NL23" s="9" t="s">
        <v>857</v>
      </c>
      <c r="NM23" s="9" t="s">
        <v>893</v>
      </c>
      <c r="NN23" s="9" t="s">
        <v>993</v>
      </c>
      <c r="NO23" s="9" t="s">
        <v>994</v>
      </c>
      <c r="NP23" s="9"/>
      <c r="NQ23" s="9"/>
      <c r="NR23" s="9"/>
      <c r="NS23" s="9"/>
      <c r="NT23" s="9"/>
      <c r="NU23" s="9"/>
      <c r="NV23" s="9" t="s">
        <v>896</v>
      </c>
      <c r="NW23" s="9"/>
      <c r="NX23" s="9" t="s">
        <v>1183</v>
      </c>
      <c r="NY23" s="8">
        <v>40.0</v>
      </c>
      <c r="NZ23" s="8">
        <v>10.0</v>
      </c>
      <c r="OA23" s="8">
        <v>0.0</v>
      </c>
      <c r="OB23" s="8">
        <v>5.0</v>
      </c>
      <c r="OC23" s="8">
        <v>5.0</v>
      </c>
      <c r="OD23" s="8">
        <v>0.0</v>
      </c>
      <c r="OE23" s="9" t="s">
        <v>1180</v>
      </c>
      <c r="OF23" s="9" t="s">
        <v>1184</v>
      </c>
      <c r="OG23" s="9" t="s">
        <v>857</v>
      </c>
      <c r="OH23" s="8">
        <v>0.0</v>
      </c>
      <c r="OI23" s="8">
        <v>3.0</v>
      </c>
      <c r="OJ23" s="8">
        <v>0.0</v>
      </c>
      <c r="OK23" s="8">
        <v>0.0</v>
      </c>
      <c r="OL23" s="8">
        <v>0.0</v>
      </c>
      <c r="OM23" s="8">
        <v>0.0</v>
      </c>
      <c r="ON23" s="8">
        <v>0.0</v>
      </c>
      <c r="OO23" s="8">
        <v>0.0</v>
      </c>
      <c r="OP23" s="9" t="s">
        <v>2948</v>
      </c>
      <c r="OQ23" s="8">
        <v>0.0</v>
      </c>
      <c r="OR23" s="8">
        <v>1.0</v>
      </c>
      <c r="OS23" s="8">
        <v>0.0</v>
      </c>
      <c r="OT23" s="8">
        <v>0.0</v>
      </c>
      <c r="OU23" s="8">
        <v>0.0</v>
      </c>
      <c r="OV23" s="8">
        <v>0.0</v>
      </c>
      <c r="OW23" s="8">
        <v>0.0</v>
      </c>
      <c r="OX23" s="8">
        <v>0.0</v>
      </c>
      <c r="OY23" s="9"/>
      <c r="OZ23" s="9"/>
      <c r="PA23" s="9"/>
      <c r="PB23" s="9"/>
      <c r="PC23" s="9"/>
      <c r="PD23" s="9"/>
      <c r="PE23" s="9"/>
      <c r="PF23" s="9"/>
      <c r="PG23" s="9"/>
      <c r="PH23" s="9"/>
      <c r="PI23" s="9"/>
      <c r="PJ23" s="9" t="s">
        <v>900</v>
      </c>
      <c r="PK23" s="8">
        <v>0.0</v>
      </c>
      <c r="PL23" s="8">
        <v>0.0</v>
      </c>
      <c r="PM23" s="8">
        <v>0.0</v>
      </c>
      <c r="PN23" s="8">
        <v>0.0</v>
      </c>
      <c r="PO23" s="8">
        <v>0.0</v>
      </c>
      <c r="PP23" s="8">
        <v>1.0</v>
      </c>
      <c r="PQ23" s="8">
        <v>0.0</v>
      </c>
      <c r="PR23" s="8">
        <v>0.0</v>
      </c>
      <c r="PS23" s="8">
        <v>0.0</v>
      </c>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8">
        <v>3.0</v>
      </c>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t="s">
        <v>901</v>
      </c>
      <c r="UB23" s="9"/>
      <c r="UC23" s="9"/>
      <c r="UD23" s="9"/>
      <c r="UE23" s="9"/>
      <c r="UF23" s="9"/>
      <c r="UG23" s="9"/>
      <c r="UH23" s="9"/>
      <c r="UI23" s="9" t="s">
        <v>950</v>
      </c>
      <c r="UJ23" s="9"/>
      <c r="UK23" s="9"/>
      <c r="UL23" s="9"/>
      <c r="UM23" s="9"/>
      <c r="UN23" s="9"/>
      <c r="UO23" s="9"/>
      <c r="UP23" s="9"/>
      <c r="UQ23" s="9" t="s">
        <v>1158</v>
      </c>
      <c r="UR23" s="9"/>
      <c r="US23" s="9"/>
      <c r="UT23" s="9"/>
      <c r="UU23" s="9"/>
      <c r="UV23" s="9"/>
      <c r="UW23" s="9"/>
      <c r="UX23" s="9"/>
      <c r="UY23" s="9"/>
      <c r="UZ23" s="9"/>
      <c r="VA23" s="9"/>
      <c r="VB23" s="9"/>
      <c r="VC23" s="9"/>
      <c r="VD23" s="9"/>
      <c r="VE23" s="9"/>
      <c r="VF23" s="9"/>
      <c r="VG23" s="9"/>
      <c r="VH23" s="9"/>
      <c r="VI23" s="9"/>
      <c r="VJ23" s="9"/>
      <c r="VK23" s="9" t="s">
        <v>1224</v>
      </c>
      <c r="VL23" s="8">
        <v>0.0</v>
      </c>
      <c r="VM23" s="8">
        <v>1.0</v>
      </c>
      <c r="VN23" s="8">
        <v>1.0</v>
      </c>
      <c r="VO23" s="8">
        <v>0.0</v>
      </c>
      <c r="VP23" s="8">
        <v>1.0</v>
      </c>
      <c r="VQ23" s="8">
        <v>1.0</v>
      </c>
      <c r="VR23" s="8">
        <v>0.0</v>
      </c>
      <c r="VS23" s="8">
        <v>0.0</v>
      </c>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8">
        <v>50.0</v>
      </c>
      <c r="YU23" s="9"/>
      <c r="YV23" s="9"/>
      <c r="YW23" s="9"/>
      <c r="YX23" s="9"/>
      <c r="YY23" s="9"/>
      <c r="YZ23" s="9"/>
      <c r="ZA23" s="9"/>
      <c r="ZB23" s="8">
        <v>2.0</v>
      </c>
      <c r="ZC23" s="9"/>
      <c r="ZD23" s="9"/>
      <c r="ZE23" s="9"/>
      <c r="ZF23" s="9"/>
      <c r="ZG23" s="9"/>
      <c r="ZH23" s="9"/>
      <c r="ZI23" s="9"/>
      <c r="ZJ23" s="9" t="s">
        <v>905</v>
      </c>
      <c r="ZK23" s="9"/>
      <c r="ZL23" s="9"/>
      <c r="ZM23" s="9"/>
      <c r="ZN23" s="9"/>
      <c r="ZO23" s="9"/>
      <c r="ZP23" s="9"/>
      <c r="ZQ23" s="9" t="s">
        <v>857</v>
      </c>
      <c r="ZR23" s="9" t="s">
        <v>1033</v>
      </c>
      <c r="ZS23" s="8">
        <v>1.0</v>
      </c>
      <c r="ZT23" s="8">
        <v>1.0</v>
      </c>
      <c r="ZU23" s="8">
        <v>50.0</v>
      </c>
      <c r="ZV23" s="8">
        <v>50.0</v>
      </c>
      <c r="ZW23" s="9" t="s">
        <v>857</v>
      </c>
      <c r="ZX23" s="9" t="s">
        <v>867</v>
      </c>
      <c r="ZY23" s="9" t="s">
        <v>1074</v>
      </c>
      <c r="ZZ23" s="8">
        <v>1.0</v>
      </c>
      <c r="AAA23" s="8">
        <v>0.0</v>
      </c>
      <c r="AAB23" s="8">
        <v>0.0</v>
      </c>
      <c r="AAC23" s="8">
        <v>1.0</v>
      </c>
      <c r="AAD23" s="8">
        <v>1.0</v>
      </c>
      <c r="AAE23" s="8">
        <v>0.0</v>
      </c>
      <c r="AAF23" s="8">
        <v>0.0</v>
      </c>
      <c r="AAG23" s="9" t="s">
        <v>907</v>
      </c>
      <c r="AAH23" s="8">
        <v>1.0</v>
      </c>
      <c r="AAI23" s="8">
        <v>0.0</v>
      </c>
      <c r="AAJ23" s="8">
        <v>0.0</v>
      </c>
      <c r="AAK23" s="8">
        <v>0.0</v>
      </c>
      <c r="AAL23" s="8">
        <v>0.0</v>
      </c>
      <c r="AAM23" s="9"/>
      <c r="AAN23" s="9"/>
      <c r="AAO23" s="9"/>
      <c r="AAP23" s="9"/>
      <c r="AAQ23" s="9"/>
      <c r="AAR23" s="9"/>
      <c r="AAS23" s="9"/>
      <c r="AAT23" s="9"/>
      <c r="AAU23" s="9"/>
      <c r="AAV23" s="11" t="s">
        <v>953</v>
      </c>
      <c r="AAW23" s="9" t="s">
        <v>1075</v>
      </c>
      <c r="AAX23" s="8">
        <v>3000.0</v>
      </c>
      <c r="AAY23" s="8">
        <v>500.0</v>
      </c>
      <c r="AAZ23" s="8">
        <v>50.0</v>
      </c>
      <c r="ABA23" s="8">
        <v>50.0</v>
      </c>
      <c r="ABB23" s="9" t="s">
        <v>1199</v>
      </c>
      <c r="ABC23" s="9"/>
      <c r="ABD23" s="8">
        <v>30.0</v>
      </c>
      <c r="ABE23" s="8">
        <v>4000.0</v>
      </c>
      <c r="ABF23" s="8">
        <v>0.0</v>
      </c>
      <c r="ABG23" s="8">
        <v>4000.0</v>
      </c>
      <c r="ABH23" s="8">
        <v>500.0</v>
      </c>
      <c r="ABI23" s="8">
        <v>760.0</v>
      </c>
      <c r="ABJ23" s="9" t="s">
        <v>857</v>
      </c>
      <c r="ABK23" s="9" t="s">
        <v>911</v>
      </c>
      <c r="ABL23" s="9" t="s">
        <v>911</v>
      </c>
      <c r="ABM23" s="9" t="s">
        <v>1183</v>
      </c>
      <c r="ABN23" s="9"/>
      <c r="ABO23" s="9"/>
      <c r="ABP23" s="9" t="s">
        <v>976</v>
      </c>
      <c r="ABQ23" s="8">
        <v>0.0</v>
      </c>
      <c r="ABR23" s="8">
        <v>0.0</v>
      </c>
      <c r="ABS23" s="8">
        <v>1.0</v>
      </c>
      <c r="ABT23" s="8">
        <v>1.0</v>
      </c>
      <c r="ABU23" s="8">
        <v>0.0</v>
      </c>
      <c r="ABV23" s="8">
        <v>0.0</v>
      </c>
      <c r="ABW23" s="8">
        <v>0.0</v>
      </c>
      <c r="ABX23" s="9"/>
      <c r="ABY23" s="9" t="s">
        <v>912</v>
      </c>
      <c r="ABZ23" s="9" t="s">
        <v>1050</v>
      </c>
      <c r="ACA23" s="9" t="s">
        <v>957</v>
      </c>
      <c r="ACB23" s="9" t="s">
        <v>915</v>
      </c>
      <c r="ACC23" s="9" t="s">
        <v>916</v>
      </c>
      <c r="ACD23" s="9" t="s">
        <v>1017</v>
      </c>
      <c r="ACE23" s="8">
        <v>1.0</v>
      </c>
      <c r="ACF23" s="8">
        <v>1.0</v>
      </c>
      <c r="ACG23" s="8">
        <v>1.0</v>
      </c>
      <c r="ACH23" s="8">
        <v>0.0</v>
      </c>
      <c r="ACI23" s="9" t="s">
        <v>917</v>
      </c>
      <c r="ACJ23" s="9" t="s">
        <v>917</v>
      </c>
      <c r="ACK23" s="9" t="s">
        <v>917</v>
      </c>
      <c r="ACL23" s="9" t="s">
        <v>917</v>
      </c>
      <c r="ACM23" s="9" t="s">
        <v>881</v>
      </c>
      <c r="ACN23" s="9"/>
      <c r="ACO23" s="9" t="s">
        <v>917</v>
      </c>
      <c r="ACP23" s="9"/>
      <c r="ACQ23" s="9"/>
      <c r="ACR23" s="9"/>
      <c r="ACS23" s="9"/>
      <c r="ACT23" s="9"/>
      <c r="ACU23" s="9"/>
      <c r="ACV23" s="9"/>
      <c r="ACW23" s="9"/>
      <c r="ACX23" s="9"/>
      <c r="ACY23" s="9"/>
      <c r="ACZ23" s="9" t="s">
        <v>919</v>
      </c>
      <c r="ADA23" s="8">
        <v>0.0</v>
      </c>
      <c r="ADB23" s="8">
        <v>0.0</v>
      </c>
      <c r="ADC23" s="8">
        <v>0.0</v>
      </c>
      <c r="ADD23" s="8">
        <v>0.0</v>
      </c>
      <c r="ADE23" s="8">
        <v>1.0</v>
      </c>
      <c r="ADF23" s="8">
        <v>0.0</v>
      </c>
      <c r="ADG23" s="8">
        <v>0.0</v>
      </c>
      <c r="ADH23" s="8">
        <v>0.0</v>
      </c>
      <c r="ADI23" s="12"/>
      <c r="ADJ23" s="17" t="s">
        <v>872</v>
      </c>
      <c r="ADK23" s="9"/>
      <c r="ADL23" s="17" t="s">
        <v>920</v>
      </c>
      <c r="ADM23" s="9"/>
      <c r="ADN23" s="11" t="s">
        <v>999</v>
      </c>
      <c r="ADO23" s="9" t="s">
        <v>871</v>
      </c>
      <c r="ADP23" s="17" t="s">
        <v>1108</v>
      </c>
      <c r="ADQ23" s="18">
        <v>1.0</v>
      </c>
      <c r="ADR23" s="18">
        <v>1.0</v>
      </c>
      <c r="ADS23" s="18">
        <v>1.0</v>
      </c>
      <c r="ADT23" s="18">
        <v>1.0</v>
      </c>
      <c r="ADU23" s="18">
        <v>1.0</v>
      </c>
      <c r="ADV23" s="18">
        <v>1.0</v>
      </c>
      <c r="ADW23" s="18">
        <v>1.0</v>
      </c>
      <c r="ADX23" s="18">
        <v>1.0</v>
      </c>
      <c r="ADY23" s="18">
        <v>1.0</v>
      </c>
      <c r="ADZ23" s="18">
        <v>0.0</v>
      </c>
      <c r="AEA23" s="18">
        <v>0.0</v>
      </c>
      <c r="AEB23" s="18">
        <v>0.0</v>
      </c>
      <c r="AEC23" s="9"/>
      <c r="AED23" s="9" t="s">
        <v>923</v>
      </c>
      <c r="AEE23" s="9"/>
      <c r="AEF23" s="9" t="s">
        <v>1188</v>
      </c>
      <c r="AEG23" s="9"/>
      <c r="AEH23" s="9" t="s">
        <v>1225</v>
      </c>
      <c r="AEI23" s="16" t="s">
        <v>1226</v>
      </c>
      <c r="AEJ23" s="9" t="s">
        <v>1227</v>
      </c>
      <c r="AEK23" s="16" t="s">
        <v>1228</v>
      </c>
      <c r="AEL23" s="9" t="s">
        <v>1137</v>
      </c>
      <c r="AEM23" s="9"/>
      <c r="AEN23" s="9"/>
    </row>
    <row r="24">
      <c r="A24" s="6">
        <v>46059.0</v>
      </c>
      <c r="B24" s="6">
        <v>46059.0</v>
      </c>
      <c r="C24" s="7" t="s">
        <v>837</v>
      </c>
      <c r="D24" s="7" t="s">
        <v>1229</v>
      </c>
      <c r="E24" s="8">
        <f>+6283844933984</f>
        <v>6283844933984</v>
      </c>
      <c r="F24" s="9"/>
      <c r="G24" s="8">
        <v>-7.2127879</v>
      </c>
      <c r="H24" s="8">
        <v>110.264323</v>
      </c>
      <c r="I24" s="9"/>
      <c r="J24" s="8">
        <v>4.68</v>
      </c>
      <c r="K24" s="9"/>
      <c r="L24" s="9"/>
      <c r="M24" s="8">
        <v>-7.2125848</v>
      </c>
      <c r="N24" s="8">
        <v>110.2643681</v>
      </c>
      <c r="O24" s="9"/>
      <c r="P24" s="8">
        <v>5.0</v>
      </c>
      <c r="Q24" s="9"/>
      <c r="R24" s="9" t="s">
        <v>839</v>
      </c>
      <c r="S24" s="9"/>
      <c r="T24" s="9"/>
      <c r="U24" s="9"/>
      <c r="V24" s="9"/>
      <c r="W24" s="9"/>
      <c r="X24" s="9"/>
      <c r="Y24" s="9"/>
      <c r="Z24" s="9"/>
      <c r="AA24" s="9"/>
      <c r="AB24" s="9"/>
      <c r="AC24" s="7" t="s">
        <v>1175</v>
      </c>
      <c r="AD24" s="7" t="s">
        <v>1176</v>
      </c>
      <c r="AE24" s="7" t="s">
        <v>1195</v>
      </c>
      <c r="AF24" s="9" t="s">
        <v>1178</v>
      </c>
      <c r="AG24" s="9" t="s">
        <v>1230</v>
      </c>
      <c r="AH24" s="8">
        <v>3.0</v>
      </c>
      <c r="AI24" s="9" t="s">
        <v>845</v>
      </c>
      <c r="AJ24" s="9" t="s">
        <v>846</v>
      </c>
      <c r="AK24" s="8">
        <v>35.0</v>
      </c>
      <c r="AL24" s="9" t="s">
        <v>847</v>
      </c>
      <c r="AM24" s="9" t="s">
        <v>848</v>
      </c>
      <c r="AN24" s="9" t="s">
        <v>986</v>
      </c>
      <c r="AO24" s="9" t="s">
        <v>935</v>
      </c>
      <c r="AP24" s="8">
        <v>0.0</v>
      </c>
      <c r="AQ24" s="8">
        <v>1.0</v>
      </c>
      <c r="AR24" s="8">
        <v>0.0</v>
      </c>
      <c r="AS24" s="8">
        <v>0.0</v>
      </c>
      <c r="AT24" s="8">
        <v>0.0</v>
      </c>
      <c r="AU24" s="8">
        <v>0.0</v>
      </c>
      <c r="AV24" s="8">
        <v>0.0</v>
      </c>
      <c r="AW24" s="8">
        <v>0.0</v>
      </c>
      <c r="AX24" s="9"/>
      <c r="AY24" s="9" t="s">
        <v>1231</v>
      </c>
      <c r="AZ24" s="8">
        <v>0.0</v>
      </c>
      <c r="BA24" s="8">
        <v>0.0</v>
      </c>
      <c r="BB24" s="8">
        <v>0.0</v>
      </c>
      <c r="BC24" s="8">
        <v>1.0</v>
      </c>
      <c r="BD24" s="8">
        <v>0.0</v>
      </c>
      <c r="BE24" s="8">
        <v>0.0</v>
      </c>
      <c r="BF24" s="8">
        <v>0.0</v>
      </c>
      <c r="BG24" s="8">
        <v>0.0</v>
      </c>
      <c r="BH24" s="9"/>
      <c r="BI24" s="9" t="s">
        <v>852</v>
      </c>
      <c r="BJ24" s="8">
        <v>1.0</v>
      </c>
      <c r="BK24" s="8">
        <v>1.0</v>
      </c>
      <c r="BL24" s="8">
        <v>1.0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2023.0</v>
      </c>
      <c r="CN24" s="9" t="s">
        <v>858</v>
      </c>
      <c r="CO24" s="9" t="s">
        <v>859</v>
      </c>
      <c r="CP24" s="9" t="s">
        <v>860</v>
      </c>
      <c r="CQ24" s="8">
        <v>0.0</v>
      </c>
      <c r="CR24" s="8">
        <v>0.0</v>
      </c>
      <c r="CS24" s="8">
        <v>0.0</v>
      </c>
      <c r="CT24" s="8">
        <v>0.0</v>
      </c>
      <c r="CU24" s="10">
        <v>1.0</v>
      </c>
      <c r="CV24" s="10">
        <v>0.0</v>
      </c>
      <c r="CW24" s="10">
        <v>0.0</v>
      </c>
      <c r="CX24" s="8">
        <v>0.0</v>
      </c>
      <c r="CY24" s="9" t="s">
        <v>860</v>
      </c>
      <c r="CZ24" s="8">
        <v>1.0</v>
      </c>
      <c r="DA24" s="8">
        <v>0.0</v>
      </c>
      <c r="DB24" s="8">
        <v>0.0</v>
      </c>
      <c r="DC24" s="9"/>
      <c r="DD24" s="9" t="s">
        <v>937</v>
      </c>
      <c r="DE24" s="8">
        <v>1.0</v>
      </c>
      <c r="DF24" s="8">
        <v>0.0</v>
      </c>
      <c r="DG24" s="8">
        <v>1.0</v>
      </c>
      <c r="DH24" s="8">
        <v>0.0</v>
      </c>
      <c r="DI24" s="9"/>
      <c r="DJ24" s="9" t="s">
        <v>937</v>
      </c>
      <c r="DK24" s="8">
        <v>1.0</v>
      </c>
      <c r="DL24" s="8">
        <v>0.0</v>
      </c>
      <c r="DM24" s="8">
        <v>1.0</v>
      </c>
      <c r="DN24" s="8">
        <v>0.0</v>
      </c>
      <c r="DO24" s="9"/>
      <c r="DP24" s="8">
        <v>1.0</v>
      </c>
      <c r="DQ24" s="8">
        <v>0.0</v>
      </c>
      <c r="DR24" s="8">
        <v>0.0</v>
      </c>
      <c r="DS24" s="9"/>
      <c r="DT24" s="9"/>
      <c r="DU24" s="9"/>
      <c r="DV24" s="9" t="s">
        <v>857</v>
      </c>
      <c r="DW24" s="9"/>
      <c r="DX24" s="9"/>
      <c r="DY24" s="9"/>
      <c r="DZ24" s="9"/>
      <c r="EA24" s="9"/>
      <c r="EB24" s="9"/>
      <c r="EC24" s="9"/>
      <c r="ED24" s="9"/>
      <c r="EE24" s="9"/>
      <c r="EF24" s="9"/>
      <c r="EG24" s="9"/>
      <c r="EH24" s="9"/>
      <c r="EI24" s="9" t="s">
        <v>862</v>
      </c>
      <c r="EJ24" s="8">
        <v>0.0</v>
      </c>
      <c r="EK24" s="8">
        <v>0.0</v>
      </c>
      <c r="EL24" s="8">
        <v>0.0</v>
      </c>
      <c r="EM24" s="8">
        <v>1.0</v>
      </c>
      <c r="EN24" s="8">
        <v>0.0</v>
      </c>
      <c r="EO24" s="11"/>
      <c r="EP24" s="9" t="s">
        <v>863</v>
      </c>
      <c r="EQ24" s="9" t="s">
        <v>864</v>
      </c>
      <c r="ER24" s="9" t="s">
        <v>861</v>
      </c>
      <c r="ES24" s="8">
        <v>1.0</v>
      </c>
      <c r="ET24" s="8">
        <v>0.0</v>
      </c>
      <c r="EU24" s="8">
        <v>0.0</v>
      </c>
      <c r="EV24" s="8">
        <v>0.0</v>
      </c>
      <c r="EW24" s="9"/>
      <c r="EX24" s="9" t="s">
        <v>865</v>
      </c>
      <c r="EY24" s="8">
        <v>1.0</v>
      </c>
      <c r="EZ24" s="8">
        <v>0.0</v>
      </c>
      <c r="FA24" s="8">
        <v>0.0</v>
      </c>
      <c r="FB24" s="9"/>
      <c r="FC24" s="9" t="s">
        <v>1072</v>
      </c>
      <c r="FD24" s="9"/>
      <c r="FE24" s="9" t="s">
        <v>867</v>
      </c>
      <c r="FF24" s="9" t="s">
        <v>868</v>
      </c>
      <c r="FG24" s="9" t="s">
        <v>867</v>
      </c>
      <c r="FH24" s="9" t="s">
        <v>869</v>
      </c>
      <c r="FI24" s="9" t="s">
        <v>867</v>
      </c>
      <c r="FJ24" s="9" t="s">
        <v>869</v>
      </c>
      <c r="FK24" s="9" t="s">
        <v>867</v>
      </c>
      <c r="FL24" s="9" t="s">
        <v>869</v>
      </c>
      <c r="FM24" s="9" t="s">
        <v>867</v>
      </c>
      <c r="FN24" s="9" t="s">
        <v>869</v>
      </c>
      <c r="FO24" s="9" t="s">
        <v>867</v>
      </c>
      <c r="FP24" s="9" t="s">
        <v>869</v>
      </c>
      <c r="FQ24" s="9" t="s">
        <v>867</v>
      </c>
      <c r="FR24" s="9" t="s">
        <v>857</v>
      </c>
      <c r="FS24" s="9" t="s">
        <v>867</v>
      </c>
      <c r="FT24" s="9" t="s">
        <v>871</v>
      </c>
      <c r="FU24" s="9" t="s">
        <v>989</v>
      </c>
      <c r="FV24" s="8">
        <v>1.0</v>
      </c>
      <c r="FW24" s="8">
        <v>1.0</v>
      </c>
      <c r="FX24" s="8">
        <v>0.0</v>
      </c>
      <c r="FY24" s="8">
        <v>0.0</v>
      </c>
      <c r="FZ24" s="9" t="s">
        <v>873</v>
      </c>
      <c r="GA24" s="9" t="s">
        <v>874</v>
      </c>
      <c r="GB24" s="8">
        <v>1.0</v>
      </c>
      <c r="GC24" s="8">
        <v>0.0</v>
      </c>
      <c r="GD24" s="8">
        <v>0.0</v>
      </c>
      <c r="GE24" s="8">
        <v>0.0</v>
      </c>
      <c r="GF24" s="9"/>
      <c r="GG24" s="9" t="s">
        <v>1232</v>
      </c>
      <c r="GH24" s="9" t="s">
        <v>857</v>
      </c>
      <c r="GI24" s="9" t="s">
        <v>876</v>
      </c>
      <c r="GJ24" s="8">
        <v>1.0</v>
      </c>
      <c r="GK24" s="8">
        <v>0.0</v>
      </c>
      <c r="GL24" s="8">
        <v>0.0</v>
      </c>
      <c r="GM24" s="8">
        <v>0.0</v>
      </c>
      <c r="GN24" s="9"/>
      <c r="GO24" s="8">
        <v>9.0</v>
      </c>
      <c r="GP24" s="9" t="s">
        <v>877</v>
      </c>
      <c r="GQ24" s="9" t="s">
        <v>878</v>
      </c>
      <c r="GR24" s="8">
        <v>1.0</v>
      </c>
      <c r="GS24" s="8">
        <v>1.0</v>
      </c>
      <c r="GT24" s="8">
        <v>0.0</v>
      </c>
      <c r="GU24" s="8">
        <v>0.0</v>
      </c>
      <c r="GV24" s="8">
        <v>0.0</v>
      </c>
      <c r="GW24" s="8">
        <v>0.0</v>
      </c>
      <c r="GX24" s="8">
        <v>0.0</v>
      </c>
      <c r="GY24" s="9"/>
      <c r="GZ24" s="9" t="s">
        <v>857</v>
      </c>
      <c r="HA24" s="8">
        <v>15.0</v>
      </c>
      <c r="HB24" s="8">
        <v>150000.0</v>
      </c>
      <c r="HC24" s="8">
        <v>5.0</v>
      </c>
      <c r="HD24" s="8">
        <v>50000.0</v>
      </c>
      <c r="HE24" s="8">
        <v>9.0</v>
      </c>
      <c r="HF24" s="8">
        <v>75000.0</v>
      </c>
      <c r="HG24" s="8">
        <v>3.0</v>
      </c>
      <c r="HH24" s="8">
        <v>25000.0</v>
      </c>
      <c r="HI24" s="9"/>
      <c r="HJ24" s="9"/>
      <c r="HK24" s="9"/>
      <c r="HL24" s="9"/>
      <c r="HM24" s="9"/>
      <c r="HN24" s="9"/>
      <c r="HO24" s="9"/>
      <c r="HP24" s="9"/>
      <c r="HQ24" s="9"/>
      <c r="HR24" s="9"/>
      <c r="HS24" s="9"/>
      <c r="HT24" s="9"/>
      <c r="HU24" s="9"/>
      <c r="HV24" s="9"/>
      <c r="HW24" s="9"/>
      <c r="HX24" s="9"/>
      <c r="HY24" s="8">
        <v>10.0</v>
      </c>
      <c r="HZ24" s="8">
        <v>10000.0</v>
      </c>
      <c r="IA24" s="8">
        <v>6.0</v>
      </c>
      <c r="IB24" s="8">
        <v>50000.0</v>
      </c>
      <c r="IC24" s="9"/>
      <c r="ID24" s="9"/>
      <c r="IE24" s="9"/>
      <c r="IF24" s="9"/>
      <c r="IG24" s="9"/>
      <c r="IH24" s="9"/>
      <c r="II24" s="9"/>
      <c r="IJ24" s="9"/>
      <c r="IK24" s="9" t="s">
        <v>879</v>
      </c>
      <c r="IL24" s="9" t="s">
        <v>880</v>
      </c>
      <c r="IM24" s="9" t="s">
        <v>857</v>
      </c>
      <c r="IN24" s="9" t="s">
        <v>857</v>
      </c>
      <c r="IO24" s="9" t="s">
        <v>1206</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1180</v>
      </c>
      <c r="KT24" s="9" t="s">
        <v>886</v>
      </c>
      <c r="KU24" s="9" t="s">
        <v>886</v>
      </c>
      <c r="KV24" s="9" t="s">
        <v>999</v>
      </c>
      <c r="KW24" s="8">
        <v>0.0</v>
      </c>
      <c r="KX24" s="8">
        <v>0.0</v>
      </c>
      <c r="KY24" s="8">
        <v>0.0</v>
      </c>
      <c r="KZ24" s="8">
        <v>1.0</v>
      </c>
      <c r="LA24" s="9" t="s">
        <v>884</v>
      </c>
      <c r="LB24" s="9" t="s">
        <v>1180</v>
      </c>
      <c r="LC24" s="8">
        <v>0.0</v>
      </c>
      <c r="LD24" s="8">
        <v>3.0</v>
      </c>
      <c r="LE24" s="8">
        <v>0.0</v>
      </c>
      <c r="LF24" s="8">
        <v>3.0</v>
      </c>
      <c r="LG24" s="9" t="s">
        <v>857</v>
      </c>
      <c r="LH24" s="8">
        <v>100000.0</v>
      </c>
      <c r="LI24" s="9"/>
      <c r="LJ24" s="9" t="s">
        <v>887</v>
      </c>
      <c r="LK24" s="8">
        <v>0.0</v>
      </c>
      <c r="LL24" s="8">
        <v>0.0</v>
      </c>
      <c r="LM24" s="8">
        <v>0.0</v>
      </c>
      <c r="LN24" s="8">
        <v>0.0</v>
      </c>
      <c r="LO24" s="8">
        <v>1.0</v>
      </c>
      <c r="LP24" s="8">
        <v>0.0</v>
      </c>
      <c r="LQ24" s="8">
        <v>0.0</v>
      </c>
      <c r="LR24" s="9"/>
      <c r="LS24" s="8">
        <v>15.0</v>
      </c>
      <c r="LT24" s="8">
        <v>15.0</v>
      </c>
      <c r="LU24" s="8">
        <v>0.0</v>
      </c>
      <c r="LV24" s="8">
        <v>5.0</v>
      </c>
      <c r="LW24" s="8">
        <v>5.0</v>
      </c>
      <c r="LX24" s="8">
        <v>0.0</v>
      </c>
      <c r="LY24" s="8">
        <v>5.0</v>
      </c>
      <c r="LZ24" s="8">
        <v>5.0</v>
      </c>
      <c r="MA24" s="8">
        <v>0.0</v>
      </c>
      <c r="MB24" s="9" t="s">
        <v>857</v>
      </c>
      <c r="MC24" s="8">
        <v>30.0</v>
      </c>
      <c r="MD24" s="8">
        <v>15.0</v>
      </c>
      <c r="ME24" s="8">
        <v>30.0</v>
      </c>
      <c r="MF24" s="8">
        <v>15.0</v>
      </c>
      <c r="MG24" s="8">
        <v>0.0</v>
      </c>
      <c r="MH24" s="8">
        <v>0.0</v>
      </c>
      <c r="MI24" s="9" t="s">
        <v>946</v>
      </c>
      <c r="MJ24" s="8">
        <v>0.0</v>
      </c>
      <c r="MK24" s="8">
        <v>0.0</v>
      </c>
      <c r="ML24" s="8">
        <v>1.0</v>
      </c>
      <c r="MM24" s="8">
        <v>0.0</v>
      </c>
      <c r="MN24" s="8">
        <v>0.0</v>
      </c>
      <c r="MO24" s="8">
        <v>0.0</v>
      </c>
      <c r="MP24" s="9"/>
      <c r="MQ24" s="9"/>
      <c r="MR24" s="9" t="s">
        <v>1048</v>
      </c>
      <c r="MS24" s="9"/>
      <c r="MT24" s="9" t="s">
        <v>888</v>
      </c>
      <c r="MU24" s="9" t="s">
        <v>881</v>
      </c>
      <c r="MV24" s="9"/>
      <c r="MW24" s="9"/>
      <c r="MX24" s="9"/>
      <c r="MY24" s="9"/>
      <c r="MZ24" s="9"/>
      <c r="NA24" s="9"/>
      <c r="NB24" s="9"/>
      <c r="NC24" s="9"/>
      <c r="ND24" s="9"/>
      <c r="NE24" s="9"/>
      <c r="NF24" s="9"/>
      <c r="NG24" s="9"/>
      <c r="NH24" s="9"/>
      <c r="NI24" s="9"/>
      <c r="NJ24" s="9"/>
      <c r="NK24" s="9"/>
      <c r="NL24" s="9" t="s">
        <v>857</v>
      </c>
      <c r="NM24" s="9" t="s">
        <v>893</v>
      </c>
      <c r="NN24" s="9" t="s">
        <v>993</v>
      </c>
      <c r="NO24" s="9" t="s">
        <v>994</v>
      </c>
      <c r="NP24" s="9"/>
      <c r="NQ24" s="9"/>
      <c r="NR24" s="9"/>
      <c r="NS24" s="9"/>
      <c r="NT24" s="9"/>
      <c r="NU24" s="9"/>
      <c r="NV24" s="9" t="s">
        <v>896</v>
      </c>
      <c r="NW24" s="9"/>
      <c r="NX24" s="9" t="s">
        <v>1183</v>
      </c>
      <c r="NY24" s="8">
        <v>40.0</v>
      </c>
      <c r="NZ24" s="8">
        <v>15.0</v>
      </c>
      <c r="OA24" s="8">
        <v>0.0</v>
      </c>
      <c r="OB24" s="8">
        <v>5.0</v>
      </c>
      <c r="OC24" s="8">
        <v>5.0</v>
      </c>
      <c r="OD24" s="8">
        <v>0.0</v>
      </c>
      <c r="OE24" s="9" t="s">
        <v>898</v>
      </c>
      <c r="OF24" s="9" t="s">
        <v>1184</v>
      </c>
      <c r="OG24" s="9" t="s">
        <v>857</v>
      </c>
      <c r="OH24" s="8">
        <v>0.0</v>
      </c>
      <c r="OI24" s="8">
        <v>2.0</v>
      </c>
      <c r="OJ24" s="8">
        <v>0.0</v>
      </c>
      <c r="OK24" s="8">
        <v>0.0</v>
      </c>
      <c r="OL24" s="8">
        <v>0.0</v>
      </c>
      <c r="OM24" s="8">
        <v>0.0</v>
      </c>
      <c r="ON24" s="8">
        <v>0.0</v>
      </c>
      <c r="OO24" s="8">
        <v>0.0</v>
      </c>
      <c r="OP24" s="9" t="s">
        <v>2948</v>
      </c>
      <c r="OQ24" s="8">
        <v>0.0</v>
      </c>
      <c r="OR24" s="8">
        <v>1.0</v>
      </c>
      <c r="OS24" s="8">
        <v>0.0</v>
      </c>
      <c r="OT24" s="8">
        <v>0.0</v>
      </c>
      <c r="OU24" s="8">
        <v>0.0</v>
      </c>
      <c r="OV24" s="8">
        <v>0.0</v>
      </c>
      <c r="OW24" s="8">
        <v>0.0</v>
      </c>
      <c r="OX24" s="8">
        <v>0.0</v>
      </c>
      <c r="OY24" s="9"/>
      <c r="OZ24" s="9"/>
      <c r="PA24" s="9"/>
      <c r="PB24" s="9"/>
      <c r="PC24" s="9"/>
      <c r="PD24" s="9"/>
      <c r="PE24" s="9"/>
      <c r="PF24" s="9"/>
      <c r="PG24" s="9"/>
      <c r="PH24" s="9"/>
      <c r="PI24" s="9"/>
      <c r="PJ24" s="9" t="s">
        <v>900</v>
      </c>
      <c r="PK24" s="8">
        <v>0.0</v>
      </c>
      <c r="PL24" s="8">
        <v>0.0</v>
      </c>
      <c r="PM24" s="8">
        <v>0.0</v>
      </c>
      <c r="PN24" s="8">
        <v>0.0</v>
      </c>
      <c r="PO24" s="8">
        <v>0.0</v>
      </c>
      <c r="PP24" s="8">
        <v>1.0</v>
      </c>
      <c r="PQ24" s="8">
        <v>0.0</v>
      </c>
      <c r="PR24" s="8">
        <v>0.0</v>
      </c>
      <c r="PS24" s="8">
        <v>0.0</v>
      </c>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8">
        <v>2.0</v>
      </c>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t="s">
        <v>901</v>
      </c>
      <c r="UB24" s="9"/>
      <c r="UC24" s="9"/>
      <c r="UD24" s="9"/>
      <c r="UE24" s="9"/>
      <c r="UF24" s="9"/>
      <c r="UG24" s="9"/>
      <c r="UH24" s="9"/>
      <c r="UI24" s="9" t="s">
        <v>950</v>
      </c>
      <c r="UJ24" s="9"/>
      <c r="UK24" s="9"/>
      <c r="UL24" s="9"/>
      <c r="UM24" s="9"/>
      <c r="UN24" s="9"/>
      <c r="UO24" s="9"/>
      <c r="UP24" s="9"/>
      <c r="UQ24" s="9" t="s">
        <v>903</v>
      </c>
      <c r="UR24" s="9"/>
      <c r="US24" s="9"/>
      <c r="UT24" s="9"/>
      <c r="UU24" s="9"/>
      <c r="UV24" s="9"/>
      <c r="UW24" s="9"/>
      <c r="UX24" s="9"/>
      <c r="UY24" s="9"/>
      <c r="UZ24" s="9"/>
      <c r="VA24" s="9"/>
      <c r="VB24" s="9"/>
      <c r="VC24" s="9"/>
      <c r="VD24" s="9"/>
      <c r="VE24" s="9"/>
      <c r="VF24" s="9"/>
      <c r="VG24" s="9"/>
      <c r="VH24" s="9"/>
      <c r="VI24" s="9"/>
      <c r="VJ24" s="9"/>
      <c r="VK24" s="9" t="s">
        <v>1214</v>
      </c>
      <c r="VL24" s="8">
        <v>0.0</v>
      </c>
      <c r="VM24" s="8">
        <v>0.0</v>
      </c>
      <c r="VN24" s="8">
        <v>1.0</v>
      </c>
      <c r="VO24" s="8">
        <v>1.0</v>
      </c>
      <c r="VP24" s="8">
        <v>0.0</v>
      </c>
      <c r="VQ24" s="8">
        <v>1.0</v>
      </c>
      <c r="VR24" s="8">
        <v>0.0</v>
      </c>
      <c r="VS24" s="8">
        <v>0.0</v>
      </c>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8">
        <v>50.0</v>
      </c>
      <c r="YU24" s="9"/>
      <c r="YV24" s="9"/>
      <c r="YW24" s="9"/>
      <c r="YX24" s="9"/>
      <c r="YY24" s="9"/>
      <c r="YZ24" s="9"/>
      <c r="ZA24" s="9"/>
      <c r="ZB24" s="8">
        <v>2.0</v>
      </c>
      <c r="ZC24" s="9"/>
      <c r="ZD24" s="9"/>
      <c r="ZE24" s="9"/>
      <c r="ZF24" s="9"/>
      <c r="ZG24" s="9"/>
      <c r="ZH24" s="9"/>
      <c r="ZI24" s="9"/>
      <c r="ZJ24" s="9" t="s">
        <v>905</v>
      </c>
      <c r="ZK24" s="9"/>
      <c r="ZL24" s="9"/>
      <c r="ZM24" s="9"/>
      <c r="ZN24" s="9"/>
      <c r="ZO24" s="9"/>
      <c r="ZP24" s="9"/>
      <c r="ZQ24" s="9" t="s">
        <v>857</v>
      </c>
      <c r="ZR24" s="9" t="s">
        <v>1033</v>
      </c>
      <c r="ZS24" s="8">
        <v>1.0</v>
      </c>
      <c r="ZT24" s="8">
        <v>1.0</v>
      </c>
      <c r="ZU24" s="8">
        <v>50.0</v>
      </c>
      <c r="ZV24" s="8">
        <v>50.0</v>
      </c>
      <c r="ZW24" s="9" t="s">
        <v>857</v>
      </c>
      <c r="ZX24" s="9" t="s">
        <v>867</v>
      </c>
      <c r="ZY24" s="9" t="s">
        <v>1074</v>
      </c>
      <c r="ZZ24" s="8">
        <v>1.0</v>
      </c>
      <c r="AAA24" s="8">
        <v>0.0</v>
      </c>
      <c r="AAB24" s="8">
        <v>0.0</v>
      </c>
      <c r="AAC24" s="8">
        <v>1.0</v>
      </c>
      <c r="AAD24" s="8">
        <v>1.0</v>
      </c>
      <c r="AAE24" s="8">
        <v>0.0</v>
      </c>
      <c r="AAF24" s="8">
        <v>0.0</v>
      </c>
      <c r="AAG24" s="9" t="s">
        <v>907</v>
      </c>
      <c r="AAH24" s="8">
        <v>1.0</v>
      </c>
      <c r="AAI24" s="8">
        <v>0.0</v>
      </c>
      <c r="AAJ24" s="8">
        <v>0.0</v>
      </c>
      <c r="AAK24" s="8">
        <v>0.0</v>
      </c>
      <c r="AAL24" s="8">
        <v>0.0</v>
      </c>
      <c r="AAM24" s="9"/>
      <c r="AAN24" s="9"/>
      <c r="AAO24" s="9"/>
      <c r="AAP24" s="9"/>
      <c r="AAQ24" s="9"/>
      <c r="AAR24" s="9"/>
      <c r="AAS24" s="9"/>
      <c r="AAT24" s="9"/>
      <c r="AAU24" s="9"/>
      <c r="AAV24" s="11" t="s">
        <v>953</v>
      </c>
      <c r="AAW24" s="9" t="s">
        <v>1075</v>
      </c>
      <c r="AAX24" s="8">
        <v>2000.0</v>
      </c>
      <c r="AAY24" s="8">
        <v>200.0</v>
      </c>
      <c r="AAZ24" s="8">
        <v>50.0</v>
      </c>
      <c r="ABA24" s="8">
        <v>50.0</v>
      </c>
      <c r="ABB24" s="9" t="s">
        <v>1199</v>
      </c>
      <c r="ABC24" s="9"/>
      <c r="ABD24" s="8">
        <v>30.0</v>
      </c>
      <c r="ABE24" s="8">
        <v>4000.0</v>
      </c>
      <c r="ABF24" s="8">
        <v>0.0</v>
      </c>
      <c r="ABG24" s="8">
        <v>4000.0</v>
      </c>
      <c r="ABH24" s="8">
        <v>400.0</v>
      </c>
      <c r="ABI24" s="8">
        <v>600.0</v>
      </c>
      <c r="ABJ24" s="9" t="s">
        <v>857</v>
      </c>
      <c r="ABK24" s="9" t="s">
        <v>1183</v>
      </c>
      <c r="ABL24" s="9" t="s">
        <v>911</v>
      </c>
      <c r="ABM24" s="9" t="s">
        <v>911</v>
      </c>
      <c r="ABN24" s="9"/>
      <c r="ABO24" s="9"/>
      <c r="ABP24" s="9" t="s">
        <v>976</v>
      </c>
      <c r="ABQ24" s="8">
        <v>0.0</v>
      </c>
      <c r="ABR24" s="8">
        <v>0.0</v>
      </c>
      <c r="ABS24" s="8">
        <v>1.0</v>
      </c>
      <c r="ABT24" s="8">
        <v>1.0</v>
      </c>
      <c r="ABU24" s="8">
        <v>0.0</v>
      </c>
      <c r="ABV24" s="8">
        <v>0.0</v>
      </c>
      <c r="ABW24" s="8">
        <v>0.0</v>
      </c>
      <c r="ABX24" s="9"/>
      <c r="ABY24" s="9" t="s">
        <v>912</v>
      </c>
      <c r="ABZ24" s="9" t="s">
        <v>1050</v>
      </c>
      <c r="ACA24" s="9" t="s">
        <v>957</v>
      </c>
      <c r="ACB24" s="9" t="s">
        <v>915</v>
      </c>
      <c r="ACC24" s="9" t="s">
        <v>916</v>
      </c>
      <c r="ACD24" s="9" t="s">
        <v>1035</v>
      </c>
      <c r="ACE24" s="8">
        <v>1.0</v>
      </c>
      <c r="ACF24" s="8">
        <v>1.0</v>
      </c>
      <c r="ACG24" s="8">
        <v>0.0</v>
      </c>
      <c r="ACH24" s="8">
        <v>0.0</v>
      </c>
      <c r="ACI24" s="9" t="s">
        <v>917</v>
      </c>
      <c r="ACJ24" s="9" t="s">
        <v>917</v>
      </c>
      <c r="ACK24" s="9" t="s">
        <v>917</v>
      </c>
      <c r="ACL24" s="9" t="s">
        <v>917</v>
      </c>
      <c r="ACM24" s="9" t="s">
        <v>881</v>
      </c>
      <c r="ACN24" s="9"/>
      <c r="ACO24" s="9" t="s">
        <v>917</v>
      </c>
      <c r="ACP24" s="9"/>
      <c r="ACQ24" s="9"/>
      <c r="ACR24" s="9"/>
      <c r="ACS24" s="9"/>
      <c r="ACT24" s="9"/>
      <c r="ACU24" s="9"/>
      <c r="ACV24" s="9"/>
      <c r="ACW24" s="9"/>
      <c r="ACX24" s="9"/>
      <c r="ACY24" s="9"/>
      <c r="ACZ24" s="9" t="s">
        <v>919</v>
      </c>
      <c r="ADA24" s="8">
        <v>0.0</v>
      </c>
      <c r="ADB24" s="8">
        <v>0.0</v>
      </c>
      <c r="ADC24" s="8">
        <v>0.0</v>
      </c>
      <c r="ADD24" s="8">
        <v>0.0</v>
      </c>
      <c r="ADE24" s="8">
        <v>1.0</v>
      </c>
      <c r="ADF24" s="8">
        <v>0.0</v>
      </c>
      <c r="ADG24" s="8">
        <v>0.0</v>
      </c>
      <c r="ADH24" s="8">
        <v>0.0</v>
      </c>
      <c r="ADI24" s="12"/>
      <c r="ADJ24" s="17" t="s">
        <v>872</v>
      </c>
      <c r="ADK24" s="9"/>
      <c r="ADL24" s="17" t="s">
        <v>920</v>
      </c>
      <c r="ADM24" s="9"/>
      <c r="ADN24" s="11" t="s">
        <v>999</v>
      </c>
      <c r="ADO24" s="9" t="s">
        <v>871</v>
      </c>
      <c r="ADP24" s="17" t="s">
        <v>1108</v>
      </c>
      <c r="ADQ24" s="18">
        <v>1.0</v>
      </c>
      <c r="ADR24" s="18">
        <v>1.0</v>
      </c>
      <c r="ADS24" s="18">
        <v>1.0</v>
      </c>
      <c r="ADT24" s="18">
        <v>1.0</v>
      </c>
      <c r="ADU24" s="18">
        <v>1.0</v>
      </c>
      <c r="ADV24" s="18">
        <v>1.0</v>
      </c>
      <c r="ADW24" s="18">
        <v>1.0</v>
      </c>
      <c r="ADX24" s="18">
        <v>1.0</v>
      </c>
      <c r="ADY24" s="18">
        <v>1.0</v>
      </c>
      <c r="ADZ24" s="18">
        <v>0.0</v>
      </c>
      <c r="AEA24" s="18">
        <v>0.0</v>
      </c>
      <c r="AEB24" s="18">
        <v>0.0</v>
      </c>
      <c r="AEC24" s="9"/>
      <c r="AED24" s="9" t="s">
        <v>923</v>
      </c>
      <c r="AEE24" s="9"/>
      <c r="AEF24" s="9" t="s">
        <v>1188</v>
      </c>
      <c r="AEG24" s="9"/>
      <c r="AEH24" s="9" t="s">
        <v>1233</v>
      </c>
      <c r="AEI24" s="16" t="s">
        <v>1234</v>
      </c>
      <c r="AEJ24" s="9" t="s">
        <v>1235</v>
      </c>
      <c r="AEK24" s="16" t="s">
        <v>1236</v>
      </c>
      <c r="AEL24" s="9" t="s">
        <v>1137</v>
      </c>
      <c r="AEM24" s="9"/>
      <c r="AEN24" s="9"/>
    </row>
    <row r="25">
      <c r="A25" s="6">
        <v>46059.0</v>
      </c>
      <c r="B25" s="6">
        <v>46059.0</v>
      </c>
      <c r="C25" s="7" t="s">
        <v>837</v>
      </c>
      <c r="D25" s="7" t="s">
        <v>1237</v>
      </c>
      <c r="E25" s="8">
        <f>+6285249535454</f>
        <v>6285249535454</v>
      </c>
      <c r="F25" s="9"/>
      <c r="G25" s="8">
        <v>-7.2145126</v>
      </c>
      <c r="H25" s="8">
        <v>110.2632742</v>
      </c>
      <c r="I25" s="9"/>
      <c r="J25" s="8">
        <v>2.84</v>
      </c>
      <c r="K25" s="9"/>
      <c r="L25" s="9"/>
      <c r="M25" s="8">
        <v>-7.2144802</v>
      </c>
      <c r="N25" s="8">
        <v>110.2633426</v>
      </c>
      <c r="O25" s="9"/>
      <c r="P25" s="8">
        <v>4.97</v>
      </c>
      <c r="Q25" s="9"/>
      <c r="R25" s="9" t="s">
        <v>839</v>
      </c>
      <c r="S25" s="9"/>
      <c r="T25" s="9"/>
      <c r="U25" s="9"/>
      <c r="V25" s="9"/>
      <c r="W25" s="9"/>
      <c r="X25" s="9"/>
      <c r="Y25" s="9"/>
      <c r="Z25" s="9"/>
      <c r="AA25" s="9"/>
      <c r="AB25" s="9"/>
      <c r="AC25" s="7" t="s">
        <v>1175</v>
      </c>
      <c r="AD25" s="7" t="s">
        <v>1176</v>
      </c>
      <c r="AE25" s="7" t="s">
        <v>1195</v>
      </c>
      <c r="AF25" s="9" t="s">
        <v>1178</v>
      </c>
      <c r="AG25" s="9" t="s">
        <v>1238</v>
      </c>
      <c r="AH25" s="8">
        <v>2.0</v>
      </c>
      <c r="AI25" s="9" t="s">
        <v>845</v>
      </c>
      <c r="AJ25" s="9" t="s">
        <v>846</v>
      </c>
      <c r="AK25" s="8">
        <v>37.0</v>
      </c>
      <c r="AL25" s="9" t="s">
        <v>847</v>
      </c>
      <c r="AM25" s="9" t="s">
        <v>848</v>
      </c>
      <c r="AN25" s="9" t="s">
        <v>1099</v>
      </c>
      <c r="AO25" s="9" t="s">
        <v>935</v>
      </c>
      <c r="AP25" s="8">
        <v>0.0</v>
      </c>
      <c r="AQ25" s="8">
        <v>1.0</v>
      </c>
      <c r="AR25" s="8">
        <v>0.0</v>
      </c>
      <c r="AS25" s="8">
        <v>0.0</v>
      </c>
      <c r="AT25" s="8">
        <v>0.0</v>
      </c>
      <c r="AU25" s="8">
        <v>0.0</v>
      </c>
      <c r="AV25" s="8">
        <v>0.0</v>
      </c>
      <c r="AW25" s="8">
        <v>0.0</v>
      </c>
      <c r="AX25" s="9"/>
      <c r="AY25" s="9" t="s">
        <v>1168</v>
      </c>
      <c r="AZ25" s="8">
        <v>0.0</v>
      </c>
      <c r="BA25" s="8">
        <v>0.0</v>
      </c>
      <c r="BB25" s="8">
        <v>0.0</v>
      </c>
      <c r="BC25" s="8">
        <v>0.0</v>
      </c>
      <c r="BD25" s="8">
        <v>1.0</v>
      </c>
      <c r="BE25" s="8">
        <v>0.0</v>
      </c>
      <c r="BF25" s="8">
        <v>0.0</v>
      </c>
      <c r="BG25" s="8">
        <v>0.0</v>
      </c>
      <c r="BH25" s="9"/>
      <c r="BI25" s="9" t="s">
        <v>852</v>
      </c>
      <c r="BJ25" s="8">
        <v>1.0</v>
      </c>
      <c r="BK25" s="8">
        <v>1.0</v>
      </c>
      <c r="BL25" s="8">
        <v>1.0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2024.0</v>
      </c>
      <c r="CN25" s="9" t="s">
        <v>858</v>
      </c>
      <c r="CO25" s="9" t="s">
        <v>859</v>
      </c>
      <c r="CP25" s="9" t="s">
        <v>860</v>
      </c>
      <c r="CQ25" s="8">
        <v>0.0</v>
      </c>
      <c r="CR25" s="8">
        <v>0.0</v>
      </c>
      <c r="CS25" s="8">
        <v>0.0</v>
      </c>
      <c r="CT25" s="8">
        <v>0.0</v>
      </c>
      <c r="CU25" s="10">
        <v>1.0</v>
      </c>
      <c r="CV25" s="10">
        <v>0.0</v>
      </c>
      <c r="CW25" s="10">
        <v>0.0</v>
      </c>
      <c r="CX25" s="8">
        <v>0.0</v>
      </c>
      <c r="CY25" s="9" t="s">
        <v>860</v>
      </c>
      <c r="CZ25" s="8">
        <v>1.0</v>
      </c>
      <c r="DA25" s="8">
        <v>0.0</v>
      </c>
      <c r="DB25" s="8">
        <v>0.0</v>
      </c>
      <c r="DC25" s="9"/>
      <c r="DD25" s="9" t="s">
        <v>937</v>
      </c>
      <c r="DE25" s="8">
        <v>1.0</v>
      </c>
      <c r="DF25" s="8">
        <v>0.0</v>
      </c>
      <c r="DG25" s="8">
        <v>1.0</v>
      </c>
      <c r="DH25" s="8">
        <v>0.0</v>
      </c>
      <c r="DI25" s="9"/>
      <c r="DJ25" s="9" t="s">
        <v>937</v>
      </c>
      <c r="DK25" s="8">
        <v>1.0</v>
      </c>
      <c r="DL25" s="8">
        <v>0.0</v>
      </c>
      <c r="DM25" s="8">
        <v>1.0</v>
      </c>
      <c r="DN25" s="8">
        <v>0.0</v>
      </c>
      <c r="DO25" s="9"/>
      <c r="DP25" s="8">
        <v>1.0</v>
      </c>
      <c r="DQ25" s="8">
        <v>0.0</v>
      </c>
      <c r="DR25" s="8">
        <v>0.0</v>
      </c>
      <c r="DS25" s="9"/>
      <c r="DT25" s="9"/>
      <c r="DU25" s="9"/>
      <c r="DV25" s="9" t="s">
        <v>857</v>
      </c>
      <c r="DW25" s="9"/>
      <c r="DX25" s="9"/>
      <c r="DY25" s="9"/>
      <c r="DZ25" s="9"/>
      <c r="EA25" s="9"/>
      <c r="EB25" s="9"/>
      <c r="EC25" s="9"/>
      <c r="ED25" s="9"/>
      <c r="EE25" s="9"/>
      <c r="EF25" s="9"/>
      <c r="EG25" s="9"/>
      <c r="EH25" s="9"/>
      <c r="EI25" s="9" t="s">
        <v>862</v>
      </c>
      <c r="EJ25" s="8">
        <v>0.0</v>
      </c>
      <c r="EK25" s="8">
        <v>0.0</v>
      </c>
      <c r="EL25" s="8">
        <v>0.0</v>
      </c>
      <c r="EM25" s="8">
        <v>1.0</v>
      </c>
      <c r="EN25" s="8">
        <v>0.0</v>
      </c>
      <c r="EO25" s="11"/>
      <c r="EP25" s="9" t="s">
        <v>863</v>
      </c>
      <c r="EQ25" s="9" t="s">
        <v>864</v>
      </c>
      <c r="ER25" s="9" t="s">
        <v>861</v>
      </c>
      <c r="ES25" s="8">
        <v>1.0</v>
      </c>
      <c r="ET25" s="8">
        <v>0.0</v>
      </c>
      <c r="EU25" s="8">
        <v>0.0</v>
      </c>
      <c r="EV25" s="8">
        <v>0.0</v>
      </c>
      <c r="EW25" s="9"/>
      <c r="EX25" s="9" t="s">
        <v>865</v>
      </c>
      <c r="EY25" s="8">
        <v>1.0</v>
      </c>
      <c r="EZ25" s="8">
        <v>0.0</v>
      </c>
      <c r="FA25" s="8">
        <v>0.0</v>
      </c>
      <c r="FB25" s="9"/>
      <c r="FC25" s="9" t="s">
        <v>866</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989</v>
      </c>
      <c r="FV25" s="8">
        <v>1.0</v>
      </c>
      <c r="FW25" s="8">
        <v>1.0</v>
      </c>
      <c r="FX25" s="8">
        <v>0.0</v>
      </c>
      <c r="FY25" s="8">
        <v>0.0</v>
      </c>
      <c r="FZ25" s="9" t="s">
        <v>873</v>
      </c>
      <c r="GA25" s="9" t="s">
        <v>874</v>
      </c>
      <c r="GB25" s="8">
        <v>1.0</v>
      </c>
      <c r="GC25" s="8">
        <v>0.0</v>
      </c>
      <c r="GD25" s="8">
        <v>0.0</v>
      </c>
      <c r="GE25" s="8">
        <v>0.0</v>
      </c>
      <c r="GF25" s="9"/>
      <c r="GG25" s="9" t="s">
        <v>875</v>
      </c>
      <c r="GH25" s="9" t="s">
        <v>857</v>
      </c>
      <c r="GI25" s="9" t="s">
        <v>876</v>
      </c>
      <c r="GJ25" s="8">
        <v>1.0</v>
      </c>
      <c r="GK25" s="8">
        <v>0.0</v>
      </c>
      <c r="GL25" s="8">
        <v>0.0</v>
      </c>
      <c r="GM25" s="8">
        <v>0.0</v>
      </c>
      <c r="GN25" s="9"/>
      <c r="GO25" s="8">
        <v>9.0</v>
      </c>
      <c r="GP25" s="9" t="s">
        <v>877</v>
      </c>
      <c r="GQ25" s="9" t="s">
        <v>1102</v>
      </c>
      <c r="GR25" s="8">
        <v>1.0</v>
      </c>
      <c r="GS25" s="8">
        <v>0.0</v>
      </c>
      <c r="GT25" s="8">
        <v>0.0</v>
      </c>
      <c r="GU25" s="8">
        <v>0.0</v>
      </c>
      <c r="GV25" s="8">
        <v>0.0</v>
      </c>
      <c r="GW25" s="8">
        <v>0.0</v>
      </c>
      <c r="GX25" s="8">
        <v>0.0</v>
      </c>
      <c r="GY25" s="9"/>
      <c r="GZ25" s="9" t="s">
        <v>857</v>
      </c>
      <c r="HA25" s="9"/>
      <c r="HB25" s="9"/>
      <c r="HC25" s="9"/>
      <c r="HD25" s="9"/>
      <c r="HE25" s="8">
        <v>15.0</v>
      </c>
      <c r="HF25" s="8">
        <v>125000.0</v>
      </c>
      <c r="HG25" s="8">
        <v>3.0</v>
      </c>
      <c r="HH25" s="8">
        <v>25000.0</v>
      </c>
      <c r="HI25" s="9"/>
      <c r="HJ25" s="9"/>
      <c r="HK25" s="9"/>
      <c r="HL25" s="9"/>
      <c r="HM25" s="9"/>
      <c r="HN25" s="9"/>
      <c r="HO25" s="9"/>
      <c r="HP25" s="9"/>
      <c r="HQ25" s="9"/>
      <c r="HR25" s="9"/>
      <c r="HS25" s="9"/>
      <c r="HT25" s="9"/>
      <c r="HU25" s="9"/>
      <c r="HV25" s="9"/>
      <c r="HW25" s="9"/>
      <c r="HX25" s="9"/>
      <c r="HY25" s="9"/>
      <c r="HZ25" s="9"/>
      <c r="IA25" s="8">
        <v>12.0</v>
      </c>
      <c r="IB25" s="8">
        <v>100000.0</v>
      </c>
      <c r="IC25" s="9"/>
      <c r="ID25" s="9"/>
      <c r="IE25" s="9"/>
      <c r="IF25" s="9"/>
      <c r="IG25" s="9"/>
      <c r="IH25" s="9"/>
      <c r="II25" s="9"/>
      <c r="IJ25" s="9"/>
      <c r="IK25" s="9" t="s">
        <v>879</v>
      </c>
      <c r="IL25" s="9" t="s">
        <v>880</v>
      </c>
      <c r="IM25" s="9" t="s">
        <v>881</v>
      </c>
      <c r="IN25" s="9" t="s">
        <v>881</v>
      </c>
      <c r="IO25" s="9" t="s">
        <v>1206</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1180</v>
      </c>
      <c r="LB25" s="9" t="s">
        <v>1180</v>
      </c>
      <c r="LC25" s="8">
        <v>0.0</v>
      </c>
      <c r="LD25" s="8">
        <v>3.0</v>
      </c>
      <c r="LE25" s="8">
        <v>0.0</v>
      </c>
      <c r="LF25" s="8">
        <v>3.0</v>
      </c>
      <c r="LG25" s="9" t="s">
        <v>857</v>
      </c>
      <c r="LH25" s="8">
        <v>100000.0</v>
      </c>
      <c r="LI25" s="9"/>
      <c r="LJ25" s="9" t="s">
        <v>887</v>
      </c>
      <c r="LK25" s="8">
        <v>0.0</v>
      </c>
      <c r="LL25" s="8">
        <v>0.0</v>
      </c>
      <c r="LM25" s="8">
        <v>0.0</v>
      </c>
      <c r="LN25" s="8">
        <v>0.0</v>
      </c>
      <c r="LO25" s="8">
        <v>1.0</v>
      </c>
      <c r="LP25" s="8">
        <v>0.0</v>
      </c>
      <c r="LQ25" s="8">
        <v>0.0</v>
      </c>
      <c r="LR25" s="9"/>
      <c r="LS25" s="8">
        <v>15.0</v>
      </c>
      <c r="LT25" s="8">
        <v>15.0</v>
      </c>
      <c r="LU25" s="8">
        <v>0.0</v>
      </c>
      <c r="LV25" s="8">
        <v>5.0</v>
      </c>
      <c r="LW25" s="8">
        <v>5.0</v>
      </c>
      <c r="LX25" s="8">
        <v>0.0</v>
      </c>
      <c r="LY25" s="8">
        <v>5.0</v>
      </c>
      <c r="LZ25" s="8">
        <v>5.0</v>
      </c>
      <c r="MA25" s="8">
        <v>0.0</v>
      </c>
      <c r="MB25" s="9" t="s">
        <v>857</v>
      </c>
      <c r="MC25" s="8">
        <v>30.0</v>
      </c>
      <c r="MD25" s="8">
        <v>0.0</v>
      </c>
      <c r="ME25" s="8">
        <v>0.0</v>
      </c>
      <c r="MF25" s="8">
        <v>0.0</v>
      </c>
      <c r="MG25" s="8">
        <v>0.0</v>
      </c>
      <c r="MH25" s="8">
        <v>0.0</v>
      </c>
      <c r="MI25" s="9" t="s">
        <v>946</v>
      </c>
      <c r="MJ25" s="8">
        <v>0.0</v>
      </c>
      <c r="MK25" s="8">
        <v>0.0</v>
      </c>
      <c r="ML25" s="8">
        <v>1.0</v>
      </c>
      <c r="MM25" s="8">
        <v>0.0</v>
      </c>
      <c r="MN25" s="8">
        <v>0.0</v>
      </c>
      <c r="MO25" s="8">
        <v>0.0</v>
      </c>
      <c r="MP25" s="9"/>
      <c r="MQ25" s="9"/>
      <c r="MR25" s="9" t="s">
        <v>1029</v>
      </c>
      <c r="MS25" s="9"/>
      <c r="MT25" s="9" t="s">
        <v>1223</v>
      </c>
      <c r="MU25" s="9" t="s">
        <v>881</v>
      </c>
      <c r="MV25" s="9"/>
      <c r="MW25" s="9"/>
      <c r="MX25" s="9"/>
      <c r="MY25" s="9"/>
      <c r="MZ25" s="9"/>
      <c r="NA25" s="9"/>
      <c r="NB25" s="9"/>
      <c r="NC25" s="9"/>
      <c r="ND25" s="9"/>
      <c r="NE25" s="9"/>
      <c r="NF25" s="9"/>
      <c r="NG25" s="9"/>
      <c r="NH25" s="9"/>
      <c r="NI25" s="9"/>
      <c r="NJ25" s="9"/>
      <c r="NK25" s="9"/>
      <c r="NL25" s="9" t="s">
        <v>857</v>
      </c>
      <c r="NM25" s="9" t="s">
        <v>893</v>
      </c>
      <c r="NN25" s="9" t="s">
        <v>993</v>
      </c>
      <c r="NO25" s="9" t="s">
        <v>994</v>
      </c>
      <c r="NP25" s="9"/>
      <c r="NQ25" s="9"/>
      <c r="NR25" s="9"/>
      <c r="NS25" s="9"/>
      <c r="NT25" s="9"/>
      <c r="NU25" s="9"/>
      <c r="NV25" s="9" t="s">
        <v>896</v>
      </c>
      <c r="NW25" s="9"/>
      <c r="NX25" s="9" t="s">
        <v>1183</v>
      </c>
      <c r="NY25" s="8">
        <v>30.0</v>
      </c>
      <c r="NZ25" s="8">
        <v>0.0</v>
      </c>
      <c r="OA25" s="8">
        <v>0.0</v>
      </c>
      <c r="OB25" s="8">
        <v>5.0</v>
      </c>
      <c r="OC25" s="8">
        <v>5.0</v>
      </c>
      <c r="OD25" s="8">
        <v>0.0</v>
      </c>
      <c r="OE25" s="9" t="s">
        <v>898</v>
      </c>
      <c r="OF25" s="9" t="s">
        <v>1184</v>
      </c>
      <c r="OG25" s="9" t="s">
        <v>857</v>
      </c>
      <c r="OH25" s="8">
        <v>0.0</v>
      </c>
      <c r="OI25" s="8">
        <v>5.0</v>
      </c>
      <c r="OJ25" s="8">
        <v>0.0</v>
      </c>
      <c r="OK25" s="8">
        <v>0.0</v>
      </c>
      <c r="OL25" s="8">
        <v>0.0</v>
      </c>
      <c r="OM25" s="8">
        <v>0.0</v>
      </c>
      <c r="ON25" s="8">
        <v>0.0</v>
      </c>
      <c r="OO25" s="8">
        <v>0.0</v>
      </c>
      <c r="OP25" s="9" t="s">
        <v>2948</v>
      </c>
      <c r="OQ25" s="8">
        <v>0.0</v>
      </c>
      <c r="OR25" s="8">
        <v>1.0</v>
      </c>
      <c r="OS25" s="8">
        <v>0.0</v>
      </c>
      <c r="OT25" s="8">
        <v>0.0</v>
      </c>
      <c r="OU25" s="8">
        <v>0.0</v>
      </c>
      <c r="OV25" s="8">
        <v>0.0</v>
      </c>
      <c r="OW25" s="8">
        <v>0.0</v>
      </c>
      <c r="OX25" s="8">
        <v>0.0</v>
      </c>
      <c r="OY25" s="9"/>
      <c r="OZ25" s="9"/>
      <c r="PA25" s="9"/>
      <c r="PB25" s="9"/>
      <c r="PC25" s="9"/>
      <c r="PD25" s="9"/>
      <c r="PE25" s="9"/>
      <c r="PF25" s="9"/>
      <c r="PG25" s="9"/>
      <c r="PH25" s="9"/>
      <c r="PI25" s="9"/>
      <c r="PJ25" s="9" t="s">
        <v>900</v>
      </c>
      <c r="PK25" s="8">
        <v>0.0</v>
      </c>
      <c r="PL25" s="8">
        <v>0.0</v>
      </c>
      <c r="PM25" s="8">
        <v>0.0</v>
      </c>
      <c r="PN25" s="8">
        <v>0.0</v>
      </c>
      <c r="PO25" s="8">
        <v>0.0</v>
      </c>
      <c r="PP25" s="8">
        <v>1.0</v>
      </c>
      <c r="PQ25" s="8">
        <v>0.0</v>
      </c>
      <c r="PR25" s="8">
        <v>0.0</v>
      </c>
      <c r="PS25" s="8">
        <v>0.0</v>
      </c>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8">
        <v>5.0</v>
      </c>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t="s">
        <v>901</v>
      </c>
      <c r="UB25" s="9"/>
      <c r="UC25" s="9"/>
      <c r="UD25" s="9"/>
      <c r="UE25" s="9"/>
      <c r="UF25" s="9"/>
      <c r="UG25" s="9"/>
      <c r="UH25" s="9"/>
      <c r="UI25" s="9" t="s">
        <v>950</v>
      </c>
      <c r="UJ25" s="9"/>
      <c r="UK25" s="9"/>
      <c r="UL25" s="9"/>
      <c r="UM25" s="9"/>
      <c r="UN25" s="9"/>
      <c r="UO25" s="9"/>
      <c r="UP25" s="9"/>
      <c r="UQ25" s="9" t="s">
        <v>903</v>
      </c>
      <c r="UR25" s="9"/>
      <c r="US25" s="9"/>
      <c r="UT25" s="9"/>
      <c r="UU25" s="9"/>
      <c r="UV25" s="9"/>
      <c r="UW25" s="9"/>
      <c r="UX25" s="9"/>
      <c r="UY25" s="9"/>
      <c r="UZ25" s="9"/>
      <c r="VA25" s="9"/>
      <c r="VB25" s="9"/>
      <c r="VC25" s="9"/>
      <c r="VD25" s="9"/>
      <c r="VE25" s="9"/>
      <c r="VF25" s="9"/>
      <c r="VG25" s="9"/>
      <c r="VH25" s="9"/>
      <c r="VI25" s="9"/>
      <c r="VJ25" s="9"/>
      <c r="VK25" s="9" t="s">
        <v>1239</v>
      </c>
      <c r="VL25" s="8">
        <v>0.0</v>
      </c>
      <c r="VM25" s="8">
        <v>1.0</v>
      </c>
      <c r="VN25" s="8">
        <v>1.0</v>
      </c>
      <c r="VO25" s="8">
        <v>1.0</v>
      </c>
      <c r="VP25" s="8">
        <v>0.0</v>
      </c>
      <c r="VQ25" s="8">
        <v>1.0</v>
      </c>
      <c r="VR25" s="8">
        <v>0.0</v>
      </c>
      <c r="VS25" s="8">
        <v>0.0</v>
      </c>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8">
        <v>60.0</v>
      </c>
      <c r="YU25" s="9"/>
      <c r="YV25" s="9"/>
      <c r="YW25" s="9"/>
      <c r="YX25" s="9"/>
      <c r="YY25" s="9"/>
      <c r="YZ25" s="9"/>
      <c r="ZA25" s="9"/>
      <c r="ZB25" s="8">
        <v>2.0</v>
      </c>
      <c r="ZC25" s="9"/>
      <c r="ZD25" s="9"/>
      <c r="ZE25" s="9"/>
      <c r="ZF25" s="9"/>
      <c r="ZG25" s="9"/>
      <c r="ZH25" s="9"/>
      <c r="ZI25" s="9"/>
      <c r="ZJ25" s="9" t="s">
        <v>905</v>
      </c>
      <c r="ZK25" s="9"/>
      <c r="ZL25" s="9"/>
      <c r="ZM25" s="9"/>
      <c r="ZN25" s="9"/>
      <c r="ZO25" s="9"/>
      <c r="ZP25" s="9"/>
      <c r="ZQ25" s="9" t="s">
        <v>857</v>
      </c>
      <c r="ZR25" s="9" t="s">
        <v>1033</v>
      </c>
      <c r="ZS25" s="8">
        <v>1.0</v>
      </c>
      <c r="ZT25" s="8">
        <v>1.0</v>
      </c>
      <c r="ZU25" s="8">
        <v>60.0</v>
      </c>
      <c r="ZV25" s="8">
        <v>60.0</v>
      </c>
      <c r="ZW25" s="9" t="s">
        <v>857</v>
      </c>
      <c r="ZX25" s="9" t="s">
        <v>867</v>
      </c>
      <c r="ZY25" s="9" t="s">
        <v>1074</v>
      </c>
      <c r="ZZ25" s="8">
        <v>1.0</v>
      </c>
      <c r="AAA25" s="8">
        <v>0.0</v>
      </c>
      <c r="AAB25" s="8">
        <v>0.0</v>
      </c>
      <c r="AAC25" s="8">
        <v>1.0</v>
      </c>
      <c r="AAD25" s="8">
        <v>1.0</v>
      </c>
      <c r="AAE25" s="8">
        <v>0.0</v>
      </c>
      <c r="AAF25" s="8">
        <v>0.0</v>
      </c>
      <c r="AAG25" s="9" t="s">
        <v>907</v>
      </c>
      <c r="AAH25" s="8">
        <v>1.0</v>
      </c>
      <c r="AAI25" s="8">
        <v>0.0</v>
      </c>
      <c r="AAJ25" s="8">
        <v>0.0</v>
      </c>
      <c r="AAK25" s="8">
        <v>0.0</v>
      </c>
      <c r="AAL25" s="8">
        <v>0.0</v>
      </c>
      <c r="AAM25" s="9"/>
      <c r="AAN25" s="9"/>
      <c r="AAO25" s="9"/>
      <c r="AAP25" s="9"/>
      <c r="AAQ25" s="9"/>
      <c r="AAR25" s="9"/>
      <c r="AAS25" s="9"/>
      <c r="AAT25" s="9"/>
      <c r="AAU25" s="9"/>
      <c r="AAV25" s="11" t="s">
        <v>953</v>
      </c>
      <c r="AAW25" s="9" t="s">
        <v>1240</v>
      </c>
      <c r="AAX25" s="8">
        <v>2500.0</v>
      </c>
      <c r="AAY25" s="8">
        <v>500.0</v>
      </c>
      <c r="AAZ25" s="8">
        <v>60.0</v>
      </c>
      <c r="ABA25" s="8">
        <v>60.0</v>
      </c>
      <c r="ABB25" s="9" t="s">
        <v>1199</v>
      </c>
      <c r="ABC25" s="9"/>
      <c r="ABD25" s="8">
        <v>40.0</v>
      </c>
      <c r="ABE25" s="8">
        <v>4000.0</v>
      </c>
      <c r="ABF25" s="8">
        <v>0.0</v>
      </c>
      <c r="ABG25" s="8">
        <v>4000.0</v>
      </c>
      <c r="ABH25" s="8">
        <v>500.0</v>
      </c>
      <c r="ABI25" s="8">
        <v>750.0</v>
      </c>
      <c r="ABJ25" s="9" t="s">
        <v>857</v>
      </c>
      <c r="ABK25" s="9" t="s">
        <v>1183</v>
      </c>
      <c r="ABL25" s="9" t="s">
        <v>911</v>
      </c>
      <c r="ABM25" s="9" t="s">
        <v>911</v>
      </c>
      <c r="ABN25" s="9"/>
      <c r="ABO25" s="9"/>
      <c r="ABP25" s="9" t="s">
        <v>976</v>
      </c>
      <c r="ABQ25" s="8">
        <v>0.0</v>
      </c>
      <c r="ABR25" s="8">
        <v>0.0</v>
      </c>
      <c r="ABS25" s="8">
        <v>1.0</v>
      </c>
      <c r="ABT25" s="8">
        <v>1.0</v>
      </c>
      <c r="ABU25" s="8">
        <v>0.0</v>
      </c>
      <c r="ABV25" s="8">
        <v>0.0</v>
      </c>
      <c r="ABW25" s="8">
        <v>0.0</v>
      </c>
      <c r="ABX25" s="9"/>
      <c r="ABY25" s="9" t="s">
        <v>912</v>
      </c>
      <c r="ABZ25" s="9" t="s">
        <v>1050</v>
      </c>
      <c r="ACA25" s="9" t="s">
        <v>957</v>
      </c>
      <c r="ACB25" s="9" t="s">
        <v>915</v>
      </c>
      <c r="ACC25" s="9" t="s">
        <v>916</v>
      </c>
      <c r="ACD25" s="9" t="s">
        <v>1035</v>
      </c>
      <c r="ACE25" s="8">
        <v>1.0</v>
      </c>
      <c r="ACF25" s="8">
        <v>1.0</v>
      </c>
      <c r="ACG25" s="8">
        <v>0.0</v>
      </c>
      <c r="ACH25" s="8">
        <v>0.0</v>
      </c>
      <c r="ACI25" s="9" t="s">
        <v>917</v>
      </c>
      <c r="ACJ25" s="9" t="s">
        <v>917</v>
      </c>
      <c r="ACK25" s="9" t="s">
        <v>917</v>
      </c>
      <c r="ACL25" s="9" t="s">
        <v>917</v>
      </c>
      <c r="ACM25" s="9" t="s">
        <v>881</v>
      </c>
      <c r="ACN25" s="9"/>
      <c r="ACO25" s="9" t="s">
        <v>1187</v>
      </c>
      <c r="ACP25" s="9"/>
      <c r="ACQ25" s="9"/>
      <c r="ACR25" s="9"/>
      <c r="ACS25" s="9"/>
      <c r="ACT25" s="9"/>
      <c r="ACU25" s="9"/>
      <c r="ACV25" s="9"/>
      <c r="ACW25" s="9"/>
      <c r="ACX25" s="9"/>
      <c r="ACY25" s="9"/>
      <c r="ACZ25" s="9" t="s">
        <v>919</v>
      </c>
      <c r="ADA25" s="8">
        <v>0.0</v>
      </c>
      <c r="ADB25" s="8">
        <v>0.0</v>
      </c>
      <c r="ADC25" s="8">
        <v>0.0</v>
      </c>
      <c r="ADD25" s="8">
        <v>0.0</v>
      </c>
      <c r="ADE25" s="8">
        <v>1.0</v>
      </c>
      <c r="ADF25" s="8">
        <v>0.0</v>
      </c>
      <c r="ADG25" s="8">
        <v>0.0</v>
      </c>
      <c r="ADH25" s="8">
        <v>0.0</v>
      </c>
      <c r="ADI25" s="12"/>
      <c r="ADJ25" s="17" t="s">
        <v>872</v>
      </c>
      <c r="ADK25" s="9"/>
      <c r="ADL25" s="17" t="s">
        <v>920</v>
      </c>
      <c r="ADM25" s="9"/>
      <c r="ADN25" s="11" t="s">
        <v>999</v>
      </c>
      <c r="ADO25" s="9" t="s">
        <v>871</v>
      </c>
      <c r="ADP25" s="17" t="s">
        <v>1108</v>
      </c>
      <c r="ADQ25" s="18">
        <v>1.0</v>
      </c>
      <c r="ADR25" s="18">
        <v>1.0</v>
      </c>
      <c r="ADS25" s="18">
        <v>1.0</v>
      </c>
      <c r="ADT25" s="18">
        <v>1.0</v>
      </c>
      <c r="ADU25" s="18">
        <v>1.0</v>
      </c>
      <c r="ADV25" s="18">
        <v>1.0</v>
      </c>
      <c r="ADW25" s="18">
        <v>1.0</v>
      </c>
      <c r="ADX25" s="18">
        <v>1.0</v>
      </c>
      <c r="ADY25" s="18">
        <v>1.0</v>
      </c>
      <c r="ADZ25" s="18">
        <v>0.0</v>
      </c>
      <c r="AEA25" s="18">
        <v>0.0</v>
      </c>
      <c r="AEB25" s="18">
        <v>0.0</v>
      </c>
      <c r="AEC25" s="9"/>
      <c r="AED25" s="9" t="s">
        <v>923</v>
      </c>
      <c r="AEE25" s="9"/>
      <c r="AEF25" s="9" t="s">
        <v>1188</v>
      </c>
      <c r="AEG25" s="9"/>
      <c r="AEH25" s="9" t="s">
        <v>1241</v>
      </c>
      <c r="AEI25" s="16" t="s">
        <v>1242</v>
      </c>
      <c r="AEJ25" s="9" t="s">
        <v>1243</v>
      </c>
      <c r="AEK25" s="16" t="s">
        <v>1244</v>
      </c>
      <c r="AEL25" s="9" t="s">
        <v>1137</v>
      </c>
      <c r="AEM25" s="9"/>
      <c r="AEN25" s="9"/>
    </row>
    <row r="26">
      <c r="A26" s="6">
        <v>46059.0</v>
      </c>
      <c r="B26" s="6">
        <v>46059.0</v>
      </c>
      <c r="C26" s="7" t="s">
        <v>837</v>
      </c>
      <c r="D26" s="7" t="s">
        <v>1245</v>
      </c>
      <c r="E26" s="8">
        <f>+6285601858426</f>
        <v>6285601858426</v>
      </c>
      <c r="F26" s="9"/>
      <c r="G26" s="8">
        <v>-7.21483541</v>
      </c>
      <c r="H26" s="8">
        <v>110.263039</v>
      </c>
      <c r="I26" s="9"/>
      <c r="J26" s="8">
        <v>4.89</v>
      </c>
      <c r="K26" s="9"/>
      <c r="L26" s="9"/>
      <c r="M26" s="8">
        <v>-7.21481921</v>
      </c>
      <c r="N26" s="8">
        <v>110.263195</v>
      </c>
      <c r="O26" s="9"/>
      <c r="P26" s="8">
        <v>4.97</v>
      </c>
      <c r="Q26" s="9"/>
      <c r="R26" s="9" t="s">
        <v>839</v>
      </c>
      <c r="S26" s="9"/>
      <c r="T26" s="9"/>
      <c r="U26" s="9"/>
      <c r="V26" s="9"/>
      <c r="W26" s="9"/>
      <c r="X26" s="9"/>
      <c r="Y26" s="9"/>
      <c r="Z26" s="9"/>
      <c r="AA26" s="9"/>
      <c r="AB26" s="9"/>
      <c r="AC26" s="7" t="s">
        <v>1175</v>
      </c>
      <c r="AD26" s="7" t="s">
        <v>1176</v>
      </c>
      <c r="AE26" s="7" t="s">
        <v>1195</v>
      </c>
      <c r="AF26" s="9" t="s">
        <v>1178</v>
      </c>
      <c r="AG26" s="9" t="s">
        <v>1246</v>
      </c>
      <c r="AH26" s="8">
        <v>2.0</v>
      </c>
      <c r="AI26" s="9" t="s">
        <v>845</v>
      </c>
      <c r="AJ26" s="9" t="s">
        <v>846</v>
      </c>
      <c r="AK26" s="8">
        <v>51.0</v>
      </c>
      <c r="AL26" s="9" t="s">
        <v>847</v>
      </c>
      <c r="AM26" s="9" t="s">
        <v>848</v>
      </c>
      <c r="AN26" s="9" t="s">
        <v>986</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9"/>
      <c r="BI26" s="9" t="s">
        <v>852</v>
      </c>
      <c r="BJ26" s="8">
        <v>1.0</v>
      </c>
      <c r="BK26" s="8">
        <v>2.0</v>
      </c>
      <c r="BL26" s="8">
        <v>1.0</v>
      </c>
      <c r="BM26" s="8">
        <v>0.0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856</v>
      </c>
      <c r="CD26" s="8">
        <v>0.0</v>
      </c>
      <c r="CE26" s="8">
        <v>0.0</v>
      </c>
      <c r="CF26" s="8">
        <v>0.0</v>
      </c>
      <c r="CG26" s="8">
        <v>0.0</v>
      </c>
      <c r="CH26" s="8">
        <v>0.0</v>
      </c>
      <c r="CI26" s="8">
        <v>1.0</v>
      </c>
      <c r="CJ26" s="8">
        <v>0.0</v>
      </c>
      <c r="CK26" s="9"/>
      <c r="CL26" s="9" t="s">
        <v>857</v>
      </c>
      <c r="CM26" s="8">
        <v>2024.0</v>
      </c>
      <c r="CN26" s="9" t="s">
        <v>858</v>
      </c>
      <c r="CO26" s="9" t="s">
        <v>859</v>
      </c>
      <c r="CP26" s="9" t="s">
        <v>860</v>
      </c>
      <c r="CQ26" s="8">
        <v>0.0</v>
      </c>
      <c r="CR26" s="8">
        <v>0.0</v>
      </c>
      <c r="CS26" s="8">
        <v>0.0</v>
      </c>
      <c r="CT26" s="8">
        <v>0.0</v>
      </c>
      <c r="CU26" s="10">
        <v>1.0</v>
      </c>
      <c r="CV26" s="10">
        <v>0.0</v>
      </c>
      <c r="CW26" s="10">
        <v>0.0</v>
      </c>
      <c r="CX26" s="8">
        <v>0.0</v>
      </c>
      <c r="CY26" s="9" t="s">
        <v>860</v>
      </c>
      <c r="CZ26" s="8">
        <v>1.0</v>
      </c>
      <c r="DA26" s="8">
        <v>0.0</v>
      </c>
      <c r="DB26" s="8">
        <v>0.0</v>
      </c>
      <c r="DC26" s="9"/>
      <c r="DD26" s="9" t="s">
        <v>937</v>
      </c>
      <c r="DE26" s="8">
        <v>1.0</v>
      </c>
      <c r="DF26" s="8">
        <v>0.0</v>
      </c>
      <c r="DG26" s="8">
        <v>1.0</v>
      </c>
      <c r="DH26" s="8">
        <v>0.0</v>
      </c>
      <c r="DI26" s="9"/>
      <c r="DJ26" s="9" t="s">
        <v>937</v>
      </c>
      <c r="DK26" s="8">
        <v>1.0</v>
      </c>
      <c r="DL26" s="8">
        <v>0.0</v>
      </c>
      <c r="DM26" s="8">
        <v>1.0</v>
      </c>
      <c r="DN26" s="8">
        <v>0.0</v>
      </c>
      <c r="DO26" s="9"/>
      <c r="DP26" s="8">
        <v>1.0</v>
      </c>
      <c r="DQ26" s="8">
        <v>0.0</v>
      </c>
      <c r="DR26" s="8">
        <v>0.0</v>
      </c>
      <c r="DS26" s="9"/>
      <c r="DT26" s="9"/>
      <c r="DU26" s="9"/>
      <c r="DV26" s="9" t="s">
        <v>857</v>
      </c>
      <c r="DW26" s="9"/>
      <c r="DX26" s="9"/>
      <c r="DY26" s="9"/>
      <c r="DZ26" s="9"/>
      <c r="EA26" s="9"/>
      <c r="EB26" s="9"/>
      <c r="EC26" s="9"/>
      <c r="ED26" s="9"/>
      <c r="EE26" s="9"/>
      <c r="EF26" s="9"/>
      <c r="EG26" s="9"/>
      <c r="EH26" s="9"/>
      <c r="EI26" s="9" t="s">
        <v>862</v>
      </c>
      <c r="EJ26" s="8">
        <v>0.0</v>
      </c>
      <c r="EK26" s="8">
        <v>0.0</v>
      </c>
      <c r="EL26" s="8">
        <v>0.0</v>
      </c>
      <c r="EM26" s="8">
        <v>1.0</v>
      </c>
      <c r="EN26" s="8">
        <v>0.0</v>
      </c>
      <c r="EO26" s="11"/>
      <c r="EP26" s="9" t="s">
        <v>863</v>
      </c>
      <c r="EQ26" s="9" t="s">
        <v>864</v>
      </c>
      <c r="ER26" s="9" t="s">
        <v>861</v>
      </c>
      <c r="ES26" s="8">
        <v>1.0</v>
      </c>
      <c r="ET26" s="8">
        <v>0.0</v>
      </c>
      <c r="EU26" s="8">
        <v>0.0</v>
      </c>
      <c r="EV26" s="8">
        <v>0.0</v>
      </c>
      <c r="EW26" s="9"/>
      <c r="EX26" s="9" t="s">
        <v>865</v>
      </c>
      <c r="EY26" s="8">
        <v>1.0</v>
      </c>
      <c r="EZ26" s="8">
        <v>0.0</v>
      </c>
      <c r="FA26" s="8">
        <v>0.0</v>
      </c>
      <c r="FB26" s="9"/>
      <c r="FC26" s="9" t="s">
        <v>1072</v>
      </c>
      <c r="FD26" s="9"/>
      <c r="FE26" s="9" t="s">
        <v>867</v>
      </c>
      <c r="FF26" s="9" t="s">
        <v>868</v>
      </c>
      <c r="FG26" s="9" t="s">
        <v>867</v>
      </c>
      <c r="FH26" s="9" t="s">
        <v>868</v>
      </c>
      <c r="FI26" s="9" t="s">
        <v>867</v>
      </c>
      <c r="FJ26" s="9" t="s">
        <v>868</v>
      </c>
      <c r="FK26" s="9" t="s">
        <v>867</v>
      </c>
      <c r="FL26" s="9" t="s">
        <v>943</v>
      </c>
      <c r="FM26" s="9" t="s">
        <v>867</v>
      </c>
      <c r="FN26" s="9" t="s">
        <v>943</v>
      </c>
      <c r="FO26" s="9" t="s">
        <v>867</v>
      </c>
      <c r="FP26" s="9" t="s">
        <v>943</v>
      </c>
      <c r="FQ26" s="9" t="s">
        <v>867</v>
      </c>
      <c r="FR26" s="9" t="s">
        <v>857</v>
      </c>
      <c r="FS26" s="9" t="s">
        <v>867</v>
      </c>
      <c r="FT26" s="9" t="s">
        <v>871</v>
      </c>
      <c r="FU26" s="9" t="s">
        <v>989</v>
      </c>
      <c r="FV26" s="8">
        <v>1.0</v>
      </c>
      <c r="FW26" s="8">
        <v>1.0</v>
      </c>
      <c r="FX26" s="8">
        <v>0.0</v>
      </c>
      <c r="FY26" s="8">
        <v>0.0</v>
      </c>
      <c r="FZ26" s="9" t="s">
        <v>873</v>
      </c>
      <c r="GA26" s="9" t="s">
        <v>874</v>
      </c>
      <c r="GB26" s="8">
        <v>1.0</v>
      </c>
      <c r="GC26" s="8">
        <v>0.0</v>
      </c>
      <c r="GD26" s="8">
        <v>0.0</v>
      </c>
      <c r="GE26" s="8">
        <v>0.0</v>
      </c>
      <c r="GF26" s="9"/>
      <c r="GG26" s="9" t="s">
        <v>875</v>
      </c>
      <c r="GH26" s="9" t="s">
        <v>857</v>
      </c>
      <c r="GI26" s="9" t="s">
        <v>876</v>
      </c>
      <c r="GJ26" s="8">
        <v>1.0</v>
      </c>
      <c r="GK26" s="8">
        <v>0.0</v>
      </c>
      <c r="GL26" s="8">
        <v>0.0</v>
      </c>
      <c r="GM26" s="8">
        <v>0.0</v>
      </c>
      <c r="GN26" s="9"/>
      <c r="GO26" s="8">
        <v>9.0</v>
      </c>
      <c r="GP26" s="9" t="s">
        <v>877</v>
      </c>
      <c r="GQ26" s="9" t="s">
        <v>878</v>
      </c>
      <c r="GR26" s="8">
        <v>1.0</v>
      </c>
      <c r="GS26" s="8">
        <v>1.0</v>
      </c>
      <c r="GT26" s="8">
        <v>0.0</v>
      </c>
      <c r="GU26" s="8">
        <v>0.0</v>
      </c>
      <c r="GV26" s="8">
        <v>0.0</v>
      </c>
      <c r="GW26" s="8">
        <v>0.0</v>
      </c>
      <c r="GX26" s="8">
        <v>0.0</v>
      </c>
      <c r="GY26" s="9"/>
      <c r="GZ26" s="9" t="s">
        <v>857</v>
      </c>
      <c r="HA26" s="8">
        <v>20.0</v>
      </c>
      <c r="HB26" s="8">
        <v>200000.0</v>
      </c>
      <c r="HC26" s="8">
        <v>5.0</v>
      </c>
      <c r="HD26" s="8">
        <v>50000.0</v>
      </c>
      <c r="HE26" s="8">
        <v>9.0</v>
      </c>
      <c r="HF26" s="8">
        <v>75000.0</v>
      </c>
      <c r="HG26" s="8">
        <v>3.0</v>
      </c>
      <c r="HH26" s="8">
        <v>25000.0</v>
      </c>
      <c r="HI26" s="9"/>
      <c r="HJ26" s="9"/>
      <c r="HK26" s="9"/>
      <c r="HL26" s="9"/>
      <c r="HM26" s="9"/>
      <c r="HN26" s="9"/>
      <c r="HO26" s="9"/>
      <c r="HP26" s="9"/>
      <c r="HQ26" s="9"/>
      <c r="HR26" s="9"/>
      <c r="HS26" s="9"/>
      <c r="HT26" s="9"/>
      <c r="HU26" s="9"/>
      <c r="HV26" s="9"/>
      <c r="HW26" s="9"/>
      <c r="HX26" s="9"/>
      <c r="HY26" s="8">
        <v>15.0</v>
      </c>
      <c r="HZ26" s="8">
        <v>150000.0</v>
      </c>
      <c r="IA26" s="8">
        <v>6.0</v>
      </c>
      <c r="IB26" s="8">
        <v>50000.0</v>
      </c>
      <c r="IC26" s="9"/>
      <c r="ID26" s="9"/>
      <c r="IE26" s="9"/>
      <c r="IF26" s="9"/>
      <c r="IG26" s="9"/>
      <c r="IH26" s="9"/>
      <c r="II26" s="9"/>
      <c r="IJ26" s="9"/>
      <c r="IK26" s="9" t="s">
        <v>879</v>
      </c>
      <c r="IL26" s="9" t="s">
        <v>880</v>
      </c>
      <c r="IM26" s="9" t="s">
        <v>857</v>
      </c>
      <c r="IN26" s="9" t="s">
        <v>881</v>
      </c>
      <c r="IO26" s="9" t="s">
        <v>1206</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1180</v>
      </c>
      <c r="KT26" s="9" t="s">
        <v>886</v>
      </c>
      <c r="KU26" s="9" t="s">
        <v>886</v>
      </c>
      <c r="KV26" s="9" t="s">
        <v>999</v>
      </c>
      <c r="KW26" s="8">
        <v>0.0</v>
      </c>
      <c r="KX26" s="8">
        <v>0.0</v>
      </c>
      <c r="KY26" s="8">
        <v>0.0</v>
      </c>
      <c r="KZ26" s="8">
        <v>1.0</v>
      </c>
      <c r="LA26" s="9" t="s">
        <v>1180</v>
      </c>
      <c r="LB26" s="9" t="s">
        <v>1180</v>
      </c>
      <c r="LC26" s="8">
        <v>0.0</v>
      </c>
      <c r="LD26" s="8">
        <v>3.0</v>
      </c>
      <c r="LE26" s="8">
        <v>0.0</v>
      </c>
      <c r="LF26" s="8">
        <v>3.0</v>
      </c>
      <c r="LG26" s="9" t="s">
        <v>857</v>
      </c>
      <c r="LH26" s="8">
        <v>100000.0</v>
      </c>
      <c r="LI26" s="9"/>
      <c r="LJ26" s="9" t="s">
        <v>887</v>
      </c>
      <c r="LK26" s="8">
        <v>0.0</v>
      </c>
      <c r="LL26" s="8">
        <v>0.0</v>
      </c>
      <c r="LM26" s="8">
        <v>0.0</v>
      </c>
      <c r="LN26" s="8">
        <v>0.0</v>
      </c>
      <c r="LO26" s="8">
        <v>1.0</v>
      </c>
      <c r="LP26" s="8">
        <v>0.0</v>
      </c>
      <c r="LQ26" s="8">
        <v>0.0</v>
      </c>
      <c r="LR26" s="9"/>
      <c r="LS26" s="8">
        <v>15.0</v>
      </c>
      <c r="LT26" s="8">
        <v>15.0</v>
      </c>
      <c r="LU26" s="8">
        <v>0.0</v>
      </c>
      <c r="LV26" s="8">
        <v>5.0</v>
      </c>
      <c r="LW26" s="8">
        <v>5.0</v>
      </c>
      <c r="LX26" s="8">
        <v>0.0</v>
      </c>
      <c r="LY26" s="8">
        <v>5.0</v>
      </c>
      <c r="LZ26" s="8">
        <v>5.0</v>
      </c>
      <c r="MA26" s="8">
        <v>0.0</v>
      </c>
      <c r="MB26" s="9" t="s">
        <v>857</v>
      </c>
      <c r="MC26" s="8">
        <v>30.0</v>
      </c>
      <c r="MD26" s="8">
        <v>15.0</v>
      </c>
      <c r="ME26" s="8">
        <v>30.0</v>
      </c>
      <c r="MF26" s="8">
        <v>15.0</v>
      </c>
      <c r="MG26" s="8">
        <v>0.0</v>
      </c>
      <c r="MH26" s="8">
        <v>0.0</v>
      </c>
      <c r="MI26" s="9" t="s">
        <v>946</v>
      </c>
      <c r="MJ26" s="8">
        <v>0.0</v>
      </c>
      <c r="MK26" s="8">
        <v>0.0</v>
      </c>
      <c r="ML26" s="8">
        <v>1.0</v>
      </c>
      <c r="MM26" s="8">
        <v>0.0</v>
      </c>
      <c r="MN26" s="8">
        <v>0.0</v>
      </c>
      <c r="MO26" s="8">
        <v>0.0</v>
      </c>
      <c r="MP26" s="9"/>
      <c r="MQ26" s="9"/>
      <c r="MR26" s="9" t="s">
        <v>972</v>
      </c>
      <c r="MS26" s="9"/>
      <c r="MT26" s="9" t="s">
        <v>888</v>
      </c>
      <c r="MU26" s="9" t="s">
        <v>881</v>
      </c>
      <c r="MV26" s="9"/>
      <c r="MW26" s="9"/>
      <c r="MX26" s="9"/>
      <c r="MY26" s="9"/>
      <c r="MZ26" s="9"/>
      <c r="NA26" s="9"/>
      <c r="NB26" s="9"/>
      <c r="NC26" s="9"/>
      <c r="ND26" s="9"/>
      <c r="NE26" s="9"/>
      <c r="NF26" s="9"/>
      <c r="NG26" s="9"/>
      <c r="NH26" s="9"/>
      <c r="NI26" s="9"/>
      <c r="NJ26" s="9"/>
      <c r="NK26" s="9"/>
      <c r="NL26" s="9" t="s">
        <v>857</v>
      </c>
      <c r="NM26" s="9" t="s">
        <v>893</v>
      </c>
      <c r="NN26" s="9" t="s">
        <v>993</v>
      </c>
      <c r="NO26" s="9" t="s">
        <v>994</v>
      </c>
      <c r="NP26" s="9"/>
      <c r="NQ26" s="9"/>
      <c r="NR26" s="9"/>
      <c r="NS26" s="9"/>
      <c r="NT26" s="9"/>
      <c r="NU26" s="9"/>
      <c r="NV26" s="9" t="s">
        <v>896</v>
      </c>
      <c r="NW26" s="9"/>
      <c r="NX26" s="9" t="s">
        <v>897</v>
      </c>
      <c r="NY26" s="8">
        <v>30.0</v>
      </c>
      <c r="NZ26" s="8">
        <v>10.0</v>
      </c>
      <c r="OA26" s="8">
        <v>0.0</v>
      </c>
      <c r="OB26" s="8">
        <v>5.0</v>
      </c>
      <c r="OC26" s="8">
        <v>5.0</v>
      </c>
      <c r="OD26" s="8">
        <v>0.0</v>
      </c>
      <c r="OE26" s="9" t="s">
        <v>1180</v>
      </c>
      <c r="OF26" s="9" t="s">
        <v>1184</v>
      </c>
      <c r="OG26" s="9" t="s">
        <v>857</v>
      </c>
      <c r="OH26" s="8">
        <v>0.0</v>
      </c>
      <c r="OI26" s="8">
        <v>2.0</v>
      </c>
      <c r="OJ26" s="8">
        <v>0.0</v>
      </c>
      <c r="OK26" s="8">
        <v>0.0</v>
      </c>
      <c r="OL26" s="8">
        <v>0.0</v>
      </c>
      <c r="OM26" s="8">
        <v>0.0</v>
      </c>
      <c r="ON26" s="8">
        <v>0.0</v>
      </c>
      <c r="OO26" s="8">
        <v>0.0</v>
      </c>
      <c r="OP26" s="9" t="s">
        <v>2948</v>
      </c>
      <c r="OQ26" s="8">
        <v>0.0</v>
      </c>
      <c r="OR26" s="8">
        <v>1.0</v>
      </c>
      <c r="OS26" s="8">
        <v>0.0</v>
      </c>
      <c r="OT26" s="8">
        <v>0.0</v>
      </c>
      <c r="OU26" s="8">
        <v>0.0</v>
      </c>
      <c r="OV26" s="8">
        <v>0.0</v>
      </c>
      <c r="OW26" s="8">
        <v>0.0</v>
      </c>
      <c r="OX26" s="8">
        <v>0.0</v>
      </c>
      <c r="OY26" s="9"/>
      <c r="OZ26" s="9"/>
      <c r="PA26" s="9"/>
      <c r="PB26" s="9"/>
      <c r="PC26" s="9"/>
      <c r="PD26" s="9"/>
      <c r="PE26" s="9"/>
      <c r="PF26" s="9"/>
      <c r="PG26" s="9"/>
      <c r="PH26" s="9"/>
      <c r="PI26" s="9"/>
      <c r="PJ26" s="9" t="s">
        <v>900</v>
      </c>
      <c r="PK26" s="8">
        <v>0.0</v>
      </c>
      <c r="PL26" s="8">
        <v>0.0</v>
      </c>
      <c r="PM26" s="8">
        <v>0.0</v>
      </c>
      <c r="PN26" s="8">
        <v>0.0</v>
      </c>
      <c r="PO26" s="8">
        <v>0.0</v>
      </c>
      <c r="PP26" s="8">
        <v>1.0</v>
      </c>
      <c r="PQ26" s="8">
        <v>0.0</v>
      </c>
      <c r="PR26" s="8">
        <v>0.0</v>
      </c>
      <c r="PS26" s="8">
        <v>0.0</v>
      </c>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8">
        <v>2.0</v>
      </c>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t="s">
        <v>901</v>
      </c>
      <c r="UB26" s="9"/>
      <c r="UC26" s="9"/>
      <c r="UD26" s="9"/>
      <c r="UE26" s="9"/>
      <c r="UF26" s="9"/>
      <c r="UG26" s="9"/>
      <c r="UH26" s="9"/>
      <c r="UI26" s="9" t="s">
        <v>950</v>
      </c>
      <c r="UJ26" s="9"/>
      <c r="UK26" s="9"/>
      <c r="UL26" s="9"/>
      <c r="UM26" s="9"/>
      <c r="UN26" s="9"/>
      <c r="UO26" s="9"/>
      <c r="UP26" s="9"/>
      <c r="UQ26" s="9" t="s">
        <v>903</v>
      </c>
      <c r="UR26" s="9"/>
      <c r="US26" s="9"/>
      <c r="UT26" s="9"/>
      <c r="UU26" s="9"/>
      <c r="UV26" s="9"/>
      <c r="UW26" s="9"/>
      <c r="UX26" s="9"/>
      <c r="UY26" s="9"/>
      <c r="UZ26" s="9"/>
      <c r="VA26" s="9"/>
      <c r="VB26" s="9"/>
      <c r="VC26" s="9"/>
      <c r="VD26" s="9"/>
      <c r="VE26" s="9"/>
      <c r="VF26" s="9"/>
      <c r="VG26" s="9"/>
      <c r="VH26" s="9"/>
      <c r="VI26" s="9"/>
      <c r="VJ26" s="9"/>
      <c r="VK26" s="9" t="s">
        <v>1239</v>
      </c>
      <c r="VL26" s="8">
        <v>0.0</v>
      </c>
      <c r="VM26" s="8">
        <v>1.0</v>
      </c>
      <c r="VN26" s="8">
        <v>1.0</v>
      </c>
      <c r="VO26" s="8">
        <v>1.0</v>
      </c>
      <c r="VP26" s="8">
        <v>0.0</v>
      </c>
      <c r="VQ26" s="8">
        <v>1.0</v>
      </c>
      <c r="VR26" s="8">
        <v>0.0</v>
      </c>
      <c r="VS26" s="8">
        <v>0.0</v>
      </c>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8">
        <v>50.0</v>
      </c>
      <c r="YU26" s="9"/>
      <c r="YV26" s="9"/>
      <c r="YW26" s="9"/>
      <c r="YX26" s="9"/>
      <c r="YY26" s="9"/>
      <c r="YZ26" s="9"/>
      <c r="ZA26" s="9"/>
      <c r="ZB26" s="8">
        <v>2.0</v>
      </c>
      <c r="ZC26" s="9"/>
      <c r="ZD26" s="9"/>
      <c r="ZE26" s="9"/>
      <c r="ZF26" s="9"/>
      <c r="ZG26" s="9"/>
      <c r="ZH26" s="9"/>
      <c r="ZI26" s="9"/>
      <c r="ZJ26" s="9" t="s">
        <v>1186</v>
      </c>
      <c r="ZK26" s="9"/>
      <c r="ZL26" s="9"/>
      <c r="ZM26" s="9"/>
      <c r="ZN26" s="9"/>
      <c r="ZO26" s="9"/>
      <c r="ZP26" s="9"/>
      <c r="ZQ26" s="9" t="s">
        <v>857</v>
      </c>
      <c r="ZR26" s="9" t="s">
        <v>1033</v>
      </c>
      <c r="ZS26" s="8">
        <v>1.0</v>
      </c>
      <c r="ZT26" s="8">
        <v>1.0</v>
      </c>
      <c r="ZU26" s="8">
        <v>50.0</v>
      </c>
      <c r="ZV26" s="8">
        <v>50.0</v>
      </c>
      <c r="ZW26" s="9" t="s">
        <v>857</v>
      </c>
      <c r="ZX26" s="9" t="s">
        <v>867</v>
      </c>
      <c r="ZY26" s="9" t="s">
        <v>1074</v>
      </c>
      <c r="ZZ26" s="8">
        <v>1.0</v>
      </c>
      <c r="AAA26" s="8">
        <v>0.0</v>
      </c>
      <c r="AAB26" s="8">
        <v>0.0</v>
      </c>
      <c r="AAC26" s="8">
        <v>1.0</v>
      </c>
      <c r="AAD26" s="8">
        <v>1.0</v>
      </c>
      <c r="AAE26" s="8">
        <v>0.0</v>
      </c>
      <c r="AAF26" s="8">
        <v>0.0</v>
      </c>
      <c r="AAG26" s="9" t="s">
        <v>907</v>
      </c>
      <c r="AAH26" s="8">
        <v>1.0</v>
      </c>
      <c r="AAI26" s="8">
        <v>0.0</v>
      </c>
      <c r="AAJ26" s="8">
        <v>0.0</v>
      </c>
      <c r="AAK26" s="8">
        <v>0.0</v>
      </c>
      <c r="AAL26" s="8">
        <v>0.0</v>
      </c>
      <c r="AAM26" s="9"/>
      <c r="AAN26" s="9"/>
      <c r="AAO26" s="9"/>
      <c r="AAP26" s="9"/>
      <c r="AAQ26" s="9"/>
      <c r="AAR26" s="9"/>
      <c r="AAS26" s="9"/>
      <c r="AAT26" s="9"/>
      <c r="AAU26" s="9"/>
      <c r="AAV26" s="11" t="s">
        <v>953</v>
      </c>
      <c r="AAW26" s="9" t="s">
        <v>909</v>
      </c>
      <c r="AAX26" s="8">
        <v>2500.0</v>
      </c>
      <c r="AAY26" s="8">
        <v>300.0</v>
      </c>
      <c r="AAZ26" s="8">
        <v>100.0</v>
      </c>
      <c r="ABA26" s="8">
        <v>100.0</v>
      </c>
      <c r="ABB26" s="9" t="s">
        <v>1199</v>
      </c>
      <c r="ABC26" s="9"/>
      <c r="ABD26" s="8">
        <v>30.0</v>
      </c>
      <c r="ABE26" s="8">
        <v>4000.0</v>
      </c>
      <c r="ABF26" s="8">
        <v>0.0</v>
      </c>
      <c r="ABG26" s="8">
        <v>4000.0</v>
      </c>
      <c r="ABH26" s="8">
        <v>500.0</v>
      </c>
      <c r="ABI26" s="8">
        <v>650.0</v>
      </c>
      <c r="ABJ26" s="9" t="s">
        <v>857</v>
      </c>
      <c r="ABK26" s="9" t="s">
        <v>911</v>
      </c>
      <c r="ABL26" s="9" t="s">
        <v>911</v>
      </c>
      <c r="ABM26" s="9" t="s">
        <v>911</v>
      </c>
      <c r="ABN26" s="9"/>
      <c r="ABO26" s="9"/>
      <c r="ABP26" s="9" t="s">
        <v>976</v>
      </c>
      <c r="ABQ26" s="8">
        <v>0.0</v>
      </c>
      <c r="ABR26" s="8">
        <v>0.0</v>
      </c>
      <c r="ABS26" s="8">
        <v>1.0</v>
      </c>
      <c r="ABT26" s="8">
        <v>1.0</v>
      </c>
      <c r="ABU26" s="8">
        <v>0.0</v>
      </c>
      <c r="ABV26" s="8">
        <v>0.0</v>
      </c>
      <c r="ABW26" s="8">
        <v>0.0</v>
      </c>
      <c r="ABX26" s="9"/>
      <c r="ABY26" s="9" t="s">
        <v>912</v>
      </c>
      <c r="ABZ26" s="9" t="s">
        <v>1050</v>
      </c>
      <c r="ACA26" s="9" t="s">
        <v>957</v>
      </c>
      <c r="ACB26" s="9" t="s">
        <v>915</v>
      </c>
      <c r="ACC26" s="9" t="s">
        <v>916</v>
      </c>
      <c r="ACD26" s="9" t="s">
        <v>1035</v>
      </c>
      <c r="ACE26" s="8">
        <v>1.0</v>
      </c>
      <c r="ACF26" s="8">
        <v>1.0</v>
      </c>
      <c r="ACG26" s="8">
        <v>0.0</v>
      </c>
      <c r="ACH26" s="8">
        <v>0.0</v>
      </c>
      <c r="ACI26" s="9" t="s">
        <v>917</v>
      </c>
      <c r="ACJ26" s="9" t="s">
        <v>917</v>
      </c>
      <c r="ACK26" s="9" t="s">
        <v>917</v>
      </c>
      <c r="ACL26" s="9" t="s">
        <v>917</v>
      </c>
      <c r="ACM26" s="9" t="s">
        <v>881</v>
      </c>
      <c r="ACN26" s="9"/>
      <c r="ACO26" s="9" t="s">
        <v>1187</v>
      </c>
      <c r="ACP26" s="9"/>
      <c r="ACQ26" s="9"/>
      <c r="ACR26" s="9"/>
      <c r="ACS26" s="9"/>
      <c r="ACT26" s="9"/>
      <c r="ACU26" s="9"/>
      <c r="ACV26" s="9"/>
      <c r="ACW26" s="9"/>
      <c r="ACX26" s="9"/>
      <c r="ACY26" s="9"/>
      <c r="ACZ26" s="9" t="s">
        <v>919</v>
      </c>
      <c r="ADA26" s="8">
        <v>0.0</v>
      </c>
      <c r="ADB26" s="8">
        <v>0.0</v>
      </c>
      <c r="ADC26" s="8">
        <v>0.0</v>
      </c>
      <c r="ADD26" s="8">
        <v>0.0</v>
      </c>
      <c r="ADE26" s="8">
        <v>1.0</v>
      </c>
      <c r="ADF26" s="8">
        <v>0.0</v>
      </c>
      <c r="ADG26" s="8">
        <v>0.0</v>
      </c>
      <c r="ADH26" s="8">
        <v>0.0</v>
      </c>
      <c r="ADI26" s="12"/>
      <c r="ADJ26" s="17" t="s">
        <v>872</v>
      </c>
      <c r="ADK26" s="9"/>
      <c r="ADL26" s="17" t="s">
        <v>920</v>
      </c>
      <c r="ADM26" s="9"/>
      <c r="ADN26" s="11" t="s">
        <v>999</v>
      </c>
      <c r="ADO26" s="9" t="s">
        <v>871</v>
      </c>
      <c r="ADP26" s="17" t="s">
        <v>1108</v>
      </c>
      <c r="ADQ26" s="18">
        <v>1.0</v>
      </c>
      <c r="ADR26" s="18">
        <v>1.0</v>
      </c>
      <c r="ADS26" s="18">
        <v>1.0</v>
      </c>
      <c r="ADT26" s="18">
        <v>1.0</v>
      </c>
      <c r="ADU26" s="18">
        <v>1.0</v>
      </c>
      <c r="ADV26" s="18">
        <v>1.0</v>
      </c>
      <c r="ADW26" s="18">
        <v>1.0</v>
      </c>
      <c r="ADX26" s="18">
        <v>1.0</v>
      </c>
      <c r="ADY26" s="18">
        <v>1.0</v>
      </c>
      <c r="ADZ26" s="18">
        <v>0.0</v>
      </c>
      <c r="AEA26" s="18">
        <v>0.0</v>
      </c>
      <c r="AEB26" s="18">
        <v>0.0</v>
      </c>
      <c r="AEC26" s="9"/>
      <c r="AED26" s="9" t="s">
        <v>923</v>
      </c>
      <c r="AEE26" s="9"/>
      <c r="AEF26" s="9" t="s">
        <v>1188</v>
      </c>
      <c r="AEG26" s="9"/>
      <c r="AEH26" s="9" t="s">
        <v>1247</v>
      </c>
      <c r="AEI26" s="16" t="s">
        <v>1248</v>
      </c>
      <c r="AEJ26" s="9" t="s">
        <v>1249</v>
      </c>
      <c r="AEK26" s="16" t="s">
        <v>1250</v>
      </c>
      <c r="AEL26" s="9" t="s">
        <v>1137</v>
      </c>
      <c r="AEM26" s="9"/>
      <c r="AEN26" s="9"/>
    </row>
    <row r="27">
      <c r="A27" s="6">
        <v>46059.0</v>
      </c>
      <c r="B27" s="6">
        <v>46059.0</v>
      </c>
      <c r="C27" s="7" t="s">
        <v>837</v>
      </c>
      <c r="D27" s="7" t="s">
        <v>1251</v>
      </c>
      <c r="E27" s="8">
        <f>+6281391606132</f>
        <v>6281391606132</v>
      </c>
      <c r="F27" s="9"/>
      <c r="G27" s="8">
        <v>-7.23003732</v>
      </c>
      <c r="H27" s="8">
        <v>110.2829</v>
      </c>
      <c r="I27" s="9"/>
      <c r="J27" s="8">
        <v>4.45</v>
      </c>
      <c r="K27" s="9"/>
      <c r="L27" s="9"/>
      <c r="M27" s="8">
        <v>-7.22598436</v>
      </c>
      <c r="N27" s="8">
        <v>110.2830833</v>
      </c>
      <c r="O27" s="9"/>
      <c r="P27" s="8">
        <v>4.74</v>
      </c>
      <c r="Q27" s="9"/>
      <c r="R27" s="9" t="s">
        <v>839</v>
      </c>
      <c r="S27" s="9"/>
      <c r="T27" s="9"/>
      <c r="U27" s="9"/>
      <c r="V27" s="9"/>
      <c r="W27" s="9"/>
      <c r="X27" s="9"/>
      <c r="Y27" s="9"/>
      <c r="Z27" s="9"/>
      <c r="AA27" s="9"/>
      <c r="AB27" s="9"/>
      <c r="AC27" s="7" t="s">
        <v>1175</v>
      </c>
      <c r="AD27" s="7" t="s">
        <v>1176</v>
      </c>
      <c r="AE27" s="7" t="s">
        <v>1252</v>
      </c>
      <c r="AF27" s="9" t="s">
        <v>1178</v>
      </c>
      <c r="AG27" s="9" t="s">
        <v>1253</v>
      </c>
      <c r="AH27" s="8">
        <v>2.0</v>
      </c>
      <c r="AI27" s="9" t="s">
        <v>845</v>
      </c>
      <c r="AJ27" s="9" t="s">
        <v>846</v>
      </c>
      <c r="AK27" s="8">
        <v>59.0</v>
      </c>
      <c r="AL27" s="9" t="s">
        <v>847</v>
      </c>
      <c r="AM27" s="9" t="s">
        <v>848</v>
      </c>
      <c r="AN27" s="9" t="s">
        <v>849</v>
      </c>
      <c r="AO27" s="9" t="s">
        <v>850</v>
      </c>
      <c r="AP27" s="8">
        <v>1.0</v>
      </c>
      <c r="AQ27" s="8">
        <v>0.0</v>
      </c>
      <c r="AR27" s="8">
        <v>0.0</v>
      </c>
      <c r="AS27" s="8">
        <v>0.0</v>
      </c>
      <c r="AT27" s="8">
        <v>0.0</v>
      </c>
      <c r="AU27" s="8">
        <v>0.0</v>
      </c>
      <c r="AV27" s="8">
        <v>0.0</v>
      </c>
      <c r="AW27" s="8">
        <v>0.0</v>
      </c>
      <c r="AX27" s="9"/>
      <c r="AY27" s="9" t="s">
        <v>935</v>
      </c>
      <c r="AZ27" s="8">
        <v>0.0</v>
      </c>
      <c r="BA27" s="8">
        <v>1.0</v>
      </c>
      <c r="BB27" s="8">
        <v>0.0</v>
      </c>
      <c r="BC27" s="8">
        <v>0.0</v>
      </c>
      <c r="BD27" s="8">
        <v>0.0</v>
      </c>
      <c r="BE27" s="8">
        <v>0.0</v>
      </c>
      <c r="BF27" s="8">
        <v>0.0</v>
      </c>
      <c r="BG27" s="8">
        <v>0.0</v>
      </c>
      <c r="BH27" s="9"/>
      <c r="BI27" s="9" t="s">
        <v>852</v>
      </c>
      <c r="BJ27" s="8">
        <v>3.0</v>
      </c>
      <c r="BK27" s="8">
        <v>3.0</v>
      </c>
      <c r="BL27" s="8">
        <v>0.0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856</v>
      </c>
      <c r="CD27" s="8">
        <v>0.0</v>
      </c>
      <c r="CE27" s="8">
        <v>0.0</v>
      </c>
      <c r="CF27" s="8">
        <v>0.0</v>
      </c>
      <c r="CG27" s="8">
        <v>0.0</v>
      </c>
      <c r="CH27" s="8">
        <v>0.0</v>
      </c>
      <c r="CI27" s="8">
        <v>1.0</v>
      </c>
      <c r="CJ27" s="8">
        <v>0.0</v>
      </c>
      <c r="CK27" s="9"/>
      <c r="CL27" s="9" t="s">
        <v>857</v>
      </c>
      <c r="CM27" s="8">
        <v>2024.0</v>
      </c>
      <c r="CN27" s="9" t="s">
        <v>858</v>
      </c>
      <c r="CO27" s="9" t="s">
        <v>859</v>
      </c>
      <c r="CP27" s="9" t="s">
        <v>860</v>
      </c>
      <c r="CQ27" s="8">
        <v>0.0</v>
      </c>
      <c r="CR27" s="8">
        <v>0.0</v>
      </c>
      <c r="CS27" s="8">
        <v>0.0</v>
      </c>
      <c r="CT27" s="8">
        <v>0.0</v>
      </c>
      <c r="CU27" s="10">
        <v>1.0</v>
      </c>
      <c r="CV27" s="10">
        <v>0.0</v>
      </c>
      <c r="CW27" s="10">
        <v>0.0</v>
      </c>
      <c r="CX27" s="8">
        <v>0.0</v>
      </c>
      <c r="CY27" s="9" t="s">
        <v>860</v>
      </c>
      <c r="CZ27" s="8">
        <v>1.0</v>
      </c>
      <c r="DA27" s="8">
        <v>0.0</v>
      </c>
      <c r="DB27" s="8">
        <v>0.0</v>
      </c>
      <c r="DC27" s="9"/>
      <c r="DD27" s="9" t="s">
        <v>937</v>
      </c>
      <c r="DE27" s="8">
        <v>1.0</v>
      </c>
      <c r="DF27" s="8">
        <v>0.0</v>
      </c>
      <c r="DG27" s="8">
        <v>1.0</v>
      </c>
      <c r="DH27" s="8">
        <v>0.0</v>
      </c>
      <c r="DI27" s="9"/>
      <c r="DJ27" s="9" t="s">
        <v>937</v>
      </c>
      <c r="DK27" s="8">
        <v>1.0</v>
      </c>
      <c r="DL27" s="8">
        <v>0.0</v>
      </c>
      <c r="DM27" s="8">
        <v>1.0</v>
      </c>
      <c r="DN27" s="8">
        <v>0.0</v>
      </c>
      <c r="DO27" s="9"/>
      <c r="DP27" s="8">
        <v>1.0</v>
      </c>
      <c r="DQ27" s="8">
        <v>0.0</v>
      </c>
      <c r="DR27" s="8">
        <v>0.0</v>
      </c>
      <c r="DS27" s="9"/>
      <c r="DT27" s="9"/>
      <c r="DU27" s="9"/>
      <c r="DV27" s="9" t="s">
        <v>857</v>
      </c>
      <c r="DW27" s="9"/>
      <c r="DX27" s="9"/>
      <c r="DY27" s="9"/>
      <c r="DZ27" s="9"/>
      <c r="EA27" s="9"/>
      <c r="EB27" s="9"/>
      <c r="EC27" s="9"/>
      <c r="ED27" s="9"/>
      <c r="EE27" s="9"/>
      <c r="EF27" s="9"/>
      <c r="EG27" s="9"/>
      <c r="EH27" s="9"/>
      <c r="EI27" s="9" t="s">
        <v>862</v>
      </c>
      <c r="EJ27" s="8">
        <v>0.0</v>
      </c>
      <c r="EK27" s="8">
        <v>0.0</v>
      </c>
      <c r="EL27" s="8">
        <v>0.0</v>
      </c>
      <c r="EM27" s="8">
        <v>1.0</v>
      </c>
      <c r="EN27" s="8">
        <v>0.0</v>
      </c>
      <c r="EO27" s="11"/>
      <c r="EP27" s="9" t="s">
        <v>863</v>
      </c>
      <c r="EQ27" s="9" t="s">
        <v>864</v>
      </c>
      <c r="ER27" s="9" t="s">
        <v>861</v>
      </c>
      <c r="ES27" s="8">
        <v>1.0</v>
      </c>
      <c r="ET27" s="8">
        <v>0.0</v>
      </c>
      <c r="EU27" s="8">
        <v>0.0</v>
      </c>
      <c r="EV27" s="8">
        <v>0.0</v>
      </c>
      <c r="EW27" s="9"/>
      <c r="EX27" s="9" t="s">
        <v>865</v>
      </c>
      <c r="EY27" s="8">
        <v>1.0</v>
      </c>
      <c r="EZ27" s="8">
        <v>0.0</v>
      </c>
      <c r="FA27" s="8">
        <v>0.0</v>
      </c>
      <c r="FB27" s="9"/>
      <c r="FC27" s="9" t="s">
        <v>866</v>
      </c>
      <c r="FD27" s="9"/>
      <c r="FE27" s="9" t="s">
        <v>867</v>
      </c>
      <c r="FF27" s="9" t="s">
        <v>868</v>
      </c>
      <c r="FG27" s="9" t="s">
        <v>867</v>
      </c>
      <c r="FH27" s="9" t="s">
        <v>868</v>
      </c>
      <c r="FI27" s="9" t="s">
        <v>867</v>
      </c>
      <c r="FJ27" s="9" t="s">
        <v>868</v>
      </c>
      <c r="FK27" s="9" t="s">
        <v>867</v>
      </c>
      <c r="FL27" s="9" t="s">
        <v>869</v>
      </c>
      <c r="FM27" s="9" t="s">
        <v>867</v>
      </c>
      <c r="FN27" s="9" t="s">
        <v>943</v>
      </c>
      <c r="FO27" s="9" t="s">
        <v>867</v>
      </c>
      <c r="FP27" s="9" t="s">
        <v>943</v>
      </c>
      <c r="FQ27" s="9" t="s">
        <v>867</v>
      </c>
      <c r="FR27" s="9" t="s">
        <v>857</v>
      </c>
      <c r="FS27" s="9" t="s">
        <v>867</v>
      </c>
      <c r="FT27" s="9" t="s">
        <v>871</v>
      </c>
      <c r="FU27" s="9" t="s">
        <v>989</v>
      </c>
      <c r="FV27" s="8">
        <v>1.0</v>
      </c>
      <c r="FW27" s="8">
        <v>1.0</v>
      </c>
      <c r="FX27" s="8">
        <v>0.0</v>
      </c>
      <c r="FY27" s="8">
        <v>0.0</v>
      </c>
      <c r="FZ27" s="9" t="s">
        <v>873</v>
      </c>
      <c r="GA27" s="9" t="s">
        <v>874</v>
      </c>
      <c r="GB27" s="8">
        <v>1.0</v>
      </c>
      <c r="GC27" s="8">
        <v>0.0</v>
      </c>
      <c r="GD27" s="8">
        <v>0.0</v>
      </c>
      <c r="GE27" s="8">
        <v>0.0</v>
      </c>
      <c r="GF27" s="9"/>
      <c r="GG27" s="9" t="s">
        <v>875</v>
      </c>
      <c r="GH27" s="9" t="s">
        <v>857</v>
      </c>
      <c r="GI27" s="9" t="s">
        <v>876</v>
      </c>
      <c r="GJ27" s="8">
        <v>1.0</v>
      </c>
      <c r="GK27" s="8">
        <v>0.0</v>
      </c>
      <c r="GL27" s="8">
        <v>0.0</v>
      </c>
      <c r="GM27" s="8">
        <v>0.0</v>
      </c>
      <c r="GN27" s="9"/>
      <c r="GO27" s="8">
        <v>10.0</v>
      </c>
      <c r="GP27" s="9" t="s">
        <v>877</v>
      </c>
      <c r="GQ27" s="9" t="s">
        <v>878</v>
      </c>
      <c r="GR27" s="8">
        <v>1.0</v>
      </c>
      <c r="GS27" s="8">
        <v>1.0</v>
      </c>
      <c r="GT27" s="8">
        <v>0.0</v>
      </c>
      <c r="GU27" s="8">
        <v>0.0</v>
      </c>
      <c r="GV27" s="8">
        <v>0.0</v>
      </c>
      <c r="GW27" s="8">
        <v>0.0</v>
      </c>
      <c r="GX27" s="8">
        <v>0.0</v>
      </c>
      <c r="GY27" s="9"/>
      <c r="GZ27" s="9" t="s">
        <v>857</v>
      </c>
      <c r="HA27" s="8">
        <v>15.0</v>
      </c>
      <c r="HB27" s="8">
        <v>150.0</v>
      </c>
      <c r="HC27" s="8">
        <v>5.0</v>
      </c>
      <c r="HD27" s="8">
        <v>50000.0</v>
      </c>
      <c r="HE27" s="8">
        <v>9.0</v>
      </c>
      <c r="HF27" s="8">
        <v>75000.0</v>
      </c>
      <c r="HG27" s="8">
        <v>3.0</v>
      </c>
      <c r="HH27" s="8">
        <v>25000.0</v>
      </c>
      <c r="HI27" s="9"/>
      <c r="HJ27" s="9"/>
      <c r="HK27" s="9"/>
      <c r="HL27" s="9"/>
      <c r="HM27" s="9"/>
      <c r="HN27" s="9"/>
      <c r="HO27" s="9"/>
      <c r="HP27" s="9"/>
      <c r="HQ27" s="9"/>
      <c r="HR27" s="9"/>
      <c r="HS27" s="9"/>
      <c r="HT27" s="9"/>
      <c r="HU27" s="9"/>
      <c r="HV27" s="9"/>
      <c r="HW27" s="9"/>
      <c r="HX27" s="9"/>
      <c r="HY27" s="8">
        <v>10.0</v>
      </c>
      <c r="HZ27" s="8">
        <v>100000.0</v>
      </c>
      <c r="IA27" s="8">
        <v>6.0</v>
      </c>
      <c r="IB27" s="8">
        <v>50000.0</v>
      </c>
      <c r="IC27" s="9"/>
      <c r="ID27" s="9"/>
      <c r="IE27" s="9"/>
      <c r="IF27" s="9"/>
      <c r="IG27" s="9"/>
      <c r="IH27" s="9"/>
      <c r="II27" s="9"/>
      <c r="IJ27" s="9"/>
      <c r="IK27" s="9" t="s">
        <v>879</v>
      </c>
      <c r="IL27" s="9" t="s">
        <v>880</v>
      </c>
      <c r="IM27" s="9" t="s">
        <v>857</v>
      </c>
      <c r="IN27" s="9" t="s">
        <v>881</v>
      </c>
      <c r="IO27" s="9" t="s">
        <v>1206</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872</v>
      </c>
      <c r="KW27" s="8">
        <v>1.0</v>
      </c>
      <c r="KX27" s="8">
        <v>0.0</v>
      </c>
      <c r="KY27" s="8">
        <v>0.0</v>
      </c>
      <c r="KZ27" s="8">
        <v>0.0</v>
      </c>
      <c r="LA27" s="9" t="s">
        <v>884</v>
      </c>
      <c r="LB27" s="9" t="s">
        <v>884</v>
      </c>
      <c r="LC27" s="8">
        <v>3.0</v>
      </c>
      <c r="LD27" s="8">
        <v>3.0</v>
      </c>
      <c r="LE27" s="8">
        <v>0.0</v>
      </c>
      <c r="LF27" s="8">
        <v>0.0</v>
      </c>
      <c r="LG27" s="9" t="s">
        <v>857</v>
      </c>
      <c r="LH27" s="8">
        <v>100000.0</v>
      </c>
      <c r="LI27" s="9"/>
      <c r="LJ27" s="9" t="s">
        <v>887</v>
      </c>
      <c r="LK27" s="8">
        <v>0.0</v>
      </c>
      <c r="LL27" s="8">
        <v>0.0</v>
      </c>
      <c r="LM27" s="8">
        <v>0.0</v>
      </c>
      <c r="LN27" s="8">
        <v>0.0</v>
      </c>
      <c r="LO27" s="8">
        <v>1.0</v>
      </c>
      <c r="LP27" s="8">
        <v>0.0</v>
      </c>
      <c r="LQ27" s="8">
        <v>0.0</v>
      </c>
      <c r="LR27" s="9"/>
      <c r="LS27" s="8">
        <v>15.0</v>
      </c>
      <c r="LT27" s="8">
        <v>15.0</v>
      </c>
      <c r="LU27" s="8">
        <v>0.0</v>
      </c>
      <c r="LV27" s="8">
        <v>5.0</v>
      </c>
      <c r="LW27" s="8">
        <v>5.0</v>
      </c>
      <c r="LX27" s="8">
        <v>0.0</v>
      </c>
      <c r="LY27" s="8">
        <v>5.0</v>
      </c>
      <c r="LZ27" s="8">
        <v>5.0</v>
      </c>
      <c r="MA27" s="8">
        <v>0.0</v>
      </c>
      <c r="MB27" s="9" t="s">
        <v>857</v>
      </c>
      <c r="MC27" s="8">
        <v>30.0</v>
      </c>
      <c r="MD27" s="8">
        <v>15.0</v>
      </c>
      <c r="ME27" s="8">
        <v>30.0</v>
      </c>
      <c r="MF27" s="8">
        <v>15.0</v>
      </c>
      <c r="MG27" s="8">
        <v>0.0</v>
      </c>
      <c r="MH27" s="8">
        <v>0.0</v>
      </c>
      <c r="MI27" s="9" t="s">
        <v>946</v>
      </c>
      <c r="MJ27" s="8">
        <v>0.0</v>
      </c>
      <c r="MK27" s="8">
        <v>0.0</v>
      </c>
      <c r="ML27" s="8">
        <v>1.0</v>
      </c>
      <c r="MM27" s="8">
        <v>0.0</v>
      </c>
      <c r="MN27" s="8">
        <v>0.0</v>
      </c>
      <c r="MO27" s="8">
        <v>0.0</v>
      </c>
      <c r="MP27" s="9"/>
      <c r="MQ27" s="9"/>
      <c r="MR27" s="9" t="s">
        <v>991</v>
      </c>
      <c r="MS27" s="9"/>
      <c r="MT27" s="9" t="s">
        <v>1255</v>
      </c>
      <c r="MU27" s="9" t="s">
        <v>881</v>
      </c>
      <c r="MV27" s="9"/>
      <c r="MW27" s="9"/>
      <c r="MX27" s="9"/>
      <c r="MY27" s="9"/>
      <c r="MZ27" s="9"/>
      <c r="NA27" s="9"/>
      <c r="NB27" s="9"/>
      <c r="NC27" s="9"/>
      <c r="ND27" s="9"/>
      <c r="NE27" s="9"/>
      <c r="NF27" s="9"/>
      <c r="NG27" s="9"/>
      <c r="NH27" s="9"/>
      <c r="NI27" s="9"/>
      <c r="NJ27" s="9"/>
      <c r="NK27" s="9"/>
      <c r="NL27" s="9" t="s">
        <v>857</v>
      </c>
      <c r="NM27" s="9" t="s">
        <v>893</v>
      </c>
      <c r="NN27" s="9" t="s">
        <v>993</v>
      </c>
      <c r="NO27" s="9" t="s">
        <v>994</v>
      </c>
      <c r="NP27" s="9"/>
      <c r="NQ27" s="9"/>
      <c r="NR27" s="9"/>
      <c r="NS27" s="9"/>
      <c r="NT27" s="9"/>
      <c r="NU27" s="9"/>
      <c r="NV27" s="9" t="s">
        <v>896</v>
      </c>
      <c r="NW27" s="9"/>
      <c r="NX27" s="9" t="s">
        <v>897</v>
      </c>
      <c r="NY27" s="8">
        <v>45.0</v>
      </c>
      <c r="NZ27" s="8">
        <v>10.0</v>
      </c>
      <c r="OA27" s="8">
        <v>0.0</v>
      </c>
      <c r="OB27" s="8">
        <v>5.0</v>
      </c>
      <c r="OC27" s="8">
        <v>5.0</v>
      </c>
      <c r="OD27" s="8">
        <v>0.0</v>
      </c>
      <c r="OE27" s="9" t="s">
        <v>898</v>
      </c>
      <c r="OF27" s="9" t="s">
        <v>1184</v>
      </c>
      <c r="OG27" s="9" t="s">
        <v>857</v>
      </c>
      <c r="OH27" s="8">
        <v>0.0</v>
      </c>
      <c r="OI27" s="8">
        <v>2.0</v>
      </c>
      <c r="OJ27" s="8">
        <v>0.0</v>
      </c>
      <c r="OK27" s="8">
        <v>0.0</v>
      </c>
      <c r="OL27" s="8">
        <v>0.0</v>
      </c>
      <c r="OM27" s="8">
        <v>0.0</v>
      </c>
      <c r="ON27" s="8">
        <v>0.0</v>
      </c>
      <c r="OO27" s="8">
        <v>0.0</v>
      </c>
      <c r="OP27" s="9" t="s">
        <v>2948</v>
      </c>
      <c r="OQ27" s="8">
        <v>0.0</v>
      </c>
      <c r="OR27" s="8">
        <v>1.0</v>
      </c>
      <c r="OS27" s="8">
        <v>0.0</v>
      </c>
      <c r="OT27" s="8">
        <v>0.0</v>
      </c>
      <c r="OU27" s="8">
        <v>0.0</v>
      </c>
      <c r="OV27" s="8">
        <v>0.0</v>
      </c>
      <c r="OW27" s="8">
        <v>0.0</v>
      </c>
      <c r="OX27" s="8">
        <v>0.0</v>
      </c>
      <c r="OY27" s="9"/>
      <c r="OZ27" s="9"/>
      <c r="PA27" s="9"/>
      <c r="PB27" s="9"/>
      <c r="PC27" s="9"/>
      <c r="PD27" s="9"/>
      <c r="PE27" s="9"/>
      <c r="PF27" s="9"/>
      <c r="PG27" s="9"/>
      <c r="PH27" s="9"/>
      <c r="PI27" s="9"/>
      <c r="PJ27" s="9" t="s">
        <v>900</v>
      </c>
      <c r="PK27" s="8">
        <v>0.0</v>
      </c>
      <c r="PL27" s="8">
        <v>0.0</v>
      </c>
      <c r="PM27" s="8">
        <v>0.0</v>
      </c>
      <c r="PN27" s="8">
        <v>0.0</v>
      </c>
      <c r="PO27" s="8">
        <v>0.0</v>
      </c>
      <c r="PP27" s="8">
        <v>1.0</v>
      </c>
      <c r="PQ27" s="8">
        <v>0.0</v>
      </c>
      <c r="PR27" s="8">
        <v>0.0</v>
      </c>
      <c r="PS27" s="8">
        <v>0.0</v>
      </c>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8">
        <v>2.0</v>
      </c>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t="s">
        <v>901</v>
      </c>
      <c r="UB27" s="9"/>
      <c r="UC27" s="9"/>
      <c r="UD27" s="9"/>
      <c r="UE27" s="9"/>
      <c r="UF27" s="9"/>
      <c r="UG27" s="9"/>
      <c r="UH27" s="9"/>
      <c r="UI27" s="9" t="s">
        <v>950</v>
      </c>
      <c r="UJ27" s="9"/>
      <c r="UK27" s="9"/>
      <c r="UL27" s="9"/>
      <c r="UM27" s="9"/>
      <c r="UN27" s="9"/>
      <c r="UO27" s="9"/>
      <c r="UP27" s="9"/>
      <c r="UQ27" s="9" t="s">
        <v>1158</v>
      </c>
      <c r="UR27" s="9"/>
      <c r="US27" s="9"/>
      <c r="UT27" s="9"/>
      <c r="UU27" s="9"/>
      <c r="UV27" s="9"/>
      <c r="UW27" s="9"/>
      <c r="UX27" s="9"/>
      <c r="UY27" s="9"/>
      <c r="UZ27" s="9"/>
      <c r="VA27" s="9"/>
      <c r="VB27" s="9"/>
      <c r="VC27" s="9"/>
      <c r="VD27" s="9"/>
      <c r="VE27" s="9"/>
      <c r="VF27" s="9"/>
      <c r="VG27" s="9"/>
      <c r="VH27" s="9"/>
      <c r="VI27" s="9"/>
      <c r="VJ27" s="9"/>
      <c r="VK27" s="9" t="s">
        <v>1214</v>
      </c>
      <c r="VL27" s="8">
        <v>0.0</v>
      </c>
      <c r="VM27" s="8">
        <v>0.0</v>
      </c>
      <c r="VN27" s="8">
        <v>1.0</v>
      </c>
      <c r="VO27" s="8">
        <v>1.0</v>
      </c>
      <c r="VP27" s="8">
        <v>0.0</v>
      </c>
      <c r="VQ27" s="8">
        <v>1.0</v>
      </c>
      <c r="VR27" s="8">
        <v>0.0</v>
      </c>
      <c r="VS27" s="8">
        <v>0.0</v>
      </c>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8">
        <v>50.0</v>
      </c>
      <c r="YU27" s="9"/>
      <c r="YV27" s="9"/>
      <c r="YW27" s="9"/>
      <c r="YX27" s="9"/>
      <c r="YY27" s="9"/>
      <c r="YZ27" s="9"/>
      <c r="ZA27" s="9"/>
      <c r="ZB27" s="8">
        <v>2.0</v>
      </c>
      <c r="ZC27" s="9"/>
      <c r="ZD27" s="9"/>
      <c r="ZE27" s="9"/>
      <c r="ZF27" s="9"/>
      <c r="ZG27" s="9"/>
      <c r="ZH27" s="9"/>
      <c r="ZI27" s="9"/>
      <c r="ZJ27" s="9" t="s">
        <v>1186</v>
      </c>
      <c r="ZK27" s="9"/>
      <c r="ZL27" s="9"/>
      <c r="ZM27" s="9"/>
      <c r="ZN27" s="9"/>
      <c r="ZO27" s="9"/>
      <c r="ZP27" s="9"/>
      <c r="ZQ27" s="9" t="s">
        <v>857</v>
      </c>
      <c r="ZR27" s="9" t="s">
        <v>1033</v>
      </c>
      <c r="ZS27" s="8">
        <v>1.0</v>
      </c>
      <c r="ZT27" s="8">
        <v>1.0</v>
      </c>
      <c r="ZU27" s="8">
        <v>50.0</v>
      </c>
      <c r="ZV27" s="8">
        <v>50.0</v>
      </c>
      <c r="ZW27" s="9" t="s">
        <v>857</v>
      </c>
      <c r="ZX27" s="9" t="s">
        <v>867</v>
      </c>
      <c r="ZY27" s="9" t="s">
        <v>1074</v>
      </c>
      <c r="ZZ27" s="8">
        <v>1.0</v>
      </c>
      <c r="AAA27" s="8">
        <v>0.0</v>
      </c>
      <c r="AAB27" s="8">
        <v>0.0</v>
      </c>
      <c r="AAC27" s="8">
        <v>1.0</v>
      </c>
      <c r="AAD27" s="8">
        <v>1.0</v>
      </c>
      <c r="AAE27" s="8">
        <v>0.0</v>
      </c>
      <c r="AAF27" s="8">
        <v>0.0</v>
      </c>
      <c r="AAG27" s="9" t="s">
        <v>907</v>
      </c>
      <c r="AAH27" s="8">
        <v>1.0</v>
      </c>
      <c r="AAI27" s="8">
        <v>0.0</v>
      </c>
      <c r="AAJ27" s="8">
        <v>0.0</v>
      </c>
      <c r="AAK27" s="8">
        <v>0.0</v>
      </c>
      <c r="AAL27" s="8">
        <v>0.0</v>
      </c>
      <c r="AAM27" s="9"/>
      <c r="AAN27" s="9"/>
      <c r="AAO27" s="9"/>
      <c r="AAP27" s="9"/>
      <c r="AAQ27" s="9"/>
      <c r="AAR27" s="9"/>
      <c r="AAS27" s="9"/>
      <c r="AAT27" s="9"/>
      <c r="AAU27" s="9"/>
      <c r="AAV27" s="11" t="s">
        <v>953</v>
      </c>
      <c r="AAW27" s="9" t="s">
        <v>1075</v>
      </c>
      <c r="AAX27" s="8">
        <v>2000.0</v>
      </c>
      <c r="AAY27" s="8">
        <v>300.0</v>
      </c>
      <c r="AAZ27" s="8">
        <v>50.0</v>
      </c>
      <c r="ABA27" s="8">
        <v>50.0</v>
      </c>
      <c r="ABB27" s="9" t="s">
        <v>1199</v>
      </c>
      <c r="ABC27" s="9"/>
      <c r="ABD27" s="8">
        <v>30.0</v>
      </c>
      <c r="ABE27" s="8">
        <v>4000.0</v>
      </c>
      <c r="ABF27" s="8">
        <v>0.0</v>
      </c>
      <c r="ABG27" s="8">
        <v>4000.0</v>
      </c>
      <c r="ABH27" s="8">
        <v>500.0</v>
      </c>
      <c r="ABI27" s="8">
        <v>600.0</v>
      </c>
      <c r="ABJ27" s="9" t="s">
        <v>857</v>
      </c>
      <c r="ABK27" s="9" t="s">
        <v>911</v>
      </c>
      <c r="ABL27" s="9" t="s">
        <v>911</v>
      </c>
      <c r="ABM27" s="9" t="s">
        <v>911</v>
      </c>
      <c r="ABN27" s="9"/>
      <c r="ABO27" s="9"/>
      <c r="ABP27" s="9" t="s">
        <v>976</v>
      </c>
      <c r="ABQ27" s="8">
        <v>0.0</v>
      </c>
      <c r="ABR27" s="8">
        <v>0.0</v>
      </c>
      <c r="ABS27" s="8">
        <v>1.0</v>
      </c>
      <c r="ABT27" s="8">
        <v>1.0</v>
      </c>
      <c r="ABU27" s="8">
        <v>0.0</v>
      </c>
      <c r="ABV27" s="8">
        <v>0.0</v>
      </c>
      <c r="ABW27" s="8">
        <v>0.0</v>
      </c>
      <c r="ABX27" s="9"/>
      <c r="ABY27" s="9" t="s">
        <v>1256</v>
      </c>
      <c r="ABZ27" s="9" t="s">
        <v>1050</v>
      </c>
      <c r="ACA27" s="9" t="s">
        <v>957</v>
      </c>
      <c r="ACB27" s="9" t="s">
        <v>915</v>
      </c>
      <c r="ACC27" s="9" t="s">
        <v>916</v>
      </c>
      <c r="ACD27" s="9" t="s">
        <v>1035</v>
      </c>
      <c r="ACE27" s="8">
        <v>1.0</v>
      </c>
      <c r="ACF27" s="8">
        <v>1.0</v>
      </c>
      <c r="ACG27" s="8">
        <v>0.0</v>
      </c>
      <c r="ACH27" s="8">
        <v>0.0</v>
      </c>
      <c r="ACI27" s="9" t="s">
        <v>917</v>
      </c>
      <c r="ACJ27" s="9" t="s">
        <v>917</v>
      </c>
      <c r="ACK27" s="9" t="s">
        <v>917</v>
      </c>
      <c r="ACL27" s="9" t="s">
        <v>917</v>
      </c>
      <c r="ACM27" s="9" t="s">
        <v>881</v>
      </c>
      <c r="ACN27" s="9"/>
      <c r="ACO27" s="9" t="s">
        <v>917</v>
      </c>
      <c r="ACP27" s="9"/>
      <c r="ACQ27" s="9"/>
      <c r="ACR27" s="9"/>
      <c r="ACS27" s="9"/>
      <c r="ACT27" s="9"/>
      <c r="ACU27" s="9"/>
      <c r="ACV27" s="9"/>
      <c r="ACW27" s="9"/>
      <c r="ACX27" s="9"/>
      <c r="ACY27" s="9"/>
      <c r="ACZ27" s="9" t="s">
        <v>919</v>
      </c>
      <c r="ADA27" s="8">
        <v>0.0</v>
      </c>
      <c r="ADB27" s="8">
        <v>0.0</v>
      </c>
      <c r="ADC27" s="8">
        <v>0.0</v>
      </c>
      <c r="ADD27" s="8">
        <v>0.0</v>
      </c>
      <c r="ADE27" s="8">
        <v>1.0</v>
      </c>
      <c r="ADF27" s="8">
        <v>0.0</v>
      </c>
      <c r="ADG27" s="8">
        <v>0.0</v>
      </c>
      <c r="ADH27" s="8">
        <v>0.0</v>
      </c>
      <c r="ADI27" s="12"/>
      <c r="ADJ27" s="17" t="s">
        <v>872</v>
      </c>
      <c r="ADK27" s="9"/>
      <c r="ADL27" s="17" t="s">
        <v>920</v>
      </c>
      <c r="ADM27" s="9"/>
      <c r="ADN27" s="11" t="s">
        <v>999</v>
      </c>
      <c r="ADO27" s="9" t="s">
        <v>871</v>
      </c>
      <c r="ADP27" s="17" t="s">
        <v>1108</v>
      </c>
      <c r="ADQ27" s="18">
        <v>1.0</v>
      </c>
      <c r="ADR27" s="18">
        <v>1.0</v>
      </c>
      <c r="ADS27" s="18">
        <v>1.0</v>
      </c>
      <c r="ADT27" s="18">
        <v>1.0</v>
      </c>
      <c r="ADU27" s="18">
        <v>1.0</v>
      </c>
      <c r="ADV27" s="18">
        <v>1.0</v>
      </c>
      <c r="ADW27" s="18">
        <v>1.0</v>
      </c>
      <c r="ADX27" s="18">
        <v>1.0</v>
      </c>
      <c r="ADY27" s="18">
        <v>1.0</v>
      </c>
      <c r="ADZ27" s="18">
        <v>0.0</v>
      </c>
      <c r="AEA27" s="18">
        <v>0.0</v>
      </c>
      <c r="AEB27" s="18">
        <v>0.0</v>
      </c>
      <c r="AEC27" s="9"/>
      <c r="AED27" s="9" t="s">
        <v>923</v>
      </c>
      <c r="AEE27" s="9"/>
      <c r="AEF27" s="9" t="s">
        <v>1188</v>
      </c>
      <c r="AEG27" s="9"/>
      <c r="AEH27" s="9" t="s">
        <v>1257</v>
      </c>
      <c r="AEI27" s="16" t="s">
        <v>1258</v>
      </c>
      <c r="AEJ27" s="9" t="s">
        <v>1259</v>
      </c>
      <c r="AEK27" s="16" t="s">
        <v>1260</v>
      </c>
      <c r="AEL27" s="9" t="s">
        <v>1137</v>
      </c>
      <c r="AEM27" s="9"/>
      <c r="AEN27" s="9"/>
    </row>
    <row r="28">
      <c r="A28" s="6">
        <v>46059.0</v>
      </c>
      <c r="B28" s="6">
        <v>46059.0</v>
      </c>
      <c r="C28" s="7" t="s">
        <v>837</v>
      </c>
      <c r="D28" s="7" t="s">
        <v>1261</v>
      </c>
      <c r="E28" s="8">
        <f>+6282313180505</f>
        <v>6282313180505</v>
      </c>
      <c r="F28" s="9"/>
      <c r="G28" s="8">
        <v>-7.22403079</v>
      </c>
      <c r="H28" s="8">
        <v>110.2519176</v>
      </c>
      <c r="I28" s="9"/>
      <c r="J28" s="8">
        <v>4.8</v>
      </c>
      <c r="K28" s="9"/>
      <c r="L28" s="9"/>
      <c r="M28" s="8">
        <v>-7.2240962</v>
      </c>
      <c r="N28" s="8">
        <v>110.2519806</v>
      </c>
      <c r="O28" s="9"/>
      <c r="P28" s="8">
        <v>4.38</v>
      </c>
      <c r="Q28" s="9"/>
      <c r="R28" s="9" t="s">
        <v>839</v>
      </c>
      <c r="S28" s="9"/>
      <c r="T28" s="9"/>
      <c r="U28" s="9"/>
      <c r="V28" s="9"/>
      <c r="W28" s="9"/>
      <c r="X28" s="9"/>
      <c r="Y28" s="9"/>
      <c r="Z28" s="9"/>
      <c r="AA28" s="9"/>
      <c r="AB28" s="9"/>
      <c r="AC28" s="7" t="s">
        <v>1175</v>
      </c>
      <c r="AD28" s="7" t="s">
        <v>1176</v>
      </c>
      <c r="AE28" s="7" t="s">
        <v>1262</v>
      </c>
      <c r="AF28" s="9" t="s">
        <v>1178</v>
      </c>
      <c r="AG28" s="9" t="s">
        <v>1263</v>
      </c>
      <c r="AH28" s="8">
        <v>2.0</v>
      </c>
      <c r="AI28" s="9" t="s">
        <v>845</v>
      </c>
      <c r="AJ28" s="9" t="s">
        <v>846</v>
      </c>
      <c r="AK28" s="8">
        <v>44.0</v>
      </c>
      <c r="AL28" s="9" t="s">
        <v>847</v>
      </c>
      <c r="AM28" s="9" t="s">
        <v>848</v>
      </c>
      <c r="AN28" s="9" t="s">
        <v>1009</v>
      </c>
      <c r="AO28" s="9" t="s">
        <v>850</v>
      </c>
      <c r="AP28" s="8">
        <v>1.0</v>
      </c>
      <c r="AQ28" s="8">
        <v>0.0</v>
      </c>
      <c r="AR28" s="8">
        <v>0.0</v>
      </c>
      <c r="AS28" s="8">
        <v>0.0</v>
      </c>
      <c r="AT28" s="8">
        <v>0.0</v>
      </c>
      <c r="AU28" s="8">
        <v>0.0</v>
      </c>
      <c r="AV28" s="8">
        <v>0.0</v>
      </c>
      <c r="AW28" s="8">
        <v>0.0</v>
      </c>
      <c r="AX28" s="9"/>
      <c r="AY28" s="9" t="s">
        <v>935</v>
      </c>
      <c r="AZ28" s="8">
        <v>0.0</v>
      </c>
      <c r="BA28" s="8">
        <v>1.0</v>
      </c>
      <c r="BB28" s="8">
        <v>0.0</v>
      </c>
      <c r="BC28" s="8">
        <v>0.0</v>
      </c>
      <c r="BD28" s="8">
        <v>0.0</v>
      </c>
      <c r="BE28" s="8">
        <v>0.0</v>
      </c>
      <c r="BF28" s="8">
        <v>0.0</v>
      </c>
      <c r="BG28" s="8">
        <v>0.0</v>
      </c>
      <c r="BH28" s="9"/>
      <c r="BI28" s="9" t="s">
        <v>852</v>
      </c>
      <c r="BJ28" s="8">
        <v>2.0</v>
      </c>
      <c r="BK28" s="8">
        <v>2.0</v>
      </c>
      <c r="BL28" s="8">
        <v>0.0</v>
      </c>
      <c r="BM28" s="8">
        <v>0.0</v>
      </c>
      <c r="BN28" s="9" t="s">
        <v>853</v>
      </c>
      <c r="BO28" s="9" t="s">
        <v>854</v>
      </c>
      <c r="BP28" s="8">
        <v>1.0</v>
      </c>
      <c r="BQ28" s="8">
        <v>0.0</v>
      </c>
      <c r="BR28" s="8">
        <v>0.0</v>
      </c>
      <c r="BS28" s="8">
        <v>0.0</v>
      </c>
      <c r="BT28" s="8">
        <v>0.0</v>
      </c>
      <c r="BU28" s="9"/>
      <c r="BV28" s="9" t="s">
        <v>1254</v>
      </c>
      <c r="BW28" s="8">
        <v>0.0</v>
      </c>
      <c r="BX28" s="8">
        <v>1.0</v>
      </c>
      <c r="BY28" s="8">
        <v>0.0</v>
      </c>
      <c r="BZ28" s="8">
        <v>0.0</v>
      </c>
      <c r="CA28" s="8">
        <v>0.0</v>
      </c>
      <c r="CB28" s="9"/>
      <c r="CC28" s="9" t="s">
        <v>856</v>
      </c>
      <c r="CD28" s="8">
        <v>0.0</v>
      </c>
      <c r="CE28" s="8">
        <v>0.0</v>
      </c>
      <c r="CF28" s="8">
        <v>0.0</v>
      </c>
      <c r="CG28" s="8">
        <v>0.0</v>
      </c>
      <c r="CH28" s="8">
        <v>0.0</v>
      </c>
      <c r="CI28" s="8">
        <v>1.0</v>
      </c>
      <c r="CJ28" s="8">
        <v>0.0</v>
      </c>
      <c r="CK28" s="9"/>
      <c r="CL28" s="9" t="s">
        <v>857</v>
      </c>
      <c r="CM28" s="8">
        <v>2024.0</v>
      </c>
      <c r="CN28" s="9" t="s">
        <v>858</v>
      </c>
      <c r="CO28" s="9" t="s">
        <v>859</v>
      </c>
      <c r="CP28" s="9" t="s">
        <v>860</v>
      </c>
      <c r="CQ28" s="8">
        <v>0.0</v>
      </c>
      <c r="CR28" s="8">
        <v>0.0</v>
      </c>
      <c r="CS28" s="8">
        <v>0.0</v>
      </c>
      <c r="CT28" s="8">
        <v>0.0</v>
      </c>
      <c r="CU28" s="10">
        <v>1.0</v>
      </c>
      <c r="CV28" s="10">
        <v>0.0</v>
      </c>
      <c r="CW28" s="10">
        <v>0.0</v>
      </c>
      <c r="CX28" s="8">
        <v>0.0</v>
      </c>
      <c r="CY28" s="9" t="s">
        <v>860</v>
      </c>
      <c r="CZ28" s="8">
        <v>1.0</v>
      </c>
      <c r="DA28" s="8">
        <v>0.0</v>
      </c>
      <c r="DB28" s="8">
        <v>0.0</v>
      </c>
      <c r="DC28" s="9"/>
      <c r="DD28" s="9" t="s">
        <v>937</v>
      </c>
      <c r="DE28" s="8">
        <v>1.0</v>
      </c>
      <c r="DF28" s="8">
        <v>0.0</v>
      </c>
      <c r="DG28" s="8">
        <v>1.0</v>
      </c>
      <c r="DH28" s="8">
        <v>0.0</v>
      </c>
      <c r="DI28" s="9"/>
      <c r="DJ28" s="9" t="s">
        <v>937</v>
      </c>
      <c r="DK28" s="8">
        <v>1.0</v>
      </c>
      <c r="DL28" s="8">
        <v>0.0</v>
      </c>
      <c r="DM28" s="8">
        <v>1.0</v>
      </c>
      <c r="DN28" s="8">
        <v>0.0</v>
      </c>
      <c r="DO28" s="9"/>
      <c r="DP28" s="8">
        <v>1.0</v>
      </c>
      <c r="DQ28" s="8">
        <v>0.0</v>
      </c>
      <c r="DR28" s="8">
        <v>0.0</v>
      </c>
      <c r="DS28" s="9"/>
      <c r="DT28" s="9"/>
      <c r="DU28" s="9"/>
      <c r="DV28" s="9" t="s">
        <v>857</v>
      </c>
      <c r="DW28" s="9"/>
      <c r="DX28" s="9"/>
      <c r="DY28" s="9"/>
      <c r="DZ28" s="9"/>
      <c r="EA28" s="9"/>
      <c r="EB28" s="9"/>
      <c r="EC28" s="9"/>
      <c r="ED28" s="9"/>
      <c r="EE28" s="9"/>
      <c r="EF28" s="9"/>
      <c r="EG28" s="9"/>
      <c r="EH28" s="9"/>
      <c r="EI28" s="9" t="s">
        <v>862</v>
      </c>
      <c r="EJ28" s="8">
        <v>0.0</v>
      </c>
      <c r="EK28" s="8">
        <v>0.0</v>
      </c>
      <c r="EL28" s="8">
        <v>0.0</v>
      </c>
      <c r="EM28" s="8">
        <v>1.0</v>
      </c>
      <c r="EN28" s="8">
        <v>0.0</v>
      </c>
      <c r="EO28" s="11"/>
      <c r="EP28" s="9" t="s">
        <v>863</v>
      </c>
      <c r="EQ28" s="9" t="s">
        <v>864</v>
      </c>
      <c r="ER28" s="9" t="s">
        <v>861</v>
      </c>
      <c r="ES28" s="8">
        <v>1.0</v>
      </c>
      <c r="ET28" s="8">
        <v>0.0</v>
      </c>
      <c r="EU28" s="8">
        <v>0.0</v>
      </c>
      <c r="EV28" s="8">
        <v>0.0</v>
      </c>
      <c r="EW28" s="9"/>
      <c r="EX28" s="9" t="s">
        <v>1013</v>
      </c>
      <c r="EY28" s="8">
        <v>1.0</v>
      </c>
      <c r="EZ28" s="8">
        <v>1.0</v>
      </c>
      <c r="FA28" s="8">
        <v>0.0</v>
      </c>
      <c r="FB28" s="9"/>
      <c r="FC28" s="9" t="s">
        <v>1072</v>
      </c>
      <c r="FD28" s="9"/>
      <c r="FE28" s="9" t="s">
        <v>867</v>
      </c>
      <c r="FF28" s="9" t="s">
        <v>868</v>
      </c>
      <c r="FG28" s="9" t="s">
        <v>867</v>
      </c>
      <c r="FH28" s="9" t="s">
        <v>869</v>
      </c>
      <c r="FI28" s="9" t="s">
        <v>867</v>
      </c>
      <c r="FJ28" s="9" t="s">
        <v>868</v>
      </c>
      <c r="FK28" s="9" t="s">
        <v>867</v>
      </c>
      <c r="FL28" s="9" t="s">
        <v>943</v>
      </c>
      <c r="FM28" s="9" t="s">
        <v>867</v>
      </c>
      <c r="FN28" s="9" t="s">
        <v>943</v>
      </c>
      <c r="FO28" s="9" t="s">
        <v>867</v>
      </c>
      <c r="FP28" s="9" t="s">
        <v>870</v>
      </c>
      <c r="FQ28" s="9" t="s">
        <v>867</v>
      </c>
      <c r="FR28" s="9" t="s">
        <v>857</v>
      </c>
      <c r="FS28" s="9" t="s">
        <v>867</v>
      </c>
      <c r="FT28" s="9" t="s">
        <v>871</v>
      </c>
      <c r="FU28" s="9" t="s">
        <v>989</v>
      </c>
      <c r="FV28" s="8">
        <v>1.0</v>
      </c>
      <c r="FW28" s="8">
        <v>1.0</v>
      </c>
      <c r="FX28" s="8">
        <v>0.0</v>
      </c>
      <c r="FY28" s="8">
        <v>0.0</v>
      </c>
      <c r="FZ28" s="9" t="s">
        <v>1197</v>
      </c>
      <c r="GA28" s="9" t="s">
        <v>874</v>
      </c>
      <c r="GB28" s="8">
        <v>1.0</v>
      </c>
      <c r="GC28" s="8">
        <v>0.0</v>
      </c>
      <c r="GD28" s="8">
        <v>0.0</v>
      </c>
      <c r="GE28" s="8">
        <v>0.0</v>
      </c>
      <c r="GF28" s="9"/>
      <c r="GG28" s="9" t="s">
        <v>875</v>
      </c>
      <c r="GH28" s="9" t="s">
        <v>857</v>
      </c>
      <c r="GI28" s="9" t="s">
        <v>1264</v>
      </c>
      <c r="GJ28" s="8">
        <v>0.0</v>
      </c>
      <c r="GK28" s="8">
        <v>1.0</v>
      </c>
      <c r="GL28" s="8">
        <v>0.0</v>
      </c>
      <c r="GM28" s="8">
        <v>0.0</v>
      </c>
      <c r="GN28" s="9"/>
      <c r="GO28" s="8">
        <v>10.0</v>
      </c>
      <c r="GP28" s="9" t="s">
        <v>877</v>
      </c>
      <c r="GQ28" s="9" t="s">
        <v>878</v>
      </c>
      <c r="GR28" s="8">
        <v>1.0</v>
      </c>
      <c r="GS28" s="8">
        <v>1.0</v>
      </c>
      <c r="GT28" s="8">
        <v>0.0</v>
      </c>
      <c r="GU28" s="8">
        <v>0.0</v>
      </c>
      <c r="GV28" s="8">
        <v>0.0</v>
      </c>
      <c r="GW28" s="8">
        <v>0.0</v>
      </c>
      <c r="GX28" s="8">
        <v>0.0</v>
      </c>
      <c r="GY28" s="9"/>
      <c r="GZ28" s="9" t="s">
        <v>857</v>
      </c>
      <c r="HA28" s="8">
        <v>20.0</v>
      </c>
      <c r="HB28" s="8">
        <v>200000.0</v>
      </c>
      <c r="HC28" s="8">
        <v>5.0</v>
      </c>
      <c r="HD28" s="8">
        <v>50000.0</v>
      </c>
      <c r="HE28" s="8">
        <v>9.0</v>
      </c>
      <c r="HF28" s="8">
        <v>75000.0</v>
      </c>
      <c r="HG28" s="8">
        <v>3.0</v>
      </c>
      <c r="HH28" s="8">
        <v>25000.0</v>
      </c>
      <c r="HI28" s="9"/>
      <c r="HJ28" s="9"/>
      <c r="HK28" s="9"/>
      <c r="HL28" s="9"/>
      <c r="HM28" s="9"/>
      <c r="HN28" s="9"/>
      <c r="HO28" s="9"/>
      <c r="HP28" s="9"/>
      <c r="HQ28" s="9"/>
      <c r="HR28" s="9"/>
      <c r="HS28" s="9"/>
      <c r="HT28" s="9"/>
      <c r="HU28" s="9"/>
      <c r="HV28" s="9"/>
      <c r="HW28" s="9"/>
      <c r="HX28" s="9"/>
      <c r="HY28" s="8">
        <v>15.0</v>
      </c>
      <c r="HZ28" s="8">
        <v>150000.0</v>
      </c>
      <c r="IA28" s="8">
        <v>6.0</v>
      </c>
      <c r="IB28" s="8">
        <v>50000.0</v>
      </c>
      <c r="IC28" s="9"/>
      <c r="ID28" s="9"/>
      <c r="IE28" s="9"/>
      <c r="IF28" s="9"/>
      <c r="IG28" s="9"/>
      <c r="IH28" s="9"/>
      <c r="II28" s="9"/>
      <c r="IJ28" s="9"/>
      <c r="IK28" s="9" t="s">
        <v>879</v>
      </c>
      <c r="IL28" s="9" t="s">
        <v>880</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1180</v>
      </c>
      <c r="KT28" s="9" t="s">
        <v>886</v>
      </c>
      <c r="KU28" s="9" t="s">
        <v>886</v>
      </c>
      <c r="KV28" s="9" t="s">
        <v>999</v>
      </c>
      <c r="KW28" s="8">
        <v>0.0</v>
      </c>
      <c r="KX28" s="8">
        <v>0.0</v>
      </c>
      <c r="KY28" s="8">
        <v>0.0</v>
      </c>
      <c r="KZ28" s="8">
        <v>1.0</v>
      </c>
      <c r="LA28" s="9" t="s">
        <v>1180</v>
      </c>
      <c r="LB28" s="9" t="s">
        <v>884</v>
      </c>
      <c r="LC28" s="8">
        <v>3.0</v>
      </c>
      <c r="LD28" s="8">
        <v>3.0</v>
      </c>
      <c r="LE28" s="8">
        <v>0.0</v>
      </c>
      <c r="LF28" s="8">
        <v>0.0</v>
      </c>
      <c r="LG28" s="9" t="s">
        <v>857</v>
      </c>
      <c r="LH28" s="8">
        <v>125000.0</v>
      </c>
      <c r="LI28" s="9"/>
      <c r="LJ28" s="9" t="s">
        <v>887</v>
      </c>
      <c r="LK28" s="8">
        <v>0.0</v>
      </c>
      <c r="LL28" s="8">
        <v>0.0</v>
      </c>
      <c r="LM28" s="8">
        <v>0.0</v>
      </c>
      <c r="LN28" s="8">
        <v>0.0</v>
      </c>
      <c r="LO28" s="8">
        <v>1.0</v>
      </c>
      <c r="LP28" s="8">
        <v>0.0</v>
      </c>
      <c r="LQ28" s="8">
        <v>0.0</v>
      </c>
      <c r="LR28" s="9"/>
      <c r="LS28" s="8">
        <v>15.0</v>
      </c>
      <c r="LT28" s="8">
        <v>15.0</v>
      </c>
      <c r="LU28" s="8">
        <v>0.0</v>
      </c>
      <c r="LV28" s="8">
        <v>5.0</v>
      </c>
      <c r="LW28" s="8">
        <v>5.0</v>
      </c>
      <c r="LX28" s="8">
        <v>0.0</v>
      </c>
      <c r="LY28" s="8">
        <v>5.0</v>
      </c>
      <c r="LZ28" s="8">
        <v>5.0</v>
      </c>
      <c r="MA28" s="8">
        <v>0.0</v>
      </c>
      <c r="MB28" s="9" t="s">
        <v>857</v>
      </c>
      <c r="MC28" s="8">
        <v>30.0</v>
      </c>
      <c r="MD28" s="8">
        <v>15.0</v>
      </c>
      <c r="ME28" s="8">
        <v>30.0</v>
      </c>
      <c r="MF28" s="8">
        <v>15.0</v>
      </c>
      <c r="MG28" s="8">
        <v>0.0</v>
      </c>
      <c r="MH28" s="8">
        <v>0.0</v>
      </c>
      <c r="MI28" s="9" t="s">
        <v>946</v>
      </c>
      <c r="MJ28" s="8">
        <v>0.0</v>
      </c>
      <c r="MK28" s="8">
        <v>0.0</v>
      </c>
      <c r="ML28" s="8">
        <v>1.0</v>
      </c>
      <c r="MM28" s="8">
        <v>0.0</v>
      </c>
      <c r="MN28" s="8">
        <v>0.0</v>
      </c>
      <c r="MO28" s="8">
        <v>0.0</v>
      </c>
      <c r="MP28" s="9"/>
      <c r="MQ28" s="9"/>
      <c r="MR28" s="9" t="s">
        <v>1029</v>
      </c>
      <c r="MS28" s="9"/>
      <c r="MT28" s="9" t="s">
        <v>888</v>
      </c>
      <c r="MU28" s="9" t="s">
        <v>881</v>
      </c>
      <c r="MV28" s="9"/>
      <c r="MW28" s="9"/>
      <c r="MX28" s="9"/>
      <c r="MY28" s="9"/>
      <c r="MZ28" s="9"/>
      <c r="NA28" s="9"/>
      <c r="NB28" s="9"/>
      <c r="NC28" s="9"/>
      <c r="ND28" s="9"/>
      <c r="NE28" s="9"/>
      <c r="NF28" s="9"/>
      <c r="NG28" s="9"/>
      <c r="NH28" s="9"/>
      <c r="NI28" s="9"/>
      <c r="NJ28" s="9"/>
      <c r="NK28" s="9"/>
      <c r="NL28" s="9" t="s">
        <v>857</v>
      </c>
      <c r="NM28" s="9" t="s">
        <v>893</v>
      </c>
      <c r="NN28" s="9" t="s">
        <v>993</v>
      </c>
      <c r="NO28" s="9" t="s">
        <v>994</v>
      </c>
      <c r="NP28" s="9"/>
      <c r="NQ28" s="9"/>
      <c r="NR28" s="9"/>
      <c r="NS28" s="9"/>
      <c r="NT28" s="9"/>
      <c r="NU28" s="9"/>
      <c r="NV28" s="9" t="s">
        <v>896</v>
      </c>
      <c r="NW28" s="9"/>
      <c r="NX28" s="9" t="s">
        <v>897</v>
      </c>
      <c r="NY28" s="8">
        <v>30.0</v>
      </c>
      <c r="NZ28" s="8">
        <v>15.0</v>
      </c>
      <c r="OA28" s="8">
        <v>0.0</v>
      </c>
      <c r="OB28" s="8">
        <v>5.0</v>
      </c>
      <c r="OC28" s="8">
        <v>5.0</v>
      </c>
      <c r="OD28" s="8">
        <v>0.0</v>
      </c>
      <c r="OE28" s="9" t="s">
        <v>898</v>
      </c>
      <c r="OF28" s="9" t="s">
        <v>1184</v>
      </c>
      <c r="OG28" s="9" t="s">
        <v>857</v>
      </c>
      <c r="OH28" s="8">
        <v>0.0</v>
      </c>
      <c r="OI28" s="8">
        <v>9.0</v>
      </c>
      <c r="OJ28" s="8">
        <v>0.0</v>
      </c>
      <c r="OK28" s="8">
        <v>0.0</v>
      </c>
      <c r="OL28" s="8">
        <v>0.0</v>
      </c>
      <c r="OM28" s="8">
        <v>0.0</v>
      </c>
      <c r="ON28" s="8">
        <v>0.0</v>
      </c>
      <c r="OO28" s="8">
        <v>0.0</v>
      </c>
      <c r="OP28" s="9" t="s">
        <v>2948</v>
      </c>
      <c r="OQ28" s="8">
        <v>0.0</v>
      </c>
      <c r="OR28" s="8">
        <v>1.0</v>
      </c>
      <c r="OS28" s="8">
        <v>0.0</v>
      </c>
      <c r="OT28" s="8">
        <v>0.0</v>
      </c>
      <c r="OU28" s="8">
        <v>0.0</v>
      </c>
      <c r="OV28" s="8">
        <v>0.0</v>
      </c>
      <c r="OW28" s="8">
        <v>0.0</v>
      </c>
      <c r="OX28" s="8">
        <v>0.0</v>
      </c>
      <c r="OY28" s="9"/>
      <c r="OZ28" s="9"/>
      <c r="PA28" s="9"/>
      <c r="PB28" s="9"/>
      <c r="PC28" s="9"/>
      <c r="PD28" s="9"/>
      <c r="PE28" s="9"/>
      <c r="PF28" s="9"/>
      <c r="PG28" s="9"/>
      <c r="PH28" s="9"/>
      <c r="PI28" s="9"/>
      <c r="PJ28" s="9" t="s">
        <v>900</v>
      </c>
      <c r="PK28" s="8">
        <v>0.0</v>
      </c>
      <c r="PL28" s="8">
        <v>0.0</v>
      </c>
      <c r="PM28" s="8">
        <v>0.0</v>
      </c>
      <c r="PN28" s="8">
        <v>0.0</v>
      </c>
      <c r="PO28" s="8">
        <v>0.0</v>
      </c>
      <c r="PP28" s="8">
        <v>1.0</v>
      </c>
      <c r="PQ28" s="8">
        <v>0.0</v>
      </c>
      <c r="PR28" s="8">
        <v>0.0</v>
      </c>
      <c r="PS28" s="8">
        <v>0.0</v>
      </c>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8">
        <v>9.0</v>
      </c>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t="s">
        <v>901</v>
      </c>
      <c r="UB28" s="9"/>
      <c r="UC28" s="9"/>
      <c r="UD28" s="9"/>
      <c r="UE28" s="9"/>
      <c r="UF28" s="9"/>
      <c r="UG28" s="9"/>
      <c r="UH28" s="9"/>
      <c r="UI28" s="9" t="s">
        <v>950</v>
      </c>
      <c r="UJ28" s="9"/>
      <c r="UK28" s="9"/>
      <c r="UL28" s="9"/>
      <c r="UM28" s="9"/>
      <c r="UN28" s="9"/>
      <c r="UO28" s="9"/>
      <c r="UP28" s="9"/>
      <c r="UQ28" s="9" t="s">
        <v>1158</v>
      </c>
      <c r="UR28" s="9"/>
      <c r="US28" s="9"/>
      <c r="UT28" s="9"/>
      <c r="UU28" s="9"/>
      <c r="UV28" s="9"/>
      <c r="UW28" s="9"/>
      <c r="UX28" s="9"/>
      <c r="UY28" s="9"/>
      <c r="UZ28" s="9"/>
      <c r="VA28" s="9"/>
      <c r="VB28" s="9"/>
      <c r="VC28" s="9"/>
      <c r="VD28" s="9"/>
      <c r="VE28" s="9"/>
      <c r="VF28" s="9"/>
      <c r="VG28" s="9"/>
      <c r="VH28" s="9"/>
      <c r="VI28" s="9"/>
      <c r="VJ28" s="9"/>
      <c r="VK28" s="9" t="s">
        <v>1265</v>
      </c>
      <c r="VL28" s="8">
        <v>0.0</v>
      </c>
      <c r="VM28" s="8">
        <v>0.0</v>
      </c>
      <c r="VN28" s="8">
        <v>1.0</v>
      </c>
      <c r="VO28" s="8">
        <v>0.0</v>
      </c>
      <c r="VP28" s="8">
        <v>1.0</v>
      </c>
      <c r="VQ28" s="8">
        <v>1.0</v>
      </c>
      <c r="VR28" s="8">
        <v>0.0</v>
      </c>
      <c r="VS28" s="8">
        <v>0.0</v>
      </c>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8">
        <v>60.0</v>
      </c>
      <c r="YU28" s="9"/>
      <c r="YV28" s="9"/>
      <c r="YW28" s="9"/>
      <c r="YX28" s="9"/>
      <c r="YY28" s="9"/>
      <c r="YZ28" s="9"/>
      <c r="ZA28" s="9"/>
      <c r="ZB28" s="8">
        <v>2.0</v>
      </c>
      <c r="ZC28" s="9"/>
      <c r="ZD28" s="9"/>
      <c r="ZE28" s="9"/>
      <c r="ZF28" s="9"/>
      <c r="ZG28" s="9"/>
      <c r="ZH28" s="9"/>
      <c r="ZI28" s="9"/>
      <c r="ZJ28" s="9" t="s">
        <v>905</v>
      </c>
      <c r="ZK28" s="9"/>
      <c r="ZL28" s="9"/>
      <c r="ZM28" s="9"/>
      <c r="ZN28" s="9"/>
      <c r="ZO28" s="9"/>
      <c r="ZP28" s="9"/>
      <c r="ZQ28" s="9" t="s">
        <v>857</v>
      </c>
      <c r="ZR28" s="9" t="s">
        <v>1033</v>
      </c>
      <c r="ZS28" s="8">
        <v>1.0</v>
      </c>
      <c r="ZT28" s="8">
        <v>1.0</v>
      </c>
      <c r="ZU28" s="8">
        <v>50.0</v>
      </c>
      <c r="ZV28" s="8">
        <v>50.0</v>
      </c>
      <c r="ZW28" s="9" t="s">
        <v>857</v>
      </c>
      <c r="ZX28" s="9" t="s">
        <v>867</v>
      </c>
      <c r="ZY28" s="9" t="s">
        <v>1074</v>
      </c>
      <c r="ZZ28" s="8">
        <v>1.0</v>
      </c>
      <c r="AAA28" s="8">
        <v>0.0</v>
      </c>
      <c r="AAB28" s="8">
        <v>0.0</v>
      </c>
      <c r="AAC28" s="8">
        <v>1.0</v>
      </c>
      <c r="AAD28" s="8">
        <v>1.0</v>
      </c>
      <c r="AAE28" s="8">
        <v>0.0</v>
      </c>
      <c r="AAF28" s="8">
        <v>0.0</v>
      </c>
      <c r="AAG28" s="9" t="s">
        <v>907</v>
      </c>
      <c r="AAH28" s="8">
        <v>1.0</v>
      </c>
      <c r="AAI28" s="8">
        <v>0.0</v>
      </c>
      <c r="AAJ28" s="8">
        <v>0.0</v>
      </c>
      <c r="AAK28" s="8">
        <v>0.0</v>
      </c>
      <c r="AAL28" s="8">
        <v>0.0</v>
      </c>
      <c r="AAM28" s="9"/>
      <c r="AAN28" s="9"/>
      <c r="AAO28" s="9"/>
      <c r="AAP28" s="9"/>
      <c r="AAQ28" s="9"/>
      <c r="AAR28" s="9"/>
      <c r="AAS28" s="9"/>
      <c r="AAT28" s="9"/>
      <c r="AAU28" s="9"/>
      <c r="AAV28" s="11" t="s">
        <v>953</v>
      </c>
      <c r="AAW28" s="9" t="s">
        <v>1075</v>
      </c>
      <c r="AAX28" s="8">
        <v>3000.0</v>
      </c>
      <c r="AAY28" s="8">
        <v>300.0</v>
      </c>
      <c r="AAZ28" s="8">
        <v>50.0</v>
      </c>
      <c r="ABA28" s="8">
        <v>50.0</v>
      </c>
      <c r="ABB28" s="9" t="s">
        <v>1199</v>
      </c>
      <c r="ABC28" s="9"/>
      <c r="ABD28" s="8">
        <v>50.0</v>
      </c>
      <c r="ABE28" s="8">
        <v>4000.0</v>
      </c>
      <c r="ABF28" s="8">
        <v>0.0</v>
      </c>
      <c r="ABG28" s="8">
        <v>4000.0</v>
      </c>
      <c r="ABH28" s="8">
        <v>600.0</v>
      </c>
      <c r="ABI28" s="8">
        <v>700.0</v>
      </c>
      <c r="ABJ28" s="9" t="s">
        <v>857</v>
      </c>
      <c r="ABK28" s="9" t="s">
        <v>911</v>
      </c>
      <c r="ABL28" s="9" t="s">
        <v>1034</v>
      </c>
      <c r="ABM28" s="9" t="s">
        <v>911</v>
      </c>
      <c r="ABN28" s="9"/>
      <c r="ABO28" s="9"/>
      <c r="ABP28" s="9" t="s">
        <v>1215</v>
      </c>
      <c r="ABQ28" s="8">
        <v>0.0</v>
      </c>
      <c r="ABR28" s="8">
        <v>1.0</v>
      </c>
      <c r="ABS28" s="8">
        <v>0.0</v>
      </c>
      <c r="ABT28" s="8">
        <v>1.0</v>
      </c>
      <c r="ABU28" s="8">
        <v>0.0</v>
      </c>
      <c r="ABV28" s="8">
        <v>0.0</v>
      </c>
      <c r="ABW28" s="8">
        <v>0.0</v>
      </c>
      <c r="ABX28" s="9"/>
      <c r="ABY28" s="9" t="s">
        <v>912</v>
      </c>
      <c r="ABZ28" s="9" t="s">
        <v>1050</v>
      </c>
      <c r="ACA28" s="9" t="s">
        <v>957</v>
      </c>
      <c r="ACB28" s="9" t="s">
        <v>915</v>
      </c>
      <c r="ACC28" s="9" t="s">
        <v>916</v>
      </c>
      <c r="ACD28" s="9" t="s">
        <v>1017</v>
      </c>
      <c r="ACE28" s="8">
        <v>1.0</v>
      </c>
      <c r="ACF28" s="8">
        <v>1.0</v>
      </c>
      <c r="ACG28" s="8">
        <v>1.0</v>
      </c>
      <c r="ACH28" s="8">
        <v>0.0</v>
      </c>
      <c r="ACI28" s="9" t="s">
        <v>1187</v>
      </c>
      <c r="ACJ28" s="9" t="s">
        <v>1187</v>
      </c>
      <c r="ACK28" s="9" t="s">
        <v>1187</v>
      </c>
      <c r="ACL28" s="9" t="s">
        <v>1187</v>
      </c>
      <c r="ACM28" s="9" t="s">
        <v>881</v>
      </c>
      <c r="ACN28" s="9"/>
      <c r="ACO28" s="9" t="s">
        <v>1187</v>
      </c>
      <c r="ACP28" s="9"/>
      <c r="ACQ28" s="9"/>
      <c r="ACR28" s="9"/>
      <c r="ACS28" s="9"/>
      <c r="ACT28" s="9"/>
      <c r="ACU28" s="9"/>
      <c r="ACV28" s="9"/>
      <c r="ACW28" s="9"/>
      <c r="ACX28" s="9"/>
      <c r="ACY28" s="9"/>
      <c r="ACZ28" s="9" t="s">
        <v>919</v>
      </c>
      <c r="ADA28" s="8">
        <v>0.0</v>
      </c>
      <c r="ADB28" s="8">
        <v>0.0</v>
      </c>
      <c r="ADC28" s="8">
        <v>0.0</v>
      </c>
      <c r="ADD28" s="8">
        <v>0.0</v>
      </c>
      <c r="ADE28" s="8">
        <v>1.0</v>
      </c>
      <c r="ADF28" s="8">
        <v>0.0</v>
      </c>
      <c r="ADG28" s="8">
        <v>0.0</v>
      </c>
      <c r="ADH28" s="8">
        <v>0.0</v>
      </c>
      <c r="ADI28" s="12"/>
      <c r="ADJ28" s="17" t="s">
        <v>872</v>
      </c>
      <c r="ADK28" s="9"/>
      <c r="ADL28" s="17" t="s">
        <v>920</v>
      </c>
      <c r="ADM28" s="9"/>
      <c r="ADN28" s="11" t="s">
        <v>999</v>
      </c>
      <c r="ADO28" s="9" t="s">
        <v>871</v>
      </c>
      <c r="ADP28" s="17" t="s">
        <v>1108</v>
      </c>
      <c r="ADQ28" s="18">
        <v>1.0</v>
      </c>
      <c r="ADR28" s="18">
        <v>1.0</v>
      </c>
      <c r="ADS28" s="18">
        <v>1.0</v>
      </c>
      <c r="ADT28" s="18">
        <v>1.0</v>
      </c>
      <c r="ADU28" s="18">
        <v>1.0</v>
      </c>
      <c r="ADV28" s="18">
        <v>1.0</v>
      </c>
      <c r="ADW28" s="18">
        <v>1.0</v>
      </c>
      <c r="ADX28" s="18">
        <v>1.0</v>
      </c>
      <c r="ADY28" s="18">
        <v>1.0</v>
      </c>
      <c r="ADZ28" s="18">
        <v>0.0</v>
      </c>
      <c r="AEA28" s="18">
        <v>0.0</v>
      </c>
      <c r="AEB28" s="18">
        <v>0.0</v>
      </c>
      <c r="AEC28" s="9"/>
      <c r="AED28" s="9" t="s">
        <v>923</v>
      </c>
      <c r="AEE28" s="9"/>
      <c r="AEF28" s="9" t="s">
        <v>1188</v>
      </c>
      <c r="AEG28" s="9"/>
      <c r="AEH28" s="9" t="s">
        <v>1266</v>
      </c>
      <c r="AEI28" s="16" t="s">
        <v>1267</v>
      </c>
      <c r="AEJ28" s="9" t="s">
        <v>1268</v>
      </c>
      <c r="AEK28" s="16" t="s">
        <v>1269</v>
      </c>
      <c r="AEL28" s="9" t="s">
        <v>1137</v>
      </c>
      <c r="AEM28" s="9"/>
      <c r="AEN28" s="9"/>
    </row>
    <row r="29">
      <c r="A29" s="6">
        <v>46059.0</v>
      </c>
      <c r="B29" s="6">
        <v>46059.0</v>
      </c>
      <c r="C29" s="7" t="s">
        <v>837</v>
      </c>
      <c r="D29" s="7" t="s">
        <v>1270</v>
      </c>
      <c r="E29" s="8">
        <f>+6282297397357</f>
        <v>6282297397357</v>
      </c>
      <c r="F29" s="9"/>
      <c r="G29" s="8">
        <v>-7.22318086</v>
      </c>
      <c r="H29" s="8">
        <v>110.2521516</v>
      </c>
      <c r="I29" s="9"/>
      <c r="J29" s="8">
        <v>4.95</v>
      </c>
      <c r="K29" s="9"/>
      <c r="L29" s="9"/>
      <c r="M29" s="8">
        <v>-7.22324714</v>
      </c>
      <c r="N29" s="8">
        <v>110.2521</v>
      </c>
      <c r="O29" s="9"/>
      <c r="P29" s="8">
        <v>4.27</v>
      </c>
      <c r="Q29" s="9"/>
      <c r="R29" s="9" t="s">
        <v>839</v>
      </c>
      <c r="S29" s="9"/>
      <c r="T29" s="9"/>
      <c r="U29" s="9"/>
      <c r="V29" s="9"/>
      <c r="W29" s="9"/>
      <c r="X29" s="9"/>
      <c r="Y29" s="9"/>
      <c r="Z29" s="9"/>
      <c r="AA29" s="9"/>
      <c r="AB29" s="9"/>
      <c r="AC29" s="7" t="s">
        <v>1175</v>
      </c>
      <c r="AD29" s="7" t="s">
        <v>1176</v>
      </c>
      <c r="AE29" s="7" t="s">
        <v>1262</v>
      </c>
      <c r="AF29" s="9" t="s">
        <v>1178</v>
      </c>
      <c r="AG29" s="9" t="s">
        <v>1271</v>
      </c>
      <c r="AH29" s="8">
        <v>2.0</v>
      </c>
      <c r="AI29" s="9" t="s">
        <v>845</v>
      </c>
      <c r="AJ29" s="9" t="s">
        <v>846</v>
      </c>
      <c r="AK29" s="8">
        <v>58.0</v>
      </c>
      <c r="AL29" s="9" t="s">
        <v>847</v>
      </c>
      <c r="AM29" s="9" t="s">
        <v>848</v>
      </c>
      <c r="AN29" s="9" t="s">
        <v>849</v>
      </c>
      <c r="AO29" s="9" t="s">
        <v>850</v>
      </c>
      <c r="AP29" s="8">
        <v>1.0</v>
      </c>
      <c r="AQ29" s="8">
        <v>0.0</v>
      </c>
      <c r="AR29" s="8">
        <v>0.0</v>
      </c>
      <c r="AS29" s="8">
        <v>0.0</v>
      </c>
      <c r="AT29" s="8">
        <v>0.0</v>
      </c>
      <c r="AU29" s="8">
        <v>0.0</v>
      </c>
      <c r="AV29" s="8">
        <v>0.0</v>
      </c>
      <c r="AW29" s="8">
        <v>0.0</v>
      </c>
      <c r="AX29" s="9"/>
      <c r="AY29" s="9" t="s">
        <v>935</v>
      </c>
      <c r="AZ29" s="8">
        <v>0.0</v>
      </c>
      <c r="BA29" s="8">
        <v>1.0</v>
      </c>
      <c r="BB29" s="8">
        <v>0.0</v>
      </c>
      <c r="BC29" s="8">
        <v>0.0</v>
      </c>
      <c r="BD29" s="8">
        <v>0.0</v>
      </c>
      <c r="BE29" s="8">
        <v>0.0</v>
      </c>
      <c r="BF29" s="8">
        <v>0.0</v>
      </c>
      <c r="BG29" s="8">
        <v>0.0</v>
      </c>
      <c r="BH29" s="9"/>
      <c r="BI29" s="9" t="s">
        <v>852</v>
      </c>
      <c r="BJ29" s="8">
        <v>2.0</v>
      </c>
      <c r="BK29" s="8">
        <v>2.0</v>
      </c>
      <c r="BL29" s="8">
        <v>2.0</v>
      </c>
      <c r="BM29" s="8">
        <v>0.0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856</v>
      </c>
      <c r="CD29" s="8">
        <v>0.0</v>
      </c>
      <c r="CE29" s="8">
        <v>0.0</v>
      </c>
      <c r="CF29" s="8">
        <v>0.0</v>
      </c>
      <c r="CG29" s="8">
        <v>0.0</v>
      </c>
      <c r="CH29" s="8">
        <v>0.0</v>
      </c>
      <c r="CI29" s="8">
        <v>1.0</v>
      </c>
      <c r="CJ29" s="8">
        <v>0.0</v>
      </c>
      <c r="CK29" s="9"/>
      <c r="CL29" s="9" t="s">
        <v>857</v>
      </c>
      <c r="CM29" s="8">
        <v>2024.0</v>
      </c>
      <c r="CN29" s="9" t="s">
        <v>858</v>
      </c>
      <c r="CO29" s="9" t="s">
        <v>859</v>
      </c>
      <c r="CP29" s="9" t="s">
        <v>860</v>
      </c>
      <c r="CQ29" s="8">
        <v>0.0</v>
      </c>
      <c r="CR29" s="8">
        <v>0.0</v>
      </c>
      <c r="CS29" s="8">
        <v>0.0</v>
      </c>
      <c r="CT29" s="8">
        <v>0.0</v>
      </c>
      <c r="CU29" s="10">
        <v>1.0</v>
      </c>
      <c r="CV29" s="10">
        <v>0.0</v>
      </c>
      <c r="CW29" s="10">
        <v>0.0</v>
      </c>
      <c r="CX29" s="8">
        <v>0.0</v>
      </c>
      <c r="CY29" s="9" t="s">
        <v>860</v>
      </c>
      <c r="CZ29" s="8">
        <v>1.0</v>
      </c>
      <c r="DA29" s="8">
        <v>0.0</v>
      </c>
      <c r="DB29" s="8">
        <v>0.0</v>
      </c>
      <c r="DC29" s="9"/>
      <c r="DD29" s="9" t="s">
        <v>937</v>
      </c>
      <c r="DE29" s="8">
        <v>1.0</v>
      </c>
      <c r="DF29" s="8">
        <v>0.0</v>
      </c>
      <c r="DG29" s="8">
        <v>1.0</v>
      </c>
      <c r="DH29" s="8">
        <v>0.0</v>
      </c>
      <c r="DI29" s="9"/>
      <c r="DJ29" s="9" t="s">
        <v>937</v>
      </c>
      <c r="DK29" s="8">
        <v>1.0</v>
      </c>
      <c r="DL29" s="8">
        <v>0.0</v>
      </c>
      <c r="DM29" s="8">
        <v>1.0</v>
      </c>
      <c r="DN29" s="8">
        <v>0.0</v>
      </c>
      <c r="DO29" s="9"/>
      <c r="DP29" s="8">
        <v>1.0</v>
      </c>
      <c r="DQ29" s="8">
        <v>0.0</v>
      </c>
      <c r="DR29" s="8">
        <v>0.0</v>
      </c>
      <c r="DS29" s="9"/>
      <c r="DT29" s="9"/>
      <c r="DU29" s="9"/>
      <c r="DV29" s="9" t="s">
        <v>857</v>
      </c>
      <c r="DW29" s="9"/>
      <c r="DX29" s="9"/>
      <c r="DY29" s="9"/>
      <c r="DZ29" s="9"/>
      <c r="EA29" s="9"/>
      <c r="EB29" s="9"/>
      <c r="EC29" s="9"/>
      <c r="ED29" s="9"/>
      <c r="EE29" s="9"/>
      <c r="EF29" s="9"/>
      <c r="EG29" s="9"/>
      <c r="EH29" s="9"/>
      <c r="EI29" s="9" t="s">
        <v>862</v>
      </c>
      <c r="EJ29" s="8">
        <v>0.0</v>
      </c>
      <c r="EK29" s="8">
        <v>0.0</v>
      </c>
      <c r="EL29" s="8">
        <v>0.0</v>
      </c>
      <c r="EM29" s="8">
        <v>1.0</v>
      </c>
      <c r="EN29" s="8">
        <v>0.0</v>
      </c>
      <c r="EO29" s="11"/>
      <c r="EP29" s="9" t="s">
        <v>863</v>
      </c>
      <c r="EQ29" s="9" t="s">
        <v>864</v>
      </c>
      <c r="ER29" s="9" t="s">
        <v>861</v>
      </c>
      <c r="ES29" s="8">
        <v>1.0</v>
      </c>
      <c r="ET29" s="8">
        <v>0.0</v>
      </c>
      <c r="EU29" s="8">
        <v>0.0</v>
      </c>
      <c r="EV29" s="8">
        <v>0.0</v>
      </c>
      <c r="EW29" s="9"/>
      <c r="EX29" s="9" t="s">
        <v>865</v>
      </c>
      <c r="EY29" s="8">
        <v>1.0</v>
      </c>
      <c r="EZ29" s="8">
        <v>0.0</v>
      </c>
      <c r="FA29" s="8">
        <v>0.0</v>
      </c>
      <c r="FB29" s="9"/>
      <c r="FC29" s="9" t="s">
        <v>866</v>
      </c>
      <c r="FD29" s="9"/>
      <c r="FE29" s="9" t="s">
        <v>867</v>
      </c>
      <c r="FF29" s="9" t="s">
        <v>868</v>
      </c>
      <c r="FG29" s="9" t="s">
        <v>867</v>
      </c>
      <c r="FH29" s="9" t="s">
        <v>868</v>
      </c>
      <c r="FI29" s="9" t="s">
        <v>867</v>
      </c>
      <c r="FJ29" s="9" t="s">
        <v>868</v>
      </c>
      <c r="FK29" s="9" t="s">
        <v>867</v>
      </c>
      <c r="FL29" s="9" t="s">
        <v>869</v>
      </c>
      <c r="FM29" s="9" t="s">
        <v>867</v>
      </c>
      <c r="FN29" s="9" t="s">
        <v>868</v>
      </c>
      <c r="FO29" s="9" t="s">
        <v>867</v>
      </c>
      <c r="FP29" s="9" t="s">
        <v>870</v>
      </c>
      <c r="FQ29" s="9" t="s">
        <v>867</v>
      </c>
      <c r="FR29" s="9" t="s">
        <v>857</v>
      </c>
      <c r="FS29" s="9" t="s">
        <v>867</v>
      </c>
      <c r="FT29" s="9" t="s">
        <v>871</v>
      </c>
      <c r="FU29" s="9" t="s">
        <v>989</v>
      </c>
      <c r="FV29" s="8">
        <v>1.0</v>
      </c>
      <c r="FW29" s="8">
        <v>1.0</v>
      </c>
      <c r="FX29" s="8">
        <v>0.0</v>
      </c>
      <c r="FY29" s="8">
        <v>0.0</v>
      </c>
      <c r="FZ29" s="9" t="s">
        <v>1197</v>
      </c>
      <c r="GA29" s="9" t="s">
        <v>874</v>
      </c>
      <c r="GB29" s="8">
        <v>1.0</v>
      </c>
      <c r="GC29" s="8">
        <v>0.0</v>
      </c>
      <c r="GD29" s="8">
        <v>0.0</v>
      </c>
      <c r="GE29" s="8">
        <v>0.0</v>
      </c>
      <c r="GF29" s="9"/>
      <c r="GG29" s="9" t="s">
        <v>875</v>
      </c>
      <c r="GH29" s="9" t="s">
        <v>857</v>
      </c>
      <c r="GI29" s="9" t="s">
        <v>876</v>
      </c>
      <c r="GJ29" s="8">
        <v>1.0</v>
      </c>
      <c r="GK29" s="8">
        <v>0.0</v>
      </c>
      <c r="GL29" s="8">
        <v>0.0</v>
      </c>
      <c r="GM29" s="8">
        <v>0.0</v>
      </c>
      <c r="GN29" s="9"/>
      <c r="GO29" s="8">
        <v>9.0</v>
      </c>
      <c r="GP29" s="9" t="s">
        <v>877</v>
      </c>
      <c r="GQ29" s="9" t="s">
        <v>878</v>
      </c>
      <c r="GR29" s="8">
        <v>1.0</v>
      </c>
      <c r="GS29" s="8">
        <v>1.0</v>
      </c>
      <c r="GT29" s="8">
        <v>0.0</v>
      </c>
      <c r="GU29" s="8">
        <v>0.0</v>
      </c>
      <c r="GV29" s="8">
        <v>0.0</v>
      </c>
      <c r="GW29" s="8">
        <v>0.0</v>
      </c>
      <c r="GX29" s="8">
        <v>0.0</v>
      </c>
      <c r="GY29" s="9"/>
      <c r="GZ29" s="9" t="s">
        <v>857</v>
      </c>
      <c r="HA29" s="8">
        <v>40.0</v>
      </c>
      <c r="HB29" s="8">
        <v>400000.0</v>
      </c>
      <c r="HC29" s="8">
        <v>5.0</v>
      </c>
      <c r="HD29" s="8">
        <v>50000.0</v>
      </c>
      <c r="HE29" s="8">
        <v>12.0</v>
      </c>
      <c r="HF29" s="8">
        <v>100000.0</v>
      </c>
      <c r="HG29" s="8">
        <v>3.0</v>
      </c>
      <c r="HH29" s="8">
        <v>25000.0</v>
      </c>
      <c r="HI29" s="9"/>
      <c r="HJ29" s="9"/>
      <c r="HK29" s="9"/>
      <c r="HL29" s="9"/>
      <c r="HM29" s="9"/>
      <c r="HN29" s="9"/>
      <c r="HO29" s="9"/>
      <c r="HP29" s="9"/>
      <c r="HQ29" s="9"/>
      <c r="HR29" s="9"/>
      <c r="HS29" s="9"/>
      <c r="HT29" s="9"/>
      <c r="HU29" s="9"/>
      <c r="HV29" s="9"/>
      <c r="HW29" s="9"/>
      <c r="HX29" s="9"/>
      <c r="HY29" s="8">
        <v>35.0</v>
      </c>
      <c r="HZ29" s="8">
        <v>350000.0</v>
      </c>
      <c r="IA29" s="8">
        <v>9.0</v>
      </c>
      <c r="IB29" s="8">
        <v>75000.0</v>
      </c>
      <c r="IC29" s="9"/>
      <c r="ID29" s="9"/>
      <c r="IE29" s="9"/>
      <c r="IF29" s="9"/>
      <c r="IG29" s="9"/>
      <c r="IH29" s="9"/>
      <c r="II29" s="9"/>
      <c r="IJ29" s="9"/>
      <c r="IK29" s="9" t="s">
        <v>879</v>
      </c>
      <c r="IL29" s="9" t="s">
        <v>880</v>
      </c>
      <c r="IM29" s="9" t="s">
        <v>857</v>
      </c>
      <c r="IN29" s="9" t="s">
        <v>881</v>
      </c>
      <c r="IO29" s="9" t="s">
        <v>1206</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1180</v>
      </c>
      <c r="KT29" s="9" t="s">
        <v>886</v>
      </c>
      <c r="KU29" s="9" t="s">
        <v>886</v>
      </c>
      <c r="KV29" s="9" t="s">
        <v>999</v>
      </c>
      <c r="KW29" s="8">
        <v>0.0</v>
      </c>
      <c r="KX29" s="8">
        <v>0.0</v>
      </c>
      <c r="KY29" s="8">
        <v>0.0</v>
      </c>
      <c r="KZ29" s="8">
        <v>1.0</v>
      </c>
      <c r="LA29" s="9" t="s">
        <v>884</v>
      </c>
      <c r="LB29" s="9" t="s">
        <v>884</v>
      </c>
      <c r="LC29" s="8">
        <v>3.0</v>
      </c>
      <c r="LD29" s="8">
        <v>3.0</v>
      </c>
      <c r="LE29" s="8">
        <v>0.0</v>
      </c>
      <c r="LF29" s="8">
        <v>0.0</v>
      </c>
      <c r="LG29" s="9" t="s">
        <v>857</v>
      </c>
      <c r="LH29" s="8">
        <v>250000.0</v>
      </c>
      <c r="LI29" s="9"/>
      <c r="LJ29" s="9" t="s">
        <v>887</v>
      </c>
      <c r="LK29" s="8">
        <v>0.0</v>
      </c>
      <c r="LL29" s="8">
        <v>0.0</v>
      </c>
      <c r="LM29" s="8">
        <v>0.0</v>
      </c>
      <c r="LN29" s="8">
        <v>0.0</v>
      </c>
      <c r="LO29" s="8">
        <v>1.0</v>
      </c>
      <c r="LP29" s="8">
        <v>0.0</v>
      </c>
      <c r="LQ29" s="8">
        <v>0.0</v>
      </c>
      <c r="LR29" s="9"/>
      <c r="LS29" s="8">
        <v>15.0</v>
      </c>
      <c r="LT29" s="8">
        <v>15.0</v>
      </c>
      <c r="LU29" s="8">
        <v>0.0</v>
      </c>
      <c r="LV29" s="8">
        <v>5.0</v>
      </c>
      <c r="LW29" s="8">
        <v>5.0</v>
      </c>
      <c r="LX29" s="8">
        <v>0.0</v>
      </c>
      <c r="LY29" s="8">
        <v>5.0</v>
      </c>
      <c r="LZ29" s="8">
        <v>5.0</v>
      </c>
      <c r="MA29" s="8">
        <v>0.0</v>
      </c>
      <c r="MB29" s="9" t="s">
        <v>857</v>
      </c>
      <c r="MC29" s="8">
        <v>30.0</v>
      </c>
      <c r="MD29" s="8">
        <v>10.0</v>
      </c>
      <c r="ME29" s="8">
        <v>30.0</v>
      </c>
      <c r="MF29" s="8">
        <v>10.0</v>
      </c>
      <c r="MG29" s="8">
        <v>0.0</v>
      </c>
      <c r="MH29" s="8">
        <v>0.0</v>
      </c>
      <c r="MI29" s="9" t="s">
        <v>946</v>
      </c>
      <c r="MJ29" s="8">
        <v>0.0</v>
      </c>
      <c r="MK29" s="8">
        <v>0.0</v>
      </c>
      <c r="ML29" s="8">
        <v>1.0</v>
      </c>
      <c r="MM29" s="8">
        <v>0.0</v>
      </c>
      <c r="MN29" s="8">
        <v>0.0</v>
      </c>
      <c r="MO29" s="8">
        <v>0.0</v>
      </c>
      <c r="MP29" s="9"/>
      <c r="MQ29" s="9"/>
      <c r="MR29" s="9" t="s">
        <v>1048</v>
      </c>
      <c r="MS29" s="9"/>
      <c r="MT29" s="9" t="s">
        <v>991</v>
      </c>
      <c r="MU29" s="9" t="s">
        <v>881</v>
      </c>
      <c r="MV29" s="9"/>
      <c r="MW29" s="9"/>
      <c r="MX29" s="9"/>
      <c r="MY29" s="9"/>
      <c r="MZ29" s="9"/>
      <c r="NA29" s="9"/>
      <c r="NB29" s="9"/>
      <c r="NC29" s="9"/>
      <c r="ND29" s="9"/>
      <c r="NE29" s="9"/>
      <c r="NF29" s="9"/>
      <c r="NG29" s="9"/>
      <c r="NH29" s="9"/>
      <c r="NI29" s="9"/>
      <c r="NJ29" s="9"/>
      <c r="NK29" s="9"/>
      <c r="NL29" s="9" t="s">
        <v>857</v>
      </c>
      <c r="NM29" s="9" t="s">
        <v>893</v>
      </c>
      <c r="NN29" s="9" t="s">
        <v>993</v>
      </c>
      <c r="NO29" s="9" t="s">
        <v>994</v>
      </c>
      <c r="NP29" s="9"/>
      <c r="NQ29" s="9"/>
      <c r="NR29" s="9"/>
      <c r="NS29" s="9"/>
      <c r="NT29" s="9"/>
      <c r="NU29" s="9"/>
      <c r="NV29" s="9" t="s">
        <v>896</v>
      </c>
      <c r="NW29" s="9"/>
      <c r="NX29" s="9" t="s">
        <v>897</v>
      </c>
      <c r="NY29" s="8">
        <v>60.0</v>
      </c>
      <c r="NZ29" s="8">
        <v>20.0</v>
      </c>
      <c r="OA29" s="8">
        <v>0.0</v>
      </c>
      <c r="OB29" s="8">
        <v>5.0</v>
      </c>
      <c r="OC29" s="8">
        <v>5.0</v>
      </c>
      <c r="OD29" s="8">
        <v>0.0</v>
      </c>
      <c r="OE29" s="9" t="s">
        <v>1180</v>
      </c>
      <c r="OF29" s="9" t="s">
        <v>1184</v>
      </c>
      <c r="OG29" s="9" t="s">
        <v>857</v>
      </c>
      <c r="OH29" s="8">
        <v>0.0</v>
      </c>
      <c r="OI29" s="8">
        <v>8.0</v>
      </c>
      <c r="OJ29" s="8">
        <v>0.0</v>
      </c>
      <c r="OK29" s="8">
        <v>0.0</v>
      </c>
      <c r="OL29" s="8">
        <v>0.0</v>
      </c>
      <c r="OM29" s="8">
        <v>0.0</v>
      </c>
      <c r="ON29" s="8">
        <v>0.0</v>
      </c>
      <c r="OO29" s="8">
        <v>0.0</v>
      </c>
      <c r="OP29" s="9" t="s">
        <v>2948</v>
      </c>
      <c r="OQ29" s="8">
        <v>0.0</v>
      </c>
      <c r="OR29" s="8">
        <v>1.0</v>
      </c>
      <c r="OS29" s="8">
        <v>0.0</v>
      </c>
      <c r="OT29" s="8">
        <v>0.0</v>
      </c>
      <c r="OU29" s="8">
        <v>0.0</v>
      </c>
      <c r="OV29" s="8">
        <v>0.0</v>
      </c>
      <c r="OW29" s="8">
        <v>0.0</v>
      </c>
      <c r="OX29" s="8">
        <v>0.0</v>
      </c>
      <c r="OY29" s="9"/>
      <c r="OZ29" s="9"/>
      <c r="PA29" s="9"/>
      <c r="PB29" s="9"/>
      <c r="PC29" s="9"/>
      <c r="PD29" s="9"/>
      <c r="PE29" s="9"/>
      <c r="PF29" s="9"/>
      <c r="PG29" s="9"/>
      <c r="PH29" s="9"/>
      <c r="PI29" s="9"/>
      <c r="PJ29" s="9" t="s">
        <v>900</v>
      </c>
      <c r="PK29" s="8">
        <v>0.0</v>
      </c>
      <c r="PL29" s="8">
        <v>0.0</v>
      </c>
      <c r="PM29" s="8">
        <v>0.0</v>
      </c>
      <c r="PN29" s="8">
        <v>0.0</v>
      </c>
      <c r="PO29" s="8">
        <v>0.0</v>
      </c>
      <c r="PP29" s="8">
        <v>1.0</v>
      </c>
      <c r="PQ29" s="8">
        <v>0.0</v>
      </c>
      <c r="PR29" s="8">
        <v>0.0</v>
      </c>
      <c r="PS29" s="8">
        <v>0.0</v>
      </c>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8">
        <v>8.0</v>
      </c>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t="s">
        <v>901</v>
      </c>
      <c r="UB29" s="9"/>
      <c r="UC29" s="9"/>
      <c r="UD29" s="9"/>
      <c r="UE29" s="9"/>
      <c r="UF29" s="9"/>
      <c r="UG29" s="9"/>
      <c r="UH29" s="9"/>
      <c r="UI29" s="9" t="s">
        <v>950</v>
      </c>
      <c r="UJ29" s="9"/>
      <c r="UK29" s="9"/>
      <c r="UL29" s="9"/>
      <c r="UM29" s="9"/>
      <c r="UN29" s="9"/>
      <c r="UO29" s="9"/>
      <c r="UP29" s="9"/>
      <c r="UQ29" s="9" t="s">
        <v>1158</v>
      </c>
      <c r="UR29" s="9"/>
      <c r="US29" s="9"/>
      <c r="UT29" s="9"/>
      <c r="UU29" s="9"/>
      <c r="UV29" s="9"/>
      <c r="UW29" s="9"/>
      <c r="UX29" s="9"/>
      <c r="UY29" s="9"/>
      <c r="UZ29" s="9"/>
      <c r="VA29" s="9"/>
      <c r="VB29" s="9"/>
      <c r="VC29" s="9"/>
      <c r="VD29" s="9"/>
      <c r="VE29" s="9"/>
      <c r="VF29" s="9"/>
      <c r="VG29" s="9"/>
      <c r="VH29" s="9"/>
      <c r="VI29" s="9"/>
      <c r="VJ29" s="9"/>
      <c r="VK29" s="9" t="s">
        <v>1272</v>
      </c>
      <c r="VL29" s="8">
        <v>0.0</v>
      </c>
      <c r="VM29" s="8">
        <v>0.0</v>
      </c>
      <c r="VN29" s="8">
        <v>1.0</v>
      </c>
      <c r="VO29" s="8">
        <v>1.0</v>
      </c>
      <c r="VP29" s="8">
        <v>1.0</v>
      </c>
      <c r="VQ29" s="8">
        <v>1.0</v>
      </c>
      <c r="VR29" s="8">
        <v>0.0</v>
      </c>
      <c r="VS29" s="8">
        <v>0.0</v>
      </c>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8">
        <v>60.0</v>
      </c>
      <c r="YU29" s="9"/>
      <c r="YV29" s="9"/>
      <c r="YW29" s="9"/>
      <c r="YX29" s="9"/>
      <c r="YY29" s="9"/>
      <c r="YZ29" s="9"/>
      <c r="ZA29" s="9"/>
      <c r="ZB29" s="8">
        <v>2.0</v>
      </c>
      <c r="ZC29" s="9"/>
      <c r="ZD29" s="9"/>
      <c r="ZE29" s="9"/>
      <c r="ZF29" s="9"/>
      <c r="ZG29" s="9"/>
      <c r="ZH29" s="9"/>
      <c r="ZI29" s="9"/>
      <c r="ZJ29" s="9" t="s">
        <v>1186</v>
      </c>
      <c r="ZK29" s="9"/>
      <c r="ZL29" s="9"/>
      <c r="ZM29" s="9"/>
      <c r="ZN29" s="9"/>
      <c r="ZO29" s="9"/>
      <c r="ZP29" s="9"/>
      <c r="ZQ29" s="9" t="s">
        <v>857</v>
      </c>
      <c r="ZR29" s="9" t="s">
        <v>1033</v>
      </c>
      <c r="ZS29" s="8">
        <v>1.0</v>
      </c>
      <c r="ZT29" s="8">
        <v>1.0</v>
      </c>
      <c r="ZU29" s="8">
        <v>50.0</v>
      </c>
      <c r="ZV29" s="8">
        <v>50.0</v>
      </c>
      <c r="ZW29" s="9" t="s">
        <v>857</v>
      </c>
      <c r="ZX29" s="9" t="s">
        <v>867</v>
      </c>
      <c r="ZY29" s="9" t="s">
        <v>1074</v>
      </c>
      <c r="ZZ29" s="8">
        <v>1.0</v>
      </c>
      <c r="AAA29" s="8">
        <v>0.0</v>
      </c>
      <c r="AAB29" s="8">
        <v>0.0</v>
      </c>
      <c r="AAC29" s="8">
        <v>1.0</v>
      </c>
      <c r="AAD29" s="8">
        <v>1.0</v>
      </c>
      <c r="AAE29" s="8">
        <v>0.0</v>
      </c>
      <c r="AAF29" s="8">
        <v>0.0</v>
      </c>
      <c r="AAG29" s="9" t="s">
        <v>907</v>
      </c>
      <c r="AAH29" s="8">
        <v>1.0</v>
      </c>
      <c r="AAI29" s="8">
        <v>0.0</v>
      </c>
      <c r="AAJ29" s="8">
        <v>0.0</v>
      </c>
      <c r="AAK29" s="8">
        <v>0.0</v>
      </c>
      <c r="AAL29" s="8">
        <v>0.0</v>
      </c>
      <c r="AAM29" s="9"/>
      <c r="AAN29" s="9"/>
      <c r="AAO29" s="9"/>
      <c r="AAP29" s="9"/>
      <c r="AAQ29" s="9"/>
      <c r="AAR29" s="9"/>
      <c r="AAS29" s="9"/>
      <c r="AAT29" s="9"/>
      <c r="AAU29" s="9"/>
      <c r="AAV29" s="11" t="s">
        <v>953</v>
      </c>
      <c r="AAW29" s="9" t="s">
        <v>1075</v>
      </c>
      <c r="AAX29" s="8">
        <v>3000.0</v>
      </c>
      <c r="AAY29" s="8">
        <v>300.0</v>
      </c>
      <c r="AAZ29" s="8">
        <v>50.0</v>
      </c>
      <c r="ABA29" s="8">
        <v>50.0</v>
      </c>
      <c r="ABB29" s="9" t="s">
        <v>1199</v>
      </c>
      <c r="ABC29" s="9"/>
      <c r="ABD29" s="8">
        <v>30.0</v>
      </c>
      <c r="ABE29" s="8">
        <v>4000.0</v>
      </c>
      <c r="ABF29" s="8">
        <v>0.0</v>
      </c>
      <c r="ABG29" s="8">
        <v>4000.0</v>
      </c>
      <c r="ABH29" s="8">
        <v>600.0</v>
      </c>
      <c r="ABI29" s="8">
        <v>750.0</v>
      </c>
      <c r="ABJ29" s="9" t="s">
        <v>857</v>
      </c>
      <c r="ABK29" s="9" t="s">
        <v>911</v>
      </c>
      <c r="ABL29" s="9" t="s">
        <v>911</v>
      </c>
      <c r="ABM29" s="9" t="s">
        <v>911</v>
      </c>
      <c r="ABN29" s="9"/>
      <c r="ABO29" s="9"/>
      <c r="ABP29" s="9" t="s">
        <v>976</v>
      </c>
      <c r="ABQ29" s="8">
        <v>0.0</v>
      </c>
      <c r="ABR29" s="8">
        <v>0.0</v>
      </c>
      <c r="ABS29" s="8">
        <v>1.0</v>
      </c>
      <c r="ABT29" s="8">
        <v>1.0</v>
      </c>
      <c r="ABU29" s="8">
        <v>0.0</v>
      </c>
      <c r="ABV29" s="8">
        <v>0.0</v>
      </c>
      <c r="ABW29" s="8">
        <v>0.0</v>
      </c>
      <c r="ABX29" s="9"/>
      <c r="ABY29" s="9" t="s">
        <v>912</v>
      </c>
      <c r="ABZ29" s="9" t="s">
        <v>1050</v>
      </c>
      <c r="ACA29" s="9" t="s">
        <v>957</v>
      </c>
      <c r="ACB29" s="9" t="s">
        <v>915</v>
      </c>
      <c r="ACC29" s="9" t="s">
        <v>916</v>
      </c>
      <c r="ACD29" s="9" t="s">
        <v>1017</v>
      </c>
      <c r="ACE29" s="8">
        <v>1.0</v>
      </c>
      <c r="ACF29" s="8">
        <v>1.0</v>
      </c>
      <c r="ACG29" s="8">
        <v>1.0</v>
      </c>
      <c r="ACH29" s="8">
        <v>0.0</v>
      </c>
      <c r="ACI29" s="9" t="s">
        <v>1187</v>
      </c>
      <c r="ACJ29" s="9" t="s">
        <v>1187</v>
      </c>
      <c r="ACK29" s="9" t="s">
        <v>1187</v>
      </c>
      <c r="ACL29" s="9" t="s">
        <v>1187</v>
      </c>
      <c r="ACM29" s="9" t="s">
        <v>881</v>
      </c>
      <c r="ACN29" s="9"/>
      <c r="ACO29" s="9" t="s">
        <v>1187</v>
      </c>
      <c r="ACP29" s="9"/>
      <c r="ACQ29" s="9"/>
      <c r="ACR29" s="9"/>
      <c r="ACS29" s="9"/>
      <c r="ACT29" s="9"/>
      <c r="ACU29" s="9"/>
      <c r="ACV29" s="9"/>
      <c r="ACW29" s="9"/>
      <c r="ACX29" s="9"/>
      <c r="ACY29" s="9"/>
      <c r="ACZ29" s="9" t="s">
        <v>919</v>
      </c>
      <c r="ADA29" s="8">
        <v>0.0</v>
      </c>
      <c r="ADB29" s="8">
        <v>0.0</v>
      </c>
      <c r="ADC29" s="8">
        <v>0.0</v>
      </c>
      <c r="ADD29" s="8">
        <v>0.0</v>
      </c>
      <c r="ADE29" s="8">
        <v>1.0</v>
      </c>
      <c r="ADF29" s="8">
        <v>0.0</v>
      </c>
      <c r="ADG29" s="8">
        <v>0.0</v>
      </c>
      <c r="ADH29" s="8">
        <v>0.0</v>
      </c>
      <c r="ADI29" s="12"/>
      <c r="ADJ29" s="17" t="s">
        <v>872</v>
      </c>
      <c r="ADK29" s="9"/>
      <c r="ADL29" s="17" t="s">
        <v>920</v>
      </c>
      <c r="ADM29" s="9"/>
      <c r="ADN29" s="11" t="s">
        <v>917</v>
      </c>
      <c r="ADO29" s="9" t="s">
        <v>871</v>
      </c>
      <c r="ADP29" s="17" t="s">
        <v>1108</v>
      </c>
      <c r="ADQ29" s="18">
        <v>1.0</v>
      </c>
      <c r="ADR29" s="18">
        <v>1.0</v>
      </c>
      <c r="ADS29" s="18">
        <v>1.0</v>
      </c>
      <c r="ADT29" s="18">
        <v>1.0</v>
      </c>
      <c r="ADU29" s="18">
        <v>1.0</v>
      </c>
      <c r="ADV29" s="18">
        <v>1.0</v>
      </c>
      <c r="ADW29" s="18">
        <v>1.0</v>
      </c>
      <c r="ADX29" s="18">
        <v>1.0</v>
      </c>
      <c r="ADY29" s="18">
        <v>1.0</v>
      </c>
      <c r="ADZ29" s="18">
        <v>0.0</v>
      </c>
      <c r="AEA29" s="18">
        <v>0.0</v>
      </c>
      <c r="AEB29" s="18">
        <v>0.0</v>
      </c>
      <c r="AEC29" s="9"/>
      <c r="AED29" s="9" t="s">
        <v>1273</v>
      </c>
      <c r="AEE29" s="9"/>
      <c r="AEF29" s="9" t="s">
        <v>1188</v>
      </c>
      <c r="AEG29" s="9"/>
      <c r="AEH29" s="9" t="s">
        <v>1274</v>
      </c>
      <c r="AEI29" s="16" t="s">
        <v>1275</v>
      </c>
      <c r="AEJ29" s="9" t="s">
        <v>1276</v>
      </c>
      <c r="AEK29" s="16" t="s">
        <v>1277</v>
      </c>
      <c r="AEL29" s="9" t="s">
        <v>1137</v>
      </c>
      <c r="AEM29" s="9"/>
      <c r="AEN29" s="9"/>
    </row>
    <row r="30">
      <c r="A30" s="6">
        <v>46059.0</v>
      </c>
      <c r="B30" s="6">
        <v>46059.0</v>
      </c>
      <c r="C30" s="7" t="s">
        <v>837</v>
      </c>
      <c r="D30" s="7" t="s">
        <v>1278</v>
      </c>
      <c r="E30" s="8">
        <f>+6285641171282</f>
        <v>6285641171282</v>
      </c>
      <c r="F30" s="9"/>
      <c r="G30" s="8">
        <v>-7.213795</v>
      </c>
      <c r="H30" s="8">
        <v>110.245088</v>
      </c>
      <c r="I30" s="9"/>
      <c r="J30" s="8">
        <v>1.85</v>
      </c>
      <c r="K30" s="9"/>
      <c r="L30" s="9"/>
      <c r="M30" s="8">
        <v>-7.213798</v>
      </c>
      <c r="N30" s="8">
        <v>110.2452248</v>
      </c>
      <c r="O30" s="9"/>
      <c r="P30" s="8">
        <v>4.31</v>
      </c>
      <c r="Q30" s="9"/>
      <c r="R30" s="9" t="s">
        <v>839</v>
      </c>
      <c r="S30" s="9"/>
      <c r="T30" s="9"/>
      <c r="U30" s="9"/>
      <c r="V30" s="9"/>
      <c r="W30" s="9"/>
      <c r="X30" s="9"/>
      <c r="Y30" s="9"/>
      <c r="Z30" s="9"/>
      <c r="AA30" s="9"/>
      <c r="AB30" s="9"/>
      <c r="AC30" s="7" t="s">
        <v>1175</v>
      </c>
      <c r="AD30" s="7" t="s">
        <v>1176</v>
      </c>
      <c r="AE30" s="7" t="s">
        <v>1279</v>
      </c>
      <c r="AF30" s="9" t="s">
        <v>1178</v>
      </c>
      <c r="AG30" s="9" t="s">
        <v>1280</v>
      </c>
      <c r="AH30" s="8">
        <v>1.0</v>
      </c>
      <c r="AI30" s="9" t="s">
        <v>845</v>
      </c>
      <c r="AJ30" s="9" t="s">
        <v>846</v>
      </c>
      <c r="AK30" s="8">
        <v>38.0</v>
      </c>
      <c r="AL30" s="9" t="s">
        <v>847</v>
      </c>
      <c r="AM30" s="9" t="s">
        <v>848</v>
      </c>
      <c r="AN30" s="9" t="s">
        <v>986</v>
      </c>
      <c r="AO30" s="9" t="s">
        <v>935</v>
      </c>
      <c r="AP30" s="8">
        <v>0.0</v>
      </c>
      <c r="AQ30" s="8">
        <v>1.0</v>
      </c>
      <c r="AR30" s="8">
        <v>0.0</v>
      </c>
      <c r="AS30" s="8">
        <v>0.0</v>
      </c>
      <c r="AT30" s="8">
        <v>0.0</v>
      </c>
      <c r="AU30" s="8">
        <v>0.0</v>
      </c>
      <c r="AV30" s="8">
        <v>0.0</v>
      </c>
      <c r="AW30" s="8">
        <v>0.0</v>
      </c>
      <c r="AX30" s="9"/>
      <c r="AY30" s="9" t="s">
        <v>850</v>
      </c>
      <c r="AZ30" s="8">
        <v>1.0</v>
      </c>
      <c r="BA30" s="8">
        <v>0.0</v>
      </c>
      <c r="BB30" s="8">
        <v>0.0</v>
      </c>
      <c r="BC30" s="8">
        <v>0.0</v>
      </c>
      <c r="BD30" s="8">
        <v>0.0</v>
      </c>
      <c r="BE30" s="8">
        <v>0.0</v>
      </c>
      <c r="BF30" s="8">
        <v>0.0</v>
      </c>
      <c r="BG30" s="8">
        <v>0.0</v>
      </c>
      <c r="BH30" s="9"/>
      <c r="BI30" s="9" t="s">
        <v>1101</v>
      </c>
      <c r="BJ30" s="8">
        <v>1.0</v>
      </c>
      <c r="BK30" s="8">
        <v>1.0</v>
      </c>
      <c r="BL30" s="8">
        <v>1.0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2025.0</v>
      </c>
      <c r="CN30" s="9" t="s">
        <v>858</v>
      </c>
      <c r="CO30" s="9" t="s">
        <v>859</v>
      </c>
      <c r="CP30" s="9" t="s">
        <v>860</v>
      </c>
      <c r="CQ30" s="8">
        <v>0.0</v>
      </c>
      <c r="CR30" s="8">
        <v>0.0</v>
      </c>
      <c r="CS30" s="8">
        <v>0.0</v>
      </c>
      <c r="CT30" s="8">
        <v>0.0</v>
      </c>
      <c r="CU30" s="10">
        <v>1.0</v>
      </c>
      <c r="CV30" s="10">
        <v>0.0</v>
      </c>
      <c r="CW30" s="10">
        <v>0.0</v>
      </c>
      <c r="CX30" s="8">
        <v>0.0</v>
      </c>
      <c r="CY30" s="9" t="s">
        <v>1060</v>
      </c>
      <c r="CZ30" s="8">
        <v>1.0</v>
      </c>
      <c r="DA30" s="8">
        <v>1.0</v>
      </c>
      <c r="DB30" s="8">
        <v>0.0</v>
      </c>
      <c r="DC30" s="9"/>
      <c r="DD30" s="9" t="s">
        <v>937</v>
      </c>
      <c r="DE30" s="8">
        <v>1.0</v>
      </c>
      <c r="DF30" s="8">
        <v>0.0</v>
      </c>
      <c r="DG30" s="8">
        <v>1.0</v>
      </c>
      <c r="DH30" s="8">
        <v>0.0</v>
      </c>
      <c r="DI30" s="9"/>
      <c r="DJ30" s="9" t="s">
        <v>937</v>
      </c>
      <c r="DK30" s="8">
        <v>1.0</v>
      </c>
      <c r="DL30" s="8">
        <v>0.0</v>
      </c>
      <c r="DM30" s="8">
        <v>1.0</v>
      </c>
      <c r="DN30" s="8">
        <v>0.0</v>
      </c>
      <c r="DO30" s="9"/>
      <c r="DP30" s="8">
        <v>1.0</v>
      </c>
      <c r="DQ30" s="8">
        <v>1.0</v>
      </c>
      <c r="DR30" s="8">
        <v>0.0</v>
      </c>
      <c r="DS30" s="9"/>
      <c r="DT30" s="9"/>
      <c r="DU30" s="9"/>
      <c r="DV30" s="9" t="s">
        <v>857</v>
      </c>
      <c r="DW30" s="9"/>
      <c r="DX30" s="9"/>
      <c r="DY30" s="9"/>
      <c r="DZ30" s="9"/>
      <c r="EA30" s="9"/>
      <c r="EB30" s="9"/>
      <c r="EC30" s="9"/>
      <c r="ED30" s="9"/>
      <c r="EE30" s="9"/>
      <c r="EF30" s="9"/>
      <c r="EG30" s="9"/>
      <c r="EH30" s="9"/>
      <c r="EI30" s="9" t="s">
        <v>862</v>
      </c>
      <c r="EJ30" s="8">
        <v>0.0</v>
      </c>
      <c r="EK30" s="8">
        <v>0.0</v>
      </c>
      <c r="EL30" s="8">
        <v>0.0</v>
      </c>
      <c r="EM30" s="8">
        <v>1.0</v>
      </c>
      <c r="EN30" s="8">
        <v>0.0</v>
      </c>
      <c r="EO30" s="11"/>
      <c r="EP30" s="9" t="s">
        <v>863</v>
      </c>
      <c r="EQ30" s="9" t="s">
        <v>864</v>
      </c>
      <c r="ER30" s="9" t="s">
        <v>861</v>
      </c>
      <c r="ES30" s="8">
        <v>1.0</v>
      </c>
      <c r="ET30" s="8">
        <v>0.0</v>
      </c>
      <c r="EU30" s="8">
        <v>0.0</v>
      </c>
      <c r="EV30" s="8">
        <v>0.0</v>
      </c>
      <c r="EW30" s="9"/>
      <c r="EX30" s="9" t="s">
        <v>1013</v>
      </c>
      <c r="EY30" s="8">
        <v>1.0</v>
      </c>
      <c r="EZ30" s="8">
        <v>1.0</v>
      </c>
      <c r="FA30" s="8">
        <v>0.0</v>
      </c>
      <c r="FB30" s="9"/>
      <c r="FC30" s="9" t="s">
        <v>1072</v>
      </c>
      <c r="FD30" s="9"/>
      <c r="FE30" s="9" t="s">
        <v>867</v>
      </c>
      <c r="FF30" s="9" t="s">
        <v>868</v>
      </c>
      <c r="FG30" s="9" t="s">
        <v>867</v>
      </c>
      <c r="FH30" s="9" t="s">
        <v>869</v>
      </c>
      <c r="FI30" s="9" t="s">
        <v>867</v>
      </c>
      <c r="FJ30" s="9" t="s">
        <v>869</v>
      </c>
      <c r="FK30" s="9" t="s">
        <v>867</v>
      </c>
      <c r="FL30" s="9" t="s">
        <v>943</v>
      </c>
      <c r="FM30" s="9" t="s">
        <v>867</v>
      </c>
      <c r="FN30" s="9" t="s">
        <v>943</v>
      </c>
      <c r="FO30" s="9" t="s">
        <v>867</v>
      </c>
      <c r="FP30" s="9" t="s">
        <v>943</v>
      </c>
      <c r="FQ30" s="9" t="s">
        <v>867</v>
      </c>
      <c r="FR30" s="9" t="s">
        <v>857</v>
      </c>
      <c r="FS30" s="9" t="s">
        <v>867</v>
      </c>
      <c r="FT30" s="9" t="s">
        <v>871</v>
      </c>
      <c r="FU30" s="9" t="s">
        <v>872</v>
      </c>
      <c r="FV30" s="8">
        <v>1.0</v>
      </c>
      <c r="FW30" s="8">
        <v>0.0</v>
      </c>
      <c r="FX30" s="8">
        <v>0.0</v>
      </c>
      <c r="FY30" s="8">
        <v>0.0</v>
      </c>
      <c r="FZ30" s="9" t="s">
        <v>1197</v>
      </c>
      <c r="GA30" s="9" t="s">
        <v>874</v>
      </c>
      <c r="GB30" s="8">
        <v>1.0</v>
      </c>
      <c r="GC30" s="8">
        <v>0.0</v>
      </c>
      <c r="GD30" s="8">
        <v>0.0</v>
      </c>
      <c r="GE30" s="8">
        <v>0.0</v>
      </c>
      <c r="GF30" s="9"/>
      <c r="GG30" s="9" t="s">
        <v>875</v>
      </c>
      <c r="GH30" s="9" t="s">
        <v>857</v>
      </c>
      <c r="GI30" s="9" t="s">
        <v>876</v>
      </c>
      <c r="GJ30" s="8">
        <v>1.0</v>
      </c>
      <c r="GK30" s="8">
        <v>0.0</v>
      </c>
      <c r="GL30" s="8">
        <v>0.0</v>
      </c>
      <c r="GM30" s="8">
        <v>0.0</v>
      </c>
      <c r="GN30" s="9"/>
      <c r="GO30" s="8">
        <v>9.0</v>
      </c>
      <c r="GP30" s="9" t="s">
        <v>877</v>
      </c>
      <c r="GQ30" s="9" t="s">
        <v>878</v>
      </c>
      <c r="GR30" s="8">
        <v>1.0</v>
      </c>
      <c r="GS30" s="8">
        <v>1.0</v>
      </c>
      <c r="GT30" s="8">
        <v>0.0</v>
      </c>
      <c r="GU30" s="8">
        <v>0.0</v>
      </c>
      <c r="GV30" s="8">
        <v>0.0</v>
      </c>
      <c r="GW30" s="8">
        <v>0.0</v>
      </c>
      <c r="GX30" s="8">
        <v>0.0</v>
      </c>
      <c r="GY30" s="9"/>
      <c r="GZ30" s="9" t="s">
        <v>857</v>
      </c>
      <c r="HA30" s="8">
        <v>20.0</v>
      </c>
      <c r="HB30" s="8">
        <v>200000.0</v>
      </c>
      <c r="HC30" s="8">
        <v>5.0</v>
      </c>
      <c r="HD30" s="8">
        <v>50000.0</v>
      </c>
      <c r="HE30" s="8">
        <v>9.0</v>
      </c>
      <c r="HF30" s="8">
        <v>75000.0</v>
      </c>
      <c r="HG30" s="8">
        <v>3.0</v>
      </c>
      <c r="HH30" s="8">
        <v>25000.0</v>
      </c>
      <c r="HI30" s="9"/>
      <c r="HJ30" s="9"/>
      <c r="HK30" s="9"/>
      <c r="HL30" s="9"/>
      <c r="HM30" s="9"/>
      <c r="HN30" s="9"/>
      <c r="HO30" s="9"/>
      <c r="HP30" s="9"/>
      <c r="HQ30" s="9"/>
      <c r="HR30" s="9"/>
      <c r="HS30" s="9"/>
      <c r="HT30" s="9"/>
      <c r="HU30" s="9"/>
      <c r="HV30" s="9"/>
      <c r="HW30" s="9"/>
      <c r="HX30" s="9"/>
      <c r="HY30" s="8">
        <v>15.0</v>
      </c>
      <c r="HZ30" s="8">
        <v>150000.0</v>
      </c>
      <c r="IA30" s="8">
        <v>6.0</v>
      </c>
      <c r="IB30" s="8">
        <v>50000.0</v>
      </c>
      <c r="IC30" s="9"/>
      <c r="ID30" s="9"/>
      <c r="IE30" s="9"/>
      <c r="IF30" s="9"/>
      <c r="IG30" s="9"/>
      <c r="IH30" s="9"/>
      <c r="II30" s="9"/>
      <c r="IJ30" s="9"/>
      <c r="IK30" s="9" t="s">
        <v>879</v>
      </c>
      <c r="IL30" s="9" t="s">
        <v>880</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1180</v>
      </c>
      <c r="LC30" s="8">
        <v>0.0</v>
      </c>
      <c r="LD30" s="8">
        <v>3.0</v>
      </c>
      <c r="LE30" s="8">
        <v>0.0</v>
      </c>
      <c r="LF30" s="8">
        <v>0.0</v>
      </c>
      <c r="LG30" s="9" t="s">
        <v>857</v>
      </c>
      <c r="LH30" s="8">
        <v>100000.0</v>
      </c>
      <c r="LI30" s="9"/>
      <c r="LJ30" s="9" t="s">
        <v>887</v>
      </c>
      <c r="LK30" s="8">
        <v>0.0</v>
      </c>
      <c r="LL30" s="8">
        <v>0.0</v>
      </c>
      <c r="LM30" s="8">
        <v>0.0</v>
      </c>
      <c r="LN30" s="8">
        <v>0.0</v>
      </c>
      <c r="LO30" s="8">
        <v>1.0</v>
      </c>
      <c r="LP30" s="8">
        <v>0.0</v>
      </c>
      <c r="LQ30" s="8">
        <v>0.0</v>
      </c>
      <c r="LR30" s="9"/>
      <c r="LS30" s="8">
        <v>15.0</v>
      </c>
      <c r="LT30" s="8">
        <v>0.0</v>
      </c>
      <c r="LU30" s="8">
        <v>0.0</v>
      </c>
      <c r="LV30" s="8">
        <v>5.0</v>
      </c>
      <c r="LW30" s="8">
        <v>0.0</v>
      </c>
      <c r="LX30" s="8">
        <v>0.0</v>
      </c>
      <c r="LY30" s="8">
        <v>5.0</v>
      </c>
      <c r="LZ30" s="8">
        <v>0.0</v>
      </c>
      <c r="MA30" s="8">
        <v>0.0</v>
      </c>
      <c r="MB30" s="9" t="s">
        <v>857</v>
      </c>
      <c r="MC30" s="8">
        <v>30.0</v>
      </c>
      <c r="MD30" s="8">
        <v>15.0</v>
      </c>
      <c r="ME30" s="8">
        <v>30.0</v>
      </c>
      <c r="MF30" s="8">
        <v>15.0</v>
      </c>
      <c r="MG30" s="8">
        <v>0.0</v>
      </c>
      <c r="MH30" s="8">
        <v>0.0</v>
      </c>
      <c r="MI30" s="9" t="s">
        <v>946</v>
      </c>
      <c r="MJ30" s="8">
        <v>0.0</v>
      </c>
      <c r="MK30" s="8">
        <v>0.0</v>
      </c>
      <c r="ML30" s="8">
        <v>1.0</v>
      </c>
      <c r="MM30" s="8">
        <v>0.0</v>
      </c>
      <c r="MN30" s="8">
        <v>0.0</v>
      </c>
      <c r="MO30" s="8">
        <v>0.0</v>
      </c>
      <c r="MP30" s="9"/>
      <c r="MQ30" s="9"/>
      <c r="MR30" s="9" t="s">
        <v>1048</v>
      </c>
      <c r="MS30" s="9"/>
      <c r="MT30" s="9" t="s">
        <v>972</v>
      </c>
      <c r="MU30" s="9" t="s">
        <v>881</v>
      </c>
      <c r="MV30" s="9"/>
      <c r="MW30" s="9"/>
      <c r="MX30" s="9"/>
      <c r="MY30" s="9"/>
      <c r="MZ30" s="9"/>
      <c r="NA30" s="9"/>
      <c r="NB30" s="9"/>
      <c r="NC30" s="9"/>
      <c r="ND30" s="9"/>
      <c r="NE30" s="9"/>
      <c r="NF30" s="9"/>
      <c r="NG30" s="9"/>
      <c r="NH30" s="9"/>
      <c r="NI30" s="9"/>
      <c r="NJ30" s="9"/>
      <c r="NK30" s="9"/>
      <c r="NL30" s="9" t="s">
        <v>857</v>
      </c>
      <c r="NM30" s="9" t="s">
        <v>893</v>
      </c>
      <c r="NN30" s="9" t="s">
        <v>993</v>
      </c>
      <c r="NO30" s="9" t="s">
        <v>994</v>
      </c>
      <c r="NP30" s="9"/>
      <c r="NQ30" s="9"/>
      <c r="NR30" s="9"/>
      <c r="NS30" s="9"/>
      <c r="NT30" s="9"/>
      <c r="NU30" s="9"/>
      <c r="NV30" s="9" t="s">
        <v>896</v>
      </c>
      <c r="NW30" s="9"/>
      <c r="NX30" s="9" t="s">
        <v>1183</v>
      </c>
      <c r="NY30" s="8">
        <v>30.0</v>
      </c>
      <c r="NZ30" s="8">
        <v>10.0</v>
      </c>
      <c r="OA30" s="8">
        <v>0.0</v>
      </c>
      <c r="OB30" s="8">
        <v>5.0</v>
      </c>
      <c r="OC30" s="8">
        <v>5.0</v>
      </c>
      <c r="OD30" s="8">
        <v>0.0</v>
      </c>
      <c r="OE30" s="9" t="s">
        <v>898</v>
      </c>
      <c r="OF30" s="9" t="s">
        <v>1184</v>
      </c>
      <c r="OG30" s="9" t="s">
        <v>857</v>
      </c>
      <c r="OH30" s="8">
        <v>0.0</v>
      </c>
      <c r="OI30" s="8">
        <v>6.0</v>
      </c>
      <c r="OJ30" s="8">
        <v>0.0</v>
      </c>
      <c r="OK30" s="8">
        <v>0.0</v>
      </c>
      <c r="OL30" s="8">
        <v>0.0</v>
      </c>
      <c r="OM30" s="8">
        <v>0.0</v>
      </c>
      <c r="ON30" s="8">
        <v>0.0</v>
      </c>
      <c r="OO30" s="8">
        <v>0.0</v>
      </c>
      <c r="OP30" s="9" t="s">
        <v>2948</v>
      </c>
      <c r="OQ30" s="8">
        <v>0.0</v>
      </c>
      <c r="OR30" s="8">
        <v>1.0</v>
      </c>
      <c r="OS30" s="8">
        <v>0.0</v>
      </c>
      <c r="OT30" s="8">
        <v>0.0</v>
      </c>
      <c r="OU30" s="8">
        <v>0.0</v>
      </c>
      <c r="OV30" s="8">
        <v>0.0</v>
      </c>
      <c r="OW30" s="8">
        <v>0.0</v>
      </c>
      <c r="OX30" s="8">
        <v>0.0</v>
      </c>
      <c r="OY30" s="9"/>
      <c r="OZ30" s="9"/>
      <c r="PA30" s="9"/>
      <c r="PB30" s="9"/>
      <c r="PC30" s="9"/>
      <c r="PD30" s="9"/>
      <c r="PE30" s="9"/>
      <c r="PF30" s="9"/>
      <c r="PG30" s="9"/>
      <c r="PH30" s="9"/>
      <c r="PI30" s="9"/>
      <c r="PJ30" s="9" t="s">
        <v>900</v>
      </c>
      <c r="PK30" s="8">
        <v>0.0</v>
      </c>
      <c r="PL30" s="8">
        <v>0.0</v>
      </c>
      <c r="PM30" s="8">
        <v>0.0</v>
      </c>
      <c r="PN30" s="8">
        <v>0.0</v>
      </c>
      <c r="PO30" s="8">
        <v>0.0</v>
      </c>
      <c r="PP30" s="8">
        <v>1.0</v>
      </c>
      <c r="PQ30" s="8">
        <v>0.0</v>
      </c>
      <c r="PR30" s="8">
        <v>0.0</v>
      </c>
      <c r="PS30" s="8">
        <v>0.0</v>
      </c>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8">
        <v>6.0</v>
      </c>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t="s">
        <v>901</v>
      </c>
      <c r="UB30" s="9"/>
      <c r="UC30" s="9"/>
      <c r="UD30" s="9"/>
      <c r="UE30" s="9"/>
      <c r="UF30" s="9"/>
      <c r="UG30" s="9"/>
      <c r="UH30" s="9"/>
      <c r="UI30" s="9" t="s">
        <v>950</v>
      </c>
      <c r="UJ30" s="9"/>
      <c r="UK30" s="9"/>
      <c r="UL30" s="9"/>
      <c r="UM30" s="9"/>
      <c r="UN30" s="9"/>
      <c r="UO30" s="9"/>
      <c r="UP30" s="9"/>
      <c r="UQ30" s="9" t="s">
        <v>1158</v>
      </c>
      <c r="UR30" s="9"/>
      <c r="US30" s="9"/>
      <c r="UT30" s="9"/>
      <c r="UU30" s="9"/>
      <c r="UV30" s="9"/>
      <c r="UW30" s="9"/>
      <c r="UX30" s="9"/>
      <c r="UY30" s="9"/>
      <c r="UZ30" s="9"/>
      <c r="VA30" s="9"/>
      <c r="VB30" s="9"/>
      <c r="VC30" s="9"/>
      <c r="VD30" s="9"/>
      <c r="VE30" s="9"/>
      <c r="VF30" s="9"/>
      <c r="VG30" s="9"/>
      <c r="VH30" s="9"/>
      <c r="VI30" s="9"/>
      <c r="VJ30" s="9"/>
      <c r="VK30" s="9" t="s">
        <v>1089</v>
      </c>
      <c r="VL30" s="8">
        <v>0.0</v>
      </c>
      <c r="VM30" s="8">
        <v>0.0</v>
      </c>
      <c r="VN30" s="8">
        <v>1.0</v>
      </c>
      <c r="VO30" s="8">
        <v>1.0</v>
      </c>
      <c r="VP30" s="8">
        <v>1.0</v>
      </c>
      <c r="VQ30" s="8">
        <v>0.0</v>
      </c>
      <c r="VR30" s="8">
        <v>0.0</v>
      </c>
      <c r="VS30" s="8">
        <v>0.0</v>
      </c>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8">
        <v>2.0</v>
      </c>
      <c r="ZC30" s="9"/>
      <c r="ZD30" s="9"/>
      <c r="ZE30" s="9"/>
      <c r="ZF30" s="9"/>
      <c r="ZG30" s="9"/>
      <c r="ZH30" s="9"/>
      <c r="ZI30" s="9"/>
      <c r="ZJ30" s="9" t="s">
        <v>1186</v>
      </c>
      <c r="ZK30" s="9"/>
      <c r="ZL30" s="9"/>
      <c r="ZM30" s="9"/>
      <c r="ZN30" s="9"/>
      <c r="ZO30" s="9"/>
      <c r="ZP30" s="9"/>
      <c r="ZQ30" s="9" t="s">
        <v>857</v>
      </c>
      <c r="ZR30" s="9" t="s">
        <v>1033</v>
      </c>
      <c r="ZS30" s="8">
        <v>1.0</v>
      </c>
      <c r="ZT30" s="8">
        <v>1.0</v>
      </c>
      <c r="ZU30" s="8">
        <v>60.0</v>
      </c>
      <c r="ZV30" s="8">
        <v>60.0</v>
      </c>
      <c r="ZW30" s="9" t="s">
        <v>857</v>
      </c>
      <c r="ZX30" s="9" t="s">
        <v>867</v>
      </c>
      <c r="ZY30" s="9" t="s">
        <v>1074</v>
      </c>
      <c r="ZZ30" s="8">
        <v>1.0</v>
      </c>
      <c r="AAA30" s="8">
        <v>0.0</v>
      </c>
      <c r="AAB30" s="8">
        <v>0.0</v>
      </c>
      <c r="AAC30" s="8">
        <v>1.0</v>
      </c>
      <c r="AAD30" s="8">
        <v>1.0</v>
      </c>
      <c r="AAE30" s="8">
        <v>0.0</v>
      </c>
      <c r="AAF30" s="8">
        <v>0.0</v>
      </c>
      <c r="AAG30" s="9" t="s">
        <v>907</v>
      </c>
      <c r="AAH30" s="8">
        <v>1.0</v>
      </c>
      <c r="AAI30" s="8">
        <v>0.0</v>
      </c>
      <c r="AAJ30" s="8">
        <v>0.0</v>
      </c>
      <c r="AAK30" s="8">
        <v>0.0</v>
      </c>
      <c r="AAL30" s="8">
        <v>0.0</v>
      </c>
      <c r="AAM30" s="9"/>
      <c r="AAN30" s="9"/>
      <c r="AAO30" s="9"/>
      <c r="AAP30" s="9"/>
      <c r="AAQ30" s="9"/>
      <c r="AAR30" s="9"/>
      <c r="AAS30" s="9"/>
      <c r="AAT30" s="9"/>
      <c r="AAU30" s="9"/>
      <c r="AAV30" s="11" t="s">
        <v>953</v>
      </c>
      <c r="AAW30" s="9" t="s">
        <v>1075</v>
      </c>
      <c r="AAX30" s="8">
        <v>2500.0</v>
      </c>
      <c r="AAY30" s="8">
        <v>200.0</v>
      </c>
      <c r="AAZ30" s="8">
        <v>50.0</v>
      </c>
      <c r="ABA30" s="8">
        <v>50.0</v>
      </c>
      <c r="ABB30" s="9" t="s">
        <v>1199</v>
      </c>
      <c r="ABC30" s="9"/>
      <c r="ABD30" s="8">
        <v>20.0</v>
      </c>
      <c r="ABE30" s="8">
        <v>4000.0</v>
      </c>
      <c r="ABF30" s="8">
        <v>0.0</v>
      </c>
      <c r="ABG30" s="8">
        <v>4000.0</v>
      </c>
      <c r="ABH30" s="8">
        <v>500.0</v>
      </c>
      <c r="ABI30" s="8">
        <v>600.0</v>
      </c>
      <c r="ABJ30" s="9" t="s">
        <v>857</v>
      </c>
      <c r="ABK30" s="9" t="s">
        <v>911</v>
      </c>
      <c r="ABL30" s="9" t="s">
        <v>911</v>
      </c>
      <c r="ABM30" s="9" t="s">
        <v>911</v>
      </c>
      <c r="ABN30" s="9"/>
      <c r="ABO30" s="9"/>
      <c r="ABP30" s="9" t="s">
        <v>955</v>
      </c>
      <c r="ABQ30" s="8">
        <v>0.0</v>
      </c>
      <c r="ABR30" s="8">
        <v>0.0</v>
      </c>
      <c r="ABS30" s="8">
        <v>0.0</v>
      </c>
      <c r="ABT30" s="8">
        <v>1.0</v>
      </c>
      <c r="ABU30" s="8">
        <v>0.0</v>
      </c>
      <c r="ABV30" s="8">
        <v>0.0</v>
      </c>
      <c r="ABW30" s="8">
        <v>0.0</v>
      </c>
      <c r="ABX30" s="9"/>
      <c r="ABY30" s="9" t="s">
        <v>912</v>
      </c>
      <c r="ABZ30" s="9" t="s">
        <v>1050</v>
      </c>
      <c r="ACA30" s="9" t="s">
        <v>957</v>
      </c>
      <c r="ACB30" s="9" t="s">
        <v>915</v>
      </c>
      <c r="ACC30" s="9" t="s">
        <v>916</v>
      </c>
      <c r="ACD30" s="9" t="s">
        <v>1035</v>
      </c>
      <c r="ACE30" s="8">
        <v>1.0</v>
      </c>
      <c r="ACF30" s="8">
        <v>1.0</v>
      </c>
      <c r="ACG30" s="8">
        <v>0.0</v>
      </c>
      <c r="ACH30" s="8">
        <v>0.0</v>
      </c>
      <c r="ACI30" s="9" t="s">
        <v>1187</v>
      </c>
      <c r="ACJ30" s="9" t="s">
        <v>1187</v>
      </c>
      <c r="ACK30" s="9" t="s">
        <v>1187</v>
      </c>
      <c r="ACL30" s="9" t="s">
        <v>1187</v>
      </c>
      <c r="ACM30" s="9" t="s">
        <v>881</v>
      </c>
      <c r="ACN30" s="9"/>
      <c r="ACO30" s="9" t="s">
        <v>1187</v>
      </c>
      <c r="ACP30" s="9"/>
      <c r="ACQ30" s="9"/>
      <c r="ACR30" s="9"/>
      <c r="ACS30" s="9"/>
      <c r="ACT30" s="9"/>
      <c r="ACU30" s="9"/>
      <c r="ACV30" s="9"/>
      <c r="ACW30" s="9"/>
      <c r="ACX30" s="9"/>
      <c r="ACY30" s="9"/>
      <c r="ACZ30" s="9" t="s">
        <v>919</v>
      </c>
      <c r="ADA30" s="8">
        <v>0.0</v>
      </c>
      <c r="ADB30" s="8">
        <v>0.0</v>
      </c>
      <c r="ADC30" s="8">
        <v>0.0</v>
      </c>
      <c r="ADD30" s="8">
        <v>0.0</v>
      </c>
      <c r="ADE30" s="8">
        <v>1.0</v>
      </c>
      <c r="ADF30" s="8">
        <v>0.0</v>
      </c>
      <c r="ADG30" s="8">
        <v>0.0</v>
      </c>
      <c r="ADH30" s="8">
        <v>0.0</v>
      </c>
      <c r="ADI30" s="12"/>
      <c r="ADJ30" s="17" t="s">
        <v>872</v>
      </c>
      <c r="ADK30" s="9"/>
      <c r="ADL30" s="17" t="s">
        <v>920</v>
      </c>
      <c r="ADM30" s="9"/>
      <c r="ADN30" s="11" t="s">
        <v>917</v>
      </c>
      <c r="ADO30" s="9" t="s">
        <v>871</v>
      </c>
      <c r="ADP30" s="17" t="s">
        <v>1108</v>
      </c>
      <c r="ADQ30" s="18">
        <v>1.0</v>
      </c>
      <c r="ADR30" s="18">
        <v>1.0</v>
      </c>
      <c r="ADS30" s="18">
        <v>1.0</v>
      </c>
      <c r="ADT30" s="18">
        <v>1.0</v>
      </c>
      <c r="ADU30" s="18">
        <v>1.0</v>
      </c>
      <c r="ADV30" s="18">
        <v>1.0</v>
      </c>
      <c r="ADW30" s="18">
        <v>1.0</v>
      </c>
      <c r="ADX30" s="18">
        <v>1.0</v>
      </c>
      <c r="ADY30" s="18">
        <v>1.0</v>
      </c>
      <c r="ADZ30" s="18">
        <v>0.0</v>
      </c>
      <c r="AEA30" s="18">
        <v>0.0</v>
      </c>
      <c r="AEB30" s="18">
        <v>0.0</v>
      </c>
      <c r="AEC30" s="9"/>
      <c r="AED30" s="9" t="s">
        <v>1273</v>
      </c>
      <c r="AEE30" s="9"/>
      <c r="AEF30" s="9" t="s">
        <v>1188</v>
      </c>
      <c r="AEG30" s="9"/>
      <c r="AEH30" s="9" t="s">
        <v>1281</v>
      </c>
      <c r="AEI30" s="16" t="s">
        <v>1282</v>
      </c>
      <c r="AEJ30" s="9" t="s">
        <v>1283</v>
      </c>
      <c r="AEK30" s="16" t="s">
        <v>1284</v>
      </c>
      <c r="AEL30" s="9" t="s">
        <v>1137</v>
      </c>
      <c r="AEM30" s="9"/>
      <c r="AEN30" s="9"/>
    </row>
    <row r="31">
      <c r="A31" s="6">
        <v>46059.0</v>
      </c>
      <c r="B31" s="6">
        <v>46059.0</v>
      </c>
      <c r="C31" s="7" t="s">
        <v>837</v>
      </c>
      <c r="D31" s="7" t="s">
        <v>1285</v>
      </c>
      <c r="E31" s="8">
        <f>+6285795855837</f>
        <v>6285795855837</v>
      </c>
      <c r="F31" s="9"/>
      <c r="G31" s="8">
        <v>-7.21489121</v>
      </c>
      <c r="H31" s="8">
        <v>110.2515966</v>
      </c>
      <c r="I31" s="9"/>
      <c r="J31" s="8">
        <v>4.45</v>
      </c>
      <c r="K31" s="9"/>
      <c r="L31" s="9"/>
      <c r="M31" s="8">
        <v>-7.21480301</v>
      </c>
      <c r="N31" s="8">
        <v>110.2516</v>
      </c>
      <c r="O31" s="9"/>
      <c r="P31" s="8">
        <v>4.32</v>
      </c>
      <c r="Q31" s="9"/>
      <c r="R31" s="9" t="s">
        <v>839</v>
      </c>
      <c r="S31" s="9"/>
      <c r="T31" s="9"/>
      <c r="U31" s="9"/>
      <c r="V31" s="9"/>
      <c r="W31" s="9"/>
      <c r="X31" s="9"/>
      <c r="Y31" s="9"/>
      <c r="Z31" s="9"/>
      <c r="AA31" s="9"/>
      <c r="AB31" s="9"/>
      <c r="AC31" s="7" t="s">
        <v>1175</v>
      </c>
      <c r="AD31" s="7" t="s">
        <v>1176</v>
      </c>
      <c r="AE31" s="7" t="s">
        <v>1279</v>
      </c>
      <c r="AF31" s="9" t="s">
        <v>1178</v>
      </c>
      <c r="AG31" s="9" t="s">
        <v>1286</v>
      </c>
      <c r="AH31" s="8">
        <v>1.0</v>
      </c>
      <c r="AI31" s="9" t="s">
        <v>845</v>
      </c>
      <c r="AJ31" s="9" t="s">
        <v>846</v>
      </c>
      <c r="AK31" s="8">
        <v>57.0</v>
      </c>
      <c r="AL31" s="9" t="s">
        <v>847</v>
      </c>
      <c r="AM31" s="9" t="s">
        <v>848</v>
      </c>
      <c r="AN31" s="9" t="s">
        <v>849</v>
      </c>
      <c r="AO31" s="9" t="s">
        <v>850</v>
      </c>
      <c r="AP31" s="8">
        <v>1.0</v>
      </c>
      <c r="AQ31" s="8">
        <v>0.0</v>
      </c>
      <c r="AR31" s="8">
        <v>0.0</v>
      </c>
      <c r="AS31" s="8">
        <v>0.0</v>
      </c>
      <c r="AT31" s="8">
        <v>0.0</v>
      </c>
      <c r="AU31" s="8">
        <v>0.0</v>
      </c>
      <c r="AV31" s="8">
        <v>0.0</v>
      </c>
      <c r="AW31" s="8">
        <v>0.0</v>
      </c>
      <c r="AX31" s="9"/>
      <c r="AY31" s="9" t="s">
        <v>935</v>
      </c>
      <c r="AZ31" s="8">
        <v>0.0</v>
      </c>
      <c r="BA31" s="8">
        <v>1.0</v>
      </c>
      <c r="BB31" s="8">
        <v>0.0</v>
      </c>
      <c r="BC31" s="8">
        <v>0.0</v>
      </c>
      <c r="BD31" s="8">
        <v>0.0</v>
      </c>
      <c r="BE31" s="8">
        <v>0.0</v>
      </c>
      <c r="BF31" s="8">
        <v>0.0</v>
      </c>
      <c r="BG31" s="8">
        <v>0.0</v>
      </c>
      <c r="BH31" s="9"/>
      <c r="BI31" s="9" t="s">
        <v>936</v>
      </c>
      <c r="BJ31" s="8">
        <v>4.0</v>
      </c>
      <c r="BK31" s="8">
        <v>2.0</v>
      </c>
      <c r="BL31" s="8">
        <v>2.0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2025.0</v>
      </c>
      <c r="CN31" s="9" t="s">
        <v>858</v>
      </c>
      <c r="CO31" s="9" t="s">
        <v>859</v>
      </c>
      <c r="CP31" s="9" t="s">
        <v>860</v>
      </c>
      <c r="CQ31" s="8">
        <v>0.0</v>
      </c>
      <c r="CR31" s="8">
        <v>0.0</v>
      </c>
      <c r="CS31" s="8">
        <v>0.0</v>
      </c>
      <c r="CT31" s="8">
        <v>0.0</v>
      </c>
      <c r="CU31" s="10">
        <v>1.0</v>
      </c>
      <c r="CV31" s="10">
        <v>0.0</v>
      </c>
      <c r="CW31" s="10">
        <v>0.0</v>
      </c>
      <c r="CX31" s="8">
        <v>0.0</v>
      </c>
      <c r="CY31" s="9" t="s">
        <v>860</v>
      </c>
      <c r="CZ31" s="8">
        <v>1.0</v>
      </c>
      <c r="DA31" s="8">
        <v>0.0</v>
      </c>
      <c r="DB31" s="8">
        <v>0.0</v>
      </c>
      <c r="DC31" s="9"/>
      <c r="DD31" s="9" t="s">
        <v>937</v>
      </c>
      <c r="DE31" s="8">
        <v>1.0</v>
      </c>
      <c r="DF31" s="8">
        <v>0.0</v>
      </c>
      <c r="DG31" s="8">
        <v>1.0</v>
      </c>
      <c r="DH31" s="8">
        <v>0.0</v>
      </c>
      <c r="DI31" s="9"/>
      <c r="DJ31" s="9" t="s">
        <v>937</v>
      </c>
      <c r="DK31" s="8">
        <v>1.0</v>
      </c>
      <c r="DL31" s="8">
        <v>0.0</v>
      </c>
      <c r="DM31" s="8">
        <v>1.0</v>
      </c>
      <c r="DN31" s="8">
        <v>0.0</v>
      </c>
      <c r="DO31" s="9"/>
      <c r="DP31" s="8">
        <v>1.0</v>
      </c>
      <c r="DQ31" s="8">
        <v>0.0</v>
      </c>
      <c r="DR31" s="8">
        <v>0.0</v>
      </c>
      <c r="DS31" s="9"/>
      <c r="DT31" s="9"/>
      <c r="DU31" s="9"/>
      <c r="DV31" s="9" t="s">
        <v>857</v>
      </c>
      <c r="DW31" s="9"/>
      <c r="DX31" s="9"/>
      <c r="DY31" s="9"/>
      <c r="DZ31" s="9"/>
      <c r="EA31" s="9"/>
      <c r="EB31" s="9"/>
      <c r="EC31" s="9"/>
      <c r="ED31" s="9"/>
      <c r="EE31" s="9"/>
      <c r="EF31" s="9"/>
      <c r="EG31" s="9"/>
      <c r="EH31" s="9"/>
      <c r="EI31" s="9" t="s">
        <v>862</v>
      </c>
      <c r="EJ31" s="8">
        <v>0.0</v>
      </c>
      <c r="EK31" s="8">
        <v>0.0</v>
      </c>
      <c r="EL31" s="8">
        <v>0.0</v>
      </c>
      <c r="EM31" s="8">
        <v>1.0</v>
      </c>
      <c r="EN31" s="8">
        <v>0.0</v>
      </c>
      <c r="EO31" s="11"/>
      <c r="EP31" s="9" t="s">
        <v>863</v>
      </c>
      <c r="EQ31" s="9" t="s">
        <v>864</v>
      </c>
      <c r="ER31" s="9" t="s">
        <v>861</v>
      </c>
      <c r="ES31" s="8">
        <v>1.0</v>
      </c>
      <c r="ET31" s="8">
        <v>0.0</v>
      </c>
      <c r="EU31" s="8">
        <v>0.0</v>
      </c>
      <c r="EV31" s="8">
        <v>0.0</v>
      </c>
      <c r="EW31" s="9"/>
      <c r="EX31" s="9" t="s">
        <v>865</v>
      </c>
      <c r="EY31" s="8">
        <v>1.0</v>
      </c>
      <c r="EZ31" s="8">
        <v>0.0</v>
      </c>
      <c r="FA31" s="8">
        <v>0.0</v>
      </c>
      <c r="FB31" s="9"/>
      <c r="FC31" s="9" t="s">
        <v>866</v>
      </c>
      <c r="FD31" s="9"/>
      <c r="FE31" s="9" t="s">
        <v>867</v>
      </c>
      <c r="FF31" s="9" t="s">
        <v>868</v>
      </c>
      <c r="FG31" s="9" t="s">
        <v>867</v>
      </c>
      <c r="FH31" s="9" t="s">
        <v>869</v>
      </c>
      <c r="FI31" s="9" t="s">
        <v>867</v>
      </c>
      <c r="FJ31" s="9" t="s">
        <v>868</v>
      </c>
      <c r="FK31" s="9" t="s">
        <v>867</v>
      </c>
      <c r="FL31" s="9" t="s">
        <v>943</v>
      </c>
      <c r="FM31" s="9" t="s">
        <v>867</v>
      </c>
      <c r="FN31" s="9" t="s">
        <v>943</v>
      </c>
      <c r="FO31" s="9" t="s">
        <v>867</v>
      </c>
      <c r="FP31" s="9" t="s">
        <v>943</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1264</v>
      </c>
      <c r="GJ31" s="8">
        <v>0.0</v>
      </c>
      <c r="GK31" s="8">
        <v>1.0</v>
      </c>
      <c r="GL31" s="8">
        <v>0.0</v>
      </c>
      <c r="GM31" s="8">
        <v>0.0</v>
      </c>
      <c r="GN31" s="9"/>
      <c r="GO31" s="8">
        <v>9.0</v>
      </c>
      <c r="GP31" s="9" t="s">
        <v>877</v>
      </c>
      <c r="GQ31" s="9" t="s">
        <v>878</v>
      </c>
      <c r="GR31" s="8">
        <v>1.0</v>
      </c>
      <c r="GS31" s="8">
        <v>1.0</v>
      </c>
      <c r="GT31" s="8">
        <v>0.0</v>
      </c>
      <c r="GU31" s="8">
        <v>0.0</v>
      </c>
      <c r="GV31" s="8">
        <v>0.0</v>
      </c>
      <c r="GW31" s="8">
        <v>0.0</v>
      </c>
      <c r="GX31" s="8">
        <v>0.0</v>
      </c>
      <c r="GY31" s="9"/>
      <c r="GZ31" s="9" t="s">
        <v>857</v>
      </c>
      <c r="HA31" s="8">
        <v>20.0</v>
      </c>
      <c r="HB31" s="8">
        <v>200000.0</v>
      </c>
      <c r="HC31" s="8">
        <v>5.0</v>
      </c>
      <c r="HD31" s="8">
        <v>50000.0</v>
      </c>
      <c r="HE31" s="8">
        <v>9.0</v>
      </c>
      <c r="HF31" s="8">
        <v>75000.0</v>
      </c>
      <c r="HG31" s="8">
        <v>3.0</v>
      </c>
      <c r="HH31" s="8">
        <v>25000.0</v>
      </c>
      <c r="HI31" s="9"/>
      <c r="HJ31" s="9"/>
      <c r="HK31" s="9"/>
      <c r="HL31" s="9"/>
      <c r="HM31" s="9"/>
      <c r="HN31" s="9"/>
      <c r="HO31" s="9"/>
      <c r="HP31" s="9"/>
      <c r="HQ31" s="9"/>
      <c r="HR31" s="9"/>
      <c r="HS31" s="9"/>
      <c r="HT31" s="9"/>
      <c r="HU31" s="9"/>
      <c r="HV31" s="9"/>
      <c r="HW31" s="9"/>
      <c r="HX31" s="9"/>
      <c r="HY31" s="8">
        <v>15.0</v>
      </c>
      <c r="HZ31" s="8">
        <v>150000.0</v>
      </c>
      <c r="IA31" s="8">
        <v>6.0</v>
      </c>
      <c r="IB31" s="8">
        <v>50000.0</v>
      </c>
      <c r="IC31" s="9"/>
      <c r="ID31" s="9"/>
      <c r="IE31" s="9"/>
      <c r="IF31" s="9"/>
      <c r="IG31" s="9"/>
      <c r="IH31" s="9"/>
      <c r="II31" s="9"/>
      <c r="IJ31" s="9"/>
      <c r="IK31" s="9" t="s">
        <v>879</v>
      </c>
      <c r="IL31" s="9" t="s">
        <v>880</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872</v>
      </c>
      <c r="KW31" s="8">
        <v>1.0</v>
      </c>
      <c r="KX31" s="8">
        <v>0.0</v>
      </c>
      <c r="KY31" s="8">
        <v>0.0</v>
      </c>
      <c r="KZ31" s="8">
        <v>0.0</v>
      </c>
      <c r="LA31" s="9" t="s">
        <v>884</v>
      </c>
      <c r="LB31" s="9" t="s">
        <v>884</v>
      </c>
      <c r="LC31" s="8">
        <v>3.0</v>
      </c>
      <c r="LD31" s="8">
        <v>3.0</v>
      </c>
      <c r="LE31" s="8">
        <v>0.0</v>
      </c>
      <c r="LF31" s="8">
        <v>0.0</v>
      </c>
      <c r="LG31" s="9" t="s">
        <v>857</v>
      </c>
      <c r="LH31" s="8">
        <v>100000.0</v>
      </c>
      <c r="LI31" s="9"/>
      <c r="LJ31" s="9" t="s">
        <v>887</v>
      </c>
      <c r="LK31" s="8">
        <v>0.0</v>
      </c>
      <c r="LL31" s="8">
        <v>0.0</v>
      </c>
      <c r="LM31" s="8">
        <v>0.0</v>
      </c>
      <c r="LN31" s="8">
        <v>0.0</v>
      </c>
      <c r="LO31" s="8">
        <v>1.0</v>
      </c>
      <c r="LP31" s="8">
        <v>0.0</v>
      </c>
      <c r="LQ31" s="8">
        <v>0.0</v>
      </c>
      <c r="LR31" s="9"/>
      <c r="LS31" s="8">
        <v>15.0</v>
      </c>
      <c r="LT31" s="8">
        <v>15.0</v>
      </c>
      <c r="LU31" s="8">
        <v>0.0</v>
      </c>
      <c r="LV31" s="8">
        <v>5.0</v>
      </c>
      <c r="LW31" s="8">
        <v>5.0</v>
      </c>
      <c r="LX31" s="8">
        <v>0.0</v>
      </c>
      <c r="LY31" s="8">
        <v>5.0</v>
      </c>
      <c r="LZ31" s="8">
        <v>5.0</v>
      </c>
      <c r="MA31" s="8">
        <v>0.0</v>
      </c>
      <c r="MB31" s="9" t="s">
        <v>857</v>
      </c>
      <c r="MC31" s="8">
        <v>30.0</v>
      </c>
      <c r="MD31" s="8">
        <v>15.0</v>
      </c>
      <c r="ME31" s="8">
        <v>30.0</v>
      </c>
      <c r="MF31" s="8">
        <v>15.0</v>
      </c>
      <c r="MG31" s="8">
        <v>0.0</v>
      </c>
      <c r="MH31" s="8">
        <v>0.0</v>
      </c>
      <c r="MI31" s="9" t="s">
        <v>946</v>
      </c>
      <c r="MJ31" s="8">
        <v>0.0</v>
      </c>
      <c r="MK31" s="8">
        <v>0.0</v>
      </c>
      <c r="ML31" s="8">
        <v>1.0</v>
      </c>
      <c r="MM31" s="8">
        <v>0.0</v>
      </c>
      <c r="MN31" s="8">
        <v>0.0</v>
      </c>
      <c r="MO31" s="8">
        <v>0.0</v>
      </c>
      <c r="MP31" s="9"/>
      <c r="MQ31" s="9"/>
      <c r="MR31" s="9" t="s">
        <v>1048</v>
      </c>
      <c r="MS31" s="9"/>
      <c r="MT31" s="9" t="s">
        <v>972</v>
      </c>
      <c r="MU31" s="9" t="s">
        <v>881</v>
      </c>
      <c r="MV31" s="9"/>
      <c r="MW31" s="9"/>
      <c r="MX31" s="9"/>
      <c r="MY31" s="9"/>
      <c r="MZ31" s="9"/>
      <c r="NA31" s="9"/>
      <c r="NB31" s="9"/>
      <c r="NC31" s="9"/>
      <c r="ND31" s="9"/>
      <c r="NE31" s="9"/>
      <c r="NF31" s="9"/>
      <c r="NG31" s="9"/>
      <c r="NH31" s="9"/>
      <c r="NI31" s="9"/>
      <c r="NJ31" s="9"/>
      <c r="NK31" s="9"/>
      <c r="NL31" s="9" t="s">
        <v>857</v>
      </c>
      <c r="NM31" s="9" t="s">
        <v>893</v>
      </c>
      <c r="NN31" s="9" t="s">
        <v>993</v>
      </c>
      <c r="NO31" s="9" t="s">
        <v>994</v>
      </c>
      <c r="NP31" s="9"/>
      <c r="NQ31" s="9"/>
      <c r="NR31" s="9"/>
      <c r="NS31" s="9"/>
      <c r="NT31" s="9"/>
      <c r="NU31" s="9"/>
      <c r="NV31" s="9" t="s">
        <v>896</v>
      </c>
      <c r="NW31" s="9"/>
      <c r="NX31" s="9" t="s">
        <v>897</v>
      </c>
      <c r="NY31" s="8">
        <v>30.0</v>
      </c>
      <c r="NZ31" s="8">
        <v>20.0</v>
      </c>
      <c r="OA31" s="8">
        <v>0.0</v>
      </c>
      <c r="OB31" s="8">
        <v>5.0</v>
      </c>
      <c r="OC31" s="8">
        <v>5.0</v>
      </c>
      <c r="OD31" s="8">
        <v>0.0</v>
      </c>
      <c r="OE31" s="9" t="s">
        <v>898</v>
      </c>
      <c r="OF31" s="9" t="s">
        <v>1184</v>
      </c>
      <c r="OG31" s="9" t="s">
        <v>857</v>
      </c>
      <c r="OH31" s="8">
        <v>0.0</v>
      </c>
      <c r="OI31" s="8">
        <v>2.0</v>
      </c>
      <c r="OJ31" s="8">
        <v>0.0</v>
      </c>
      <c r="OK31" s="8">
        <v>0.0</v>
      </c>
      <c r="OL31" s="8">
        <v>0.0</v>
      </c>
      <c r="OM31" s="8">
        <v>0.0</v>
      </c>
      <c r="ON31" s="8">
        <v>0.0</v>
      </c>
      <c r="OO31" s="8">
        <v>0.0</v>
      </c>
      <c r="OP31" s="9" t="s">
        <v>2948</v>
      </c>
      <c r="OQ31" s="8">
        <v>0.0</v>
      </c>
      <c r="OR31" s="8">
        <v>1.0</v>
      </c>
      <c r="OS31" s="8">
        <v>0.0</v>
      </c>
      <c r="OT31" s="8">
        <v>0.0</v>
      </c>
      <c r="OU31" s="8">
        <v>0.0</v>
      </c>
      <c r="OV31" s="8">
        <v>0.0</v>
      </c>
      <c r="OW31" s="8">
        <v>0.0</v>
      </c>
      <c r="OX31" s="8">
        <v>0.0</v>
      </c>
      <c r="OY31" s="9"/>
      <c r="OZ31" s="9"/>
      <c r="PA31" s="9"/>
      <c r="PB31" s="9"/>
      <c r="PC31" s="9"/>
      <c r="PD31" s="9"/>
      <c r="PE31" s="9"/>
      <c r="PF31" s="9"/>
      <c r="PG31" s="9"/>
      <c r="PH31" s="9"/>
      <c r="PI31" s="9"/>
      <c r="PJ31" s="9" t="s">
        <v>900</v>
      </c>
      <c r="PK31" s="8">
        <v>0.0</v>
      </c>
      <c r="PL31" s="8">
        <v>0.0</v>
      </c>
      <c r="PM31" s="8">
        <v>0.0</v>
      </c>
      <c r="PN31" s="8">
        <v>0.0</v>
      </c>
      <c r="PO31" s="8">
        <v>0.0</v>
      </c>
      <c r="PP31" s="8">
        <v>1.0</v>
      </c>
      <c r="PQ31" s="8">
        <v>0.0</v>
      </c>
      <c r="PR31" s="8">
        <v>0.0</v>
      </c>
      <c r="PS31" s="8">
        <v>0.0</v>
      </c>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8">
        <v>2.0</v>
      </c>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t="s">
        <v>901</v>
      </c>
      <c r="UB31" s="9"/>
      <c r="UC31" s="9"/>
      <c r="UD31" s="9"/>
      <c r="UE31" s="9"/>
      <c r="UF31" s="9"/>
      <c r="UG31" s="9"/>
      <c r="UH31" s="9"/>
      <c r="UI31" s="9" t="s">
        <v>950</v>
      </c>
      <c r="UJ31" s="9"/>
      <c r="UK31" s="9"/>
      <c r="UL31" s="9"/>
      <c r="UM31" s="9"/>
      <c r="UN31" s="9"/>
      <c r="UO31" s="9"/>
      <c r="UP31" s="9"/>
      <c r="UQ31" s="9" t="s">
        <v>903</v>
      </c>
      <c r="UR31" s="9"/>
      <c r="US31" s="9"/>
      <c r="UT31" s="9"/>
      <c r="UU31" s="9"/>
      <c r="UV31" s="9"/>
      <c r="UW31" s="9"/>
      <c r="UX31" s="9"/>
      <c r="UY31" s="9"/>
      <c r="UZ31" s="9"/>
      <c r="VA31" s="9"/>
      <c r="VB31" s="9"/>
      <c r="VC31" s="9"/>
      <c r="VD31" s="9"/>
      <c r="VE31" s="9"/>
      <c r="VF31" s="9"/>
      <c r="VG31" s="9"/>
      <c r="VH31" s="9"/>
      <c r="VI31" s="9"/>
      <c r="VJ31" s="9"/>
      <c r="VK31" s="9" t="s">
        <v>904</v>
      </c>
      <c r="VL31" s="8">
        <v>0.0</v>
      </c>
      <c r="VM31" s="8">
        <v>0.0</v>
      </c>
      <c r="VN31" s="8">
        <v>0.0</v>
      </c>
      <c r="VO31" s="8">
        <v>1.0</v>
      </c>
      <c r="VP31" s="8">
        <v>0.0</v>
      </c>
      <c r="VQ31" s="8">
        <v>0.0</v>
      </c>
      <c r="VR31" s="8">
        <v>0.0</v>
      </c>
      <c r="VS31" s="8">
        <v>0.0</v>
      </c>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8">
        <v>2.0</v>
      </c>
      <c r="ZC31" s="9"/>
      <c r="ZD31" s="9"/>
      <c r="ZE31" s="9"/>
      <c r="ZF31" s="9"/>
      <c r="ZG31" s="9"/>
      <c r="ZH31" s="9"/>
      <c r="ZI31" s="9"/>
      <c r="ZJ31" s="9" t="s">
        <v>1186</v>
      </c>
      <c r="ZK31" s="9"/>
      <c r="ZL31" s="9"/>
      <c r="ZM31" s="9"/>
      <c r="ZN31" s="9"/>
      <c r="ZO31" s="9"/>
      <c r="ZP31" s="9"/>
      <c r="ZQ31" s="9" t="s">
        <v>857</v>
      </c>
      <c r="ZR31" s="9" t="s">
        <v>1033</v>
      </c>
      <c r="ZS31" s="8">
        <v>1.0</v>
      </c>
      <c r="ZT31" s="8">
        <v>1.0</v>
      </c>
      <c r="ZU31" s="8">
        <v>30.0</v>
      </c>
      <c r="ZV31" s="8">
        <v>30.0</v>
      </c>
      <c r="ZW31" s="9" t="s">
        <v>857</v>
      </c>
      <c r="ZX31" s="9" t="s">
        <v>867</v>
      </c>
      <c r="ZY31" s="9" t="s">
        <v>1287</v>
      </c>
      <c r="ZZ31" s="8">
        <v>1.0</v>
      </c>
      <c r="AAA31" s="8">
        <v>0.0</v>
      </c>
      <c r="AAB31" s="8">
        <v>0.0</v>
      </c>
      <c r="AAC31" s="8">
        <v>1.0</v>
      </c>
      <c r="AAD31" s="8">
        <v>0.0</v>
      </c>
      <c r="AAE31" s="8">
        <v>0.0</v>
      </c>
      <c r="AAF31" s="8">
        <v>0.0</v>
      </c>
      <c r="AAG31" s="9" t="s">
        <v>907</v>
      </c>
      <c r="AAH31" s="8">
        <v>1.0</v>
      </c>
      <c r="AAI31" s="8">
        <v>0.0</v>
      </c>
      <c r="AAJ31" s="8">
        <v>0.0</v>
      </c>
      <c r="AAK31" s="8">
        <v>0.0</v>
      </c>
      <c r="AAL31" s="8">
        <v>0.0</v>
      </c>
      <c r="AAM31" s="9"/>
      <c r="AAN31" s="9"/>
      <c r="AAO31" s="9"/>
      <c r="AAP31" s="9"/>
      <c r="AAQ31" s="9"/>
      <c r="AAR31" s="9"/>
      <c r="AAS31" s="9"/>
      <c r="AAT31" s="9"/>
      <c r="AAU31" s="9"/>
      <c r="AAV31" s="11" t="s">
        <v>953</v>
      </c>
      <c r="AAW31" s="9" t="s">
        <v>1075</v>
      </c>
      <c r="AAX31" s="8">
        <v>2500.0</v>
      </c>
      <c r="AAY31" s="8">
        <v>100.0</v>
      </c>
      <c r="AAZ31" s="8">
        <v>30.0</v>
      </c>
      <c r="ABA31" s="8">
        <v>30.0</v>
      </c>
      <c r="ABB31" s="9" t="s">
        <v>1199</v>
      </c>
      <c r="ABC31" s="9"/>
      <c r="ABD31" s="8">
        <v>10.0</v>
      </c>
      <c r="ABE31" s="8">
        <v>4000.0</v>
      </c>
      <c r="ABF31" s="8">
        <v>0.0</v>
      </c>
      <c r="ABG31" s="8">
        <v>4000.0</v>
      </c>
      <c r="ABH31" s="8">
        <v>300.0</v>
      </c>
      <c r="ABI31" s="8">
        <v>350.0</v>
      </c>
      <c r="ABJ31" s="9" t="s">
        <v>857</v>
      </c>
      <c r="ABK31" s="9" t="s">
        <v>911</v>
      </c>
      <c r="ABL31" s="9" t="s">
        <v>911</v>
      </c>
      <c r="ABM31" s="9" t="s">
        <v>911</v>
      </c>
      <c r="ABN31" s="9"/>
      <c r="ABO31" s="9"/>
      <c r="ABP31" s="9" t="s">
        <v>955</v>
      </c>
      <c r="ABQ31" s="8">
        <v>0.0</v>
      </c>
      <c r="ABR31" s="8">
        <v>0.0</v>
      </c>
      <c r="ABS31" s="8">
        <v>0.0</v>
      </c>
      <c r="ABT31" s="8">
        <v>1.0</v>
      </c>
      <c r="ABU31" s="8">
        <v>0.0</v>
      </c>
      <c r="ABV31" s="8">
        <v>0.0</v>
      </c>
      <c r="ABW31" s="8">
        <v>0.0</v>
      </c>
      <c r="ABX31" s="9"/>
      <c r="ABY31" s="9" t="s">
        <v>912</v>
      </c>
      <c r="ABZ31" s="9" t="s">
        <v>1050</v>
      </c>
      <c r="ACA31" s="9" t="s">
        <v>957</v>
      </c>
      <c r="ACB31" s="9" t="s">
        <v>915</v>
      </c>
      <c r="ACC31" s="9" t="s">
        <v>916</v>
      </c>
      <c r="ACD31" s="9" t="s">
        <v>1035</v>
      </c>
      <c r="ACE31" s="8">
        <v>1.0</v>
      </c>
      <c r="ACF31" s="8">
        <v>1.0</v>
      </c>
      <c r="ACG31" s="8">
        <v>0.0</v>
      </c>
      <c r="ACH31" s="8">
        <v>0.0</v>
      </c>
      <c r="ACI31" s="9" t="s">
        <v>1187</v>
      </c>
      <c r="ACJ31" s="9" t="s">
        <v>1187</v>
      </c>
      <c r="ACK31" s="9" t="s">
        <v>1187</v>
      </c>
      <c r="ACL31" s="9" t="s">
        <v>1187</v>
      </c>
      <c r="ACM31" s="9" t="s">
        <v>881</v>
      </c>
      <c r="ACN31" s="9"/>
      <c r="ACO31" s="9" t="s">
        <v>1187</v>
      </c>
      <c r="ACP31" s="9"/>
      <c r="ACQ31" s="9"/>
      <c r="ACR31" s="9"/>
      <c r="ACS31" s="9"/>
      <c r="ACT31" s="9"/>
      <c r="ACU31" s="9"/>
      <c r="ACV31" s="9"/>
      <c r="ACW31" s="9"/>
      <c r="ACX31" s="9"/>
      <c r="ACY31" s="9"/>
      <c r="ACZ31" s="9" t="s">
        <v>919</v>
      </c>
      <c r="ADA31" s="8">
        <v>0.0</v>
      </c>
      <c r="ADB31" s="8">
        <v>0.0</v>
      </c>
      <c r="ADC31" s="8">
        <v>0.0</v>
      </c>
      <c r="ADD31" s="8">
        <v>0.0</v>
      </c>
      <c r="ADE31" s="8">
        <v>1.0</v>
      </c>
      <c r="ADF31" s="8">
        <v>0.0</v>
      </c>
      <c r="ADG31" s="8">
        <v>0.0</v>
      </c>
      <c r="ADH31" s="8">
        <v>0.0</v>
      </c>
      <c r="ADI31" s="12"/>
      <c r="ADJ31" s="17" t="s">
        <v>872</v>
      </c>
      <c r="ADK31" s="9"/>
      <c r="ADL31" s="17" t="s">
        <v>920</v>
      </c>
      <c r="ADM31" s="9"/>
      <c r="ADN31" s="11" t="s">
        <v>917</v>
      </c>
      <c r="ADO31" s="9" t="s">
        <v>871</v>
      </c>
      <c r="ADP31" s="17" t="s">
        <v>978</v>
      </c>
      <c r="ADQ31" s="18">
        <v>1.0</v>
      </c>
      <c r="ADR31" s="18">
        <v>1.0</v>
      </c>
      <c r="ADS31" s="18">
        <v>1.0</v>
      </c>
      <c r="ADT31" s="18">
        <v>1.0</v>
      </c>
      <c r="ADU31" s="18">
        <v>1.0</v>
      </c>
      <c r="ADV31" s="18">
        <v>1.0</v>
      </c>
      <c r="ADW31" s="18">
        <v>1.0</v>
      </c>
      <c r="ADX31" s="18">
        <v>0.0</v>
      </c>
      <c r="ADY31" s="18">
        <v>0.0</v>
      </c>
      <c r="ADZ31" s="18">
        <v>0.0</v>
      </c>
      <c r="AEA31" s="18">
        <v>0.0</v>
      </c>
      <c r="AEB31" s="18">
        <v>0.0</v>
      </c>
      <c r="AEC31" s="9"/>
      <c r="AED31" s="9" t="s">
        <v>923</v>
      </c>
      <c r="AEE31" s="9"/>
      <c r="AEF31" s="9" t="s">
        <v>1188</v>
      </c>
      <c r="AEG31" s="9"/>
      <c r="AEH31" s="9" t="s">
        <v>1288</v>
      </c>
      <c r="AEI31" s="16" t="s">
        <v>1289</v>
      </c>
      <c r="AEJ31" s="9" t="s">
        <v>1290</v>
      </c>
      <c r="AEK31" s="16" t="s">
        <v>1291</v>
      </c>
      <c r="AEL31" s="9" t="s">
        <v>1137</v>
      </c>
      <c r="AEM31" s="9"/>
      <c r="AEN31" s="9"/>
    </row>
    <row r="32">
      <c r="A32" s="6">
        <v>46059.0</v>
      </c>
      <c r="B32" s="6">
        <v>46060.0</v>
      </c>
      <c r="C32" s="7" t="s">
        <v>837</v>
      </c>
      <c r="D32" s="7" t="s">
        <v>1292</v>
      </c>
      <c r="E32" s="8">
        <f>+6281326587150</f>
        <v>6281326587150</v>
      </c>
      <c r="F32" s="9"/>
      <c r="G32" s="8">
        <v>-7.2145447</v>
      </c>
      <c r="H32" s="8">
        <v>110.2526463</v>
      </c>
      <c r="I32" s="9"/>
      <c r="J32" s="8">
        <v>2.38</v>
      </c>
      <c r="K32" s="9"/>
      <c r="L32" s="9"/>
      <c r="M32" s="8">
        <v>-7.21452448</v>
      </c>
      <c r="N32" s="8">
        <v>110.2527</v>
      </c>
      <c r="O32" s="9"/>
      <c r="P32" s="8">
        <v>1.94</v>
      </c>
      <c r="Q32" s="9"/>
      <c r="R32" s="9" t="s">
        <v>839</v>
      </c>
      <c r="S32" s="9"/>
      <c r="T32" s="9"/>
      <c r="U32" s="9"/>
      <c r="V32" s="9"/>
      <c r="W32" s="9"/>
      <c r="X32" s="9"/>
      <c r="Y32" s="9"/>
      <c r="Z32" s="9"/>
      <c r="AA32" s="9"/>
      <c r="AB32" s="9"/>
      <c r="AC32" s="7" t="s">
        <v>1175</v>
      </c>
      <c r="AD32" s="7" t="s">
        <v>1176</v>
      </c>
      <c r="AE32" s="7" t="s">
        <v>1195</v>
      </c>
      <c r="AF32" s="9" t="s">
        <v>1178</v>
      </c>
      <c r="AG32" s="9" t="s">
        <v>1293</v>
      </c>
      <c r="AH32" s="8">
        <v>1.0</v>
      </c>
      <c r="AI32" s="9" t="s">
        <v>845</v>
      </c>
      <c r="AJ32" s="9" t="s">
        <v>846</v>
      </c>
      <c r="AK32" s="8">
        <v>57.0</v>
      </c>
      <c r="AL32" s="9" t="s">
        <v>847</v>
      </c>
      <c r="AM32" s="9" t="s">
        <v>848</v>
      </c>
      <c r="AN32" s="9" t="s">
        <v>1099</v>
      </c>
      <c r="AO32" s="9" t="s">
        <v>1168</v>
      </c>
      <c r="AP32" s="8">
        <v>0.0</v>
      </c>
      <c r="AQ32" s="8">
        <v>0.0</v>
      </c>
      <c r="AR32" s="8">
        <v>0.0</v>
      </c>
      <c r="AS32" s="8">
        <v>0.0</v>
      </c>
      <c r="AT32" s="8">
        <v>1.0</v>
      </c>
      <c r="AU32" s="8">
        <v>0.0</v>
      </c>
      <c r="AV32" s="8">
        <v>0.0</v>
      </c>
      <c r="AW32" s="8">
        <v>0.0</v>
      </c>
      <c r="AX32" s="9"/>
      <c r="AY32" s="9" t="s">
        <v>935</v>
      </c>
      <c r="AZ32" s="8">
        <v>0.0</v>
      </c>
      <c r="BA32" s="8">
        <v>1.0</v>
      </c>
      <c r="BB32" s="8">
        <v>0.0</v>
      </c>
      <c r="BC32" s="8">
        <v>0.0</v>
      </c>
      <c r="BD32" s="8">
        <v>0.0</v>
      </c>
      <c r="BE32" s="8">
        <v>0.0</v>
      </c>
      <c r="BF32" s="8">
        <v>0.0</v>
      </c>
      <c r="BG32" s="8">
        <v>0.0</v>
      </c>
      <c r="BH32" s="9"/>
      <c r="BI32" s="9" t="s">
        <v>1101</v>
      </c>
      <c r="BJ32" s="8">
        <v>3.0</v>
      </c>
      <c r="BK32" s="8">
        <v>2.0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2025.0</v>
      </c>
      <c r="CN32" s="9" t="s">
        <v>858</v>
      </c>
      <c r="CO32" s="9" t="s">
        <v>859</v>
      </c>
      <c r="CP32" s="9" t="s">
        <v>1060</v>
      </c>
      <c r="CQ32" s="8">
        <v>0.0</v>
      </c>
      <c r="CR32" s="8">
        <v>0.0</v>
      </c>
      <c r="CS32" s="8">
        <v>0.0</v>
      </c>
      <c r="CT32" s="8">
        <v>0.0</v>
      </c>
      <c r="CU32" s="10">
        <v>1.0</v>
      </c>
      <c r="CV32" s="10">
        <v>1.0</v>
      </c>
      <c r="CW32" s="10">
        <v>0.0</v>
      </c>
      <c r="CX32" s="8">
        <v>0.0</v>
      </c>
      <c r="CY32" s="9" t="s">
        <v>1060</v>
      </c>
      <c r="CZ32" s="8">
        <v>1.0</v>
      </c>
      <c r="DA32" s="8">
        <v>1.0</v>
      </c>
      <c r="DB32" s="8">
        <v>0.0</v>
      </c>
      <c r="DC32" s="9"/>
      <c r="DD32" s="9" t="s">
        <v>937</v>
      </c>
      <c r="DE32" s="8">
        <v>1.0</v>
      </c>
      <c r="DF32" s="8">
        <v>0.0</v>
      </c>
      <c r="DG32" s="8">
        <v>1.0</v>
      </c>
      <c r="DH32" s="8">
        <v>0.0</v>
      </c>
      <c r="DI32" s="9"/>
      <c r="DJ32" s="9" t="s">
        <v>1294</v>
      </c>
      <c r="DK32" s="8">
        <v>1.0</v>
      </c>
      <c r="DL32" s="8">
        <v>1.0</v>
      </c>
      <c r="DM32" s="8">
        <v>1.0</v>
      </c>
      <c r="DN32" s="8">
        <v>0.0</v>
      </c>
      <c r="DO32" s="9"/>
      <c r="DP32" s="8">
        <v>1.0</v>
      </c>
      <c r="DQ32" s="8">
        <v>1.0</v>
      </c>
      <c r="DR32" s="8">
        <v>0.0</v>
      </c>
      <c r="DS32" s="9"/>
      <c r="DT32" s="9"/>
      <c r="DU32" s="9"/>
      <c r="DV32" s="9" t="s">
        <v>857</v>
      </c>
      <c r="DW32" s="9"/>
      <c r="DX32" s="9"/>
      <c r="DY32" s="9"/>
      <c r="DZ32" s="9"/>
      <c r="EA32" s="9"/>
      <c r="EB32" s="9"/>
      <c r="EC32" s="9"/>
      <c r="ED32" s="9"/>
      <c r="EE32" s="9"/>
      <c r="EF32" s="9"/>
      <c r="EG32" s="9"/>
      <c r="EH32" s="9"/>
      <c r="EI32" s="9" t="s">
        <v>862</v>
      </c>
      <c r="EJ32" s="8">
        <v>0.0</v>
      </c>
      <c r="EK32" s="8">
        <v>0.0</v>
      </c>
      <c r="EL32" s="8">
        <v>0.0</v>
      </c>
      <c r="EM32" s="8">
        <v>1.0</v>
      </c>
      <c r="EN32" s="8">
        <v>0.0</v>
      </c>
      <c r="EO32" s="11"/>
      <c r="EP32" s="9" t="s">
        <v>863</v>
      </c>
      <c r="EQ32" s="9" t="s">
        <v>864</v>
      </c>
      <c r="ER32" s="9" t="s">
        <v>861</v>
      </c>
      <c r="ES32" s="8">
        <v>1.0</v>
      </c>
      <c r="ET32" s="8">
        <v>0.0</v>
      </c>
      <c r="EU32" s="8">
        <v>0.0</v>
      </c>
      <c r="EV32" s="8">
        <v>0.0</v>
      </c>
      <c r="EW32" s="9"/>
      <c r="EX32" s="9" t="s">
        <v>865</v>
      </c>
      <c r="EY32" s="8">
        <v>1.0</v>
      </c>
      <c r="EZ32" s="8">
        <v>0.0</v>
      </c>
      <c r="FA32" s="8">
        <v>0.0</v>
      </c>
      <c r="FB32" s="9"/>
      <c r="FC32" s="9" t="s">
        <v>1072</v>
      </c>
      <c r="FD32" s="9"/>
      <c r="FE32" s="9" t="s">
        <v>867</v>
      </c>
      <c r="FF32" s="9" t="s">
        <v>868</v>
      </c>
      <c r="FG32" s="9" t="s">
        <v>867</v>
      </c>
      <c r="FH32" s="9" t="s">
        <v>869</v>
      </c>
      <c r="FI32" s="9" t="s">
        <v>867</v>
      </c>
      <c r="FJ32" s="9" t="s">
        <v>868</v>
      </c>
      <c r="FK32" s="9" t="s">
        <v>867</v>
      </c>
      <c r="FL32" s="9" t="s">
        <v>943</v>
      </c>
      <c r="FM32" s="9" t="s">
        <v>867</v>
      </c>
      <c r="FN32" s="9" t="s">
        <v>943</v>
      </c>
      <c r="FO32" s="9" t="s">
        <v>867</v>
      </c>
      <c r="FP32" s="9" t="s">
        <v>943</v>
      </c>
      <c r="FQ32" s="9" t="s">
        <v>867</v>
      </c>
      <c r="FR32" s="9" t="s">
        <v>857</v>
      </c>
      <c r="FS32" s="9" t="s">
        <v>867</v>
      </c>
      <c r="FT32" s="9" t="s">
        <v>871</v>
      </c>
      <c r="FU32" s="9" t="s">
        <v>989</v>
      </c>
      <c r="FV32" s="8">
        <v>1.0</v>
      </c>
      <c r="FW32" s="8">
        <v>1.0</v>
      </c>
      <c r="FX32" s="8">
        <v>0.0</v>
      </c>
      <c r="FY32" s="8">
        <v>0.0</v>
      </c>
      <c r="FZ32" s="9" t="s">
        <v>873</v>
      </c>
      <c r="GA32" s="9" t="s">
        <v>874</v>
      </c>
      <c r="GB32" s="8">
        <v>1.0</v>
      </c>
      <c r="GC32" s="8">
        <v>0.0</v>
      </c>
      <c r="GD32" s="8">
        <v>0.0</v>
      </c>
      <c r="GE32" s="8">
        <v>0.0</v>
      </c>
      <c r="GF32" s="9"/>
      <c r="GG32" s="9" t="s">
        <v>875</v>
      </c>
      <c r="GH32" s="9" t="s">
        <v>857</v>
      </c>
      <c r="GI32" s="9" t="s">
        <v>1264</v>
      </c>
      <c r="GJ32" s="8">
        <v>0.0</v>
      </c>
      <c r="GK32" s="8">
        <v>1.0</v>
      </c>
      <c r="GL32" s="8">
        <v>0.0</v>
      </c>
      <c r="GM32" s="8">
        <v>0.0</v>
      </c>
      <c r="GN32" s="9"/>
      <c r="GO32" s="8">
        <v>9.0</v>
      </c>
      <c r="GP32" s="9" t="s">
        <v>877</v>
      </c>
      <c r="GQ32" s="9" t="s">
        <v>878</v>
      </c>
      <c r="GR32" s="8">
        <v>1.0</v>
      </c>
      <c r="GS32" s="8">
        <v>1.0</v>
      </c>
      <c r="GT32" s="8">
        <v>0.0</v>
      </c>
      <c r="GU32" s="8">
        <v>0.0</v>
      </c>
      <c r="GV32" s="8">
        <v>0.0</v>
      </c>
      <c r="GW32" s="8">
        <v>0.0</v>
      </c>
      <c r="GX32" s="8">
        <v>0.0</v>
      </c>
      <c r="GY32" s="9"/>
      <c r="GZ32" s="9" t="s">
        <v>857</v>
      </c>
      <c r="HA32" s="8">
        <v>15.0</v>
      </c>
      <c r="HB32" s="8">
        <v>150000.0</v>
      </c>
      <c r="HC32" s="8">
        <v>5.0</v>
      </c>
      <c r="HD32" s="8">
        <v>50000.0</v>
      </c>
      <c r="HE32" s="8">
        <v>12.0</v>
      </c>
      <c r="HF32" s="8">
        <v>100000.0</v>
      </c>
      <c r="HG32" s="8">
        <v>3.0</v>
      </c>
      <c r="HH32" s="8">
        <v>25000.0</v>
      </c>
      <c r="HI32" s="9"/>
      <c r="HJ32" s="9"/>
      <c r="HK32" s="9"/>
      <c r="HL32" s="9"/>
      <c r="HM32" s="9"/>
      <c r="HN32" s="9"/>
      <c r="HO32" s="9"/>
      <c r="HP32" s="9"/>
      <c r="HQ32" s="9"/>
      <c r="HR32" s="9"/>
      <c r="HS32" s="9"/>
      <c r="HT32" s="9"/>
      <c r="HU32" s="9"/>
      <c r="HV32" s="9"/>
      <c r="HW32" s="9"/>
      <c r="HX32" s="9"/>
      <c r="HY32" s="8">
        <v>10.0</v>
      </c>
      <c r="HZ32" s="8">
        <v>100000.0</v>
      </c>
      <c r="IA32" s="8">
        <v>9.0</v>
      </c>
      <c r="IB32" s="8">
        <v>75000.0</v>
      </c>
      <c r="IC32" s="9"/>
      <c r="ID32" s="9"/>
      <c r="IE32" s="9"/>
      <c r="IF32" s="9"/>
      <c r="IG32" s="9"/>
      <c r="IH32" s="9"/>
      <c r="II32" s="9"/>
      <c r="IJ32" s="9"/>
      <c r="IK32" s="9" t="s">
        <v>879</v>
      </c>
      <c r="IL32" s="9" t="s">
        <v>880</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0.0</v>
      </c>
      <c r="LD32" s="8">
        <v>3.0</v>
      </c>
      <c r="LE32" s="8">
        <v>0.0</v>
      </c>
      <c r="LF32" s="8">
        <v>0.0</v>
      </c>
      <c r="LG32" s="9" t="s">
        <v>857</v>
      </c>
      <c r="LH32" s="8">
        <v>150000.0</v>
      </c>
      <c r="LI32" s="9"/>
      <c r="LJ32" s="9" t="s">
        <v>887</v>
      </c>
      <c r="LK32" s="8">
        <v>0.0</v>
      </c>
      <c r="LL32" s="8">
        <v>0.0</v>
      </c>
      <c r="LM32" s="8">
        <v>0.0</v>
      </c>
      <c r="LN32" s="8">
        <v>0.0</v>
      </c>
      <c r="LO32" s="8">
        <v>1.0</v>
      </c>
      <c r="LP32" s="8">
        <v>0.0</v>
      </c>
      <c r="LQ32" s="8">
        <v>0.0</v>
      </c>
      <c r="LR32" s="9"/>
      <c r="LS32" s="8">
        <v>15.0</v>
      </c>
      <c r="LT32" s="8">
        <v>15.0</v>
      </c>
      <c r="LU32" s="8">
        <v>0.0</v>
      </c>
      <c r="LV32" s="8">
        <v>5.0</v>
      </c>
      <c r="LW32" s="8">
        <v>5.0</v>
      </c>
      <c r="LX32" s="8">
        <v>0.0</v>
      </c>
      <c r="LY32" s="8">
        <v>5.0</v>
      </c>
      <c r="LZ32" s="8">
        <v>5.0</v>
      </c>
      <c r="MA32" s="8">
        <v>0.0</v>
      </c>
      <c r="MB32" s="9" t="s">
        <v>857</v>
      </c>
      <c r="MC32" s="8">
        <v>30.0</v>
      </c>
      <c r="MD32" s="8">
        <v>15.0</v>
      </c>
      <c r="ME32" s="8">
        <v>30.0</v>
      </c>
      <c r="MF32" s="8">
        <v>15.0</v>
      </c>
      <c r="MG32" s="8">
        <v>0.0</v>
      </c>
      <c r="MH32" s="8">
        <v>0.0</v>
      </c>
      <c r="MI32" s="9" t="s">
        <v>946</v>
      </c>
      <c r="MJ32" s="8">
        <v>0.0</v>
      </c>
      <c r="MK32" s="8">
        <v>0.0</v>
      </c>
      <c r="ML32" s="8">
        <v>1.0</v>
      </c>
      <c r="MM32" s="8">
        <v>0.0</v>
      </c>
      <c r="MN32" s="8">
        <v>0.0</v>
      </c>
      <c r="MO32" s="8">
        <v>0.0</v>
      </c>
      <c r="MP32" s="9"/>
      <c r="MQ32" s="9"/>
      <c r="MR32" s="9" t="s">
        <v>1048</v>
      </c>
      <c r="MS32" s="9"/>
      <c r="MT32" s="9" t="s">
        <v>991</v>
      </c>
      <c r="MU32" s="9" t="s">
        <v>881</v>
      </c>
      <c r="MV32" s="9"/>
      <c r="MW32" s="9"/>
      <c r="MX32" s="9"/>
      <c r="MY32" s="9"/>
      <c r="MZ32" s="9"/>
      <c r="NA32" s="9"/>
      <c r="NB32" s="9"/>
      <c r="NC32" s="9"/>
      <c r="ND32" s="9"/>
      <c r="NE32" s="9"/>
      <c r="NF32" s="9"/>
      <c r="NG32" s="9"/>
      <c r="NH32" s="9"/>
      <c r="NI32" s="9"/>
      <c r="NJ32" s="9"/>
      <c r="NK32" s="9"/>
      <c r="NL32" s="9" t="s">
        <v>857</v>
      </c>
      <c r="NM32" s="9" t="s">
        <v>893</v>
      </c>
      <c r="NN32" s="9" t="s">
        <v>993</v>
      </c>
      <c r="NO32" s="9" t="s">
        <v>994</v>
      </c>
      <c r="NP32" s="9"/>
      <c r="NQ32" s="9"/>
      <c r="NR32" s="9"/>
      <c r="NS32" s="9"/>
      <c r="NT32" s="9"/>
      <c r="NU32" s="9"/>
      <c r="NV32" s="9" t="s">
        <v>896</v>
      </c>
      <c r="NW32" s="9"/>
      <c r="NX32" s="9" t="s">
        <v>897</v>
      </c>
      <c r="NY32" s="8">
        <v>45.0</v>
      </c>
      <c r="NZ32" s="8">
        <v>30.0</v>
      </c>
      <c r="OA32" s="8">
        <v>0.0</v>
      </c>
      <c r="OB32" s="8">
        <v>5.0</v>
      </c>
      <c r="OC32" s="8">
        <v>5.0</v>
      </c>
      <c r="OD32" s="8">
        <v>0.0</v>
      </c>
      <c r="OE32" s="9" t="s">
        <v>898</v>
      </c>
      <c r="OF32" s="9" t="s">
        <v>1184</v>
      </c>
      <c r="OG32" s="9" t="s">
        <v>857</v>
      </c>
      <c r="OH32" s="8">
        <v>0.0</v>
      </c>
      <c r="OI32" s="8">
        <v>3.0</v>
      </c>
      <c r="OJ32" s="8">
        <v>0.0</v>
      </c>
      <c r="OK32" s="8">
        <v>0.0</v>
      </c>
      <c r="OL32" s="8">
        <v>0.0</v>
      </c>
      <c r="OM32" s="8">
        <v>0.0</v>
      </c>
      <c r="ON32" s="8">
        <v>0.0</v>
      </c>
      <c r="OO32" s="8">
        <v>0.0</v>
      </c>
      <c r="OP32" s="9" t="s">
        <v>2948</v>
      </c>
      <c r="OQ32" s="8">
        <v>0.0</v>
      </c>
      <c r="OR32" s="8">
        <v>1.0</v>
      </c>
      <c r="OS32" s="8">
        <v>0.0</v>
      </c>
      <c r="OT32" s="8">
        <v>0.0</v>
      </c>
      <c r="OU32" s="8">
        <v>0.0</v>
      </c>
      <c r="OV32" s="8">
        <v>0.0</v>
      </c>
      <c r="OW32" s="8">
        <v>0.0</v>
      </c>
      <c r="OX32" s="8">
        <v>0.0</v>
      </c>
      <c r="OY32" s="9"/>
      <c r="OZ32" s="9"/>
      <c r="PA32" s="9"/>
      <c r="PB32" s="9"/>
      <c r="PC32" s="9"/>
      <c r="PD32" s="9"/>
      <c r="PE32" s="9"/>
      <c r="PF32" s="9"/>
      <c r="PG32" s="9"/>
      <c r="PH32" s="9"/>
      <c r="PI32" s="9"/>
      <c r="PJ32" s="9" t="s">
        <v>900</v>
      </c>
      <c r="PK32" s="8">
        <v>0.0</v>
      </c>
      <c r="PL32" s="8">
        <v>0.0</v>
      </c>
      <c r="PM32" s="8">
        <v>0.0</v>
      </c>
      <c r="PN32" s="8">
        <v>0.0</v>
      </c>
      <c r="PO32" s="8">
        <v>0.0</v>
      </c>
      <c r="PP32" s="8">
        <v>1.0</v>
      </c>
      <c r="PQ32" s="8">
        <v>0.0</v>
      </c>
      <c r="PR32" s="8">
        <v>0.0</v>
      </c>
      <c r="PS32" s="8">
        <v>0.0</v>
      </c>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8">
        <v>3.0</v>
      </c>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t="s">
        <v>901</v>
      </c>
      <c r="UB32" s="9"/>
      <c r="UC32" s="9"/>
      <c r="UD32" s="9"/>
      <c r="UE32" s="9"/>
      <c r="UF32" s="9"/>
      <c r="UG32" s="9"/>
      <c r="UH32" s="9"/>
      <c r="UI32" s="9" t="s">
        <v>950</v>
      </c>
      <c r="UJ32" s="9"/>
      <c r="UK32" s="9"/>
      <c r="UL32" s="9"/>
      <c r="UM32" s="9"/>
      <c r="UN32" s="9"/>
      <c r="UO32" s="9"/>
      <c r="UP32" s="9"/>
      <c r="UQ32" s="9" t="s">
        <v>1158</v>
      </c>
      <c r="UR32" s="9"/>
      <c r="US32" s="9"/>
      <c r="UT32" s="9"/>
      <c r="UU32" s="9"/>
      <c r="UV32" s="9"/>
      <c r="UW32" s="9"/>
      <c r="UX32" s="9"/>
      <c r="UY32" s="9"/>
      <c r="UZ32" s="9"/>
      <c r="VA32" s="9"/>
      <c r="VB32" s="9"/>
      <c r="VC32" s="9"/>
      <c r="VD32" s="9"/>
      <c r="VE32" s="9"/>
      <c r="VF32" s="9"/>
      <c r="VG32" s="9"/>
      <c r="VH32" s="9"/>
      <c r="VI32" s="9"/>
      <c r="VJ32" s="9"/>
      <c r="VK32" s="9" t="s">
        <v>1214</v>
      </c>
      <c r="VL32" s="8">
        <v>0.0</v>
      </c>
      <c r="VM32" s="8">
        <v>0.0</v>
      </c>
      <c r="VN32" s="8">
        <v>1.0</v>
      </c>
      <c r="VO32" s="8">
        <v>1.0</v>
      </c>
      <c r="VP32" s="8">
        <v>0.0</v>
      </c>
      <c r="VQ32" s="8">
        <v>1.0</v>
      </c>
      <c r="VR32" s="8">
        <v>0.0</v>
      </c>
      <c r="VS32" s="8">
        <v>0.0</v>
      </c>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8">
        <v>50.0</v>
      </c>
      <c r="YU32" s="9"/>
      <c r="YV32" s="9"/>
      <c r="YW32" s="9"/>
      <c r="YX32" s="9"/>
      <c r="YY32" s="9"/>
      <c r="YZ32" s="9"/>
      <c r="ZA32" s="9"/>
      <c r="ZB32" s="8">
        <v>2.0</v>
      </c>
      <c r="ZC32" s="9"/>
      <c r="ZD32" s="9"/>
      <c r="ZE32" s="9"/>
      <c r="ZF32" s="9"/>
      <c r="ZG32" s="9"/>
      <c r="ZH32" s="9"/>
      <c r="ZI32" s="9"/>
      <c r="ZJ32" s="9" t="s">
        <v>1186</v>
      </c>
      <c r="ZK32" s="9"/>
      <c r="ZL32" s="9"/>
      <c r="ZM32" s="9"/>
      <c r="ZN32" s="9"/>
      <c r="ZO32" s="9"/>
      <c r="ZP32" s="9"/>
      <c r="ZQ32" s="9" t="s">
        <v>857</v>
      </c>
      <c r="ZR32" s="9" t="s">
        <v>1033</v>
      </c>
      <c r="ZS32" s="8">
        <v>1.0</v>
      </c>
      <c r="ZT32" s="8">
        <v>1.0</v>
      </c>
      <c r="ZU32" s="8">
        <v>50.0</v>
      </c>
      <c r="ZV32" s="8">
        <v>50.0</v>
      </c>
      <c r="ZW32" s="9" t="s">
        <v>857</v>
      </c>
      <c r="ZX32" s="9" t="s">
        <v>867</v>
      </c>
      <c r="ZY32" s="9" t="s">
        <v>1074</v>
      </c>
      <c r="ZZ32" s="8">
        <v>1.0</v>
      </c>
      <c r="AAA32" s="8">
        <v>0.0</v>
      </c>
      <c r="AAB32" s="8">
        <v>0.0</v>
      </c>
      <c r="AAC32" s="8">
        <v>1.0</v>
      </c>
      <c r="AAD32" s="8">
        <v>1.0</v>
      </c>
      <c r="AAE32" s="8">
        <v>0.0</v>
      </c>
      <c r="AAF32" s="8">
        <v>0.0</v>
      </c>
      <c r="AAG32" s="9" t="s">
        <v>907</v>
      </c>
      <c r="AAH32" s="8">
        <v>1.0</v>
      </c>
      <c r="AAI32" s="8">
        <v>0.0</v>
      </c>
      <c r="AAJ32" s="8">
        <v>0.0</v>
      </c>
      <c r="AAK32" s="8">
        <v>0.0</v>
      </c>
      <c r="AAL32" s="8">
        <v>0.0</v>
      </c>
      <c r="AAM32" s="9"/>
      <c r="AAN32" s="9"/>
      <c r="AAO32" s="9"/>
      <c r="AAP32" s="9"/>
      <c r="AAQ32" s="9"/>
      <c r="AAR32" s="9"/>
      <c r="AAS32" s="9"/>
      <c r="AAT32" s="9"/>
      <c r="AAU32" s="9"/>
      <c r="AAV32" s="11" t="s">
        <v>953</v>
      </c>
      <c r="AAW32" s="9" t="s">
        <v>1075</v>
      </c>
      <c r="AAX32" s="8">
        <v>2500.0</v>
      </c>
      <c r="AAY32" s="8">
        <v>50.0</v>
      </c>
      <c r="AAZ32" s="8">
        <v>50.0</v>
      </c>
      <c r="ABA32" s="8">
        <v>50.0</v>
      </c>
      <c r="ABB32" s="9" t="s">
        <v>1199</v>
      </c>
      <c r="ABC32" s="9"/>
      <c r="ABD32" s="8">
        <v>40.0</v>
      </c>
      <c r="ABE32" s="8">
        <v>4000.0</v>
      </c>
      <c r="ABF32" s="8">
        <v>0.0</v>
      </c>
      <c r="ABG32" s="8">
        <v>4000.0</v>
      </c>
      <c r="ABH32" s="8">
        <v>500.0</v>
      </c>
      <c r="ABI32" s="8">
        <v>650.0</v>
      </c>
      <c r="ABJ32" s="9" t="s">
        <v>857</v>
      </c>
      <c r="ABK32" s="9" t="s">
        <v>911</v>
      </c>
      <c r="ABL32" s="9" t="s">
        <v>911</v>
      </c>
      <c r="ABM32" s="9" t="s">
        <v>911</v>
      </c>
      <c r="ABN32" s="9"/>
      <c r="ABO32" s="9"/>
      <c r="ABP32" s="9" t="s">
        <v>976</v>
      </c>
      <c r="ABQ32" s="8">
        <v>0.0</v>
      </c>
      <c r="ABR32" s="8">
        <v>0.0</v>
      </c>
      <c r="ABS32" s="8">
        <v>1.0</v>
      </c>
      <c r="ABT32" s="8">
        <v>1.0</v>
      </c>
      <c r="ABU32" s="8">
        <v>0.0</v>
      </c>
      <c r="ABV32" s="8">
        <v>0.0</v>
      </c>
      <c r="ABW32" s="8">
        <v>0.0</v>
      </c>
      <c r="ABX32" s="9"/>
      <c r="ABY32" s="9" t="s">
        <v>912</v>
      </c>
      <c r="ABZ32" s="9" t="s">
        <v>1050</v>
      </c>
      <c r="ACA32" s="9" t="s">
        <v>996</v>
      </c>
      <c r="ACB32" s="9" t="s">
        <v>915</v>
      </c>
      <c r="ACC32" s="9" t="s">
        <v>916</v>
      </c>
      <c r="ACD32" s="9" t="s">
        <v>1035</v>
      </c>
      <c r="ACE32" s="8">
        <v>1.0</v>
      </c>
      <c r="ACF32" s="8">
        <v>1.0</v>
      </c>
      <c r="ACG32" s="8">
        <v>0.0</v>
      </c>
      <c r="ACH32" s="8">
        <v>0.0</v>
      </c>
      <c r="ACI32" s="9" t="s">
        <v>917</v>
      </c>
      <c r="ACJ32" s="9" t="s">
        <v>1187</v>
      </c>
      <c r="ACK32" s="9" t="s">
        <v>1187</v>
      </c>
      <c r="ACL32" s="9" t="s">
        <v>1187</v>
      </c>
      <c r="ACM32" s="9" t="s">
        <v>881</v>
      </c>
      <c r="ACN32" s="9"/>
      <c r="ACO32" s="9" t="s">
        <v>1187</v>
      </c>
      <c r="ACP32" s="9"/>
      <c r="ACQ32" s="9"/>
      <c r="ACR32" s="9"/>
      <c r="ACS32" s="9"/>
      <c r="ACT32" s="9"/>
      <c r="ACU32" s="9"/>
      <c r="ACV32" s="9"/>
      <c r="ACW32" s="9"/>
      <c r="ACX32" s="9"/>
      <c r="ACY32" s="9"/>
      <c r="ACZ32" s="9" t="s">
        <v>919</v>
      </c>
      <c r="ADA32" s="8">
        <v>0.0</v>
      </c>
      <c r="ADB32" s="8">
        <v>0.0</v>
      </c>
      <c r="ADC32" s="8">
        <v>0.0</v>
      </c>
      <c r="ADD32" s="8">
        <v>0.0</v>
      </c>
      <c r="ADE32" s="8">
        <v>1.0</v>
      </c>
      <c r="ADF32" s="8">
        <v>0.0</v>
      </c>
      <c r="ADG32" s="8">
        <v>0.0</v>
      </c>
      <c r="ADH32" s="8">
        <v>0.0</v>
      </c>
      <c r="ADI32" s="12"/>
      <c r="ADJ32" s="17" t="s">
        <v>872</v>
      </c>
      <c r="ADK32" s="9"/>
      <c r="ADL32" s="17" t="s">
        <v>920</v>
      </c>
      <c r="ADM32" s="9"/>
      <c r="ADN32" s="11" t="s">
        <v>921</v>
      </c>
      <c r="ADO32" s="9" t="s">
        <v>871</v>
      </c>
      <c r="ADP32" s="17" t="s">
        <v>1108</v>
      </c>
      <c r="ADQ32" s="18">
        <v>1.0</v>
      </c>
      <c r="ADR32" s="18">
        <v>1.0</v>
      </c>
      <c r="ADS32" s="18">
        <v>1.0</v>
      </c>
      <c r="ADT32" s="18">
        <v>1.0</v>
      </c>
      <c r="ADU32" s="18">
        <v>1.0</v>
      </c>
      <c r="ADV32" s="18">
        <v>1.0</v>
      </c>
      <c r="ADW32" s="18">
        <v>1.0</v>
      </c>
      <c r="ADX32" s="18">
        <v>1.0</v>
      </c>
      <c r="ADY32" s="18">
        <v>1.0</v>
      </c>
      <c r="ADZ32" s="18">
        <v>0.0</v>
      </c>
      <c r="AEA32" s="18">
        <v>0.0</v>
      </c>
      <c r="AEB32" s="18">
        <v>0.0</v>
      </c>
      <c r="AEC32" s="9"/>
      <c r="AED32" s="9" t="s">
        <v>923</v>
      </c>
      <c r="AEE32" s="9"/>
      <c r="AEF32" s="9" t="s">
        <v>1188</v>
      </c>
      <c r="AEG32" s="9"/>
      <c r="AEH32" s="9" t="s">
        <v>1295</v>
      </c>
      <c r="AEI32" s="16" t="s">
        <v>1296</v>
      </c>
      <c r="AEJ32" s="9" t="s">
        <v>1297</v>
      </c>
      <c r="AEK32" s="16" t="s">
        <v>1298</v>
      </c>
      <c r="AEL32" s="9" t="s">
        <v>1193</v>
      </c>
      <c r="AEM32" s="9"/>
      <c r="AEN32" s="9"/>
    </row>
    <row r="33">
      <c r="A33" s="6">
        <v>46060.0</v>
      </c>
      <c r="B33" s="6">
        <v>46060.0</v>
      </c>
      <c r="C33" s="7" t="s">
        <v>837</v>
      </c>
      <c r="D33" s="7" t="s">
        <v>1299</v>
      </c>
      <c r="E33" s="8">
        <f>+6283844389430</f>
        <v>6283844389430</v>
      </c>
      <c r="F33" s="9"/>
      <c r="G33" s="8">
        <v>-7.21459104</v>
      </c>
      <c r="H33" s="8">
        <v>110.2531517</v>
      </c>
      <c r="I33" s="9"/>
      <c r="J33" s="8">
        <v>4.95</v>
      </c>
      <c r="K33" s="9"/>
      <c r="L33" s="9"/>
      <c r="M33" s="8">
        <v>-7.21460969</v>
      </c>
      <c r="N33" s="8">
        <v>110.2531753</v>
      </c>
      <c r="O33" s="9"/>
      <c r="P33" s="8">
        <v>4.98</v>
      </c>
      <c r="Q33" s="9"/>
      <c r="R33" s="9" t="s">
        <v>839</v>
      </c>
      <c r="S33" s="9"/>
      <c r="T33" s="9"/>
      <c r="U33" s="9"/>
      <c r="V33" s="9"/>
      <c r="W33" s="9"/>
      <c r="X33" s="9"/>
      <c r="Y33" s="9"/>
      <c r="Z33" s="9"/>
      <c r="AA33" s="9"/>
      <c r="AB33" s="9"/>
      <c r="AC33" s="7" t="s">
        <v>1175</v>
      </c>
      <c r="AD33" s="7" t="s">
        <v>1176</v>
      </c>
      <c r="AE33" s="7" t="s">
        <v>1279</v>
      </c>
      <c r="AF33" s="9" t="s">
        <v>1178</v>
      </c>
      <c r="AG33" s="9" t="s">
        <v>1300</v>
      </c>
      <c r="AH33" s="8">
        <v>2.0</v>
      </c>
      <c r="AI33" s="9" t="s">
        <v>845</v>
      </c>
      <c r="AJ33" s="9" t="s">
        <v>846</v>
      </c>
      <c r="AK33" s="8">
        <v>52.0</v>
      </c>
      <c r="AL33" s="9" t="s">
        <v>847</v>
      </c>
      <c r="AM33" s="9" t="s">
        <v>848</v>
      </c>
      <c r="AN33" s="9" t="s">
        <v>1009</v>
      </c>
      <c r="AO33" s="9" t="s">
        <v>1168</v>
      </c>
      <c r="AP33" s="8">
        <v>0.0</v>
      </c>
      <c r="AQ33" s="8">
        <v>0.0</v>
      </c>
      <c r="AR33" s="8">
        <v>0.0</v>
      </c>
      <c r="AS33" s="8">
        <v>0.0</v>
      </c>
      <c r="AT33" s="8">
        <v>1.0</v>
      </c>
      <c r="AU33" s="8">
        <v>0.0</v>
      </c>
      <c r="AV33" s="8">
        <v>0.0</v>
      </c>
      <c r="AW33" s="8">
        <v>0.0</v>
      </c>
      <c r="AX33" s="9"/>
      <c r="AY33" s="9" t="s">
        <v>935</v>
      </c>
      <c r="AZ33" s="8">
        <v>0.0</v>
      </c>
      <c r="BA33" s="8">
        <v>1.0</v>
      </c>
      <c r="BB33" s="8">
        <v>0.0</v>
      </c>
      <c r="BC33" s="8">
        <v>0.0</v>
      </c>
      <c r="BD33" s="8">
        <v>0.0</v>
      </c>
      <c r="BE33" s="8">
        <v>0.0</v>
      </c>
      <c r="BF33" s="8">
        <v>0.0</v>
      </c>
      <c r="BG33" s="8">
        <v>0.0</v>
      </c>
      <c r="BH33" s="9"/>
      <c r="BI33" s="9" t="s">
        <v>1101</v>
      </c>
      <c r="BJ33" s="8">
        <v>4.0</v>
      </c>
      <c r="BK33" s="8">
        <v>2.0</v>
      </c>
      <c r="BL33" s="8">
        <v>0.0</v>
      </c>
      <c r="BM33" s="8">
        <v>0.0</v>
      </c>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856</v>
      </c>
      <c r="CD33" s="8">
        <v>0.0</v>
      </c>
      <c r="CE33" s="8">
        <v>0.0</v>
      </c>
      <c r="CF33" s="8">
        <v>0.0</v>
      </c>
      <c r="CG33" s="8">
        <v>0.0</v>
      </c>
      <c r="CH33" s="8">
        <v>0.0</v>
      </c>
      <c r="CI33" s="8">
        <v>1.0</v>
      </c>
      <c r="CJ33" s="8">
        <v>0.0</v>
      </c>
      <c r="CK33" s="9"/>
      <c r="CL33" s="9" t="s">
        <v>857</v>
      </c>
      <c r="CM33" s="8">
        <v>2024.0</v>
      </c>
      <c r="CN33" s="9" t="s">
        <v>858</v>
      </c>
      <c r="CO33" s="9" t="s">
        <v>859</v>
      </c>
      <c r="CP33" s="9" t="s">
        <v>860</v>
      </c>
      <c r="CQ33" s="8">
        <v>0.0</v>
      </c>
      <c r="CR33" s="8">
        <v>0.0</v>
      </c>
      <c r="CS33" s="8">
        <v>0.0</v>
      </c>
      <c r="CT33" s="8">
        <v>0.0</v>
      </c>
      <c r="CU33" s="10">
        <v>1.0</v>
      </c>
      <c r="CV33" s="10">
        <v>0.0</v>
      </c>
      <c r="CW33" s="10">
        <v>0.0</v>
      </c>
      <c r="CX33" s="8">
        <v>0.0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8">
        <v>1.0</v>
      </c>
      <c r="DQ33" s="8">
        <v>0.0</v>
      </c>
      <c r="DR33" s="8">
        <v>0.0</v>
      </c>
      <c r="DS33" s="9"/>
      <c r="DT33" s="9"/>
      <c r="DU33" s="9"/>
      <c r="DV33" s="9" t="s">
        <v>857</v>
      </c>
      <c r="DW33" s="9"/>
      <c r="DX33" s="9"/>
      <c r="DY33" s="9"/>
      <c r="DZ33" s="9"/>
      <c r="EA33" s="9"/>
      <c r="EB33" s="9"/>
      <c r="EC33" s="9"/>
      <c r="ED33" s="9"/>
      <c r="EE33" s="9"/>
      <c r="EF33" s="9"/>
      <c r="EG33" s="9"/>
      <c r="EH33" s="9"/>
      <c r="EI33" s="9" t="s">
        <v>862</v>
      </c>
      <c r="EJ33" s="8">
        <v>0.0</v>
      </c>
      <c r="EK33" s="8">
        <v>0.0</v>
      </c>
      <c r="EL33" s="8">
        <v>0.0</v>
      </c>
      <c r="EM33" s="8">
        <v>1.0</v>
      </c>
      <c r="EN33" s="8">
        <v>0.0</v>
      </c>
      <c r="EO33" s="11"/>
      <c r="EP33" s="9" t="s">
        <v>863</v>
      </c>
      <c r="EQ33" s="9" t="s">
        <v>864</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867</v>
      </c>
      <c r="FH33" s="9" t="s">
        <v>869</v>
      </c>
      <c r="FI33" s="9" t="s">
        <v>867</v>
      </c>
      <c r="FJ33" s="9" t="s">
        <v>868</v>
      </c>
      <c r="FK33" s="9" t="s">
        <v>867</v>
      </c>
      <c r="FL33" s="9" t="s">
        <v>869</v>
      </c>
      <c r="FM33" s="9" t="s">
        <v>867</v>
      </c>
      <c r="FN33" s="9" t="s">
        <v>943</v>
      </c>
      <c r="FO33" s="9" t="s">
        <v>867</v>
      </c>
      <c r="FP33" s="9" t="s">
        <v>943</v>
      </c>
      <c r="FQ33" s="9" t="s">
        <v>867</v>
      </c>
      <c r="FR33" s="9" t="s">
        <v>857</v>
      </c>
      <c r="FS33" s="9" t="s">
        <v>867</v>
      </c>
      <c r="FT33" s="9" t="s">
        <v>871</v>
      </c>
      <c r="FU33" s="9" t="s">
        <v>989</v>
      </c>
      <c r="FV33" s="8">
        <v>1.0</v>
      </c>
      <c r="FW33" s="8">
        <v>1.0</v>
      </c>
      <c r="FX33" s="8">
        <v>0.0</v>
      </c>
      <c r="FY33" s="8">
        <v>0.0</v>
      </c>
      <c r="FZ33" s="9" t="s">
        <v>873</v>
      </c>
      <c r="GA33" s="9" t="s">
        <v>874</v>
      </c>
      <c r="GB33" s="8">
        <v>1.0</v>
      </c>
      <c r="GC33" s="8">
        <v>0.0</v>
      </c>
      <c r="GD33" s="8">
        <v>0.0</v>
      </c>
      <c r="GE33" s="8">
        <v>0.0</v>
      </c>
      <c r="GF33" s="9"/>
      <c r="GG33" s="9" t="s">
        <v>875</v>
      </c>
      <c r="GH33" s="9" t="s">
        <v>857</v>
      </c>
      <c r="GI33" s="9" t="s">
        <v>1264</v>
      </c>
      <c r="GJ33" s="8">
        <v>0.0</v>
      </c>
      <c r="GK33" s="8">
        <v>1.0</v>
      </c>
      <c r="GL33" s="8">
        <v>0.0</v>
      </c>
      <c r="GM33" s="8">
        <v>0.0</v>
      </c>
      <c r="GN33" s="9"/>
      <c r="GO33" s="8">
        <v>9.0</v>
      </c>
      <c r="GP33" s="9" t="s">
        <v>877</v>
      </c>
      <c r="GQ33" s="9" t="s">
        <v>878</v>
      </c>
      <c r="GR33" s="8">
        <v>1.0</v>
      </c>
      <c r="GS33" s="8">
        <v>1.0</v>
      </c>
      <c r="GT33" s="8">
        <v>0.0</v>
      </c>
      <c r="GU33" s="8">
        <v>0.0</v>
      </c>
      <c r="GV33" s="8">
        <v>0.0</v>
      </c>
      <c r="GW33" s="8">
        <v>0.0</v>
      </c>
      <c r="GX33" s="8">
        <v>0.0</v>
      </c>
      <c r="GY33" s="9"/>
      <c r="GZ33" s="9" t="s">
        <v>857</v>
      </c>
      <c r="HA33" s="8">
        <v>20.0</v>
      </c>
      <c r="HB33" s="8">
        <v>200000.0</v>
      </c>
      <c r="HC33" s="8">
        <v>5.0</v>
      </c>
      <c r="HD33" s="8">
        <v>50000.0</v>
      </c>
      <c r="HE33" s="8">
        <v>12.0</v>
      </c>
      <c r="HF33" s="8">
        <v>100000.0</v>
      </c>
      <c r="HG33" s="8">
        <v>3.0</v>
      </c>
      <c r="HH33" s="8">
        <v>25000.0</v>
      </c>
      <c r="HI33" s="9"/>
      <c r="HJ33" s="9"/>
      <c r="HK33" s="9"/>
      <c r="HL33" s="9"/>
      <c r="HM33" s="9"/>
      <c r="HN33" s="9"/>
      <c r="HO33" s="9"/>
      <c r="HP33" s="9"/>
      <c r="HQ33" s="9"/>
      <c r="HR33" s="9"/>
      <c r="HS33" s="9"/>
      <c r="HT33" s="9"/>
      <c r="HU33" s="9"/>
      <c r="HV33" s="9"/>
      <c r="HW33" s="9"/>
      <c r="HX33" s="9"/>
      <c r="HY33" s="8">
        <v>15.0</v>
      </c>
      <c r="HZ33" s="8">
        <v>150000.0</v>
      </c>
      <c r="IA33" s="8">
        <v>9.0</v>
      </c>
      <c r="IB33" s="8">
        <v>75000.0</v>
      </c>
      <c r="IC33" s="9"/>
      <c r="ID33" s="9"/>
      <c r="IE33" s="9"/>
      <c r="IF33" s="9"/>
      <c r="IG33" s="9"/>
      <c r="IH33" s="9"/>
      <c r="II33" s="9"/>
      <c r="IJ33" s="9"/>
      <c r="IK33" s="9" t="s">
        <v>879</v>
      </c>
      <c r="IL33" s="9" t="s">
        <v>880</v>
      </c>
      <c r="IM33" s="9" t="s">
        <v>857</v>
      </c>
      <c r="IN33" s="9" t="s">
        <v>881</v>
      </c>
      <c r="IO33" s="9" t="s">
        <v>1206</v>
      </c>
      <c r="IP33" s="9"/>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1180</v>
      </c>
      <c r="KT33" s="9" t="s">
        <v>886</v>
      </c>
      <c r="KU33" s="9" t="s">
        <v>886</v>
      </c>
      <c r="KV33" s="9" t="s">
        <v>999</v>
      </c>
      <c r="KW33" s="8">
        <v>0.0</v>
      </c>
      <c r="KX33" s="8">
        <v>0.0</v>
      </c>
      <c r="KY33" s="8">
        <v>0.0</v>
      </c>
      <c r="KZ33" s="8">
        <v>1.0</v>
      </c>
      <c r="LA33" s="9" t="s">
        <v>884</v>
      </c>
      <c r="LB33" s="9" t="s">
        <v>884</v>
      </c>
      <c r="LC33" s="8">
        <v>0.0</v>
      </c>
      <c r="LD33" s="8">
        <v>3.0</v>
      </c>
      <c r="LE33" s="8">
        <v>0.0</v>
      </c>
      <c r="LF33" s="8">
        <v>3.0</v>
      </c>
      <c r="LG33" s="9" t="s">
        <v>857</v>
      </c>
      <c r="LH33" s="8">
        <v>150000.0</v>
      </c>
      <c r="LI33" s="9"/>
      <c r="LJ33" s="9" t="s">
        <v>887</v>
      </c>
      <c r="LK33" s="8">
        <v>0.0</v>
      </c>
      <c r="LL33" s="8">
        <v>0.0</v>
      </c>
      <c r="LM33" s="8">
        <v>0.0</v>
      </c>
      <c r="LN33" s="8">
        <v>0.0</v>
      </c>
      <c r="LO33" s="8">
        <v>1.0</v>
      </c>
      <c r="LP33" s="8">
        <v>0.0</v>
      </c>
      <c r="LQ33" s="8">
        <v>0.0</v>
      </c>
      <c r="LR33" s="9"/>
      <c r="LS33" s="8">
        <v>15.0</v>
      </c>
      <c r="LT33" s="8">
        <v>20.0</v>
      </c>
      <c r="LU33" s="8">
        <v>0.0</v>
      </c>
      <c r="LV33" s="8">
        <v>5.0</v>
      </c>
      <c r="LW33" s="8">
        <v>5.0</v>
      </c>
      <c r="LX33" s="8">
        <v>0.0</v>
      </c>
      <c r="LY33" s="8">
        <v>5.0</v>
      </c>
      <c r="LZ33" s="8">
        <v>5.0</v>
      </c>
      <c r="MA33" s="8">
        <v>0.0</v>
      </c>
      <c r="MB33" s="9" t="s">
        <v>857</v>
      </c>
      <c r="MC33" s="8">
        <v>30.0</v>
      </c>
      <c r="MD33" s="8">
        <v>15.0</v>
      </c>
      <c r="ME33" s="8">
        <v>40.0</v>
      </c>
      <c r="MF33" s="8">
        <v>15.0</v>
      </c>
      <c r="MG33" s="8">
        <v>0.0</v>
      </c>
      <c r="MH33" s="8">
        <v>0.0</v>
      </c>
      <c r="MI33" s="9" t="s">
        <v>946</v>
      </c>
      <c r="MJ33" s="8">
        <v>0.0</v>
      </c>
      <c r="MK33" s="8">
        <v>0.0</v>
      </c>
      <c r="ML33" s="8">
        <v>1.0</v>
      </c>
      <c r="MM33" s="8">
        <v>0.0</v>
      </c>
      <c r="MN33" s="8">
        <v>0.0</v>
      </c>
      <c r="MO33" s="8">
        <v>0.0</v>
      </c>
      <c r="MP33" s="9"/>
      <c r="MQ33" s="9"/>
      <c r="MR33" s="9" t="s">
        <v>1301</v>
      </c>
      <c r="MS33" s="9"/>
      <c r="MT33" s="9" t="s">
        <v>1302</v>
      </c>
      <c r="MU33" s="9" t="s">
        <v>881</v>
      </c>
      <c r="MV33" s="9"/>
      <c r="MW33" s="9"/>
      <c r="MX33" s="9"/>
      <c r="MY33" s="9"/>
      <c r="MZ33" s="9"/>
      <c r="NA33" s="9"/>
      <c r="NB33" s="9"/>
      <c r="NC33" s="9"/>
      <c r="ND33" s="9"/>
      <c r="NE33" s="9"/>
      <c r="NF33" s="9"/>
      <c r="NG33" s="9"/>
      <c r="NH33" s="9"/>
      <c r="NI33" s="9"/>
      <c r="NJ33" s="9"/>
      <c r="NK33" s="9"/>
      <c r="NL33" s="9" t="s">
        <v>857</v>
      </c>
      <c r="NM33" s="9" t="s">
        <v>893</v>
      </c>
      <c r="NN33" s="9" t="s">
        <v>993</v>
      </c>
      <c r="NO33" s="9" t="s">
        <v>994</v>
      </c>
      <c r="NP33" s="9"/>
      <c r="NQ33" s="9"/>
      <c r="NR33" s="9"/>
      <c r="NS33" s="9"/>
      <c r="NT33" s="9"/>
      <c r="NU33" s="9"/>
      <c r="NV33" s="9" t="s">
        <v>896</v>
      </c>
      <c r="NW33" s="9"/>
      <c r="NX33" s="9" t="s">
        <v>1183</v>
      </c>
      <c r="NY33" s="8">
        <v>60.0</v>
      </c>
      <c r="NZ33" s="8">
        <v>0.0</v>
      </c>
      <c r="OA33" s="8">
        <v>0.0</v>
      </c>
      <c r="OB33" s="8">
        <v>5.0</v>
      </c>
      <c r="OC33" s="8">
        <v>0.0</v>
      </c>
      <c r="OD33" s="8">
        <v>0.0</v>
      </c>
      <c r="OE33" s="9" t="s">
        <v>1180</v>
      </c>
      <c r="OF33" s="9" t="s">
        <v>1184</v>
      </c>
      <c r="OG33" s="9" t="s">
        <v>857</v>
      </c>
      <c r="OH33" s="8">
        <v>0.0</v>
      </c>
      <c r="OI33" s="8">
        <v>7.0</v>
      </c>
      <c r="OJ33" s="8">
        <v>0.0</v>
      </c>
      <c r="OK33" s="8">
        <v>0.0</v>
      </c>
      <c r="OL33" s="8">
        <v>0.0</v>
      </c>
      <c r="OM33" s="8">
        <v>0.0</v>
      </c>
      <c r="ON33" s="8">
        <v>0.0</v>
      </c>
      <c r="OO33" s="8">
        <v>0.0</v>
      </c>
      <c r="OP33" s="9" t="s">
        <v>2948</v>
      </c>
      <c r="OQ33" s="8">
        <v>0.0</v>
      </c>
      <c r="OR33" s="8">
        <v>1.0</v>
      </c>
      <c r="OS33" s="8">
        <v>0.0</v>
      </c>
      <c r="OT33" s="8">
        <v>0.0</v>
      </c>
      <c r="OU33" s="8">
        <v>0.0</v>
      </c>
      <c r="OV33" s="8">
        <v>0.0</v>
      </c>
      <c r="OW33" s="8">
        <v>0.0</v>
      </c>
      <c r="OX33" s="8">
        <v>0.0</v>
      </c>
      <c r="OY33" s="9"/>
      <c r="OZ33" s="9"/>
      <c r="PA33" s="9"/>
      <c r="PB33" s="9"/>
      <c r="PC33" s="9"/>
      <c r="PD33" s="9"/>
      <c r="PE33" s="9"/>
      <c r="PF33" s="9"/>
      <c r="PG33" s="9"/>
      <c r="PH33" s="9"/>
      <c r="PI33" s="9"/>
      <c r="PJ33" s="9" t="s">
        <v>900</v>
      </c>
      <c r="PK33" s="8">
        <v>0.0</v>
      </c>
      <c r="PL33" s="8">
        <v>0.0</v>
      </c>
      <c r="PM33" s="8">
        <v>0.0</v>
      </c>
      <c r="PN33" s="8">
        <v>0.0</v>
      </c>
      <c r="PO33" s="8">
        <v>0.0</v>
      </c>
      <c r="PP33" s="8">
        <v>1.0</v>
      </c>
      <c r="PQ33" s="8">
        <v>0.0</v>
      </c>
      <c r="PR33" s="8">
        <v>0.0</v>
      </c>
      <c r="PS33" s="8">
        <v>0.0</v>
      </c>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8">
        <v>7.0</v>
      </c>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t="s">
        <v>901</v>
      </c>
      <c r="UB33" s="9"/>
      <c r="UC33" s="9"/>
      <c r="UD33" s="9"/>
      <c r="UE33" s="9"/>
      <c r="UF33" s="9"/>
      <c r="UG33" s="9"/>
      <c r="UH33" s="9"/>
      <c r="UI33" s="9" t="s">
        <v>950</v>
      </c>
      <c r="UJ33" s="9"/>
      <c r="UK33" s="9"/>
      <c r="UL33" s="9"/>
      <c r="UM33" s="9"/>
      <c r="UN33" s="9"/>
      <c r="UO33" s="9"/>
      <c r="UP33" s="9"/>
      <c r="UQ33" s="9" t="s">
        <v>1158</v>
      </c>
      <c r="UR33" s="9"/>
      <c r="US33" s="9"/>
      <c r="UT33" s="9"/>
      <c r="UU33" s="9"/>
      <c r="UV33" s="9"/>
      <c r="UW33" s="9"/>
      <c r="UX33" s="9"/>
      <c r="UY33" s="9"/>
      <c r="UZ33" s="9"/>
      <c r="VA33" s="9"/>
      <c r="VB33" s="9"/>
      <c r="VC33" s="9"/>
      <c r="VD33" s="9"/>
      <c r="VE33" s="9"/>
      <c r="VF33" s="9"/>
      <c r="VG33" s="9"/>
      <c r="VH33" s="9"/>
      <c r="VI33" s="9"/>
      <c r="VJ33" s="9"/>
      <c r="VK33" s="9" t="s">
        <v>1303</v>
      </c>
      <c r="VL33" s="8">
        <v>0.0</v>
      </c>
      <c r="VM33" s="8">
        <v>0.0</v>
      </c>
      <c r="VN33" s="8">
        <v>0.0</v>
      </c>
      <c r="VO33" s="8">
        <v>1.0</v>
      </c>
      <c r="VP33" s="8">
        <v>1.0</v>
      </c>
      <c r="VQ33" s="8">
        <v>0.0</v>
      </c>
      <c r="VR33" s="8">
        <v>0.0</v>
      </c>
      <c r="VS33" s="8">
        <v>0.0</v>
      </c>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8">
        <v>2.0</v>
      </c>
      <c r="ZC33" s="9"/>
      <c r="ZD33" s="9"/>
      <c r="ZE33" s="9"/>
      <c r="ZF33" s="9"/>
      <c r="ZG33" s="9"/>
      <c r="ZH33" s="9"/>
      <c r="ZI33" s="9"/>
      <c r="ZJ33" s="9" t="s">
        <v>905</v>
      </c>
      <c r="ZK33" s="9"/>
      <c r="ZL33" s="9"/>
      <c r="ZM33" s="9"/>
      <c r="ZN33" s="9"/>
      <c r="ZO33" s="9"/>
      <c r="ZP33" s="9"/>
      <c r="ZQ33" s="9" t="s">
        <v>857</v>
      </c>
      <c r="ZR33" s="9" t="s">
        <v>1033</v>
      </c>
      <c r="ZS33" s="8">
        <v>1.0</v>
      </c>
      <c r="ZT33" s="8">
        <v>1.0</v>
      </c>
      <c r="ZU33" s="8">
        <v>60.0</v>
      </c>
      <c r="ZV33" s="8">
        <v>60.0</v>
      </c>
      <c r="ZW33" s="9" t="s">
        <v>857</v>
      </c>
      <c r="ZX33" s="9" t="s">
        <v>867</v>
      </c>
      <c r="ZY33" s="9" t="s">
        <v>1074</v>
      </c>
      <c r="ZZ33" s="8">
        <v>1.0</v>
      </c>
      <c r="AAA33" s="8">
        <v>0.0</v>
      </c>
      <c r="AAB33" s="8">
        <v>0.0</v>
      </c>
      <c r="AAC33" s="8">
        <v>1.0</v>
      </c>
      <c r="AAD33" s="8">
        <v>1.0</v>
      </c>
      <c r="AAE33" s="8">
        <v>0.0</v>
      </c>
      <c r="AAF33" s="8">
        <v>0.0</v>
      </c>
      <c r="AAG33" s="9" t="s">
        <v>907</v>
      </c>
      <c r="AAH33" s="8">
        <v>1.0</v>
      </c>
      <c r="AAI33" s="8">
        <v>0.0</v>
      </c>
      <c r="AAJ33" s="8">
        <v>0.0</v>
      </c>
      <c r="AAK33" s="8">
        <v>0.0</v>
      </c>
      <c r="AAL33" s="8">
        <v>0.0</v>
      </c>
      <c r="AAM33" s="9"/>
      <c r="AAN33" s="9"/>
      <c r="AAO33" s="9"/>
      <c r="AAP33" s="9"/>
      <c r="AAQ33" s="9"/>
      <c r="AAR33" s="9"/>
      <c r="AAS33" s="9"/>
      <c r="AAT33" s="9"/>
      <c r="AAU33" s="9"/>
      <c r="AAV33" s="11" t="s">
        <v>908</v>
      </c>
      <c r="AAW33" s="9" t="s">
        <v>1075</v>
      </c>
      <c r="AAX33" s="8">
        <v>4000.0</v>
      </c>
      <c r="AAY33" s="8">
        <v>200.0</v>
      </c>
      <c r="AAZ33" s="8">
        <v>60.0</v>
      </c>
      <c r="ABA33" s="8">
        <v>60.0</v>
      </c>
      <c r="ABB33" s="9" t="s">
        <v>1199</v>
      </c>
      <c r="ABC33" s="9"/>
      <c r="ABD33" s="8">
        <v>40.0</v>
      </c>
      <c r="ABE33" s="8">
        <v>4000.0</v>
      </c>
      <c r="ABF33" s="8">
        <v>0.0</v>
      </c>
      <c r="ABG33" s="8">
        <v>4000.0</v>
      </c>
      <c r="ABH33" s="8">
        <v>600.0</v>
      </c>
      <c r="ABI33" s="8">
        <v>750.0</v>
      </c>
      <c r="ABJ33" s="9" t="s">
        <v>857</v>
      </c>
      <c r="ABK33" s="9" t="s">
        <v>1183</v>
      </c>
      <c r="ABL33" s="9" t="s">
        <v>911</v>
      </c>
      <c r="ABM33" s="9" t="s">
        <v>911</v>
      </c>
      <c r="ABN33" s="9"/>
      <c r="ABO33" s="9"/>
      <c r="ABP33" s="9" t="s">
        <v>1304</v>
      </c>
      <c r="ABQ33" s="8">
        <v>0.0</v>
      </c>
      <c r="ABR33" s="8">
        <v>1.0</v>
      </c>
      <c r="ABS33" s="8">
        <v>1.0</v>
      </c>
      <c r="ABT33" s="8">
        <v>0.0</v>
      </c>
      <c r="ABU33" s="8">
        <v>0.0</v>
      </c>
      <c r="ABV33" s="8">
        <v>0.0</v>
      </c>
      <c r="ABW33" s="8">
        <v>0.0</v>
      </c>
      <c r="ABX33" s="9"/>
      <c r="ABY33" s="9" t="s">
        <v>912</v>
      </c>
      <c r="ABZ33" s="9" t="s">
        <v>1050</v>
      </c>
      <c r="ACA33" s="9" t="s">
        <v>957</v>
      </c>
      <c r="ACB33" s="9" t="s">
        <v>915</v>
      </c>
      <c r="ACC33" s="9" t="s">
        <v>916</v>
      </c>
      <c r="ACD33" s="9" t="s">
        <v>1035</v>
      </c>
      <c r="ACE33" s="8">
        <v>1.0</v>
      </c>
      <c r="ACF33" s="8">
        <v>1.0</v>
      </c>
      <c r="ACG33" s="8">
        <v>0.0</v>
      </c>
      <c r="ACH33" s="8">
        <v>0.0</v>
      </c>
      <c r="ACI33" s="9" t="s">
        <v>1187</v>
      </c>
      <c r="ACJ33" s="9" t="s">
        <v>1187</v>
      </c>
      <c r="ACK33" s="9" t="s">
        <v>1187</v>
      </c>
      <c r="ACL33" s="9" t="s">
        <v>1187</v>
      </c>
      <c r="ACM33" s="9" t="s">
        <v>881</v>
      </c>
      <c r="ACN33" s="9"/>
      <c r="ACO33" s="9" t="s">
        <v>1187</v>
      </c>
      <c r="ACP33" s="9"/>
      <c r="ACQ33" s="9"/>
      <c r="ACR33" s="9"/>
      <c r="ACS33" s="9"/>
      <c r="ACT33" s="9"/>
      <c r="ACU33" s="9"/>
      <c r="ACV33" s="9"/>
      <c r="ACW33" s="9"/>
      <c r="ACX33" s="9"/>
      <c r="ACY33" s="9"/>
      <c r="ACZ33" s="9" t="s">
        <v>919</v>
      </c>
      <c r="ADA33" s="8">
        <v>0.0</v>
      </c>
      <c r="ADB33" s="8">
        <v>0.0</v>
      </c>
      <c r="ADC33" s="8">
        <v>0.0</v>
      </c>
      <c r="ADD33" s="8">
        <v>0.0</v>
      </c>
      <c r="ADE33" s="8">
        <v>1.0</v>
      </c>
      <c r="ADF33" s="8">
        <v>0.0</v>
      </c>
      <c r="ADG33" s="8">
        <v>0.0</v>
      </c>
      <c r="ADH33" s="8">
        <v>0.0</v>
      </c>
      <c r="ADI33" s="12"/>
      <c r="ADJ33" s="17" t="s">
        <v>872</v>
      </c>
      <c r="ADK33" s="9"/>
      <c r="ADL33" s="17" t="s">
        <v>920</v>
      </c>
      <c r="ADM33" s="9"/>
      <c r="ADN33" s="11" t="s">
        <v>917</v>
      </c>
      <c r="ADO33" s="9" t="s">
        <v>871</v>
      </c>
      <c r="ADP33" s="17" t="s">
        <v>1108</v>
      </c>
      <c r="ADQ33" s="18">
        <v>1.0</v>
      </c>
      <c r="ADR33" s="18">
        <v>1.0</v>
      </c>
      <c r="ADS33" s="18">
        <v>1.0</v>
      </c>
      <c r="ADT33" s="18">
        <v>1.0</v>
      </c>
      <c r="ADU33" s="18">
        <v>1.0</v>
      </c>
      <c r="ADV33" s="18">
        <v>1.0</v>
      </c>
      <c r="ADW33" s="18">
        <v>1.0</v>
      </c>
      <c r="ADX33" s="18">
        <v>1.0</v>
      </c>
      <c r="ADY33" s="18">
        <v>1.0</v>
      </c>
      <c r="ADZ33" s="18">
        <v>0.0</v>
      </c>
      <c r="AEA33" s="18">
        <v>0.0</v>
      </c>
      <c r="AEB33" s="18">
        <v>0.0</v>
      </c>
      <c r="AEC33" s="9"/>
      <c r="AED33" s="9" t="s">
        <v>1305</v>
      </c>
      <c r="AEE33" s="9"/>
      <c r="AEF33" s="9" t="s">
        <v>1188</v>
      </c>
      <c r="AEG33" s="9"/>
      <c r="AEH33" s="9" t="s">
        <v>1306</v>
      </c>
      <c r="AEI33" s="16" t="s">
        <v>1307</v>
      </c>
      <c r="AEJ33" s="9" t="s">
        <v>1308</v>
      </c>
      <c r="AEK33" s="16" t="s">
        <v>1309</v>
      </c>
      <c r="AEL33" s="9" t="s">
        <v>1137</v>
      </c>
      <c r="AEM33" s="9"/>
      <c r="AEN33" s="9"/>
    </row>
    <row r="34">
      <c r="A34" s="6">
        <v>46060.0</v>
      </c>
      <c r="B34" s="6">
        <v>46060.0</v>
      </c>
      <c r="C34" s="7" t="s">
        <v>837</v>
      </c>
      <c r="D34" s="7" t="s">
        <v>1310</v>
      </c>
      <c r="E34" s="8">
        <f>+6288985089009</f>
        <v>6288985089009</v>
      </c>
      <c r="F34" s="9"/>
      <c r="G34" s="8">
        <v>-7.21392252</v>
      </c>
      <c r="H34" s="8">
        <v>110.2536774</v>
      </c>
      <c r="I34" s="9"/>
      <c r="J34" s="8">
        <v>4.73</v>
      </c>
      <c r="K34" s="9"/>
      <c r="L34" s="9"/>
      <c r="M34" s="8">
        <v>-7.21375052</v>
      </c>
      <c r="N34" s="8">
        <v>110.2533538</v>
      </c>
      <c r="O34" s="9"/>
      <c r="P34" s="8">
        <v>2.58</v>
      </c>
      <c r="Q34" s="9"/>
      <c r="R34" s="9" t="s">
        <v>839</v>
      </c>
      <c r="S34" s="9"/>
      <c r="T34" s="9"/>
      <c r="U34" s="9"/>
      <c r="V34" s="9"/>
      <c r="W34" s="9"/>
      <c r="X34" s="9"/>
      <c r="Y34" s="9"/>
      <c r="Z34" s="9"/>
      <c r="AA34" s="9"/>
      <c r="AB34" s="9"/>
      <c r="AC34" s="7" t="s">
        <v>1175</v>
      </c>
      <c r="AD34" s="7" t="s">
        <v>1176</v>
      </c>
      <c r="AE34" s="7" t="s">
        <v>1279</v>
      </c>
      <c r="AF34" s="9" t="s">
        <v>1178</v>
      </c>
      <c r="AG34" s="9" t="s">
        <v>1311</v>
      </c>
      <c r="AH34" s="8">
        <v>1.0</v>
      </c>
      <c r="AI34" s="9" t="s">
        <v>845</v>
      </c>
      <c r="AJ34" s="9" t="s">
        <v>846</v>
      </c>
      <c r="AK34" s="8">
        <v>51.0</v>
      </c>
      <c r="AL34" s="9" t="s">
        <v>847</v>
      </c>
      <c r="AM34" s="9" t="s">
        <v>848</v>
      </c>
      <c r="AN34" s="9" t="s">
        <v>1009</v>
      </c>
      <c r="AO34" s="9" t="s">
        <v>1168</v>
      </c>
      <c r="AP34" s="8">
        <v>0.0</v>
      </c>
      <c r="AQ34" s="8">
        <v>0.0</v>
      </c>
      <c r="AR34" s="8">
        <v>0.0</v>
      </c>
      <c r="AS34" s="8">
        <v>0.0</v>
      </c>
      <c r="AT34" s="8">
        <v>1.0</v>
      </c>
      <c r="AU34" s="8">
        <v>0.0</v>
      </c>
      <c r="AV34" s="8">
        <v>0.0</v>
      </c>
      <c r="AW34" s="8">
        <v>0.0</v>
      </c>
      <c r="AX34" s="9"/>
      <c r="AY34" s="9" t="s">
        <v>935</v>
      </c>
      <c r="AZ34" s="8">
        <v>0.0</v>
      </c>
      <c r="BA34" s="8">
        <v>1.0</v>
      </c>
      <c r="BB34" s="8">
        <v>0.0</v>
      </c>
      <c r="BC34" s="8">
        <v>0.0</v>
      </c>
      <c r="BD34" s="8">
        <v>0.0</v>
      </c>
      <c r="BE34" s="8">
        <v>0.0</v>
      </c>
      <c r="BF34" s="8">
        <v>0.0</v>
      </c>
      <c r="BG34" s="8">
        <v>0.0</v>
      </c>
      <c r="BH34" s="9"/>
      <c r="BI34" s="9" t="s">
        <v>1101</v>
      </c>
      <c r="BJ34" s="8">
        <v>2.0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2025.0</v>
      </c>
      <c r="CN34" s="9" t="s">
        <v>858</v>
      </c>
      <c r="CO34" s="9" t="s">
        <v>859</v>
      </c>
      <c r="CP34" s="9" t="s">
        <v>860</v>
      </c>
      <c r="CQ34" s="8">
        <v>0.0</v>
      </c>
      <c r="CR34" s="8">
        <v>0.0</v>
      </c>
      <c r="CS34" s="8">
        <v>0.0</v>
      </c>
      <c r="CT34" s="8">
        <v>0.0</v>
      </c>
      <c r="CU34" s="10">
        <v>1.0</v>
      </c>
      <c r="CV34" s="10">
        <v>0.0</v>
      </c>
      <c r="CW34" s="10">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8">
        <v>1.0</v>
      </c>
      <c r="DQ34" s="8">
        <v>0.0</v>
      </c>
      <c r="DR34" s="8">
        <v>0.0</v>
      </c>
      <c r="DS34" s="9"/>
      <c r="DT34" s="9"/>
      <c r="DU34" s="9"/>
      <c r="DV34" s="9" t="s">
        <v>857</v>
      </c>
      <c r="DW34" s="9"/>
      <c r="DX34" s="9"/>
      <c r="DY34" s="9"/>
      <c r="DZ34" s="9"/>
      <c r="EA34" s="9"/>
      <c r="EB34" s="9"/>
      <c r="EC34" s="9"/>
      <c r="ED34" s="9"/>
      <c r="EE34" s="9"/>
      <c r="EF34" s="9"/>
      <c r="EG34" s="9"/>
      <c r="EH34" s="9"/>
      <c r="EI34" s="9" t="s">
        <v>862</v>
      </c>
      <c r="EJ34" s="8">
        <v>0.0</v>
      </c>
      <c r="EK34" s="8">
        <v>0.0</v>
      </c>
      <c r="EL34" s="8">
        <v>0.0</v>
      </c>
      <c r="EM34" s="8">
        <v>1.0</v>
      </c>
      <c r="EN34" s="8">
        <v>0.0</v>
      </c>
      <c r="EO34" s="11"/>
      <c r="EP34" s="9" t="s">
        <v>863</v>
      </c>
      <c r="EQ34" s="9" t="s">
        <v>864</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869</v>
      </c>
      <c r="FI34" s="9" t="s">
        <v>867</v>
      </c>
      <c r="FJ34" s="9" t="s">
        <v>868</v>
      </c>
      <c r="FK34" s="9" t="s">
        <v>867</v>
      </c>
      <c r="FL34" s="9" t="s">
        <v>869</v>
      </c>
      <c r="FM34" s="9" t="s">
        <v>867</v>
      </c>
      <c r="FN34" s="9" t="s">
        <v>943</v>
      </c>
      <c r="FO34" s="9" t="s">
        <v>867</v>
      </c>
      <c r="FP34" s="9" t="s">
        <v>943</v>
      </c>
      <c r="FQ34" s="9" t="s">
        <v>867</v>
      </c>
      <c r="FR34" s="9" t="s">
        <v>857</v>
      </c>
      <c r="FS34" s="9" t="s">
        <v>867</v>
      </c>
      <c r="FT34" s="9" t="s">
        <v>871</v>
      </c>
      <c r="FU34" s="9" t="s">
        <v>989</v>
      </c>
      <c r="FV34" s="8">
        <v>1.0</v>
      </c>
      <c r="FW34" s="8">
        <v>1.0</v>
      </c>
      <c r="FX34" s="8">
        <v>0.0</v>
      </c>
      <c r="FY34" s="8">
        <v>0.0</v>
      </c>
      <c r="FZ34" s="9" t="s">
        <v>873</v>
      </c>
      <c r="GA34" s="9" t="s">
        <v>874</v>
      </c>
      <c r="GB34" s="8">
        <v>1.0</v>
      </c>
      <c r="GC34" s="8">
        <v>0.0</v>
      </c>
      <c r="GD34" s="8">
        <v>0.0</v>
      </c>
      <c r="GE34" s="8">
        <v>0.0</v>
      </c>
      <c r="GF34" s="9"/>
      <c r="GG34" s="9" t="s">
        <v>875</v>
      </c>
      <c r="GH34" s="9" t="s">
        <v>857</v>
      </c>
      <c r="GI34" s="9" t="s">
        <v>1312</v>
      </c>
      <c r="GJ34" s="8">
        <v>0.0</v>
      </c>
      <c r="GK34" s="8">
        <v>0.0</v>
      </c>
      <c r="GL34" s="8">
        <v>1.0</v>
      </c>
      <c r="GM34" s="8">
        <v>0.0</v>
      </c>
      <c r="GN34" s="9"/>
      <c r="GO34" s="8">
        <v>9.0</v>
      </c>
      <c r="GP34" s="9" t="s">
        <v>877</v>
      </c>
      <c r="GQ34" s="9" t="s">
        <v>878</v>
      </c>
      <c r="GR34" s="8">
        <v>1.0</v>
      </c>
      <c r="GS34" s="8">
        <v>1.0</v>
      </c>
      <c r="GT34" s="8">
        <v>0.0</v>
      </c>
      <c r="GU34" s="8">
        <v>0.0</v>
      </c>
      <c r="GV34" s="8">
        <v>0.0</v>
      </c>
      <c r="GW34" s="8">
        <v>0.0</v>
      </c>
      <c r="GX34" s="8">
        <v>0.0</v>
      </c>
      <c r="GY34" s="9"/>
      <c r="GZ34" s="9" t="s">
        <v>857</v>
      </c>
      <c r="HA34" s="8">
        <v>15.0</v>
      </c>
      <c r="HB34" s="8">
        <v>150000.0</v>
      </c>
      <c r="HC34" s="8">
        <v>5.0</v>
      </c>
      <c r="HD34" s="8">
        <v>50000.0</v>
      </c>
      <c r="HE34" s="8">
        <v>9.0</v>
      </c>
      <c r="HF34" s="8">
        <v>75000.0</v>
      </c>
      <c r="HG34" s="8">
        <v>3.0</v>
      </c>
      <c r="HH34" s="8">
        <v>25000.0</v>
      </c>
      <c r="HI34" s="9"/>
      <c r="HJ34" s="9"/>
      <c r="HK34" s="9"/>
      <c r="HL34" s="9"/>
      <c r="HM34" s="9"/>
      <c r="HN34" s="9"/>
      <c r="HO34" s="9"/>
      <c r="HP34" s="9"/>
      <c r="HQ34" s="9"/>
      <c r="HR34" s="9"/>
      <c r="HS34" s="9"/>
      <c r="HT34" s="9"/>
      <c r="HU34" s="9"/>
      <c r="HV34" s="9"/>
      <c r="HW34" s="9"/>
      <c r="HX34" s="9"/>
      <c r="HY34" s="8">
        <v>10.0</v>
      </c>
      <c r="HZ34" s="8">
        <v>100000.0</v>
      </c>
      <c r="IA34" s="8">
        <v>6.0</v>
      </c>
      <c r="IB34" s="8">
        <v>50000.0</v>
      </c>
      <c r="IC34" s="9"/>
      <c r="ID34" s="9"/>
      <c r="IE34" s="9"/>
      <c r="IF34" s="9"/>
      <c r="IG34" s="9"/>
      <c r="IH34" s="9"/>
      <c r="II34" s="9"/>
      <c r="IJ34" s="9"/>
      <c r="IK34" s="9" t="s">
        <v>879</v>
      </c>
      <c r="IL34" s="9" t="s">
        <v>880</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999</v>
      </c>
      <c r="KW34" s="8">
        <v>0.0</v>
      </c>
      <c r="KX34" s="8">
        <v>0.0</v>
      </c>
      <c r="KY34" s="8">
        <v>0.0</v>
      </c>
      <c r="KZ34" s="8">
        <v>1.0</v>
      </c>
      <c r="LA34" s="9" t="s">
        <v>1180</v>
      </c>
      <c r="LB34" s="9" t="s">
        <v>884</v>
      </c>
      <c r="LC34" s="8">
        <v>0.0</v>
      </c>
      <c r="LD34" s="8">
        <v>3.0</v>
      </c>
      <c r="LE34" s="8">
        <v>0.0</v>
      </c>
      <c r="LF34" s="8">
        <v>3.0</v>
      </c>
      <c r="LG34" s="9" t="s">
        <v>857</v>
      </c>
      <c r="LH34" s="8">
        <v>100000.0</v>
      </c>
      <c r="LI34" s="9"/>
      <c r="LJ34" s="9" t="s">
        <v>887</v>
      </c>
      <c r="LK34" s="8">
        <v>0.0</v>
      </c>
      <c r="LL34" s="8">
        <v>0.0</v>
      </c>
      <c r="LM34" s="8">
        <v>0.0</v>
      </c>
      <c r="LN34" s="8">
        <v>0.0</v>
      </c>
      <c r="LO34" s="8">
        <v>1.0</v>
      </c>
      <c r="LP34" s="8">
        <v>0.0</v>
      </c>
      <c r="LQ34" s="8">
        <v>0.0</v>
      </c>
      <c r="LR34" s="9"/>
      <c r="LS34" s="8">
        <v>15.0</v>
      </c>
      <c r="LT34" s="8">
        <v>15.0</v>
      </c>
      <c r="LU34" s="8">
        <v>0.0</v>
      </c>
      <c r="LV34" s="8">
        <v>5.0</v>
      </c>
      <c r="LW34" s="8">
        <v>5.0</v>
      </c>
      <c r="LX34" s="8">
        <v>0.0</v>
      </c>
      <c r="LY34" s="8">
        <v>7.0</v>
      </c>
      <c r="LZ34" s="8">
        <v>7.0</v>
      </c>
      <c r="MA34" s="8">
        <v>0.0</v>
      </c>
      <c r="MB34" s="9" t="s">
        <v>857</v>
      </c>
      <c r="MC34" s="8">
        <v>30.0</v>
      </c>
      <c r="MD34" s="8">
        <v>15.0</v>
      </c>
      <c r="ME34" s="8">
        <v>30.0</v>
      </c>
      <c r="MF34" s="8">
        <v>15.0</v>
      </c>
      <c r="MG34" s="8">
        <v>0.0</v>
      </c>
      <c r="MH34" s="8">
        <v>0.0</v>
      </c>
      <c r="MI34" s="9" t="s">
        <v>946</v>
      </c>
      <c r="MJ34" s="8">
        <v>0.0</v>
      </c>
      <c r="MK34" s="8">
        <v>0.0</v>
      </c>
      <c r="ML34" s="8">
        <v>1.0</v>
      </c>
      <c r="MM34" s="8">
        <v>0.0</v>
      </c>
      <c r="MN34" s="8">
        <v>0.0</v>
      </c>
      <c r="MO34" s="8">
        <v>0.0</v>
      </c>
      <c r="MP34" s="9"/>
      <c r="MQ34" s="9"/>
      <c r="MR34" s="9" t="s">
        <v>1313</v>
      </c>
      <c r="MS34" s="9"/>
      <c r="MT34" s="9" t="s">
        <v>972</v>
      </c>
      <c r="MU34" s="9" t="s">
        <v>881</v>
      </c>
      <c r="MV34" s="9"/>
      <c r="MW34" s="9"/>
      <c r="MX34" s="9"/>
      <c r="MY34" s="9"/>
      <c r="MZ34" s="9"/>
      <c r="NA34" s="9"/>
      <c r="NB34" s="9"/>
      <c r="NC34" s="9"/>
      <c r="ND34" s="9"/>
      <c r="NE34" s="9"/>
      <c r="NF34" s="9"/>
      <c r="NG34" s="9"/>
      <c r="NH34" s="9"/>
      <c r="NI34" s="9"/>
      <c r="NJ34" s="9"/>
      <c r="NK34" s="9"/>
      <c r="NL34" s="9" t="s">
        <v>857</v>
      </c>
      <c r="NM34" s="9" t="s">
        <v>893</v>
      </c>
      <c r="NN34" s="9" t="s">
        <v>993</v>
      </c>
      <c r="NO34" s="9" t="s">
        <v>994</v>
      </c>
      <c r="NP34" s="9"/>
      <c r="NQ34" s="9"/>
      <c r="NR34" s="9"/>
      <c r="NS34" s="9"/>
      <c r="NT34" s="9"/>
      <c r="NU34" s="9"/>
      <c r="NV34" s="9" t="s">
        <v>896</v>
      </c>
      <c r="NW34" s="9"/>
      <c r="NX34" s="9" t="s">
        <v>897</v>
      </c>
      <c r="NY34" s="8">
        <v>40.0</v>
      </c>
      <c r="NZ34" s="8">
        <v>10.0</v>
      </c>
      <c r="OA34" s="8">
        <v>0.0</v>
      </c>
      <c r="OB34" s="8">
        <v>5.0</v>
      </c>
      <c r="OC34" s="8">
        <v>5.0</v>
      </c>
      <c r="OD34" s="8">
        <v>0.0</v>
      </c>
      <c r="OE34" s="9" t="s">
        <v>1180</v>
      </c>
      <c r="OF34" s="9" t="s">
        <v>1184</v>
      </c>
      <c r="OG34" s="9" t="s">
        <v>857</v>
      </c>
      <c r="OH34" s="8">
        <v>0.0</v>
      </c>
      <c r="OI34" s="8">
        <v>3.0</v>
      </c>
      <c r="OJ34" s="8">
        <v>0.0</v>
      </c>
      <c r="OK34" s="8">
        <v>0.0</v>
      </c>
      <c r="OL34" s="8">
        <v>0.0</v>
      </c>
      <c r="OM34" s="8">
        <v>0.0</v>
      </c>
      <c r="ON34" s="8">
        <v>0.0</v>
      </c>
      <c r="OO34" s="8">
        <v>0.0</v>
      </c>
      <c r="OP34" s="9" t="s">
        <v>2948</v>
      </c>
      <c r="OQ34" s="8">
        <v>0.0</v>
      </c>
      <c r="OR34" s="8">
        <v>1.0</v>
      </c>
      <c r="OS34" s="8">
        <v>0.0</v>
      </c>
      <c r="OT34" s="8">
        <v>0.0</v>
      </c>
      <c r="OU34" s="8">
        <v>0.0</v>
      </c>
      <c r="OV34" s="8">
        <v>0.0</v>
      </c>
      <c r="OW34" s="8">
        <v>0.0</v>
      </c>
      <c r="OX34" s="8">
        <v>0.0</v>
      </c>
      <c r="OY34" s="9"/>
      <c r="OZ34" s="9"/>
      <c r="PA34" s="9"/>
      <c r="PB34" s="9"/>
      <c r="PC34" s="9"/>
      <c r="PD34" s="9"/>
      <c r="PE34" s="9"/>
      <c r="PF34" s="9"/>
      <c r="PG34" s="9"/>
      <c r="PH34" s="9"/>
      <c r="PI34" s="9"/>
      <c r="PJ34" s="9" t="s">
        <v>900</v>
      </c>
      <c r="PK34" s="8">
        <v>0.0</v>
      </c>
      <c r="PL34" s="8">
        <v>0.0</v>
      </c>
      <c r="PM34" s="8">
        <v>0.0</v>
      </c>
      <c r="PN34" s="8">
        <v>0.0</v>
      </c>
      <c r="PO34" s="8">
        <v>0.0</v>
      </c>
      <c r="PP34" s="8">
        <v>1.0</v>
      </c>
      <c r="PQ34" s="8">
        <v>0.0</v>
      </c>
      <c r="PR34" s="8">
        <v>0.0</v>
      </c>
      <c r="PS34" s="8">
        <v>0.0</v>
      </c>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8">
        <v>3.0</v>
      </c>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t="s">
        <v>901</v>
      </c>
      <c r="UB34" s="9"/>
      <c r="UC34" s="9"/>
      <c r="UD34" s="9"/>
      <c r="UE34" s="9"/>
      <c r="UF34" s="9"/>
      <c r="UG34" s="9"/>
      <c r="UH34" s="9"/>
      <c r="UI34" s="9" t="s">
        <v>950</v>
      </c>
      <c r="UJ34" s="9"/>
      <c r="UK34" s="9"/>
      <c r="UL34" s="9"/>
      <c r="UM34" s="9"/>
      <c r="UN34" s="9"/>
      <c r="UO34" s="9"/>
      <c r="UP34" s="9"/>
      <c r="UQ34" s="9" t="s">
        <v>903</v>
      </c>
      <c r="UR34" s="9"/>
      <c r="US34" s="9"/>
      <c r="UT34" s="9"/>
      <c r="UU34" s="9"/>
      <c r="UV34" s="9"/>
      <c r="UW34" s="9"/>
      <c r="UX34" s="9"/>
      <c r="UY34" s="9"/>
      <c r="UZ34" s="9"/>
      <c r="VA34" s="9"/>
      <c r="VB34" s="9"/>
      <c r="VC34" s="9"/>
      <c r="VD34" s="9"/>
      <c r="VE34" s="9"/>
      <c r="VF34" s="9"/>
      <c r="VG34" s="9"/>
      <c r="VH34" s="9"/>
      <c r="VI34" s="9"/>
      <c r="VJ34" s="9"/>
      <c r="VK34" s="9" t="s">
        <v>1303</v>
      </c>
      <c r="VL34" s="8">
        <v>0.0</v>
      </c>
      <c r="VM34" s="8">
        <v>0.0</v>
      </c>
      <c r="VN34" s="8">
        <v>0.0</v>
      </c>
      <c r="VO34" s="8">
        <v>1.0</v>
      </c>
      <c r="VP34" s="8">
        <v>1.0</v>
      </c>
      <c r="VQ34" s="8">
        <v>0.0</v>
      </c>
      <c r="VR34" s="8">
        <v>0.0</v>
      </c>
      <c r="VS34" s="8">
        <v>0.0</v>
      </c>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8">
        <v>2.0</v>
      </c>
      <c r="ZC34" s="9"/>
      <c r="ZD34" s="9"/>
      <c r="ZE34" s="9"/>
      <c r="ZF34" s="9"/>
      <c r="ZG34" s="9"/>
      <c r="ZH34" s="9"/>
      <c r="ZI34" s="9"/>
      <c r="ZJ34" s="9" t="s">
        <v>1186</v>
      </c>
      <c r="ZK34" s="9"/>
      <c r="ZL34" s="9"/>
      <c r="ZM34" s="9"/>
      <c r="ZN34" s="9"/>
      <c r="ZO34" s="9"/>
      <c r="ZP34" s="9"/>
      <c r="ZQ34" s="9" t="s">
        <v>857</v>
      </c>
      <c r="ZR34" s="9" t="s">
        <v>1033</v>
      </c>
      <c r="ZS34" s="8">
        <v>1.0</v>
      </c>
      <c r="ZT34" s="8">
        <v>1.0</v>
      </c>
      <c r="ZU34" s="8">
        <v>60.0</v>
      </c>
      <c r="ZV34" s="8">
        <v>60.0</v>
      </c>
      <c r="ZW34" s="9" t="s">
        <v>857</v>
      </c>
      <c r="ZX34" s="9" t="s">
        <v>867</v>
      </c>
      <c r="ZY34" s="9" t="s">
        <v>1074</v>
      </c>
      <c r="ZZ34" s="8">
        <v>1.0</v>
      </c>
      <c r="AAA34" s="8">
        <v>0.0</v>
      </c>
      <c r="AAB34" s="8">
        <v>0.0</v>
      </c>
      <c r="AAC34" s="8">
        <v>1.0</v>
      </c>
      <c r="AAD34" s="8">
        <v>1.0</v>
      </c>
      <c r="AAE34" s="8">
        <v>0.0</v>
      </c>
      <c r="AAF34" s="8">
        <v>0.0</v>
      </c>
      <c r="AAG34" s="9" t="s">
        <v>907</v>
      </c>
      <c r="AAH34" s="8">
        <v>1.0</v>
      </c>
      <c r="AAI34" s="8">
        <v>0.0</v>
      </c>
      <c r="AAJ34" s="8">
        <v>0.0</v>
      </c>
      <c r="AAK34" s="8">
        <v>0.0</v>
      </c>
      <c r="AAL34" s="8">
        <v>0.0</v>
      </c>
      <c r="AAM34" s="9"/>
      <c r="AAN34" s="9"/>
      <c r="AAO34" s="9"/>
      <c r="AAP34" s="9"/>
      <c r="AAQ34" s="9"/>
      <c r="AAR34" s="9"/>
      <c r="AAS34" s="9"/>
      <c r="AAT34" s="9"/>
      <c r="AAU34" s="9"/>
      <c r="AAV34" s="11" t="s">
        <v>908</v>
      </c>
      <c r="AAW34" s="9" t="s">
        <v>1075</v>
      </c>
      <c r="AAX34" s="8">
        <v>5000.0</v>
      </c>
      <c r="AAY34" s="8">
        <v>300.0</v>
      </c>
      <c r="AAZ34" s="8">
        <v>60.0</v>
      </c>
      <c r="ABA34" s="8">
        <v>60.0</v>
      </c>
      <c r="ABB34" s="9" t="s">
        <v>1199</v>
      </c>
      <c r="ABC34" s="9"/>
      <c r="ABD34" s="8">
        <v>30.0</v>
      </c>
      <c r="ABE34" s="8">
        <v>4000.0</v>
      </c>
      <c r="ABF34" s="8">
        <v>0.0</v>
      </c>
      <c r="ABG34" s="8">
        <v>4000.0</v>
      </c>
      <c r="ABH34" s="8">
        <v>500.0</v>
      </c>
      <c r="ABI34" s="8">
        <v>750.0</v>
      </c>
      <c r="ABJ34" s="9" t="s">
        <v>857</v>
      </c>
      <c r="ABK34" s="9" t="s">
        <v>911</v>
      </c>
      <c r="ABL34" s="9" t="s">
        <v>911</v>
      </c>
      <c r="ABM34" s="9" t="s">
        <v>911</v>
      </c>
      <c r="ABN34" s="9"/>
      <c r="ABO34" s="9"/>
      <c r="ABP34" s="9" t="s">
        <v>1304</v>
      </c>
      <c r="ABQ34" s="8">
        <v>0.0</v>
      </c>
      <c r="ABR34" s="8">
        <v>1.0</v>
      </c>
      <c r="ABS34" s="8">
        <v>1.0</v>
      </c>
      <c r="ABT34" s="8">
        <v>0.0</v>
      </c>
      <c r="ABU34" s="8">
        <v>0.0</v>
      </c>
      <c r="ABV34" s="8">
        <v>0.0</v>
      </c>
      <c r="ABW34" s="8">
        <v>0.0</v>
      </c>
      <c r="ABX34" s="9"/>
      <c r="ABY34" s="9" t="s">
        <v>912</v>
      </c>
      <c r="ABZ34" s="9" t="s">
        <v>1050</v>
      </c>
      <c r="ACA34" s="9" t="s">
        <v>957</v>
      </c>
      <c r="ACB34" s="9" t="s">
        <v>915</v>
      </c>
      <c r="ACC34" s="9" t="s">
        <v>916</v>
      </c>
      <c r="ACD34" s="9" t="s">
        <v>1035</v>
      </c>
      <c r="ACE34" s="8">
        <v>1.0</v>
      </c>
      <c r="ACF34" s="8">
        <v>1.0</v>
      </c>
      <c r="ACG34" s="8">
        <v>0.0</v>
      </c>
      <c r="ACH34" s="8">
        <v>0.0</v>
      </c>
      <c r="ACI34" s="9" t="s">
        <v>1187</v>
      </c>
      <c r="ACJ34" s="9" t="s">
        <v>1187</v>
      </c>
      <c r="ACK34" s="9" t="s">
        <v>1187</v>
      </c>
      <c r="ACL34" s="9" t="s">
        <v>1187</v>
      </c>
      <c r="ACM34" s="9" t="s">
        <v>881</v>
      </c>
      <c r="ACN34" s="9"/>
      <c r="ACO34" s="9" t="s">
        <v>1187</v>
      </c>
      <c r="ACP34" s="9"/>
      <c r="ACQ34" s="9"/>
      <c r="ACR34" s="9"/>
      <c r="ACS34" s="9"/>
      <c r="ACT34" s="9"/>
      <c r="ACU34" s="9"/>
      <c r="ACV34" s="9"/>
      <c r="ACW34" s="9"/>
      <c r="ACX34" s="9"/>
      <c r="ACY34" s="9"/>
      <c r="ACZ34" s="9" t="s">
        <v>919</v>
      </c>
      <c r="ADA34" s="8">
        <v>0.0</v>
      </c>
      <c r="ADB34" s="8">
        <v>0.0</v>
      </c>
      <c r="ADC34" s="8">
        <v>0.0</v>
      </c>
      <c r="ADD34" s="8">
        <v>0.0</v>
      </c>
      <c r="ADE34" s="8">
        <v>1.0</v>
      </c>
      <c r="ADF34" s="8">
        <v>0.0</v>
      </c>
      <c r="ADG34" s="8">
        <v>0.0</v>
      </c>
      <c r="ADH34" s="8">
        <v>0.0</v>
      </c>
      <c r="ADI34" s="12"/>
      <c r="ADJ34" s="17" t="s">
        <v>872</v>
      </c>
      <c r="ADK34" s="9"/>
      <c r="ADL34" s="17" t="s">
        <v>920</v>
      </c>
      <c r="ADM34" s="9"/>
      <c r="ADN34" s="11" t="s">
        <v>917</v>
      </c>
      <c r="ADO34" s="9" t="s">
        <v>871</v>
      </c>
      <c r="ADP34" s="17" t="s">
        <v>1108</v>
      </c>
      <c r="ADQ34" s="18">
        <v>1.0</v>
      </c>
      <c r="ADR34" s="18">
        <v>1.0</v>
      </c>
      <c r="ADS34" s="18">
        <v>1.0</v>
      </c>
      <c r="ADT34" s="18">
        <v>1.0</v>
      </c>
      <c r="ADU34" s="18">
        <v>1.0</v>
      </c>
      <c r="ADV34" s="18">
        <v>1.0</v>
      </c>
      <c r="ADW34" s="18">
        <v>1.0</v>
      </c>
      <c r="ADX34" s="18">
        <v>1.0</v>
      </c>
      <c r="ADY34" s="18">
        <v>1.0</v>
      </c>
      <c r="ADZ34" s="18">
        <v>0.0</v>
      </c>
      <c r="AEA34" s="18">
        <v>0.0</v>
      </c>
      <c r="AEB34" s="18">
        <v>0.0</v>
      </c>
      <c r="AEC34" s="9"/>
      <c r="AED34" s="9" t="s">
        <v>923</v>
      </c>
      <c r="AEE34" s="9"/>
      <c r="AEF34" s="9" t="s">
        <v>1188</v>
      </c>
      <c r="AEG34" s="9"/>
      <c r="AEH34" s="9" t="s">
        <v>1314</v>
      </c>
      <c r="AEI34" s="16" t="s">
        <v>1315</v>
      </c>
      <c r="AEJ34" s="9" t="s">
        <v>1316</v>
      </c>
      <c r="AEK34" s="16" t="s">
        <v>1317</v>
      </c>
      <c r="AEL34" s="9" t="s">
        <v>1137</v>
      </c>
      <c r="AEM34" s="9"/>
      <c r="AEN34" s="9"/>
    </row>
    <row r="35">
      <c r="A35" s="6">
        <v>46060.0</v>
      </c>
      <c r="B35" s="6">
        <v>46060.0</v>
      </c>
      <c r="C35" s="7" t="s">
        <v>837</v>
      </c>
      <c r="D35" s="7" t="s">
        <v>1318</v>
      </c>
      <c r="E35" s="8">
        <f>+62889880430380</f>
        <v>62889880430380</v>
      </c>
      <c r="F35" s="9"/>
      <c r="G35" s="8">
        <v>-7.21432151</v>
      </c>
      <c r="H35" s="8">
        <v>110.261292</v>
      </c>
      <c r="I35" s="9"/>
      <c r="J35" s="8">
        <v>4.97</v>
      </c>
      <c r="K35" s="9"/>
      <c r="L35" s="9"/>
      <c r="M35" s="8">
        <v>-7.2143766</v>
      </c>
      <c r="N35" s="8">
        <v>110.2612594</v>
      </c>
      <c r="O35" s="9"/>
      <c r="P35" s="8">
        <v>3.56</v>
      </c>
      <c r="Q35" s="9"/>
      <c r="R35" s="9" t="s">
        <v>839</v>
      </c>
      <c r="S35" s="9"/>
      <c r="T35" s="9"/>
      <c r="U35" s="9"/>
      <c r="V35" s="9"/>
      <c r="W35" s="9"/>
      <c r="X35" s="9"/>
      <c r="Y35" s="9"/>
      <c r="Z35" s="9"/>
      <c r="AA35" s="9"/>
      <c r="AB35" s="9"/>
      <c r="AC35" s="7" t="s">
        <v>1175</v>
      </c>
      <c r="AD35" s="7" t="s">
        <v>1176</v>
      </c>
      <c r="AE35" s="7" t="s">
        <v>1195</v>
      </c>
      <c r="AF35" s="9" t="s">
        <v>1178</v>
      </c>
      <c r="AG35" s="9" t="s">
        <v>1319</v>
      </c>
      <c r="AH35" s="8">
        <v>2.0</v>
      </c>
      <c r="AI35" s="9" t="s">
        <v>845</v>
      </c>
      <c r="AJ35" s="9" t="s">
        <v>846</v>
      </c>
      <c r="AK35" s="8">
        <v>39.0</v>
      </c>
      <c r="AL35" s="9" t="s">
        <v>847</v>
      </c>
      <c r="AM35" s="9" t="s">
        <v>848</v>
      </c>
      <c r="AN35" s="9" t="s">
        <v>1009</v>
      </c>
      <c r="AO35" s="9" t="s">
        <v>850</v>
      </c>
      <c r="AP35" s="8">
        <v>1.0</v>
      </c>
      <c r="AQ35" s="8">
        <v>0.0</v>
      </c>
      <c r="AR35" s="8">
        <v>0.0</v>
      </c>
      <c r="AS35" s="8">
        <v>0.0</v>
      </c>
      <c r="AT35" s="8">
        <v>0.0</v>
      </c>
      <c r="AU35" s="8">
        <v>0.0</v>
      </c>
      <c r="AV35" s="8">
        <v>0.0</v>
      </c>
      <c r="AW35" s="8">
        <v>0.0</v>
      </c>
      <c r="AX35" s="9"/>
      <c r="AY35" s="9" t="s">
        <v>935</v>
      </c>
      <c r="AZ35" s="8">
        <v>0.0</v>
      </c>
      <c r="BA35" s="8">
        <v>1.0</v>
      </c>
      <c r="BB35" s="8">
        <v>0.0</v>
      </c>
      <c r="BC35" s="8">
        <v>0.0</v>
      </c>
      <c r="BD35" s="8">
        <v>0.0</v>
      </c>
      <c r="BE35" s="8">
        <v>0.0</v>
      </c>
      <c r="BF35" s="8">
        <v>0.0</v>
      </c>
      <c r="BG35" s="8">
        <v>0.0</v>
      </c>
      <c r="BH35" s="9"/>
      <c r="BI35" s="9" t="s">
        <v>936</v>
      </c>
      <c r="BJ35" s="8">
        <v>2.0</v>
      </c>
      <c r="BK35" s="8">
        <v>1.0</v>
      </c>
      <c r="BL35" s="8">
        <v>2.0</v>
      </c>
      <c r="BM35" s="8">
        <v>0.0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856</v>
      </c>
      <c r="CD35" s="8">
        <v>0.0</v>
      </c>
      <c r="CE35" s="8">
        <v>0.0</v>
      </c>
      <c r="CF35" s="8">
        <v>0.0</v>
      </c>
      <c r="CG35" s="8">
        <v>0.0</v>
      </c>
      <c r="CH35" s="8">
        <v>0.0</v>
      </c>
      <c r="CI35" s="8">
        <v>1.0</v>
      </c>
      <c r="CJ35" s="8">
        <v>0.0</v>
      </c>
      <c r="CK35" s="9"/>
      <c r="CL35" s="9" t="s">
        <v>857</v>
      </c>
      <c r="CM35" s="8">
        <v>2024.0</v>
      </c>
      <c r="CN35" s="9" t="s">
        <v>858</v>
      </c>
      <c r="CO35" s="9" t="s">
        <v>859</v>
      </c>
      <c r="CP35" s="9" t="s">
        <v>860</v>
      </c>
      <c r="CQ35" s="8">
        <v>0.0</v>
      </c>
      <c r="CR35" s="8">
        <v>0.0</v>
      </c>
      <c r="CS35" s="8">
        <v>0.0</v>
      </c>
      <c r="CT35" s="8">
        <v>0.0</v>
      </c>
      <c r="CU35" s="10">
        <v>1.0</v>
      </c>
      <c r="CV35" s="10">
        <v>0.0</v>
      </c>
      <c r="CW35" s="10">
        <v>0.0</v>
      </c>
      <c r="CX35" s="8">
        <v>0.0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8">
        <v>1.0</v>
      </c>
      <c r="DQ35" s="8">
        <v>0.0</v>
      </c>
      <c r="DR35" s="8">
        <v>0.0</v>
      </c>
      <c r="DS35" s="9"/>
      <c r="DT35" s="9"/>
      <c r="DU35" s="9"/>
      <c r="DV35" s="9" t="s">
        <v>857</v>
      </c>
      <c r="DW35" s="9"/>
      <c r="DX35" s="9"/>
      <c r="DY35" s="9"/>
      <c r="DZ35" s="9"/>
      <c r="EA35" s="9"/>
      <c r="EB35" s="9"/>
      <c r="EC35" s="9"/>
      <c r="ED35" s="9"/>
      <c r="EE35" s="9"/>
      <c r="EF35" s="9"/>
      <c r="EG35" s="9"/>
      <c r="EH35" s="9"/>
      <c r="EI35" s="9" t="s">
        <v>862</v>
      </c>
      <c r="EJ35" s="8">
        <v>0.0</v>
      </c>
      <c r="EK35" s="8">
        <v>0.0</v>
      </c>
      <c r="EL35" s="8">
        <v>0.0</v>
      </c>
      <c r="EM35" s="8">
        <v>1.0</v>
      </c>
      <c r="EN35" s="8">
        <v>0.0</v>
      </c>
      <c r="EO35" s="11"/>
      <c r="EP35" s="9" t="s">
        <v>863</v>
      </c>
      <c r="EQ35" s="9" t="s">
        <v>864</v>
      </c>
      <c r="ER35" s="9" t="s">
        <v>861</v>
      </c>
      <c r="ES35" s="8">
        <v>1.0</v>
      </c>
      <c r="ET35" s="8">
        <v>0.0</v>
      </c>
      <c r="EU35" s="8">
        <v>0.0</v>
      </c>
      <c r="EV35" s="8">
        <v>0.0</v>
      </c>
      <c r="EW35" s="9"/>
      <c r="EX35" s="9" t="s">
        <v>865</v>
      </c>
      <c r="EY35" s="8">
        <v>1.0</v>
      </c>
      <c r="EZ35" s="8">
        <v>0.0</v>
      </c>
      <c r="FA35" s="8">
        <v>0.0</v>
      </c>
      <c r="FB35" s="9"/>
      <c r="FC35" s="9" t="s">
        <v>1072</v>
      </c>
      <c r="FD35" s="9"/>
      <c r="FE35" s="9" t="s">
        <v>867</v>
      </c>
      <c r="FF35" s="9" t="s">
        <v>868</v>
      </c>
      <c r="FG35" s="9" t="s">
        <v>867</v>
      </c>
      <c r="FH35" s="9" t="s">
        <v>868</v>
      </c>
      <c r="FI35" s="9" t="s">
        <v>867</v>
      </c>
      <c r="FJ35" s="9" t="s">
        <v>868</v>
      </c>
      <c r="FK35" s="9" t="s">
        <v>867</v>
      </c>
      <c r="FL35" s="9" t="s">
        <v>869</v>
      </c>
      <c r="FM35" s="9" t="s">
        <v>867</v>
      </c>
      <c r="FN35" s="9" t="s">
        <v>943</v>
      </c>
      <c r="FO35" s="9" t="s">
        <v>867</v>
      </c>
      <c r="FP35" s="9" t="s">
        <v>943</v>
      </c>
      <c r="FQ35" s="9" t="s">
        <v>867</v>
      </c>
      <c r="FR35" s="9" t="s">
        <v>857</v>
      </c>
      <c r="FS35" s="9" t="s">
        <v>867</v>
      </c>
      <c r="FT35" s="9" t="s">
        <v>871</v>
      </c>
      <c r="FU35" s="9" t="s">
        <v>989</v>
      </c>
      <c r="FV35" s="8">
        <v>1.0</v>
      </c>
      <c r="FW35" s="8">
        <v>1.0</v>
      </c>
      <c r="FX35" s="8">
        <v>0.0</v>
      </c>
      <c r="FY35" s="8">
        <v>0.0</v>
      </c>
      <c r="FZ35" s="9" t="s">
        <v>1197</v>
      </c>
      <c r="GA35" s="9" t="s">
        <v>874</v>
      </c>
      <c r="GB35" s="8">
        <v>1.0</v>
      </c>
      <c r="GC35" s="8">
        <v>0.0</v>
      </c>
      <c r="GD35" s="8">
        <v>0.0</v>
      </c>
      <c r="GE35" s="8">
        <v>0.0</v>
      </c>
      <c r="GF35" s="9"/>
      <c r="GG35" s="9" t="s">
        <v>875</v>
      </c>
      <c r="GH35" s="9" t="s">
        <v>857</v>
      </c>
      <c r="GI35" s="9" t="s">
        <v>1264</v>
      </c>
      <c r="GJ35" s="8">
        <v>0.0</v>
      </c>
      <c r="GK35" s="8">
        <v>1.0</v>
      </c>
      <c r="GL35" s="8">
        <v>0.0</v>
      </c>
      <c r="GM35" s="8">
        <v>0.0</v>
      </c>
      <c r="GN35" s="9"/>
      <c r="GO35" s="8">
        <v>9.0</v>
      </c>
      <c r="GP35" s="9" t="s">
        <v>877</v>
      </c>
      <c r="GQ35" s="9" t="s">
        <v>878</v>
      </c>
      <c r="GR35" s="8">
        <v>1.0</v>
      </c>
      <c r="GS35" s="8">
        <v>1.0</v>
      </c>
      <c r="GT35" s="8">
        <v>0.0</v>
      </c>
      <c r="GU35" s="8">
        <v>0.0</v>
      </c>
      <c r="GV35" s="8">
        <v>0.0</v>
      </c>
      <c r="GW35" s="8">
        <v>0.0</v>
      </c>
      <c r="GX35" s="8">
        <v>0.0</v>
      </c>
      <c r="GY35" s="9"/>
      <c r="GZ35" s="9" t="s">
        <v>857</v>
      </c>
      <c r="HA35" s="8">
        <v>15.0</v>
      </c>
      <c r="HB35" s="8">
        <v>150000.0</v>
      </c>
      <c r="HC35" s="8">
        <v>5.0</v>
      </c>
      <c r="HD35" s="8">
        <v>50000.0</v>
      </c>
      <c r="HE35" s="8">
        <v>12.0</v>
      </c>
      <c r="HF35" s="8">
        <v>100000.0</v>
      </c>
      <c r="HG35" s="8">
        <v>3.0</v>
      </c>
      <c r="HH35" s="8">
        <v>25000.0</v>
      </c>
      <c r="HI35" s="9"/>
      <c r="HJ35" s="9"/>
      <c r="HK35" s="9"/>
      <c r="HL35" s="9"/>
      <c r="HM35" s="9"/>
      <c r="HN35" s="9"/>
      <c r="HO35" s="9"/>
      <c r="HP35" s="9"/>
      <c r="HQ35" s="9"/>
      <c r="HR35" s="9"/>
      <c r="HS35" s="9"/>
      <c r="HT35" s="9"/>
      <c r="HU35" s="9"/>
      <c r="HV35" s="9"/>
      <c r="HW35" s="9"/>
      <c r="HX35" s="9"/>
      <c r="HY35" s="8">
        <v>10.0</v>
      </c>
      <c r="HZ35" s="8">
        <v>100000.0</v>
      </c>
      <c r="IA35" s="8">
        <v>9.0</v>
      </c>
      <c r="IB35" s="8">
        <v>75000.0</v>
      </c>
      <c r="IC35" s="9"/>
      <c r="ID35" s="9"/>
      <c r="IE35" s="9"/>
      <c r="IF35" s="9"/>
      <c r="IG35" s="9"/>
      <c r="IH35" s="9"/>
      <c r="II35" s="9"/>
      <c r="IJ35" s="9"/>
      <c r="IK35" s="9" t="s">
        <v>879</v>
      </c>
      <c r="IL35" s="9" t="s">
        <v>880</v>
      </c>
      <c r="IM35" s="9" t="s">
        <v>857</v>
      </c>
      <c r="IN35" s="9" t="s">
        <v>881</v>
      </c>
      <c r="IO35" s="9" t="s">
        <v>882</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1180</v>
      </c>
      <c r="LC35" s="8">
        <v>0.0</v>
      </c>
      <c r="LD35" s="8">
        <v>3.0</v>
      </c>
      <c r="LE35" s="8">
        <v>0.0</v>
      </c>
      <c r="LF35" s="8">
        <v>3.0</v>
      </c>
      <c r="LG35" s="9" t="s">
        <v>857</v>
      </c>
      <c r="LH35" s="8">
        <v>125000.0</v>
      </c>
      <c r="LI35" s="9"/>
      <c r="LJ35" s="9" t="s">
        <v>887</v>
      </c>
      <c r="LK35" s="8">
        <v>0.0</v>
      </c>
      <c r="LL35" s="8">
        <v>0.0</v>
      </c>
      <c r="LM35" s="8">
        <v>0.0</v>
      </c>
      <c r="LN35" s="8">
        <v>0.0</v>
      </c>
      <c r="LO35" s="8">
        <v>1.0</v>
      </c>
      <c r="LP35" s="8">
        <v>0.0</v>
      </c>
      <c r="LQ35" s="8">
        <v>0.0</v>
      </c>
      <c r="LR35" s="9"/>
      <c r="LS35" s="8">
        <v>15.0</v>
      </c>
      <c r="LT35" s="8">
        <v>15.0</v>
      </c>
      <c r="LU35" s="8">
        <v>0.0</v>
      </c>
      <c r="LV35" s="8">
        <v>5.0</v>
      </c>
      <c r="LW35" s="8">
        <v>5.0</v>
      </c>
      <c r="LX35" s="8">
        <v>0.0</v>
      </c>
      <c r="LY35" s="8">
        <v>5.0</v>
      </c>
      <c r="LZ35" s="8">
        <v>5.0</v>
      </c>
      <c r="MA35" s="8">
        <v>0.0</v>
      </c>
      <c r="MB35" s="9" t="s">
        <v>857</v>
      </c>
      <c r="MC35" s="8">
        <v>30.0</v>
      </c>
      <c r="MD35" s="8">
        <v>15.0</v>
      </c>
      <c r="ME35" s="8">
        <v>30.0</v>
      </c>
      <c r="MF35" s="8">
        <v>15.0</v>
      </c>
      <c r="MG35" s="8">
        <v>0.0</v>
      </c>
      <c r="MH35" s="8">
        <v>0.0</v>
      </c>
      <c r="MI35" s="9" t="s">
        <v>946</v>
      </c>
      <c r="MJ35" s="8">
        <v>0.0</v>
      </c>
      <c r="MK35" s="8">
        <v>0.0</v>
      </c>
      <c r="ML35" s="8">
        <v>1.0</v>
      </c>
      <c r="MM35" s="8">
        <v>0.0</v>
      </c>
      <c r="MN35" s="8">
        <v>0.0</v>
      </c>
      <c r="MO35" s="8">
        <v>0.0</v>
      </c>
      <c r="MP35" s="9"/>
      <c r="MQ35" s="9"/>
      <c r="MR35" s="9" t="s">
        <v>1048</v>
      </c>
      <c r="MS35" s="9"/>
      <c r="MT35" s="9" t="s">
        <v>972</v>
      </c>
      <c r="MU35" s="9" t="s">
        <v>881</v>
      </c>
      <c r="MV35" s="9"/>
      <c r="MW35" s="9"/>
      <c r="MX35" s="9"/>
      <c r="MY35" s="9"/>
      <c r="MZ35" s="9"/>
      <c r="NA35" s="9"/>
      <c r="NB35" s="9"/>
      <c r="NC35" s="9"/>
      <c r="ND35" s="9"/>
      <c r="NE35" s="9"/>
      <c r="NF35" s="9"/>
      <c r="NG35" s="9"/>
      <c r="NH35" s="9"/>
      <c r="NI35" s="9"/>
      <c r="NJ35" s="9"/>
      <c r="NK35" s="9"/>
      <c r="NL35" s="9" t="s">
        <v>857</v>
      </c>
      <c r="NM35" s="9" t="s">
        <v>893</v>
      </c>
      <c r="NN35" s="9" t="s">
        <v>993</v>
      </c>
      <c r="NO35" s="9" t="s">
        <v>994</v>
      </c>
      <c r="NP35" s="9"/>
      <c r="NQ35" s="9"/>
      <c r="NR35" s="9"/>
      <c r="NS35" s="9"/>
      <c r="NT35" s="9"/>
      <c r="NU35" s="9"/>
      <c r="NV35" s="9" t="s">
        <v>896</v>
      </c>
      <c r="NW35" s="9"/>
      <c r="NX35" s="9" t="s">
        <v>897</v>
      </c>
      <c r="NY35" s="8">
        <v>40.0</v>
      </c>
      <c r="NZ35" s="8">
        <v>10.0</v>
      </c>
      <c r="OA35" s="8">
        <v>0.0</v>
      </c>
      <c r="OB35" s="8">
        <v>5.0</v>
      </c>
      <c r="OC35" s="8">
        <v>5.0</v>
      </c>
      <c r="OD35" s="8">
        <v>0.0</v>
      </c>
      <c r="OE35" s="9" t="s">
        <v>898</v>
      </c>
      <c r="OF35" s="9" t="s">
        <v>1184</v>
      </c>
      <c r="OG35" s="9" t="s">
        <v>857</v>
      </c>
      <c r="OH35" s="8">
        <v>0.0</v>
      </c>
      <c r="OI35" s="8">
        <v>5.0</v>
      </c>
      <c r="OJ35" s="8">
        <v>0.0</v>
      </c>
      <c r="OK35" s="8">
        <v>0.0</v>
      </c>
      <c r="OL35" s="8">
        <v>0.0</v>
      </c>
      <c r="OM35" s="8">
        <v>0.0</v>
      </c>
      <c r="ON35" s="8">
        <v>0.0</v>
      </c>
      <c r="OO35" s="8">
        <v>0.0</v>
      </c>
      <c r="OP35" s="9" t="s">
        <v>2948</v>
      </c>
      <c r="OQ35" s="8">
        <v>0.0</v>
      </c>
      <c r="OR35" s="8">
        <v>1.0</v>
      </c>
      <c r="OS35" s="8">
        <v>0.0</v>
      </c>
      <c r="OT35" s="8">
        <v>0.0</v>
      </c>
      <c r="OU35" s="8">
        <v>0.0</v>
      </c>
      <c r="OV35" s="8">
        <v>0.0</v>
      </c>
      <c r="OW35" s="8">
        <v>0.0</v>
      </c>
      <c r="OX35" s="8">
        <v>0.0</v>
      </c>
      <c r="OY35" s="9"/>
      <c r="OZ35" s="9"/>
      <c r="PA35" s="9"/>
      <c r="PB35" s="9"/>
      <c r="PC35" s="9"/>
      <c r="PD35" s="9"/>
      <c r="PE35" s="9"/>
      <c r="PF35" s="9"/>
      <c r="PG35" s="9"/>
      <c r="PH35" s="9"/>
      <c r="PI35" s="9"/>
      <c r="PJ35" s="9" t="s">
        <v>900</v>
      </c>
      <c r="PK35" s="8">
        <v>0.0</v>
      </c>
      <c r="PL35" s="8">
        <v>0.0</v>
      </c>
      <c r="PM35" s="8">
        <v>0.0</v>
      </c>
      <c r="PN35" s="8">
        <v>0.0</v>
      </c>
      <c r="PO35" s="8">
        <v>0.0</v>
      </c>
      <c r="PP35" s="8">
        <v>1.0</v>
      </c>
      <c r="PQ35" s="8">
        <v>0.0</v>
      </c>
      <c r="PR35" s="8">
        <v>0.0</v>
      </c>
      <c r="PS35" s="8">
        <v>0.0</v>
      </c>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8">
        <v>5.0</v>
      </c>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t="s">
        <v>901</v>
      </c>
      <c r="UB35" s="9"/>
      <c r="UC35" s="9"/>
      <c r="UD35" s="9"/>
      <c r="UE35" s="9"/>
      <c r="UF35" s="9"/>
      <c r="UG35" s="9"/>
      <c r="UH35" s="9"/>
      <c r="UI35" s="9" t="s">
        <v>950</v>
      </c>
      <c r="UJ35" s="9"/>
      <c r="UK35" s="9"/>
      <c r="UL35" s="9"/>
      <c r="UM35" s="9"/>
      <c r="UN35" s="9"/>
      <c r="UO35" s="9"/>
      <c r="UP35" s="9"/>
      <c r="UQ35" s="9" t="s">
        <v>1158</v>
      </c>
      <c r="UR35" s="9"/>
      <c r="US35" s="9"/>
      <c r="UT35" s="9"/>
      <c r="UU35" s="9"/>
      <c r="UV35" s="9"/>
      <c r="UW35" s="9"/>
      <c r="UX35" s="9"/>
      <c r="UY35" s="9"/>
      <c r="UZ35" s="9"/>
      <c r="VA35" s="9"/>
      <c r="VB35" s="9"/>
      <c r="VC35" s="9"/>
      <c r="VD35" s="9"/>
      <c r="VE35" s="9"/>
      <c r="VF35" s="9"/>
      <c r="VG35" s="9"/>
      <c r="VH35" s="9"/>
      <c r="VI35" s="9"/>
      <c r="VJ35" s="9"/>
      <c r="VK35" s="9" t="s">
        <v>1214</v>
      </c>
      <c r="VL35" s="8">
        <v>0.0</v>
      </c>
      <c r="VM35" s="8">
        <v>0.0</v>
      </c>
      <c r="VN35" s="8">
        <v>1.0</v>
      </c>
      <c r="VO35" s="8">
        <v>1.0</v>
      </c>
      <c r="VP35" s="8">
        <v>0.0</v>
      </c>
      <c r="VQ35" s="8">
        <v>1.0</v>
      </c>
      <c r="VR35" s="8">
        <v>0.0</v>
      </c>
      <c r="VS35" s="8">
        <v>0.0</v>
      </c>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8">
        <v>60.0</v>
      </c>
      <c r="YU35" s="9"/>
      <c r="YV35" s="9"/>
      <c r="YW35" s="9"/>
      <c r="YX35" s="9"/>
      <c r="YY35" s="9"/>
      <c r="YZ35" s="9"/>
      <c r="ZA35" s="9"/>
      <c r="ZB35" s="8">
        <v>2.0</v>
      </c>
      <c r="ZC35" s="9"/>
      <c r="ZD35" s="9"/>
      <c r="ZE35" s="9"/>
      <c r="ZF35" s="9"/>
      <c r="ZG35" s="9"/>
      <c r="ZH35" s="9"/>
      <c r="ZI35" s="9"/>
      <c r="ZJ35" s="9" t="s">
        <v>905</v>
      </c>
      <c r="ZK35" s="9"/>
      <c r="ZL35" s="9"/>
      <c r="ZM35" s="9"/>
      <c r="ZN35" s="9"/>
      <c r="ZO35" s="9"/>
      <c r="ZP35" s="9"/>
      <c r="ZQ35" s="9" t="s">
        <v>857</v>
      </c>
      <c r="ZR35" s="9" t="s">
        <v>1033</v>
      </c>
      <c r="ZS35" s="8">
        <v>1.0</v>
      </c>
      <c r="ZT35" s="8">
        <v>1.0</v>
      </c>
      <c r="ZU35" s="8">
        <v>60.0</v>
      </c>
      <c r="ZV35" s="8">
        <v>60.0</v>
      </c>
      <c r="ZW35" s="9" t="s">
        <v>857</v>
      </c>
      <c r="ZX35" s="9" t="s">
        <v>867</v>
      </c>
      <c r="ZY35" s="9" t="s">
        <v>1074</v>
      </c>
      <c r="ZZ35" s="8">
        <v>1.0</v>
      </c>
      <c r="AAA35" s="8">
        <v>0.0</v>
      </c>
      <c r="AAB35" s="8">
        <v>0.0</v>
      </c>
      <c r="AAC35" s="8">
        <v>1.0</v>
      </c>
      <c r="AAD35" s="8">
        <v>1.0</v>
      </c>
      <c r="AAE35" s="8">
        <v>0.0</v>
      </c>
      <c r="AAF35" s="8">
        <v>0.0</v>
      </c>
      <c r="AAG35" s="9" t="s">
        <v>907</v>
      </c>
      <c r="AAH35" s="8">
        <v>1.0</v>
      </c>
      <c r="AAI35" s="8">
        <v>0.0</v>
      </c>
      <c r="AAJ35" s="8">
        <v>0.0</v>
      </c>
      <c r="AAK35" s="8">
        <v>0.0</v>
      </c>
      <c r="AAL35" s="8">
        <v>0.0</v>
      </c>
      <c r="AAM35" s="9"/>
      <c r="AAN35" s="9"/>
      <c r="AAO35" s="9"/>
      <c r="AAP35" s="9"/>
      <c r="AAQ35" s="9"/>
      <c r="AAR35" s="9"/>
      <c r="AAS35" s="9"/>
      <c r="AAT35" s="9"/>
      <c r="AAU35" s="9"/>
      <c r="AAV35" s="11" t="s">
        <v>908</v>
      </c>
      <c r="AAW35" s="9" t="s">
        <v>1075</v>
      </c>
      <c r="AAX35" s="8">
        <v>3500.0</v>
      </c>
      <c r="AAY35" s="8">
        <v>300.0</v>
      </c>
      <c r="AAZ35" s="8">
        <v>60.0</v>
      </c>
      <c r="ABA35" s="8">
        <v>60.0</v>
      </c>
      <c r="ABB35" s="9" t="s">
        <v>1199</v>
      </c>
      <c r="ABC35" s="9"/>
      <c r="ABD35" s="8">
        <v>40.0</v>
      </c>
      <c r="ABE35" s="8">
        <v>4000.0</v>
      </c>
      <c r="ABF35" s="8">
        <v>0.0</v>
      </c>
      <c r="ABG35" s="8">
        <v>4000.0</v>
      </c>
      <c r="ABH35" s="8">
        <v>500.0</v>
      </c>
      <c r="ABI35" s="8">
        <v>650.0</v>
      </c>
      <c r="ABJ35" s="9" t="s">
        <v>857</v>
      </c>
      <c r="ABK35" s="9" t="s">
        <v>911</v>
      </c>
      <c r="ABL35" s="9" t="s">
        <v>911</v>
      </c>
      <c r="ABM35" s="9" t="s">
        <v>911</v>
      </c>
      <c r="ABN35" s="9"/>
      <c r="ABO35" s="9"/>
      <c r="ABP35" s="9" t="s">
        <v>976</v>
      </c>
      <c r="ABQ35" s="8">
        <v>0.0</v>
      </c>
      <c r="ABR35" s="8">
        <v>0.0</v>
      </c>
      <c r="ABS35" s="8">
        <v>1.0</v>
      </c>
      <c r="ABT35" s="8">
        <v>1.0</v>
      </c>
      <c r="ABU35" s="8">
        <v>0.0</v>
      </c>
      <c r="ABV35" s="8">
        <v>0.0</v>
      </c>
      <c r="ABW35" s="8">
        <v>0.0</v>
      </c>
      <c r="ABX35" s="9"/>
      <c r="ABY35" s="9" t="s">
        <v>912</v>
      </c>
      <c r="ABZ35" s="9" t="s">
        <v>1050</v>
      </c>
      <c r="ACA35" s="9" t="s">
        <v>957</v>
      </c>
      <c r="ACB35" s="9" t="s">
        <v>915</v>
      </c>
      <c r="ACC35" s="9" t="s">
        <v>916</v>
      </c>
      <c r="ACD35" s="9" t="s">
        <v>1017</v>
      </c>
      <c r="ACE35" s="8">
        <v>1.0</v>
      </c>
      <c r="ACF35" s="8">
        <v>1.0</v>
      </c>
      <c r="ACG35" s="8">
        <v>1.0</v>
      </c>
      <c r="ACH35" s="8">
        <v>0.0</v>
      </c>
      <c r="ACI35" s="9" t="s">
        <v>1187</v>
      </c>
      <c r="ACJ35" s="9" t="s">
        <v>1187</v>
      </c>
      <c r="ACK35" s="9" t="s">
        <v>1187</v>
      </c>
      <c r="ACL35" s="9" t="s">
        <v>1187</v>
      </c>
      <c r="ACM35" s="9" t="s">
        <v>881</v>
      </c>
      <c r="ACN35" s="9"/>
      <c r="ACO35" s="9" t="s">
        <v>1187</v>
      </c>
      <c r="ACP35" s="9"/>
      <c r="ACQ35" s="9"/>
      <c r="ACR35" s="9"/>
      <c r="ACS35" s="9"/>
      <c r="ACT35" s="9"/>
      <c r="ACU35" s="9"/>
      <c r="ACV35" s="9"/>
      <c r="ACW35" s="9"/>
      <c r="ACX35" s="9"/>
      <c r="ACY35" s="9"/>
      <c r="ACZ35" s="9" t="s">
        <v>919</v>
      </c>
      <c r="ADA35" s="8">
        <v>0.0</v>
      </c>
      <c r="ADB35" s="8">
        <v>0.0</v>
      </c>
      <c r="ADC35" s="8">
        <v>0.0</v>
      </c>
      <c r="ADD35" s="8">
        <v>0.0</v>
      </c>
      <c r="ADE35" s="8">
        <v>1.0</v>
      </c>
      <c r="ADF35" s="8">
        <v>0.0</v>
      </c>
      <c r="ADG35" s="8">
        <v>0.0</v>
      </c>
      <c r="ADH35" s="8">
        <v>0.0</v>
      </c>
      <c r="ADI35" s="12"/>
      <c r="ADJ35" s="17" t="s">
        <v>872</v>
      </c>
      <c r="ADK35" s="9"/>
      <c r="ADL35" s="17" t="s">
        <v>920</v>
      </c>
      <c r="ADM35" s="9"/>
      <c r="ADN35" s="11" t="s">
        <v>917</v>
      </c>
      <c r="ADO35" s="9" t="s">
        <v>871</v>
      </c>
      <c r="ADP35" s="17" t="s">
        <v>1108</v>
      </c>
      <c r="ADQ35" s="18">
        <v>1.0</v>
      </c>
      <c r="ADR35" s="18">
        <v>1.0</v>
      </c>
      <c r="ADS35" s="18">
        <v>1.0</v>
      </c>
      <c r="ADT35" s="18">
        <v>1.0</v>
      </c>
      <c r="ADU35" s="18">
        <v>1.0</v>
      </c>
      <c r="ADV35" s="18">
        <v>1.0</v>
      </c>
      <c r="ADW35" s="18">
        <v>1.0</v>
      </c>
      <c r="ADX35" s="18">
        <v>1.0</v>
      </c>
      <c r="ADY35" s="18">
        <v>1.0</v>
      </c>
      <c r="ADZ35" s="18">
        <v>0.0</v>
      </c>
      <c r="AEA35" s="18">
        <v>0.0</v>
      </c>
      <c r="AEB35" s="18">
        <v>0.0</v>
      </c>
      <c r="AEC35" s="9"/>
      <c r="AED35" s="9" t="s">
        <v>923</v>
      </c>
      <c r="AEE35" s="9"/>
      <c r="AEF35" s="9" t="s">
        <v>1188</v>
      </c>
      <c r="AEG35" s="9"/>
      <c r="AEH35" s="9" t="s">
        <v>1320</v>
      </c>
      <c r="AEI35" s="16" t="s">
        <v>1321</v>
      </c>
      <c r="AEJ35" s="9" t="s">
        <v>1322</v>
      </c>
      <c r="AEK35" s="16" t="s">
        <v>1323</v>
      </c>
      <c r="AEL35" s="9" t="s">
        <v>1137</v>
      </c>
      <c r="AEM35" s="9"/>
      <c r="AEN35" s="9"/>
    </row>
    <row r="36">
      <c r="A36" s="6">
        <v>46060.0</v>
      </c>
      <c r="B36" s="6">
        <v>46060.0</v>
      </c>
      <c r="C36" s="7" t="s">
        <v>837</v>
      </c>
      <c r="D36" s="7" t="s">
        <v>1324</v>
      </c>
      <c r="E36" s="8">
        <f>+6285226208336</f>
        <v>6285226208336</v>
      </c>
      <c r="F36" s="9"/>
      <c r="G36" s="8">
        <v>-7.209669</v>
      </c>
      <c r="H36" s="8">
        <v>110.26571</v>
      </c>
      <c r="I36" s="9"/>
      <c r="J36" s="8">
        <v>4.81</v>
      </c>
      <c r="K36" s="9"/>
      <c r="L36" s="9"/>
      <c r="M36" s="8">
        <v>-7.21412545</v>
      </c>
      <c r="N36" s="8">
        <v>110.2615111</v>
      </c>
      <c r="O36" s="9"/>
      <c r="P36" s="8">
        <v>4.95</v>
      </c>
      <c r="Q36" s="9"/>
      <c r="R36" s="9" t="s">
        <v>839</v>
      </c>
      <c r="S36" s="9"/>
      <c r="T36" s="9"/>
      <c r="U36" s="9"/>
      <c r="V36" s="9"/>
      <c r="W36" s="9"/>
      <c r="X36" s="9"/>
      <c r="Y36" s="9"/>
      <c r="Z36" s="9"/>
      <c r="AA36" s="9"/>
      <c r="AB36" s="9"/>
      <c r="AC36" s="7" t="s">
        <v>1175</v>
      </c>
      <c r="AD36" s="7" t="s">
        <v>1176</v>
      </c>
      <c r="AE36" s="7" t="s">
        <v>1195</v>
      </c>
      <c r="AF36" s="9" t="s">
        <v>1178</v>
      </c>
      <c r="AG36" s="9" t="s">
        <v>1325</v>
      </c>
      <c r="AH36" s="8">
        <v>2.0</v>
      </c>
      <c r="AI36" s="9" t="s">
        <v>845</v>
      </c>
      <c r="AJ36" s="9" t="s">
        <v>846</v>
      </c>
      <c r="AK36" s="8">
        <v>50.0</v>
      </c>
      <c r="AL36" s="9" t="s">
        <v>847</v>
      </c>
      <c r="AM36" s="9" t="s">
        <v>848</v>
      </c>
      <c r="AN36" s="9" t="s">
        <v>849</v>
      </c>
      <c r="AO36" s="9" t="s">
        <v>935</v>
      </c>
      <c r="AP36" s="8">
        <v>0.0</v>
      </c>
      <c r="AQ36" s="8">
        <v>1.0</v>
      </c>
      <c r="AR36" s="8">
        <v>0.0</v>
      </c>
      <c r="AS36" s="8">
        <v>0.0</v>
      </c>
      <c r="AT36" s="8">
        <v>0.0</v>
      </c>
      <c r="AU36" s="8">
        <v>0.0</v>
      </c>
      <c r="AV36" s="8">
        <v>0.0</v>
      </c>
      <c r="AW36" s="8">
        <v>0.0</v>
      </c>
      <c r="AX36" s="9"/>
      <c r="AY36" s="9" t="s">
        <v>935</v>
      </c>
      <c r="AZ36" s="8">
        <v>0.0</v>
      </c>
      <c r="BA36" s="8">
        <v>1.0</v>
      </c>
      <c r="BB36" s="8">
        <v>0.0</v>
      </c>
      <c r="BC36" s="8">
        <v>0.0</v>
      </c>
      <c r="BD36" s="8">
        <v>0.0</v>
      </c>
      <c r="BE36" s="8">
        <v>0.0</v>
      </c>
      <c r="BF36" s="8">
        <v>0.0</v>
      </c>
      <c r="BG36" s="8">
        <v>0.0</v>
      </c>
      <c r="BH36" s="9"/>
      <c r="BI36" s="9" t="s">
        <v>1101</v>
      </c>
      <c r="BJ36" s="8">
        <v>2.0</v>
      </c>
      <c r="BK36" s="8">
        <v>2.0</v>
      </c>
      <c r="BL36" s="8">
        <v>0.0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856</v>
      </c>
      <c r="CD36" s="8">
        <v>0.0</v>
      </c>
      <c r="CE36" s="8">
        <v>0.0</v>
      </c>
      <c r="CF36" s="8">
        <v>0.0</v>
      </c>
      <c r="CG36" s="8">
        <v>0.0</v>
      </c>
      <c r="CH36" s="8">
        <v>0.0</v>
      </c>
      <c r="CI36" s="8">
        <v>1.0</v>
      </c>
      <c r="CJ36" s="8">
        <v>0.0</v>
      </c>
      <c r="CK36" s="9"/>
      <c r="CL36" s="9" t="s">
        <v>857</v>
      </c>
      <c r="CM36" s="8">
        <v>2024.0</v>
      </c>
      <c r="CN36" s="9" t="s">
        <v>858</v>
      </c>
      <c r="CO36" s="9" t="s">
        <v>859</v>
      </c>
      <c r="CP36" s="9" t="s">
        <v>860</v>
      </c>
      <c r="CQ36" s="8">
        <v>0.0</v>
      </c>
      <c r="CR36" s="8">
        <v>0.0</v>
      </c>
      <c r="CS36" s="8">
        <v>0.0</v>
      </c>
      <c r="CT36" s="8">
        <v>0.0</v>
      </c>
      <c r="CU36" s="10">
        <v>1.0</v>
      </c>
      <c r="CV36" s="10">
        <v>0.0</v>
      </c>
      <c r="CW36" s="10">
        <v>0.0</v>
      </c>
      <c r="CX36" s="8">
        <v>0.0</v>
      </c>
      <c r="CY36" s="9" t="s">
        <v>860</v>
      </c>
      <c r="CZ36" s="8">
        <v>1.0</v>
      </c>
      <c r="DA36" s="8">
        <v>0.0</v>
      </c>
      <c r="DB36" s="8">
        <v>0.0</v>
      </c>
      <c r="DC36" s="9"/>
      <c r="DD36" s="9" t="s">
        <v>937</v>
      </c>
      <c r="DE36" s="8">
        <v>1.0</v>
      </c>
      <c r="DF36" s="8">
        <v>0.0</v>
      </c>
      <c r="DG36" s="8">
        <v>1.0</v>
      </c>
      <c r="DH36" s="8">
        <v>0.0</v>
      </c>
      <c r="DI36" s="9"/>
      <c r="DJ36" s="9" t="s">
        <v>937</v>
      </c>
      <c r="DK36" s="8">
        <v>1.0</v>
      </c>
      <c r="DL36" s="8">
        <v>0.0</v>
      </c>
      <c r="DM36" s="8">
        <v>1.0</v>
      </c>
      <c r="DN36" s="8">
        <v>0.0</v>
      </c>
      <c r="DO36" s="9"/>
      <c r="DP36" s="8">
        <v>1.0</v>
      </c>
      <c r="DQ36" s="8">
        <v>0.0</v>
      </c>
      <c r="DR36" s="8">
        <v>0.0</v>
      </c>
      <c r="DS36" s="9"/>
      <c r="DT36" s="9"/>
      <c r="DU36" s="9"/>
      <c r="DV36" s="9" t="s">
        <v>857</v>
      </c>
      <c r="DW36" s="9"/>
      <c r="DX36" s="9"/>
      <c r="DY36" s="9"/>
      <c r="DZ36" s="9"/>
      <c r="EA36" s="9"/>
      <c r="EB36" s="9"/>
      <c r="EC36" s="9"/>
      <c r="ED36" s="9"/>
      <c r="EE36" s="9"/>
      <c r="EF36" s="9"/>
      <c r="EG36" s="9"/>
      <c r="EH36" s="9"/>
      <c r="EI36" s="9" t="s">
        <v>862</v>
      </c>
      <c r="EJ36" s="8">
        <v>0.0</v>
      </c>
      <c r="EK36" s="8">
        <v>0.0</v>
      </c>
      <c r="EL36" s="8">
        <v>0.0</v>
      </c>
      <c r="EM36" s="8">
        <v>1.0</v>
      </c>
      <c r="EN36" s="8">
        <v>0.0</v>
      </c>
      <c r="EO36" s="11"/>
      <c r="EP36" s="9" t="s">
        <v>863</v>
      </c>
      <c r="EQ36" s="9" t="s">
        <v>864</v>
      </c>
      <c r="ER36" s="9" t="s">
        <v>861</v>
      </c>
      <c r="ES36" s="8">
        <v>1.0</v>
      </c>
      <c r="ET36" s="8">
        <v>0.0</v>
      </c>
      <c r="EU36" s="8">
        <v>0.0</v>
      </c>
      <c r="EV36" s="8">
        <v>0.0</v>
      </c>
      <c r="EW36" s="9"/>
      <c r="EX36" s="9" t="s">
        <v>865</v>
      </c>
      <c r="EY36" s="8">
        <v>1.0</v>
      </c>
      <c r="EZ36" s="8">
        <v>0.0</v>
      </c>
      <c r="FA36" s="8">
        <v>0.0</v>
      </c>
      <c r="FB36" s="9"/>
      <c r="FC36" s="9" t="s">
        <v>1072</v>
      </c>
      <c r="FD36" s="9"/>
      <c r="FE36" s="9" t="s">
        <v>867</v>
      </c>
      <c r="FF36" s="9" t="s">
        <v>868</v>
      </c>
      <c r="FG36" s="9" t="s">
        <v>867</v>
      </c>
      <c r="FH36" s="9" t="s">
        <v>868</v>
      </c>
      <c r="FI36" s="9" t="s">
        <v>867</v>
      </c>
      <c r="FJ36" s="9" t="s">
        <v>868</v>
      </c>
      <c r="FK36" s="9" t="s">
        <v>867</v>
      </c>
      <c r="FL36" s="9" t="s">
        <v>869</v>
      </c>
      <c r="FM36" s="9" t="s">
        <v>867</v>
      </c>
      <c r="FN36" s="9" t="s">
        <v>869</v>
      </c>
      <c r="FO36" s="9" t="s">
        <v>867</v>
      </c>
      <c r="FP36" s="9" t="s">
        <v>943</v>
      </c>
      <c r="FQ36" s="9" t="s">
        <v>867</v>
      </c>
      <c r="FR36" s="9" t="s">
        <v>857</v>
      </c>
      <c r="FS36" s="9" t="s">
        <v>867</v>
      </c>
      <c r="FT36" s="9" t="s">
        <v>871</v>
      </c>
      <c r="FU36" s="9" t="s">
        <v>989</v>
      </c>
      <c r="FV36" s="8">
        <v>1.0</v>
      </c>
      <c r="FW36" s="8">
        <v>1.0</v>
      </c>
      <c r="FX36" s="8">
        <v>0.0</v>
      </c>
      <c r="FY36" s="8">
        <v>0.0</v>
      </c>
      <c r="FZ36" s="9" t="s">
        <v>873</v>
      </c>
      <c r="GA36" s="9" t="s">
        <v>990</v>
      </c>
      <c r="GB36" s="8">
        <v>1.0</v>
      </c>
      <c r="GC36" s="8">
        <v>1.0</v>
      </c>
      <c r="GD36" s="8">
        <v>0.0</v>
      </c>
      <c r="GE36" s="8">
        <v>0.0</v>
      </c>
      <c r="GF36" s="9"/>
      <c r="GG36" s="9" t="s">
        <v>875</v>
      </c>
      <c r="GH36" s="9" t="s">
        <v>857</v>
      </c>
      <c r="GI36" s="9" t="s">
        <v>1264</v>
      </c>
      <c r="GJ36" s="8">
        <v>0.0</v>
      </c>
      <c r="GK36" s="8">
        <v>1.0</v>
      </c>
      <c r="GL36" s="8">
        <v>0.0</v>
      </c>
      <c r="GM36" s="8">
        <v>0.0</v>
      </c>
      <c r="GN36" s="9"/>
      <c r="GO36" s="8">
        <v>9.0</v>
      </c>
      <c r="GP36" s="9" t="s">
        <v>877</v>
      </c>
      <c r="GQ36" s="9" t="s">
        <v>1102</v>
      </c>
      <c r="GR36" s="8">
        <v>1.0</v>
      </c>
      <c r="GS36" s="8">
        <v>0.0</v>
      </c>
      <c r="GT36" s="8">
        <v>0.0</v>
      </c>
      <c r="GU36" s="8">
        <v>0.0</v>
      </c>
      <c r="GV36" s="8">
        <v>0.0</v>
      </c>
      <c r="GW36" s="8">
        <v>0.0</v>
      </c>
      <c r="GX36" s="8">
        <v>0.0</v>
      </c>
      <c r="GY36" s="9"/>
      <c r="GZ36" s="9" t="s">
        <v>857</v>
      </c>
      <c r="HA36" s="9"/>
      <c r="HB36" s="9"/>
      <c r="HC36" s="9"/>
      <c r="HD36" s="9"/>
      <c r="HE36" s="8">
        <v>15.0</v>
      </c>
      <c r="HF36" s="8">
        <v>125000.0</v>
      </c>
      <c r="HG36" s="8">
        <v>3.0</v>
      </c>
      <c r="HH36" s="8">
        <v>25000.0</v>
      </c>
      <c r="HI36" s="9"/>
      <c r="HJ36" s="9"/>
      <c r="HK36" s="9"/>
      <c r="HL36" s="9"/>
      <c r="HM36" s="9"/>
      <c r="HN36" s="9"/>
      <c r="HO36" s="9"/>
      <c r="HP36" s="9"/>
      <c r="HQ36" s="9"/>
      <c r="HR36" s="9"/>
      <c r="HS36" s="9"/>
      <c r="HT36" s="9"/>
      <c r="HU36" s="9"/>
      <c r="HV36" s="9"/>
      <c r="HW36" s="9"/>
      <c r="HX36" s="9"/>
      <c r="HY36" s="9"/>
      <c r="HZ36" s="9"/>
      <c r="IA36" s="8">
        <v>12.0</v>
      </c>
      <c r="IB36" s="8">
        <v>100000.0</v>
      </c>
      <c r="IC36" s="9"/>
      <c r="ID36" s="9"/>
      <c r="IE36" s="9"/>
      <c r="IF36" s="9"/>
      <c r="IG36" s="9"/>
      <c r="IH36" s="9"/>
      <c r="II36" s="9"/>
      <c r="IJ36" s="9"/>
      <c r="IK36" s="9" t="s">
        <v>879</v>
      </c>
      <c r="IL36" s="9" t="s">
        <v>880</v>
      </c>
      <c r="IM36" s="9" t="s">
        <v>857</v>
      </c>
      <c r="IN36" s="9" t="s">
        <v>881</v>
      </c>
      <c r="IO36" s="9" t="s">
        <v>1206</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1180</v>
      </c>
      <c r="KT36" s="9" t="s">
        <v>886</v>
      </c>
      <c r="KU36" s="9" t="s">
        <v>886</v>
      </c>
      <c r="KV36" s="9" t="s">
        <v>999</v>
      </c>
      <c r="KW36" s="8">
        <v>0.0</v>
      </c>
      <c r="KX36" s="8">
        <v>0.0</v>
      </c>
      <c r="KY36" s="8">
        <v>0.0</v>
      </c>
      <c r="KZ36" s="8">
        <v>1.0</v>
      </c>
      <c r="LA36" s="9" t="s">
        <v>1180</v>
      </c>
      <c r="LB36" s="9" t="s">
        <v>1180</v>
      </c>
      <c r="LC36" s="8">
        <v>0.0</v>
      </c>
      <c r="LD36" s="8">
        <v>3.0</v>
      </c>
      <c r="LE36" s="8">
        <v>0.0</v>
      </c>
      <c r="LF36" s="8">
        <v>3.0</v>
      </c>
      <c r="LG36" s="9" t="s">
        <v>857</v>
      </c>
      <c r="LH36" s="8">
        <v>100000.0</v>
      </c>
      <c r="LI36" s="9"/>
      <c r="LJ36" s="9" t="s">
        <v>887</v>
      </c>
      <c r="LK36" s="8">
        <v>0.0</v>
      </c>
      <c r="LL36" s="8">
        <v>0.0</v>
      </c>
      <c r="LM36" s="8">
        <v>0.0</v>
      </c>
      <c r="LN36" s="8">
        <v>0.0</v>
      </c>
      <c r="LO36" s="8">
        <v>1.0</v>
      </c>
      <c r="LP36" s="8">
        <v>0.0</v>
      </c>
      <c r="LQ36" s="8">
        <v>0.0</v>
      </c>
      <c r="LR36" s="9"/>
      <c r="LS36" s="8">
        <v>15.0</v>
      </c>
      <c r="LT36" s="8">
        <v>15.0</v>
      </c>
      <c r="LU36" s="8">
        <v>0.0</v>
      </c>
      <c r="LV36" s="8">
        <v>5.0</v>
      </c>
      <c r="LW36" s="8">
        <v>5.0</v>
      </c>
      <c r="LX36" s="8">
        <v>0.0</v>
      </c>
      <c r="LY36" s="8">
        <v>5.0</v>
      </c>
      <c r="LZ36" s="8">
        <v>5.0</v>
      </c>
      <c r="MA36" s="8">
        <v>0.0</v>
      </c>
      <c r="MB36" s="9" t="s">
        <v>857</v>
      </c>
      <c r="MC36" s="8">
        <v>30.0</v>
      </c>
      <c r="MD36" s="8">
        <v>0.0</v>
      </c>
      <c r="ME36" s="8">
        <v>0.0</v>
      </c>
      <c r="MF36" s="8">
        <v>0.0</v>
      </c>
      <c r="MG36" s="8">
        <v>0.0</v>
      </c>
      <c r="MH36" s="8">
        <v>0.0</v>
      </c>
      <c r="MI36" s="9" t="s">
        <v>946</v>
      </c>
      <c r="MJ36" s="8">
        <v>0.0</v>
      </c>
      <c r="MK36" s="8">
        <v>0.0</v>
      </c>
      <c r="ML36" s="8">
        <v>1.0</v>
      </c>
      <c r="MM36" s="8">
        <v>0.0</v>
      </c>
      <c r="MN36" s="8">
        <v>0.0</v>
      </c>
      <c r="MO36" s="8">
        <v>0.0</v>
      </c>
      <c r="MP36" s="9"/>
      <c r="MQ36" s="9"/>
      <c r="MR36" s="9" t="s">
        <v>1048</v>
      </c>
      <c r="MS36" s="9"/>
      <c r="MT36" s="9" t="s">
        <v>1326</v>
      </c>
      <c r="MU36" s="9" t="s">
        <v>881</v>
      </c>
      <c r="MV36" s="9"/>
      <c r="MW36" s="9"/>
      <c r="MX36" s="9"/>
      <c r="MY36" s="9"/>
      <c r="MZ36" s="9"/>
      <c r="NA36" s="9"/>
      <c r="NB36" s="9"/>
      <c r="NC36" s="9"/>
      <c r="ND36" s="9"/>
      <c r="NE36" s="9"/>
      <c r="NF36" s="9"/>
      <c r="NG36" s="9"/>
      <c r="NH36" s="9"/>
      <c r="NI36" s="9"/>
      <c r="NJ36" s="9"/>
      <c r="NK36" s="9"/>
      <c r="NL36" s="9" t="s">
        <v>857</v>
      </c>
      <c r="NM36" s="9" t="s">
        <v>893</v>
      </c>
      <c r="NN36" s="9" t="s">
        <v>993</v>
      </c>
      <c r="NO36" s="9" t="s">
        <v>994</v>
      </c>
      <c r="NP36" s="9"/>
      <c r="NQ36" s="9"/>
      <c r="NR36" s="9"/>
      <c r="NS36" s="9"/>
      <c r="NT36" s="9"/>
      <c r="NU36" s="9"/>
      <c r="NV36" s="9" t="s">
        <v>896</v>
      </c>
      <c r="NW36" s="9"/>
      <c r="NX36" s="9" t="s">
        <v>897</v>
      </c>
      <c r="NY36" s="8">
        <v>40.0</v>
      </c>
      <c r="NZ36" s="8">
        <v>20.0</v>
      </c>
      <c r="OA36" s="8">
        <v>0.0</v>
      </c>
      <c r="OB36" s="8">
        <v>5.0</v>
      </c>
      <c r="OC36" s="8">
        <v>5.0</v>
      </c>
      <c r="OD36" s="8">
        <v>0.0</v>
      </c>
      <c r="OE36" s="9" t="s">
        <v>1180</v>
      </c>
      <c r="OF36" s="9" t="s">
        <v>1184</v>
      </c>
      <c r="OG36" s="9" t="s">
        <v>857</v>
      </c>
      <c r="OH36" s="8">
        <v>0.0</v>
      </c>
      <c r="OI36" s="8">
        <v>6.0</v>
      </c>
      <c r="OJ36" s="8">
        <v>0.0</v>
      </c>
      <c r="OK36" s="8">
        <v>0.0</v>
      </c>
      <c r="OL36" s="8">
        <v>0.0</v>
      </c>
      <c r="OM36" s="8">
        <v>0.0</v>
      </c>
      <c r="ON36" s="8">
        <v>0.0</v>
      </c>
      <c r="OO36" s="8">
        <v>0.0</v>
      </c>
      <c r="OP36" s="9" t="s">
        <v>2948</v>
      </c>
      <c r="OQ36" s="8">
        <v>0.0</v>
      </c>
      <c r="OR36" s="8">
        <v>1.0</v>
      </c>
      <c r="OS36" s="8">
        <v>0.0</v>
      </c>
      <c r="OT36" s="8">
        <v>0.0</v>
      </c>
      <c r="OU36" s="8">
        <v>0.0</v>
      </c>
      <c r="OV36" s="8">
        <v>0.0</v>
      </c>
      <c r="OW36" s="8">
        <v>0.0</v>
      </c>
      <c r="OX36" s="8">
        <v>0.0</v>
      </c>
      <c r="OY36" s="9"/>
      <c r="OZ36" s="9"/>
      <c r="PA36" s="9"/>
      <c r="PB36" s="9"/>
      <c r="PC36" s="9"/>
      <c r="PD36" s="9"/>
      <c r="PE36" s="9"/>
      <c r="PF36" s="9"/>
      <c r="PG36" s="9"/>
      <c r="PH36" s="9"/>
      <c r="PI36" s="9"/>
      <c r="PJ36" s="9" t="s">
        <v>900</v>
      </c>
      <c r="PK36" s="8">
        <v>0.0</v>
      </c>
      <c r="PL36" s="8">
        <v>0.0</v>
      </c>
      <c r="PM36" s="8">
        <v>0.0</v>
      </c>
      <c r="PN36" s="8">
        <v>0.0</v>
      </c>
      <c r="PO36" s="8">
        <v>0.0</v>
      </c>
      <c r="PP36" s="8">
        <v>1.0</v>
      </c>
      <c r="PQ36" s="8">
        <v>0.0</v>
      </c>
      <c r="PR36" s="8">
        <v>0.0</v>
      </c>
      <c r="PS36" s="8">
        <v>0.0</v>
      </c>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8">
        <v>6.0</v>
      </c>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t="s">
        <v>901</v>
      </c>
      <c r="UB36" s="9"/>
      <c r="UC36" s="9"/>
      <c r="UD36" s="9"/>
      <c r="UE36" s="9"/>
      <c r="UF36" s="9"/>
      <c r="UG36" s="9"/>
      <c r="UH36" s="9"/>
      <c r="UI36" s="9" t="s">
        <v>950</v>
      </c>
      <c r="UJ36" s="9"/>
      <c r="UK36" s="9"/>
      <c r="UL36" s="9"/>
      <c r="UM36" s="9"/>
      <c r="UN36" s="9"/>
      <c r="UO36" s="9"/>
      <c r="UP36" s="9"/>
      <c r="UQ36" s="9" t="s">
        <v>1158</v>
      </c>
      <c r="UR36" s="9"/>
      <c r="US36" s="9"/>
      <c r="UT36" s="9"/>
      <c r="UU36" s="9"/>
      <c r="UV36" s="9"/>
      <c r="UW36" s="9"/>
      <c r="UX36" s="9"/>
      <c r="UY36" s="9"/>
      <c r="UZ36" s="9"/>
      <c r="VA36" s="9"/>
      <c r="VB36" s="9"/>
      <c r="VC36" s="9"/>
      <c r="VD36" s="9"/>
      <c r="VE36" s="9"/>
      <c r="VF36" s="9"/>
      <c r="VG36" s="9"/>
      <c r="VH36" s="9"/>
      <c r="VI36" s="9"/>
      <c r="VJ36" s="9"/>
      <c r="VK36" s="9" t="s">
        <v>1303</v>
      </c>
      <c r="VL36" s="8">
        <v>0.0</v>
      </c>
      <c r="VM36" s="8">
        <v>0.0</v>
      </c>
      <c r="VN36" s="8">
        <v>0.0</v>
      </c>
      <c r="VO36" s="8">
        <v>1.0</v>
      </c>
      <c r="VP36" s="8">
        <v>1.0</v>
      </c>
      <c r="VQ36" s="8">
        <v>0.0</v>
      </c>
      <c r="VR36" s="8">
        <v>0.0</v>
      </c>
      <c r="VS36" s="8">
        <v>0.0</v>
      </c>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8">
        <v>2.0</v>
      </c>
      <c r="ZC36" s="9"/>
      <c r="ZD36" s="9"/>
      <c r="ZE36" s="9"/>
      <c r="ZF36" s="9"/>
      <c r="ZG36" s="9"/>
      <c r="ZH36" s="9"/>
      <c r="ZI36" s="9"/>
      <c r="ZJ36" s="9" t="s">
        <v>905</v>
      </c>
      <c r="ZK36" s="9"/>
      <c r="ZL36" s="9"/>
      <c r="ZM36" s="9"/>
      <c r="ZN36" s="9"/>
      <c r="ZO36" s="9"/>
      <c r="ZP36" s="9"/>
      <c r="ZQ36" s="9" t="s">
        <v>857</v>
      </c>
      <c r="ZR36" s="9" t="s">
        <v>1033</v>
      </c>
      <c r="ZS36" s="8">
        <v>1.0</v>
      </c>
      <c r="ZT36" s="8">
        <v>1.0</v>
      </c>
      <c r="ZU36" s="8">
        <v>60.0</v>
      </c>
      <c r="ZV36" s="8">
        <v>60.0</v>
      </c>
      <c r="ZW36" s="9" t="s">
        <v>857</v>
      </c>
      <c r="ZX36" s="9" t="s">
        <v>867</v>
      </c>
      <c r="ZY36" s="9" t="s">
        <v>1074</v>
      </c>
      <c r="ZZ36" s="8">
        <v>1.0</v>
      </c>
      <c r="AAA36" s="8">
        <v>0.0</v>
      </c>
      <c r="AAB36" s="8">
        <v>0.0</v>
      </c>
      <c r="AAC36" s="8">
        <v>1.0</v>
      </c>
      <c r="AAD36" s="8">
        <v>1.0</v>
      </c>
      <c r="AAE36" s="8">
        <v>0.0</v>
      </c>
      <c r="AAF36" s="8">
        <v>0.0</v>
      </c>
      <c r="AAG36" s="9" t="s">
        <v>907</v>
      </c>
      <c r="AAH36" s="8">
        <v>1.0</v>
      </c>
      <c r="AAI36" s="8">
        <v>0.0</v>
      </c>
      <c r="AAJ36" s="8">
        <v>0.0</v>
      </c>
      <c r="AAK36" s="8">
        <v>0.0</v>
      </c>
      <c r="AAL36" s="8">
        <v>0.0</v>
      </c>
      <c r="AAM36" s="9"/>
      <c r="AAN36" s="9"/>
      <c r="AAO36" s="9"/>
      <c r="AAP36" s="9"/>
      <c r="AAQ36" s="9"/>
      <c r="AAR36" s="9"/>
      <c r="AAS36" s="9"/>
      <c r="AAT36" s="9"/>
      <c r="AAU36" s="9"/>
      <c r="AAV36" s="11" t="s">
        <v>908</v>
      </c>
      <c r="AAW36" s="9" t="s">
        <v>1075</v>
      </c>
      <c r="AAX36" s="8">
        <v>4000.0</v>
      </c>
      <c r="AAY36" s="8">
        <v>300.0</v>
      </c>
      <c r="AAZ36" s="8">
        <v>60.0</v>
      </c>
      <c r="ABA36" s="8">
        <v>60.0</v>
      </c>
      <c r="ABB36" s="9" t="s">
        <v>1199</v>
      </c>
      <c r="ABC36" s="9"/>
      <c r="ABD36" s="8">
        <v>30.0</v>
      </c>
      <c r="ABE36" s="8">
        <v>4000.0</v>
      </c>
      <c r="ABF36" s="8">
        <v>0.0</v>
      </c>
      <c r="ABG36" s="8">
        <v>4000.0</v>
      </c>
      <c r="ABH36" s="8">
        <v>500.0</v>
      </c>
      <c r="ABI36" s="8">
        <v>750.0</v>
      </c>
      <c r="ABJ36" s="9" t="s">
        <v>857</v>
      </c>
      <c r="ABK36" s="9" t="s">
        <v>911</v>
      </c>
      <c r="ABL36" s="9" t="s">
        <v>911</v>
      </c>
      <c r="ABM36" s="9" t="s">
        <v>911</v>
      </c>
      <c r="ABN36" s="9"/>
      <c r="ABO36" s="9"/>
      <c r="ABP36" s="9" t="s">
        <v>1215</v>
      </c>
      <c r="ABQ36" s="8">
        <v>0.0</v>
      </c>
      <c r="ABR36" s="8">
        <v>1.0</v>
      </c>
      <c r="ABS36" s="8">
        <v>0.0</v>
      </c>
      <c r="ABT36" s="8">
        <v>1.0</v>
      </c>
      <c r="ABU36" s="8">
        <v>0.0</v>
      </c>
      <c r="ABV36" s="8">
        <v>0.0</v>
      </c>
      <c r="ABW36" s="8">
        <v>0.0</v>
      </c>
      <c r="ABX36" s="9"/>
      <c r="ABY36" s="9" t="s">
        <v>912</v>
      </c>
      <c r="ABZ36" s="9" t="s">
        <v>1050</v>
      </c>
      <c r="ACA36" s="9" t="s">
        <v>957</v>
      </c>
      <c r="ACB36" s="9" t="s">
        <v>915</v>
      </c>
      <c r="ACC36" s="9" t="s">
        <v>916</v>
      </c>
      <c r="ACD36" s="9" t="s">
        <v>1017</v>
      </c>
      <c r="ACE36" s="8">
        <v>1.0</v>
      </c>
      <c r="ACF36" s="8">
        <v>1.0</v>
      </c>
      <c r="ACG36" s="8">
        <v>1.0</v>
      </c>
      <c r="ACH36" s="8">
        <v>0.0</v>
      </c>
      <c r="ACI36" s="9" t="s">
        <v>1187</v>
      </c>
      <c r="ACJ36" s="9" t="s">
        <v>1187</v>
      </c>
      <c r="ACK36" s="9" t="s">
        <v>1187</v>
      </c>
      <c r="ACL36" s="9" t="s">
        <v>1187</v>
      </c>
      <c r="ACM36" s="9" t="s">
        <v>881</v>
      </c>
      <c r="ACN36" s="9"/>
      <c r="ACO36" s="9" t="s">
        <v>1187</v>
      </c>
      <c r="ACP36" s="9"/>
      <c r="ACQ36" s="9"/>
      <c r="ACR36" s="9"/>
      <c r="ACS36" s="9"/>
      <c r="ACT36" s="9"/>
      <c r="ACU36" s="9"/>
      <c r="ACV36" s="9"/>
      <c r="ACW36" s="9"/>
      <c r="ACX36" s="9"/>
      <c r="ACY36" s="9"/>
      <c r="ACZ36" s="9" t="s">
        <v>919</v>
      </c>
      <c r="ADA36" s="8">
        <v>0.0</v>
      </c>
      <c r="ADB36" s="8">
        <v>0.0</v>
      </c>
      <c r="ADC36" s="8">
        <v>0.0</v>
      </c>
      <c r="ADD36" s="8">
        <v>0.0</v>
      </c>
      <c r="ADE36" s="8">
        <v>1.0</v>
      </c>
      <c r="ADF36" s="8">
        <v>0.0</v>
      </c>
      <c r="ADG36" s="8">
        <v>0.0</v>
      </c>
      <c r="ADH36" s="8">
        <v>0.0</v>
      </c>
      <c r="ADI36" s="12"/>
      <c r="ADJ36" s="17" t="s">
        <v>872</v>
      </c>
      <c r="ADK36" s="9"/>
      <c r="ADL36" s="17" t="s">
        <v>920</v>
      </c>
      <c r="ADM36" s="9"/>
      <c r="ADN36" s="11" t="s">
        <v>999</v>
      </c>
      <c r="ADO36" s="9" t="s">
        <v>871</v>
      </c>
      <c r="ADP36" s="17" t="s">
        <v>1108</v>
      </c>
      <c r="ADQ36" s="18">
        <v>1.0</v>
      </c>
      <c r="ADR36" s="18">
        <v>1.0</v>
      </c>
      <c r="ADS36" s="18">
        <v>1.0</v>
      </c>
      <c r="ADT36" s="18">
        <v>1.0</v>
      </c>
      <c r="ADU36" s="18">
        <v>1.0</v>
      </c>
      <c r="ADV36" s="18">
        <v>1.0</v>
      </c>
      <c r="ADW36" s="18">
        <v>1.0</v>
      </c>
      <c r="ADX36" s="18">
        <v>1.0</v>
      </c>
      <c r="ADY36" s="18">
        <v>1.0</v>
      </c>
      <c r="ADZ36" s="18">
        <v>0.0</v>
      </c>
      <c r="AEA36" s="18">
        <v>0.0</v>
      </c>
      <c r="AEB36" s="18">
        <v>0.0</v>
      </c>
      <c r="AEC36" s="9"/>
      <c r="AED36" s="9" t="s">
        <v>923</v>
      </c>
      <c r="AEE36" s="9"/>
      <c r="AEF36" s="9" t="s">
        <v>1188</v>
      </c>
      <c r="AEG36" s="9"/>
      <c r="AEH36" s="9" t="s">
        <v>1327</v>
      </c>
      <c r="AEI36" s="16" t="s">
        <v>1328</v>
      </c>
      <c r="AEJ36" s="9" t="s">
        <v>1329</v>
      </c>
      <c r="AEK36" s="16" t="s">
        <v>1330</v>
      </c>
      <c r="AEL36" s="9" t="s">
        <v>1331</v>
      </c>
      <c r="AEM36" s="9"/>
      <c r="AEN36" s="9"/>
    </row>
    <row r="37">
      <c r="A37" s="6">
        <v>46060.0</v>
      </c>
      <c r="B37" s="6">
        <v>46060.0</v>
      </c>
      <c r="C37" s="7" t="s">
        <v>837</v>
      </c>
      <c r="D37" s="7" t="s">
        <v>1332</v>
      </c>
      <c r="E37" s="8">
        <f>+628822006624132</f>
        <v>628822006624132</v>
      </c>
      <c r="F37" s="9"/>
      <c r="G37" s="8">
        <v>-7.2247352</v>
      </c>
      <c r="H37" s="8">
        <v>110.2820664</v>
      </c>
      <c r="I37" s="9"/>
      <c r="J37" s="8">
        <v>3.14</v>
      </c>
      <c r="K37" s="9"/>
      <c r="L37" s="9"/>
      <c r="M37" s="8">
        <v>-7.2246794</v>
      </c>
      <c r="N37" s="8">
        <v>110.2820454</v>
      </c>
      <c r="O37" s="9"/>
      <c r="P37" s="8">
        <v>2.71</v>
      </c>
      <c r="Q37" s="9"/>
      <c r="R37" s="9" t="s">
        <v>839</v>
      </c>
      <c r="S37" s="9"/>
      <c r="T37" s="9"/>
      <c r="U37" s="9"/>
      <c r="V37" s="9"/>
      <c r="W37" s="9"/>
      <c r="X37" s="9"/>
      <c r="Y37" s="9"/>
      <c r="Z37" s="9"/>
      <c r="AA37" s="9"/>
      <c r="AB37" s="9"/>
      <c r="AC37" s="7" t="s">
        <v>1175</v>
      </c>
      <c r="AD37" s="7" t="s">
        <v>1176</v>
      </c>
      <c r="AE37" s="7" t="s">
        <v>1252</v>
      </c>
      <c r="AF37" s="9" t="s">
        <v>1178</v>
      </c>
      <c r="AG37" s="9" t="s">
        <v>1333</v>
      </c>
      <c r="AH37" s="8">
        <v>2.0</v>
      </c>
      <c r="AI37" s="9" t="s">
        <v>845</v>
      </c>
      <c r="AJ37" s="9" t="s">
        <v>846</v>
      </c>
      <c r="AK37" s="8">
        <v>60.0</v>
      </c>
      <c r="AL37" s="9" t="s">
        <v>847</v>
      </c>
      <c r="AM37" s="9" t="s">
        <v>848</v>
      </c>
      <c r="AN37" s="9" t="s">
        <v>849</v>
      </c>
      <c r="AO37" s="9" t="s">
        <v>850</v>
      </c>
      <c r="AP37" s="8">
        <v>1.0</v>
      </c>
      <c r="AQ37" s="8">
        <v>0.0</v>
      </c>
      <c r="AR37" s="8">
        <v>0.0</v>
      </c>
      <c r="AS37" s="8">
        <v>0.0</v>
      </c>
      <c r="AT37" s="8">
        <v>0.0</v>
      </c>
      <c r="AU37" s="8">
        <v>0.0</v>
      </c>
      <c r="AV37" s="8">
        <v>0.0</v>
      </c>
      <c r="AW37" s="8">
        <v>0.0</v>
      </c>
      <c r="AX37" s="9"/>
      <c r="AY37" s="9" t="s">
        <v>935</v>
      </c>
      <c r="AZ37" s="8">
        <v>0.0</v>
      </c>
      <c r="BA37" s="8">
        <v>1.0</v>
      </c>
      <c r="BB37" s="8">
        <v>0.0</v>
      </c>
      <c r="BC37" s="8">
        <v>0.0</v>
      </c>
      <c r="BD37" s="8">
        <v>0.0</v>
      </c>
      <c r="BE37" s="8">
        <v>0.0</v>
      </c>
      <c r="BF37" s="8">
        <v>0.0</v>
      </c>
      <c r="BG37" s="8">
        <v>0.0</v>
      </c>
      <c r="BH37" s="9"/>
      <c r="BI37" s="9" t="s">
        <v>852</v>
      </c>
      <c r="BJ37" s="8">
        <v>2.0</v>
      </c>
      <c r="BK37" s="8">
        <v>2.0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2024.0</v>
      </c>
      <c r="CN37" s="9" t="s">
        <v>858</v>
      </c>
      <c r="CO37" s="9" t="s">
        <v>859</v>
      </c>
      <c r="CP37" s="9" t="s">
        <v>860</v>
      </c>
      <c r="CQ37" s="8">
        <v>0.0</v>
      </c>
      <c r="CR37" s="8">
        <v>0.0</v>
      </c>
      <c r="CS37" s="8">
        <v>0.0</v>
      </c>
      <c r="CT37" s="8">
        <v>0.0</v>
      </c>
      <c r="CU37" s="10">
        <v>1.0</v>
      </c>
      <c r="CV37" s="10">
        <v>0.0</v>
      </c>
      <c r="CW37" s="10">
        <v>0.0</v>
      </c>
      <c r="CX37" s="8">
        <v>0.0</v>
      </c>
      <c r="CY37" s="9" t="s">
        <v>860</v>
      </c>
      <c r="CZ37" s="8">
        <v>1.0</v>
      </c>
      <c r="DA37" s="8">
        <v>0.0</v>
      </c>
      <c r="DB37" s="8">
        <v>0.0</v>
      </c>
      <c r="DC37" s="9"/>
      <c r="DD37" s="9" t="s">
        <v>937</v>
      </c>
      <c r="DE37" s="8">
        <v>1.0</v>
      </c>
      <c r="DF37" s="8">
        <v>0.0</v>
      </c>
      <c r="DG37" s="8">
        <v>1.0</v>
      </c>
      <c r="DH37" s="8">
        <v>0.0</v>
      </c>
      <c r="DI37" s="9"/>
      <c r="DJ37" s="9" t="s">
        <v>937</v>
      </c>
      <c r="DK37" s="8">
        <v>1.0</v>
      </c>
      <c r="DL37" s="8">
        <v>0.0</v>
      </c>
      <c r="DM37" s="8">
        <v>1.0</v>
      </c>
      <c r="DN37" s="8">
        <v>0.0</v>
      </c>
      <c r="DO37" s="9"/>
      <c r="DP37" s="8">
        <v>1.0</v>
      </c>
      <c r="DQ37" s="8">
        <v>0.0</v>
      </c>
      <c r="DR37" s="8">
        <v>0.0</v>
      </c>
      <c r="DS37" s="9"/>
      <c r="DT37" s="9"/>
      <c r="DU37" s="9"/>
      <c r="DV37" s="9" t="s">
        <v>857</v>
      </c>
      <c r="DW37" s="9"/>
      <c r="DX37" s="9"/>
      <c r="DY37" s="9"/>
      <c r="DZ37" s="9"/>
      <c r="EA37" s="9"/>
      <c r="EB37" s="9"/>
      <c r="EC37" s="9"/>
      <c r="ED37" s="9"/>
      <c r="EE37" s="9"/>
      <c r="EF37" s="9"/>
      <c r="EG37" s="9"/>
      <c r="EH37" s="9"/>
      <c r="EI37" s="9" t="s">
        <v>862</v>
      </c>
      <c r="EJ37" s="8">
        <v>0.0</v>
      </c>
      <c r="EK37" s="8">
        <v>0.0</v>
      </c>
      <c r="EL37" s="8">
        <v>0.0</v>
      </c>
      <c r="EM37" s="8">
        <v>1.0</v>
      </c>
      <c r="EN37" s="8">
        <v>0.0</v>
      </c>
      <c r="EO37" s="11"/>
      <c r="EP37" s="9" t="s">
        <v>863</v>
      </c>
      <c r="EQ37" s="9" t="s">
        <v>864</v>
      </c>
      <c r="ER37" s="9" t="s">
        <v>861</v>
      </c>
      <c r="ES37" s="8">
        <v>1.0</v>
      </c>
      <c r="ET37" s="8">
        <v>0.0</v>
      </c>
      <c r="EU37" s="8">
        <v>0.0</v>
      </c>
      <c r="EV37" s="8">
        <v>0.0</v>
      </c>
      <c r="EW37" s="9"/>
      <c r="EX37" s="9" t="s">
        <v>865</v>
      </c>
      <c r="EY37" s="8">
        <v>1.0</v>
      </c>
      <c r="EZ37" s="8">
        <v>0.0</v>
      </c>
      <c r="FA37" s="8">
        <v>0.0</v>
      </c>
      <c r="FB37" s="9"/>
      <c r="FC37" s="9" t="s">
        <v>1072</v>
      </c>
      <c r="FD37" s="9"/>
      <c r="FE37" s="9" t="s">
        <v>867</v>
      </c>
      <c r="FF37" s="9" t="s">
        <v>868</v>
      </c>
      <c r="FG37" s="9" t="s">
        <v>867</v>
      </c>
      <c r="FH37" s="9" t="s">
        <v>868</v>
      </c>
      <c r="FI37" s="9" t="s">
        <v>867</v>
      </c>
      <c r="FJ37" s="9" t="s">
        <v>868</v>
      </c>
      <c r="FK37" s="9" t="s">
        <v>867</v>
      </c>
      <c r="FL37" s="9" t="s">
        <v>943</v>
      </c>
      <c r="FM37" s="9" t="s">
        <v>867</v>
      </c>
      <c r="FN37" s="9" t="s">
        <v>943</v>
      </c>
      <c r="FO37" s="9" t="s">
        <v>867</v>
      </c>
      <c r="FP37" s="9" t="s">
        <v>943</v>
      </c>
      <c r="FQ37" s="9" t="s">
        <v>867</v>
      </c>
      <c r="FR37" s="9" t="s">
        <v>857</v>
      </c>
      <c r="FS37" s="9" t="s">
        <v>867</v>
      </c>
      <c r="FT37" s="9" t="s">
        <v>871</v>
      </c>
      <c r="FU37" s="9" t="s">
        <v>989</v>
      </c>
      <c r="FV37" s="8">
        <v>1.0</v>
      </c>
      <c r="FW37" s="8">
        <v>1.0</v>
      </c>
      <c r="FX37" s="8">
        <v>0.0</v>
      </c>
      <c r="FY37" s="8">
        <v>0.0</v>
      </c>
      <c r="FZ37" s="9" t="s">
        <v>873</v>
      </c>
      <c r="GA37" s="9" t="s">
        <v>990</v>
      </c>
      <c r="GB37" s="8">
        <v>1.0</v>
      </c>
      <c r="GC37" s="8">
        <v>1.0</v>
      </c>
      <c r="GD37" s="8">
        <v>0.0</v>
      </c>
      <c r="GE37" s="8">
        <v>0.0</v>
      </c>
      <c r="GF37" s="9"/>
      <c r="GG37" s="9" t="s">
        <v>875</v>
      </c>
      <c r="GH37" s="9" t="s">
        <v>857</v>
      </c>
      <c r="GI37" s="9" t="s">
        <v>1264</v>
      </c>
      <c r="GJ37" s="8">
        <v>0.0</v>
      </c>
      <c r="GK37" s="8">
        <v>1.0</v>
      </c>
      <c r="GL37" s="8">
        <v>0.0</v>
      </c>
      <c r="GM37" s="8">
        <v>0.0</v>
      </c>
      <c r="GN37" s="9"/>
      <c r="GO37" s="8">
        <v>9.0</v>
      </c>
      <c r="GP37" s="9" t="s">
        <v>877</v>
      </c>
      <c r="GQ37" s="9" t="s">
        <v>878</v>
      </c>
      <c r="GR37" s="8">
        <v>1.0</v>
      </c>
      <c r="GS37" s="8">
        <v>1.0</v>
      </c>
      <c r="GT37" s="8">
        <v>0.0</v>
      </c>
      <c r="GU37" s="8">
        <v>0.0</v>
      </c>
      <c r="GV37" s="8">
        <v>0.0</v>
      </c>
      <c r="GW37" s="8">
        <v>0.0</v>
      </c>
      <c r="GX37" s="8">
        <v>0.0</v>
      </c>
      <c r="GY37" s="9"/>
      <c r="GZ37" s="9" t="s">
        <v>857</v>
      </c>
      <c r="HA37" s="8">
        <v>15.0</v>
      </c>
      <c r="HB37" s="8">
        <v>150000.0</v>
      </c>
      <c r="HC37" s="8">
        <v>5.0</v>
      </c>
      <c r="HD37" s="8">
        <v>50000.0</v>
      </c>
      <c r="HE37" s="8">
        <v>9.0</v>
      </c>
      <c r="HF37" s="8">
        <v>75000.0</v>
      </c>
      <c r="HG37" s="8">
        <v>3.0</v>
      </c>
      <c r="HH37" s="8">
        <v>25000.0</v>
      </c>
      <c r="HI37" s="9"/>
      <c r="HJ37" s="9"/>
      <c r="HK37" s="9"/>
      <c r="HL37" s="9"/>
      <c r="HM37" s="9"/>
      <c r="HN37" s="9"/>
      <c r="HO37" s="9"/>
      <c r="HP37" s="9"/>
      <c r="HQ37" s="9"/>
      <c r="HR37" s="9"/>
      <c r="HS37" s="9"/>
      <c r="HT37" s="9"/>
      <c r="HU37" s="9"/>
      <c r="HV37" s="9"/>
      <c r="HW37" s="9"/>
      <c r="HX37" s="9"/>
      <c r="HY37" s="8">
        <v>10.0</v>
      </c>
      <c r="HZ37" s="8">
        <v>100000.0</v>
      </c>
      <c r="IA37" s="8">
        <v>6.0</v>
      </c>
      <c r="IB37" s="8">
        <v>50000.0</v>
      </c>
      <c r="IC37" s="9"/>
      <c r="ID37" s="9"/>
      <c r="IE37" s="9"/>
      <c r="IF37" s="9"/>
      <c r="IG37" s="9"/>
      <c r="IH37" s="9"/>
      <c r="II37" s="9"/>
      <c r="IJ37" s="9"/>
      <c r="IK37" s="9" t="s">
        <v>879</v>
      </c>
      <c r="IL37" s="9" t="s">
        <v>880</v>
      </c>
      <c r="IM37" s="9" t="s">
        <v>857</v>
      </c>
      <c r="IN37" s="9" t="s">
        <v>881</v>
      </c>
      <c r="IO37" s="9" t="s">
        <v>1206</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1180</v>
      </c>
      <c r="KT37" s="9" t="s">
        <v>886</v>
      </c>
      <c r="KU37" s="9" t="s">
        <v>886</v>
      </c>
      <c r="KV37" s="9" t="s">
        <v>999</v>
      </c>
      <c r="KW37" s="8">
        <v>0.0</v>
      </c>
      <c r="KX37" s="8">
        <v>0.0</v>
      </c>
      <c r="KY37" s="8">
        <v>0.0</v>
      </c>
      <c r="KZ37" s="8">
        <v>1.0</v>
      </c>
      <c r="LA37" s="9" t="s">
        <v>1180</v>
      </c>
      <c r="LB37" s="9" t="s">
        <v>1180</v>
      </c>
      <c r="LC37" s="8">
        <v>0.0</v>
      </c>
      <c r="LD37" s="8">
        <v>3.0</v>
      </c>
      <c r="LE37" s="8">
        <v>0.0</v>
      </c>
      <c r="LF37" s="8">
        <v>3.0</v>
      </c>
      <c r="LG37" s="9" t="s">
        <v>857</v>
      </c>
      <c r="LH37" s="8">
        <v>100000.0</v>
      </c>
      <c r="LI37" s="9"/>
      <c r="LJ37" s="9" t="s">
        <v>887</v>
      </c>
      <c r="LK37" s="8">
        <v>0.0</v>
      </c>
      <c r="LL37" s="8">
        <v>0.0</v>
      </c>
      <c r="LM37" s="8">
        <v>0.0</v>
      </c>
      <c r="LN37" s="8">
        <v>0.0</v>
      </c>
      <c r="LO37" s="8">
        <v>1.0</v>
      </c>
      <c r="LP37" s="8">
        <v>0.0</v>
      </c>
      <c r="LQ37" s="8">
        <v>0.0</v>
      </c>
      <c r="LR37" s="9"/>
      <c r="LS37" s="8">
        <v>15.0</v>
      </c>
      <c r="LT37" s="8">
        <v>15.0</v>
      </c>
      <c r="LU37" s="8">
        <v>0.0</v>
      </c>
      <c r="LV37" s="8">
        <v>7.0</v>
      </c>
      <c r="LW37" s="8">
        <v>8.0</v>
      </c>
      <c r="LX37" s="8">
        <v>0.0</v>
      </c>
      <c r="LY37" s="8">
        <v>5.0</v>
      </c>
      <c r="LZ37" s="8">
        <v>5.0</v>
      </c>
      <c r="MA37" s="8">
        <v>0.0</v>
      </c>
      <c r="MB37" s="9" t="s">
        <v>857</v>
      </c>
      <c r="MC37" s="8">
        <v>30.0</v>
      </c>
      <c r="MD37" s="8">
        <v>15.0</v>
      </c>
      <c r="ME37" s="8">
        <v>30.0</v>
      </c>
      <c r="MF37" s="8">
        <v>15.0</v>
      </c>
      <c r="MG37" s="8">
        <v>0.0</v>
      </c>
      <c r="MH37" s="8">
        <v>0.0</v>
      </c>
      <c r="MI37" s="9" t="s">
        <v>946</v>
      </c>
      <c r="MJ37" s="8">
        <v>0.0</v>
      </c>
      <c r="MK37" s="8">
        <v>0.0</v>
      </c>
      <c r="ML37" s="8">
        <v>1.0</v>
      </c>
      <c r="MM37" s="8">
        <v>0.0</v>
      </c>
      <c r="MN37" s="8">
        <v>0.0</v>
      </c>
      <c r="MO37" s="8">
        <v>0.0</v>
      </c>
      <c r="MP37" s="9"/>
      <c r="MQ37" s="9"/>
      <c r="MR37" s="9" t="s">
        <v>1048</v>
      </c>
      <c r="MS37" s="9"/>
      <c r="MT37" s="9" t="s">
        <v>888</v>
      </c>
      <c r="MU37" s="9" t="s">
        <v>881</v>
      </c>
      <c r="MV37" s="9"/>
      <c r="MW37" s="9"/>
      <c r="MX37" s="9"/>
      <c r="MY37" s="9"/>
      <c r="MZ37" s="9"/>
      <c r="NA37" s="9"/>
      <c r="NB37" s="9"/>
      <c r="NC37" s="9"/>
      <c r="ND37" s="9"/>
      <c r="NE37" s="9"/>
      <c r="NF37" s="9"/>
      <c r="NG37" s="9"/>
      <c r="NH37" s="9"/>
      <c r="NI37" s="9"/>
      <c r="NJ37" s="9"/>
      <c r="NK37" s="9"/>
      <c r="NL37" s="9" t="s">
        <v>857</v>
      </c>
      <c r="NM37" s="9" t="s">
        <v>893</v>
      </c>
      <c r="NN37" s="9" t="s">
        <v>993</v>
      </c>
      <c r="NO37" s="9" t="s">
        <v>994</v>
      </c>
      <c r="NP37" s="9"/>
      <c r="NQ37" s="9"/>
      <c r="NR37" s="9"/>
      <c r="NS37" s="9"/>
      <c r="NT37" s="9"/>
      <c r="NU37" s="9"/>
      <c r="NV37" s="9" t="s">
        <v>896</v>
      </c>
      <c r="NW37" s="9"/>
      <c r="NX37" s="9" t="s">
        <v>897</v>
      </c>
      <c r="NY37" s="8">
        <v>40.0</v>
      </c>
      <c r="NZ37" s="8">
        <v>10.0</v>
      </c>
      <c r="OA37" s="8">
        <v>0.0</v>
      </c>
      <c r="OB37" s="8">
        <v>5.0</v>
      </c>
      <c r="OC37" s="8">
        <v>5.0</v>
      </c>
      <c r="OD37" s="8">
        <v>0.0</v>
      </c>
      <c r="OE37" s="9" t="s">
        <v>898</v>
      </c>
      <c r="OF37" s="9" t="s">
        <v>1184</v>
      </c>
      <c r="OG37" s="9" t="s">
        <v>857</v>
      </c>
      <c r="OH37" s="8">
        <v>0.0</v>
      </c>
      <c r="OI37" s="8">
        <v>3.0</v>
      </c>
      <c r="OJ37" s="8">
        <v>0.0</v>
      </c>
      <c r="OK37" s="8">
        <v>0.0</v>
      </c>
      <c r="OL37" s="8">
        <v>0.0</v>
      </c>
      <c r="OM37" s="8">
        <v>0.0</v>
      </c>
      <c r="ON37" s="8">
        <v>0.0</v>
      </c>
      <c r="OO37" s="8">
        <v>0.0</v>
      </c>
      <c r="OP37" s="9" t="s">
        <v>2948</v>
      </c>
      <c r="OQ37" s="8">
        <v>0.0</v>
      </c>
      <c r="OR37" s="8">
        <v>1.0</v>
      </c>
      <c r="OS37" s="8">
        <v>0.0</v>
      </c>
      <c r="OT37" s="8">
        <v>0.0</v>
      </c>
      <c r="OU37" s="8">
        <v>0.0</v>
      </c>
      <c r="OV37" s="8">
        <v>0.0</v>
      </c>
      <c r="OW37" s="8">
        <v>0.0</v>
      </c>
      <c r="OX37" s="8">
        <v>0.0</v>
      </c>
      <c r="OY37" s="9"/>
      <c r="OZ37" s="9"/>
      <c r="PA37" s="9"/>
      <c r="PB37" s="9"/>
      <c r="PC37" s="9"/>
      <c r="PD37" s="9"/>
      <c r="PE37" s="9"/>
      <c r="PF37" s="9"/>
      <c r="PG37" s="9"/>
      <c r="PH37" s="9"/>
      <c r="PI37" s="9"/>
      <c r="PJ37" s="9" t="s">
        <v>900</v>
      </c>
      <c r="PK37" s="8">
        <v>0.0</v>
      </c>
      <c r="PL37" s="8">
        <v>0.0</v>
      </c>
      <c r="PM37" s="8">
        <v>0.0</v>
      </c>
      <c r="PN37" s="8">
        <v>0.0</v>
      </c>
      <c r="PO37" s="8">
        <v>0.0</v>
      </c>
      <c r="PP37" s="8">
        <v>1.0</v>
      </c>
      <c r="PQ37" s="8">
        <v>0.0</v>
      </c>
      <c r="PR37" s="8">
        <v>0.0</v>
      </c>
      <c r="PS37" s="8">
        <v>0.0</v>
      </c>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8">
        <v>3.0</v>
      </c>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t="s">
        <v>901</v>
      </c>
      <c r="UB37" s="9"/>
      <c r="UC37" s="9"/>
      <c r="UD37" s="9"/>
      <c r="UE37" s="9"/>
      <c r="UF37" s="9"/>
      <c r="UG37" s="9"/>
      <c r="UH37" s="9"/>
      <c r="UI37" s="9" t="s">
        <v>950</v>
      </c>
      <c r="UJ37" s="9"/>
      <c r="UK37" s="9"/>
      <c r="UL37" s="9"/>
      <c r="UM37" s="9"/>
      <c r="UN37" s="9"/>
      <c r="UO37" s="9"/>
      <c r="UP37" s="9"/>
      <c r="UQ37" s="9" t="s">
        <v>1158</v>
      </c>
      <c r="UR37" s="9"/>
      <c r="US37" s="9"/>
      <c r="UT37" s="9"/>
      <c r="UU37" s="9"/>
      <c r="UV37" s="9"/>
      <c r="UW37" s="9"/>
      <c r="UX37" s="9"/>
      <c r="UY37" s="9"/>
      <c r="UZ37" s="9"/>
      <c r="VA37" s="9"/>
      <c r="VB37" s="9"/>
      <c r="VC37" s="9"/>
      <c r="VD37" s="9"/>
      <c r="VE37" s="9"/>
      <c r="VF37" s="9"/>
      <c r="VG37" s="9"/>
      <c r="VH37" s="9"/>
      <c r="VI37" s="9"/>
      <c r="VJ37" s="9"/>
      <c r="VK37" s="9" t="s">
        <v>1303</v>
      </c>
      <c r="VL37" s="8">
        <v>0.0</v>
      </c>
      <c r="VM37" s="8">
        <v>0.0</v>
      </c>
      <c r="VN37" s="8">
        <v>0.0</v>
      </c>
      <c r="VO37" s="8">
        <v>1.0</v>
      </c>
      <c r="VP37" s="8">
        <v>1.0</v>
      </c>
      <c r="VQ37" s="8">
        <v>0.0</v>
      </c>
      <c r="VR37" s="8">
        <v>0.0</v>
      </c>
      <c r="VS37" s="8">
        <v>0.0</v>
      </c>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8">
        <v>2.0</v>
      </c>
      <c r="ZC37" s="9"/>
      <c r="ZD37" s="9"/>
      <c r="ZE37" s="9"/>
      <c r="ZF37" s="9"/>
      <c r="ZG37" s="9"/>
      <c r="ZH37" s="9"/>
      <c r="ZI37" s="9"/>
      <c r="ZJ37" s="9" t="s">
        <v>1186</v>
      </c>
      <c r="ZK37" s="9"/>
      <c r="ZL37" s="9"/>
      <c r="ZM37" s="9"/>
      <c r="ZN37" s="9"/>
      <c r="ZO37" s="9"/>
      <c r="ZP37" s="9"/>
      <c r="ZQ37" s="9" t="s">
        <v>857</v>
      </c>
      <c r="ZR37" s="9" t="s">
        <v>1033</v>
      </c>
      <c r="ZS37" s="8">
        <v>1.0</v>
      </c>
      <c r="ZT37" s="8">
        <v>1.0</v>
      </c>
      <c r="ZU37" s="8">
        <v>50.0</v>
      </c>
      <c r="ZV37" s="8">
        <v>50.0</v>
      </c>
      <c r="ZW37" s="9" t="s">
        <v>857</v>
      </c>
      <c r="ZX37" s="9" t="s">
        <v>867</v>
      </c>
      <c r="ZY37" s="9" t="s">
        <v>952</v>
      </c>
      <c r="ZZ37" s="8">
        <v>0.0</v>
      </c>
      <c r="AAA37" s="8">
        <v>0.0</v>
      </c>
      <c r="AAB37" s="8">
        <v>0.0</v>
      </c>
      <c r="AAC37" s="8">
        <v>1.0</v>
      </c>
      <c r="AAD37" s="8">
        <v>1.0</v>
      </c>
      <c r="AAE37" s="8">
        <v>0.0</v>
      </c>
      <c r="AAF37" s="8">
        <v>0.0</v>
      </c>
      <c r="AAG37" s="9"/>
      <c r="AAH37" s="9"/>
      <c r="AAI37" s="9"/>
      <c r="AAJ37" s="9"/>
      <c r="AAK37" s="9"/>
      <c r="AAL37" s="9"/>
      <c r="AAM37" s="9"/>
      <c r="AAN37" s="9"/>
      <c r="AAO37" s="9"/>
      <c r="AAP37" s="9"/>
      <c r="AAQ37" s="9"/>
      <c r="AAR37" s="9"/>
      <c r="AAS37" s="9"/>
      <c r="AAT37" s="9"/>
      <c r="AAU37" s="9"/>
      <c r="AAV37" s="11" t="s">
        <v>953</v>
      </c>
      <c r="AAW37" s="9" t="s">
        <v>1075</v>
      </c>
      <c r="AAX37" s="9"/>
      <c r="AAY37" s="8">
        <v>2000.0</v>
      </c>
      <c r="AAZ37" s="9"/>
      <c r="ABA37" s="9"/>
      <c r="ABB37" s="9"/>
      <c r="ABC37" s="9"/>
      <c r="ABD37" s="9"/>
      <c r="ABE37" s="9"/>
      <c r="ABF37" s="9"/>
      <c r="ABG37" s="9"/>
      <c r="ABH37" s="9"/>
      <c r="ABI37" s="9"/>
      <c r="ABJ37" s="9"/>
      <c r="ABK37" s="9"/>
      <c r="ABL37" s="9"/>
      <c r="ABM37" s="9"/>
      <c r="ABN37" s="9"/>
      <c r="ABO37" s="9"/>
      <c r="ABP37" s="9" t="s">
        <v>1215</v>
      </c>
      <c r="ABQ37" s="8">
        <v>0.0</v>
      </c>
      <c r="ABR37" s="8">
        <v>1.0</v>
      </c>
      <c r="ABS37" s="8">
        <v>0.0</v>
      </c>
      <c r="ABT37" s="8">
        <v>1.0</v>
      </c>
      <c r="ABU37" s="8">
        <v>0.0</v>
      </c>
      <c r="ABV37" s="8">
        <v>0.0</v>
      </c>
      <c r="ABW37" s="8">
        <v>0.0</v>
      </c>
      <c r="ABX37" s="9"/>
      <c r="ABY37" s="9" t="s">
        <v>912</v>
      </c>
      <c r="ABZ37" s="9" t="s">
        <v>1050</v>
      </c>
      <c r="ACA37" s="9" t="s">
        <v>957</v>
      </c>
      <c r="ACB37" s="9" t="s">
        <v>915</v>
      </c>
      <c r="ACC37" s="9" t="s">
        <v>916</v>
      </c>
      <c r="ACD37" s="9" t="s">
        <v>1017</v>
      </c>
      <c r="ACE37" s="8">
        <v>1.0</v>
      </c>
      <c r="ACF37" s="8">
        <v>1.0</v>
      </c>
      <c r="ACG37" s="8">
        <v>1.0</v>
      </c>
      <c r="ACH37" s="8">
        <v>0.0</v>
      </c>
      <c r="ACI37" s="9" t="s">
        <v>1187</v>
      </c>
      <c r="ACJ37" s="9" t="s">
        <v>1187</v>
      </c>
      <c r="ACK37" s="9" t="s">
        <v>1187</v>
      </c>
      <c r="ACL37" s="9" t="s">
        <v>1187</v>
      </c>
      <c r="ACM37" s="9" t="s">
        <v>881</v>
      </c>
      <c r="ACN37" s="9"/>
      <c r="ACO37" s="9" t="s">
        <v>1187</v>
      </c>
      <c r="ACP37" s="9"/>
      <c r="ACQ37" s="9"/>
      <c r="ACR37" s="9"/>
      <c r="ACS37" s="9"/>
      <c r="ACT37" s="9"/>
      <c r="ACU37" s="9"/>
      <c r="ACV37" s="9"/>
      <c r="ACW37" s="9"/>
      <c r="ACX37" s="9"/>
      <c r="ACY37" s="9"/>
      <c r="ACZ37" s="9" t="s">
        <v>919</v>
      </c>
      <c r="ADA37" s="8">
        <v>0.0</v>
      </c>
      <c r="ADB37" s="8">
        <v>0.0</v>
      </c>
      <c r="ADC37" s="8">
        <v>0.0</v>
      </c>
      <c r="ADD37" s="8">
        <v>0.0</v>
      </c>
      <c r="ADE37" s="8">
        <v>1.0</v>
      </c>
      <c r="ADF37" s="8">
        <v>0.0</v>
      </c>
      <c r="ADG37" s="8">
        <v>0.0</v>
      </c>
      <c r="ADH37" s="8">
        <v>0.0</v>
      </c>
      <c r="ADI37" s="12"/>
      <c r="ADJ37" s="17" t="s">
        <v>872</v>
      </c>
      <c r="ADK37" s="9"/>
      <c r="ADL37" s="17" t="s">
        <v>920</v>
      </c>
      <c r="ADM37" s="9"/>
      <c r="ADN37" s="11" t="s">
        <v>999</v>
      </c>
      <c r="ADO37" s="9" t="s">
        <v>871</v>
      </c>
      <c r="ADP37" s="17" t="s">
        <v>1108</v>
      </c>
      <c r="ADQ37" s="18">
        <v>1.0</v>
      </c>
      <c r="ADR37" s="18">
        <v>1.0</v>
      </c>
      <c r="ADS37" s="18">
        <v>1.0</v>
      </c>
      <c r="ADT37" s="18">
        <v>1.0</v>
      </c>
      <c r="ADU37" s="18">
        <v>1.0</v>
      </c>
      <c r="ADV37" s="18">
        <v>1.0</v>
      </c>
      <c r="ADW37" s="18">
        <v>1.0</v>
      </c>
      <c r="ADX37" s="18">
        <v>1.0</v>
      </c>
      <c r="ADY37" s="18">
        <v>1.0</v>
      </c>
      <c r="ADZ37" s="18">
        <v>0.0</v>
      </c>
      <c r="AEA37" s="18">
        <v>0.0</v>
      </c>
      <c r="AEB37" s="18">
        <v>0.0</v>
      </c>
      <c r="AEC37" s="9"/>
      <c r="AED37" s="9" t="s">
        <v>923</v>
      </c>
      <c r="AEE37" s="9"/>
      <c r="AEF37" s="9" t="s">
        <v>1188</v>
      </c>
      <c r="AEG37" s="9"/>
      <c r="AEH37" s="9" t="s">
        <v>1334</v>
      </c>
      <c r="AEI37" s="16" t="s">
        <v>1335</v>
      </c>
      <c r="AEJ37" s="9" t="s">
        <v>1336</v>
      </c>
      <c r="AEK37" s="16" t="s">
        <v>1337</v>
      </c>
      <c r="AEL37" s="9" t="s">
        <v>1137</v>
      </c>
      <c r="AEM37" s="9"/>
      <c r="AEN37" s="9"/>
    </row>
    <row r="38">
      <c r="A38" s="6">
        <v>46060.0</v>
      </c>
      <c r="B38" s="6">
        <v>46060.0</v>
      </c>
      <c r="C38" s="7" t="s">
        <v>837</v>
      </c>
      <c r="D38" s="7" t="s">
        <v>1338</v>
      </c>
      <c r="E38" s="8">
        <f>+6282136818933</f>
        <v>6282136818933</v>
      </c>
      <c r="F38" s="9"/>
      <c r="G38" s="8">
        <v>-7.23188412</v>
      </c>
      <c r="H38" s="8">
        <v>110.2828956</v>
      </c>
      <c r="I38" s="9"/>
      <c r="J38" s="8">
        <v>4.6</v>
      </c>
      <c r="K38" s="9"/>
      <c r="L38" s="9"/>
      <c r="M38" s="8">
        <v>-7.23239388</v>
      </c>
      <c r="N38" s="8">
        <v>110.2828716</v>
      </c>
      <c r="O38" s="9"/>
      <c r="P38" s="8">
        <v>3.4</v>
      </c>
      <c r="Q38" s="9"/>
      <c r="R38" s="9" t="s">
        <v>839</v>
      </c>
      <c r="S38" s="9"/>
      <c r="T38" s="9"/>
      <c r="U38" s="9"/>
      <c r="V38" s="9"/>
      <c r="W38" s="9"/>
      <c r="X38" s="9"/>
      <c r="Y38" s="9"/>
      <c r="Z38" s="9"/>
      <c r="AA38" s="9"/>
      <c r="AB38" s="9"/>
      <c r="AC38" s="7" t="s">
        <v>1175</v>
      </c>
      <c r="AD38" s="7" t="s">
        <v>1176</v>
      </c>
      <c r="AE38" s="7" t="s">
        <v>1252</v>
      </c>
      <c r="AF38" s="9" t="s">
        <v>1178</v>
      </c>
      <c r="AG38" s="9" t="s">
        <v>1339</v>
      </c>
      <c r="AH38" s="8">
        <v>2.0</v>
      </c>
      <c r="AI38" s="9" t="s">
        <v>845</v>
      </c>
      <c r="AJ38" s="9" t="s">
        <v>846</v>
      </c>
      <c r="AK38" s="8">
        <v>55.0</v>
      </c>
      <c r="AL38" s="9" t="s">
        <v>847</v>
      </c>
      <c r="AM38" s="9" t="s">
        <v>1098</v>
      </c>
      <c r="AN38" s="9" t="s">
        <v>849</v>
      </c>
      <c r="AO38" s="9" t="s">
        <v>850</v>
      </c>
      <c r="AP38" s="8">
        <v>1.0</v>
      </c>
      <c r="AQ38" s="8">
        <v>0.0</v>
      </c>
      <c r="AR38" s="8">
        <v>0.0</v>
      </c>
      <c r="AS38" s="8">
        <v>0.0</v>
      </c>
      <c r="AT38" s="8">
        <v>0.0</v>
      </c>
      <c r="AU38" s="8">
        <v>0.0</v>
      </c>
      <c r="AV38" s="8">
        <v>0.0</v>
      </c>
      <c r="AW38" s="8">
        <v>0.0</v>
      </c>
      <c r="AX38" s="9"/>
      <c r="AY38" s="9" t="s">
        <v>935</v>
      </c>
      <c r="AZ38" s="8">
        <v>0.0</v>
      </c>
      <c r="BA38" s="8">
        <v>1.0</v>
      </c>
      <c r="BB38" s="8">
        <v>0.0</v>
      </c>
      <c r="BC38" s="8">
        <v>0.0</v>
      </c>
      <c r="BD38" s="8">
        <v>0.0</v>
      </c>
      <c r="BE38" s="8">
        <v>0.0</v>
      </c>
      <c r="BF38" s="8">
        <v>0.0</v>
      </c>
      <c r="BG38" s="8">
        <v>0.0</v>
      </c>
      <c r="BH38" s="9"/>
      <c r="BI38" s="9" t="s">
        <v>852</v>
      </c>
      <c r="BJ38" s="8">
        <v>2.0</v>
      </c>
      <c r="BK38" s="8">
        <v>2.0</v>
      </c>
      <c r="BL38" s="8">
        <v>1.0</v>
      </c>
      <c r="BM38" s="8">
        <v>0.0</v>
      </c>
      <c r="BN38" s="9" t="s">
        <v>853</v>
      </c>
      <c r="BO38" s="9" t="s">
        <v>854</v>
      </c>
      <c r="BP38" s="8">
        <v>1.0</v>
      </c>
      <c r="BQ38" s="8">
        <v>0.0</v>
      </c>
      <c r="BR38" s="8">
        <v>0.0</v>
      </c>
      <c r="BS38" s="8">
        <v>0.0</v>
      </c>
      <c r="BT38" s="8">
        <v>0.0</v>
      </c>
      <c r="BU38" s="9"/>
      <c r="BV38" s="9" t="s">
        <v>1254</v>
      </c>
      <c r="BW38" s="8">
        <v>0.0</v>
      </c>
      <c r="BX38" s="8">
        <v>1.0</v>
      </c>
      <c r="BY38" s="8">
        <v>0.0</v>
      </c>
      <c r="BZ38" s="8">
        <v>0.0</v>
      </c>
      <c r="CA38" s="8">
        <v>0.0</v>
      </c>
      <c r="CB38" s="9"/>
      <c r="CC38" s="9" t="s">
        <v>856</v>
      </c>
      <c r="CD38" s="8">
        <v>0.0</v>
      </c>
      <c r="CE38" s="8">
        <v>0.0</v>
      </c>
      <c r="CF38" s="8">
        <v>0.0</v>
      </c>
      <c r="CG38" s="8">
        <v>0.0</v>
      </c>
      <c r="CH38" s="8">
        <v>0.0</v>
      </c>
      <c r="CI38" s="8">
        <v>1.0</v>
      </c>
      <c r="CJ38" s="8">
        <v>0.0</v>
      </c>
      <c r="CK38" s="9"/>
      <c r="CL38" s="9" t="s">
        <v>857</v>
      </c>
      <c r="CM38" s="8">
        <v>2024.0</v>
      </c>
      <c r="CN38" s="9" t="s">
        <v>858</v>
      </c>
      <c r="CO38" s="9" t="s">
        <v>859</v>
      </c>
      <c r="CP38" s="9" t="s">
        <v>860</v>
      </c>
      <c r="CQ38" s="8">
        <v>0.0</v>
      </c>
      <c r="CR38" s="8">
        <v>0.0</v>
      </c>
      <c r="CS38" s="8">
        <v>0.0</v>
      </c>
      <c r="CT38" s="8">
        <v>0.0</v>
      </c>
      <c r="CU38" s="10">
        <v>1.0</v>
      </c>
      <c r="CV38" s="10">
        <v>0.0</v>
      </c>
      <c r="CW38" s="10">
        <v>0.0</v>
      </c>
      <c r="CX38" s="8">
        <v>0.0</v>
      </c>
      <c r="CY38" s="9" t="s">
        <v>860</v>
      </c>
      <c r="CZ38" s="8">
        <v>1.0</v>
      </c>
      <c r="DA38" s="8">
        <v>0.0</v>
      </c>
      <c r="DB38" s="8">
        <v>0.0</v>
      </c>
      <c r="DC38" s="9"/>
      <c r="DD38" s="9" t="s">
        <v>937</v>
      </c>
      <c r="DE38" s="8">
        <v>1.0</v>
      </c>
      <c r="DF38" s="8">
        <v>0.0</v>
      </c>
      <c r="DG38" s="8">
        <v>1.0</v>
      </c>
      <c r="DH38" s="8">
        <v>0.0</v>
      </c>
      <c r="DI38" s="9"/>
      <c r="DJ38" s="9" t="s">
        <v>937</v>
      </c>
      <c r="DK38" s="8">
        <v>1.0</v>
      </c>
      <c r="DL38" s="8">
        <v>0.0</v>
      </c>
      <c r="DM38" s="8">
        <v>1.0</v>
      </c>
      <c r="DN38" s="8">
        <v>0.0</v>
      </c>
      <c r="DO38" s="9"/>
      <c r="DP38" s="8">
        <v>1.0</v>
      </c>
      <c r="DQ38" s="8">
        <v>0.0</v>
      </c>
      <c r="DR38" s="8">
        <v>0.0</v>
      </c>
      <c r="DS38" s="9"/>
      <c r="DT38" s="9"/>
      <c r="DU38" s="9"/>
      <c r="DV38" s="9" t="s">
        <v>857</v>
      </c>
      <c r="DW38" s="9"/>
      <c r="DX38" s="9"/>
      <c r="DY38" s="9"/>
      <c r="DZ38" s="9"/>
      <c r="EA38" s="9"/>
      <c r="EB38" s="9"/>
      <c r="EC38" s="9"/>
      <c r="ED38" s="9"/>
      <c r="EE38" s="9"/>
      <c r="EF38" s="9"/>
      <c r="EG38" s="9"/>
      <c r="EH38" s="9"/>
      <c r="EI38" s="9" t="s">
        <v>862</v>
      </c>
      <c r="EJ38" s="8">
        <v>0.0</v>
      </c>
      <c r="EK38" s="8">
        <v>0.0</v>
      </c>
      <c r="EL38" s="8">
        <v>0.0</v>
      </c>
      <c r="EM38" s="8">
        <v>1.0</v>
      </c>
      <c r="EN38" s="8">
        <v>0.0</v>
      </c>
      <c r="EO38" s="11"/>
      <c r="EP38" s="9" t="s">
        <v>863</v>
      </c>
      <c r="EQ38" s="9" t="s">
        <v>864</v>
      </c>
      <c r="ER38" s="9" t="s">
        <v>861</v>
      </c>
      <c r="ES38" s="8">
        <v>1.0</v>
      </c>
      <c r="ET38" s="8">
        <v>0.0</v>
      </c>
      <c r="EU38" s="8">
        <v>0.0</v>
      </c>
      <c r="EV38" s="8">
        <v>0.0</v>
      </c>
      <c r="EW38" s="9"/>
      <c r="EX38" s="9" t="s">
        <v>865</v>
      </c>
      <c r="EY38" s="8">
        <v>1.0</v>
      </c>
      <c r="EZ38" s="8">
        <v>0.0</v>
      </c>
      <c r="FA38" s="8">
        <v>0.0</v>
      </c>
      <c r="FB38" s="9"/>
      <c r="FC38" s="9" t="s">
        <v>1072</v>
      </c>
      <c r="FD38" s="9"/>
      <c r="FE38" s="9" t="s">
        <v>867</v>
      </c>
      <c r="FF38" s="9" t="s">
        <v>868</v>
      </c>
      <c r="FG38" s="9" t="s">
        <v>867</v>
      </c>
      <c r="FH38" s="9" t="s">
        <v>868</v>
      </c>
      <c r="FI38" s="9" t="s">
        <v>867</v>
      </c>
      <c r="FJ38" s="9" t="s">
        <v>868</v>
      </c>
      <c r="FK38" s="9" t="s">
        <v>867</v>
      </c>
      <c r="FL38" s="9" t="s">
        <v>868</v>
      </c>
      <c r="FM38" s="9" t="s">
        <v>867</v>
      </c>
      <c r="FN38" s="9" t="s">
        <v>943</v>
      </c>
      <c r="FO38" s="9" t="s">
        <v>867</v>
      </c>
      <c r="FP38" s="9" t="s">
        <v>943</v>
      </c>
      <c r="FQ38" s="9" t="s">
        <v>867</v>
      </c>
      <c r="FR38" s="9" t="s">
        <v>857</v>
      </c>
      <c r="FS38" s="9" t="s">
        <v>867</v>
      </c>
      <c r="FT38" s="9" t="s">
        <v>871</v>
      </c>
      <c r="FU38" s="9" t="s">
        <v>989</v>
      </c>
      <c r="FV38" s="8">
        <v>1.0</v>
      </c>
      <c r="FW38" s="8">
        <v>1.0</v>
      </c>
      <c r="FX38" s="8">
        <v>0.0</v>
      </c>
      <c r="FY38" s="8">
        <v>0.0</v>
      </c>
      <c r="FZ38" s="9" t="s">
        <v>873</v>
      </c>
      <c r="GA38" s="9" t="s">
        <v>874</v>
      </c>
      <c r="GB38" s="8">
        <v>1.0</v>
      </c>
      <c r="GC38" s="8">
        <v>0.0</v>
      </c>
      <c r="GD38" s="8">
        <v>0.0</v>
      </c>
      <c r="GE38" s="8">
        <v>0.0</v>
      </c>
      <c r="GF38" s="9"/>
      <c r="GG38" s="9" t="s">
        <v>875</v>
      </c>
      <c r="GH38" s="9" t="s">
        <v>857</v>
      </c>
      <c r="GI38" s="9" t="s">
        <v>1264</v>
      </c>
      <c r="GJ38" s="8">
        <v>0.0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857</v>
      </c>
      <c r="HA38" s="8">
        <v>20.0</v>
      </c>
      <c r="HB38" s="8">
        <v>200000.0</v>
      </c>
      <c r="HC38" s="8">
        <v>5.0</v>
      </c>
      <c r="HD38" s="8">
        <v>50000.0</v>
      </c>
      <c r="HE38" s="8">
        <v>9.0</v>
      </c>
      <c r="HF38" s="8">
        <v>75000.0</v>
      </c>
      <c r="HG38" s="8">
        <v>3.0</v>
      </c>
      <c r="HH38" s="8">
        <v>25000.0</v>
      </c>
      <c r="HI38" s="9"/>
      <c r="HJ38" s="9"/>
      <c r="HK38" s="9"/>
      <c r="HL38" s="9"/>
      <c r="HM38" s="9"/>
      <c r="HN38" s="9"/>
      <c r="HO38" s="9"/>
      <c r="HP38" s="9"/>
      <c r="HQ38" s="9"/>
      <c r="HR38" s="9"/>
      <c r="HS38" s="9"/>
      <c r="HT38" s="9"/>
      <c r="HU38" s="9"/>
      <c r="HV38" s="9"/>
      <c r="HW38" s="9"/>
      <c r="HX38" s="9"/>
      <c r="HY38" s="8">
        <v>15.0</v>
      </c>
      <c r="HZ38" s="8">
        <v>150000.0</v>
      </c>
      <c r="IA38" s="8">
        <v>6.0</v>
      </c>
      <c r="IB38" s="8">
        <v>50000.0</v>
      </c>
      <c r="IC38" s="9"/>
      <c r="ID38" s="9"/>
      <c r="IE38" s="9"/>
      <c r="IF38" s="9"/>
      <c r="IG38" s="9"/>
      <c r="IH38" s="9"/>
      <c r="II38" s="9"/>
      <c r="IJ38" s="9"/>
      <c r="IK38" s="9" t="s">
        <v>879</v>
      </c>
      <c r="IL38" s="9" t="s">
        <v>880</v>
      </c>
      <c r="IM38" s="9" t="s">
        <v>857</v>
      </c>
      <c r="IN38" s="9" t="s">
        <v>881</v>
      </c>
      <c r="IO38" s="9" t="s">
        <v>1206</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886</v>
      </c>
      <c r="KU38" s="9" t="s">
        <v>886</v>
      </c>
      <c r="KV38" s="9" t="s">
        <v>872</v>
      </c>
      <c r="KW38" s="8">
        <v>1.0</v>
      </c>
      <c r="KX38" s="8">
        <v>0.0</v>
      </c>
      <c r="KY38" s="8">
        <v>0.0</v>
      </c>
      <c r="KZ38" s="8">
        <v>0.0</v>
      </c>
      <c r="LA38" s="9" t="s">
        <v>884</v>
      </c>
      <c r="LB38" s="9" t="s">
        <v>884</v>
      </c>
      <c r="LC38" s="8">
        <v>0.0</v>
      </c>
      <c r="LD38" s="8">
        <v>3.0</v>
      </c>
      <c r="LE38" s="8">
        <v>0.0</v>
      </c>
      <c r="LF38" s="8">
        <v>3.0</v>
      </c>
      <c r="LG38" s="9" t="s">
        <v>857</v>
      </c>
      <c r="LH38" s="8">
        <v>100000.0</v>
      </c>
      <c r="LI38" s="9"/>
      <c r="LJ38" s="9" t="s">
        <v>887</v>
      </c>
      <c r="LK38" s="8">
        <v>0.0</v>
      </c>
      <c r="LL38" s="8">
        <v>0.0</v>
      </c>
      <c r="LM38" s="8">
        <v>0.0</v>
      </c>
      <c r="LN38" s="8">
        <v>0.0</v>
      </c>
      <c r="LO38" s="8">
        <v>1.0</v>
      </c>
      <c r="LP38" s="8">
        <v>0.0</v>
      </c>
      <c r="LQ38" s="8">
        <v>0.0</v>
      </c>
      <c r="LR38" s="9"/>
      <c r="LS38" s="8">
        <v>15.0</v>
      </c>
      <c r="LT38" s="8">
        <v>15.0</v>
      </c>
      <c r="LU38" s="8">
        <v>0.0</v>
      </c>
      <c r="LV38" s="8">
        <v>7.0</v>
      </c>
      <c r="LW38" s="8">
        <v>8.0</v>
      </c>
      <c r="LX38" s="8">
        <v>0.0</v>
      </c>
      <c r="LY38" s="8">
        <v>6.0</v>
      </c>
      <c r="LZ38" s="8">
        <v>6.0</v>
      </c>
      <c r="MA38" s="8">
        <v>0.0</v>
      </c>
      <c r="MB38" s="9" t="s">
        <v>857</v>
      </c>
      <c r="MC38" s="8">
        <v>30.0</v>
      </c>
      <c r="MD38" s="8">
        <v>15.0</v>
      </c>
      <c r="ME38" s="8">
        <v>30.0</v>
      </c>
      <c r="MF38" s="8">
        <v>15.0</v>
      </c>
      <c r="MG38" s="8">
        <v>0.0</v>
      </c>
      <c r="MH38" s="8">
        <v>0.0</v>
      </c>
      <c r="MI38" s="9" t="s">
        <v>946</v>
      </c>
      <c r="MJ38" s="8">
        <v>0.0</v>
      </c>
      <c r="MK38" s="8">
        <v>0.0</v>
      </c>
      <c r="ML38" s="8">
        <v>1.0</v>
      </c>
      <c r="MM38" s="8">
        <v>0.0</v>
      </c>
      <c r="MN38" s="8">
        <v>0.0</v>
      </c>
      <c r="MO38" s="8">
        <v>0.0</v>
      </c>
      <c r="MP38" s="9"/>
      <c r="MQ38" s="9"/>
      <c r="MR38" s="9" t="s">
        <v>1103</v>
      </c>
      <c r="MS38" s="9"/>
      <c r="MT38" s="9" t="s">
        <v>972</v>
      </c>
      <c r="MU38" s="9" t="s">
        <v>881</v>
      </c>
      <c r="MV38" s="9"/>
      <c r="MW38" s="9"/>
      <c r="MX38" s="9"/>
      <c r="MY38" s="9"/>
      <c r="MZ38" s="9"/>
      <c r="NA38" s="9"/>
      <c r="NB38" s="9"/>
      <c r="NC38" s="9"/>
      <c r="ND38" s="9"/>
      <c r="NE38" s="9"/>
      <c r="NF38" s="9"/>
      <c r="NG38" s="9"/>
      <c r="NH38" s="9"/>
      <c r="NI38" s="9"/>
      <c r="NJ38" s="9"/>
      <c r="NK38" s="9"/>
      <c r="NL38" s="9" t="s">
        <v>857</v>
      </c>
      <c r="NM38" s="9" t="s">
        <v>893</v>
      </c>
      <c r="NN38" s="9" t="s">
        <v>993</v>
      </c>
      <c r="NO38" s="9" t="s">
        <v>994</v>
      </c>
      <c r="NP38" s="9"/>
      <c r="NQ38" s="9"/>
      <c r="NR38" s="9"/>
      <c r="NS38" s="9"/>
      <c r="NT38" s="9"/>
      <c r="NU38" s="9"/>
      <c r="NV38" s="9" t="s">
        <v>896</v>
      </c>
      <c r="NW38" s="9"/>
      <c r="NX38" s="9" t="s">
        <v>897</v>
      </c>
      <c r="NY38" s="8">
        <v>40.0</v>
      </c>
      <c r="NZ38" s="8">
        <v>10.0</v>
      </c>
      <c r="OA38" s="8">
        <v>10.0</v>
      </c>
      <c r="OB38" s="8">
        <v>5.0</v>
      </c>
      <c r="OC38" s="8">
        <v>5.0</v>
      </c>
      <c r="OD38" s="8">
        <v>5.0</v>
      </c>
      <c r="OE38" s="9" t="s">
        <v>1180</v>
      </c>
      <c r="OF38" s="9" t="s">
        <v>1184</v>
      </c>
      <c r="OG38" s="9" t="s">
        <v>857</v>
      </c>
      <c r="OH38" s="8">
        <v>0.0</v>
      </c>
      <c r="OI38" s="8">
        <v>2.0</v>
      </c>
      <c r="OJ38" s="8">
        <v>0.0</v>
      </c>
      <c r="OK38" s="8">
        <v>0.0</v>
      </c>
      <c r="OL38" s="8">
        <v>0.0</v>
      </c>
      <c r="OM38" s="8">
        <v>0.0</v>
      </c>
      <c r="ON38" s="8">
        <v>0.0</v>
      </c>
      <c r="OO38" s="8">
        <v>0.0</v>
      </c>
      <c r="OP38" s="9" t="s">
        <v>2948</v>
      </c>
      <c r="OQ38" s="8">
        <v>0.0</v>
      </c>
      <c r="OR38" s="8">
        <v>1.0</v>
      </c>
      <c r="OS38" s="8">
        <v>0.0</v>
      </c>
      <c r="OT38" s="8">
        <v>0.0</v>
      </c>
      <c r="OU38" s="8">
        <v>0.0</v>
      </c>
      <c r="OV38" s="8">
        <v>0.0</v>
      </c>
      <c r="OW38" s="8">
        <v>0.0</v>
      </c>
      <c r="OX38" s="8">
        <v>0.0</v>
      </c>
      <c r="OY38" s="9"/>
      <c r="OZ38" s="9"/>
      <c r="PA38" s="9"/>
      <c r="PB38" s="9"/>
      <c r="PC38" s="9"/>
      <c r="PD38" s="9"/>
      <c r="PE38" s="9"/>
      <c r="PF38" s="9"/>
      <c r="PG38" s="9"/>
      <c r="PH38" s="9"/>
      <c r="PI38" s="9"/>
      <c r="PJ38" s="9" t="s">
        <v>900</v>
      </c>
      <c r="PK38" s="8">
        <v>0.0</v>
      </c>
      <c r="PL38" s="8">
        <v>0.0</v>
      </c>
      <c r="PM38" s="8">
        <v>0.0</v>
      </c>
      <c r="PN38" s="8">
        <v>0.0</v>
      </c>
      <c r="PO38" s="8">
        <v>0.0</v>
      </c>
      <c r="PP38" s="8">
        <v>1.0</v>
      </c>
      <c r="PQ38" s="8">
        <v>0.0</v>
      </c>
      <c r="PR38" s="8">
        <v>0.0</v>
      </c>
      <c r="PS38" s="8">
        <v>0.0</v>
      </c>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8">
        <v>2.0</v>
      </c>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t="s">
        <v>901</v>
      </c>
      <c r="UB38" s="9"/>
      <c r="UC38" s="9"/>
      <c r="UD38" s="9"/>
      <c r="UE38" s="9"/>
      <c r="UF38" s="9"/>
      <c r="UG38" s="9"/>
      <c r="UH38" s="9"/>
      <c r="UI38" s="9" t="s">
        <v>950</v>
      </c>
      <c r="UJ38" s="9"/>
      <c r="UK38" s="9"/>
      <c r="UL38" s="9"/>
      <c r="UM38" s="9"/>
      <c r="UN38" s="9"/>
      <c r="UO38" s="9"/>
      <c r="UP38" s="9"/>
      <c r="UQ38" s="9" t="s">
        <v>1158</v>
      </c>
      <c r="UR38" s="9"/>
      <c r="US38" s="9"/>
      <c r="UT38" s="9"/>
      <c r="UU38" s="9"/>
      <c r="UV38" s="9"/>
      <c r="UW38" s="9"/>
      <c r="UX38" s="9"/>
      <c r="UY38" s="9"/>
      <c r="UZ38" s="9"/>
      <c r="VA38" s="9"/>
      <c r="VB38" s="9"/>
      <c r="VC38" s="9"/>
      <c r="VD38" s="9"/>
      <c r="VE38" s="9"/>
      <c r="VF38" s="9"/>
      <c r="VG38" s="9"/>
      <c r="VH38" s="9"/>
      <c r="VI38" s="9"/>
      <c r="VJ38" s="9"/>
      <c r="VK38" s="9" t="s">
        <v>1340</v>
      </c>
      <c r="VL38" s="8">
        <v>0.0</v>
      </c>
      <c r="VM38" s="8">
        <v>0.0</v>
      </c>
      <c r="VN38" s="8">
        <v>1.0</v>
      </c>
      <c r="VO38" s="8">
        <v>0.0</v>
      </c>
      <c r="VP38" s="8">
        <v>1.0</v>
      </c>
      <c r="VQ38" s="8">
        <v>0.0</v>
      </c>
      <c r="VR38" s="8">
        <v>0.0</v>
      </c>
      <c r="VS38" s="8">
        <v>0.0</v>
      </c>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8">
        <v>2.0</v>
      </c>
      <c r="ZC38" s="9"/>
      <c r="ZD38" s="9"/>
      <c r="ZE38" s="9"/>
      <c r="ZF38" s="9"/>
      <c r="ZG38" s="9"/>
      <c r="ZH38" s="9"/>
      <c r="ZI38" s="9"/>
      <c r="ZJ38" s="9" t="s">
        <v>1186</v>
      </c>
      <c r="ZK38" s="9"/>
      <c r="ZL38" s="9"/>
      <c r="ZM38" s="9"/>
      <c r="ZN38" s="9"/>
      <c r="ZO38" s="9"/>
      <c r="ZP38" s="9"/>
      <c r="ZQ38" s="9" t="s">
        <v>857</v>
      </c>
      <c r="ZR38" s="9" t="s">
        <v>1033</v>
      </c>
      <c r="ZS38" s="8">
        <v>1.0</v>
      </c>
      <c r="ZT38" s="8">
        <v>1.0</v>
      </c>
      <c r="ZU38" s="8">
        <v>40.0</v>
      </c>
      <c r="ZV38" s="8">
        <v>40.0</v>
      </c>
      <c r="ZW38" s="9" t="s">
        <v>857</v>
      </c>
      <c r="ZX38" s="9" t="s">
        <v>867</v>
      </c>
      <c r="ZY38" s="9" t="s">
        <v>1287</v>
      </c>
      <c r="ZZ38" s="8">
        <v>1.0</v>
      </c>
      <c r="AAA38" s="8">
        <v>0.0</v>
      </c>
      <c r="AAB38" s="8">
        <v>0.0</v>
      </c>
      <c r="AAC38" s="8">
        <v>1.0</v>
      </c>
      <c r="AAD38" s="8">
        <v>0.0</v>
      </c>
      <c r="AAE38" s="8">
        <v>0.0</v>
      </c>
      <c r="AAF38" s="8">
        <v>0.0</v>
      </c>
      <c r="AAG38" s="9" t="s">
        <v>907</v>
      </c>
      <c r="AAH38" s="8">
        <v>1.0</v>
      </c>
      <c r="AAI38" s="8">
        <v>0.0</v>
      </c>
      <c r="AAJ38" s="8">
        <v>0.0</v>
      </c>
      <c r="AAK38" s="8">
        <v>0.0</v>
      </c>
      <c r="AAL38" s="8">
        <v>0.0</v>
      </c>
      <c r="AAM38" s="9"/>
      <c r="AAN38" s="9"/>
      <c r="AAO38" s="9"/>
      <c r="AAP38" s="9"/>
      <c r="AAQ38" s="9"/>
      <c r="AAR38" s="9"/>
      <c r="AAS38" s="9"/>
      <c r="AAT38" s="9"/>
      <c r="AAU38" s="9"/>
      <c r="AAV38" s="11" t="s">
        <v>953</v>
      </c>
      <c r="AAW38" s="9" t="s">
        <v>1075</v>
      </c>
      <c r="AAX38" s="8">
        <v>2500.0</v>
      </c>
      <c r="AAY38" s="8">
        <v>300.0</v>
      </c>
      <c r="AAZ38" s="8">
        <v>40.0</v>
      </c>
      <c r="ABA38" s="8">
        <v>40.0</v>
      </c>
      <c r="ABB38" s="9" t="s">
        <v>1199</v>
      </c>
      <c r="ABC38" s="9"/>
      <c r="ABD38" s="8">
        <v>4000.0</v>
      </c>
      <c r="ABE38" s="8">
        <v>4000.0</v>
      </c>
      <c r="ABF38" s="8">
        <v>0.0</v>
      </c>
      <c r="ABG38" s="8">
        <v>4000.0</v>
      </c>
      <c r="ABH38" s="8">
        <v>400.0</v>
      </c>
      <c r="ABI38" s="8">
        <v>500.0</v>
      </c>
      <c r="ABJ38" s="9" t="s">
        <v>857</v>
      </c>
      <c r="ABK38" s="9" t="s">
        <v>911</v>
      </c>
      <c r="ABL38" s="9" t="s">
        <v>911</v>
      </c>
      <c r="ABM38" s="9" t="s">
        <v>911</v>
      </c>
      <c r="ABN38" s="9"/>
      <c r="ABO38" s="9"/>
      <c r="ABP38" s="9" t="s">
        <v>1215</v>
      </c>
      <c r="ABQ38" s="8">
        <v>0.0</v>
      </c>
      <c r="ABR38" s="8">
        <v>1.0</v>
      </c>
      <c r="ABS38" s="8">
        <v>0.0</v>
      </c>
      <c r="ABT38" s="8">
        <v>1.0</v>
      </c>
      <c r="ABU38" s="8">
        <v>0.0</v>
      </c>
      <c r="ABV38" s="8">
        <v>0.0</v>
      </c>
      <c r="ABW38" s="8">
        <v>0.0</v>
      </c>
      <c r="ABX38" s="9"/>
      <c r="ABY38" s="9" t="s">
        <v>912</v>
      </c>
      <c r="ABZ38" s="9" t="s">
        <v>1050</v>
      </c>
      <c r="ACA38" s="9" t="s">
        <v>957</v>
      </c>
      <c r="ACB38" s="9" t="s">
        <v>915</v>
      </c>
      <c r="ACC38" s="9" t="s">
        <v>916</v>
      </c>
      <c r="ACD38" s="9" t="s">
        <v>1017</v>
      </c>
      <c r="ACE38" s="8">
        <v>1.0</v>
      </c>
      <c r="ACF38" s="8">
        <v>1.0</v>
      </c>
      <c r="ACG38" s="8">
        <v>1.0</v>
      </c>
      <c r="ACH38" s="8">
        <v>0.0</v>
      </c>
      <c r="ACI38" s="9" t="s">
        <v>1187</v>
      </c>
      <c r="ACJ38" s="9" t="s">
        <v>1187</v>
      </c>
      <c r="ACK38" s="9" t="s">
        <v>1187</v>
      </c>
      <c r="ACL38" s="9" t="s">
        <v>1187</v>
      </c>
      <c r="ACM38" s="9" t="s">
        <v>881</v>
      </c>
      <c r="ACN38" s="9"/>
      <c r="ACO38" s="9" t="s">
        <v>1187</v>
      </c>
      <c r="ACP38" s="9"/>
      <c r="ACQ38" s="9"/>
      <c r="ACR38" s="9"/>
      <c r="ACS38" s="9"/>
      <c r="ACT38" s="9"/>
      <c r="ACU38" s="9"/>
      <c r="ACV38" s="9"/>
      <c r="ACW38" s="9"/>
      <c r="ACX38" s="9"/>
      <c r="ACY38" s="9"/>
      <c r="ACZ38" s="9" t="s">
        <v>919</v>
      </c>
      <c r="ADA38" s="8">
        <v>0.0</v>
      </c>
      <c r="ADB38" s="8">
        <v>0.0</v>
      </c>
      <c r="ADC38" s="8">
        <v>0.0</v>
      </c>
      <c r="ADD38" s="8">
        <v>0.0</v>
      </c>
      <c r="ADE38" s="8">
        <v>1.0</v>
      </c>
      <c r="ADF38" s="8">
        <v>0.0</v>
      </c>
      <c r="ADG38" s="8">
        <v>0.0</v>
      </c>
      <c r="ADH38" s="8">
        <v>0.0</v>
      </c>
      <c r="ADI38" s="12"/>
      <c r="ADJ38" s="17" t="s">
        <v>872</v>
      </c>
      <c r="ADK38" s="9"/>
      <c r="ADL38" s="17" t="s">
        <v>920</v>
      </c>
      <c r="ADM38" s="9"/>
      <c r="ADN38" s="11" t="s">
        <v>999</v>
      </c>
      <c r="ADO38" s="9" t="s">
        <v>871</v>
      </c>
      <c r="ADP38" s="17" t="s">
        <v>1108</v>
      </c>
      <c r="ADQ38" s="18">
        <v>1.0</v>
      </c>
      <c r="ADR38" s="18">
        <v>1.0</v>
      </c>
      <c r="ADS38" s="18">
        <v>1.0</v>
      </c>
      <c r="ADT38" s="18">
        <v>1.0</v>
      </c>
      <c r="ADU38" s="18">
        <v>1.0</v>
      </c>
      <c r="ADV38" s="18">
        <v>1.0</v>
      </c>
      <c r="ADW38" s="18">
        <v>1.0</v>
      </c>
      <c r="ADX38" s="18">
        <v>1.0</v>
      </c>
      <c r="ADY38" s="18">
        <v>1.0</v>
      </c>
      <c r="ADZ38" s="18">
        <v>0.0</v>
      </c>
      <c r="AEA38" s="18">
        <v>0.0</v>
      </c>
      <c r="AEB38" s="18">
        <v>0.0</v>
      </c>
      <c r="AEC38" s="9"/>
      <c r="AED38" s="9" t="s">
        <v>923</v>
      </c>
      <c r="AEE38" s="9"/>
      <c r="AEF38" s="9" t="s">
        <v>1188</v>
      </c>
      <c r="AEG38" s="9"/>
      <c r="AEH38" s="9" t="s">
        <v>1341</v>
      </c>
      <c r="AEI38" s="16" t="s">
        <v>1342</v>
      </c>
      <c r="AEJ38" s="9" t="s">
        <v>1343</v>
      </c>
      <c r="AEK38" s="16" t="s">
        <v>1344</v>
      </c>
      <c r="AEL38" s="9" t="s">
        <v>1137</v>
      </c>
      <c r="AEM38" s="9"/>
      <c r="AEN38" s="9"/>
    </row>
    <row r="39">
      <c r="A39" s="6">
        <v>46060.0</v>
      </c>
      <c r="B39" s="6">
        <v>46061.0</v>
      </c>
      <c r="C39" s="7" t="s">
        <v>837</v>
      </c>
      <c r="D39" s="7" t="s">
        <v>1345</v>
      </c>
      <c r="E39" s="8">
        <f>+6283842087340</f>
        <v>6283842087340</v>
      </c>
      <c r="F39" s="9"/>
      <c r="G39" s="8">
        <v>-7.21221699</v>
      </c>
      <c r="H39" s="8">
        <v>110.2510938</v>
      </c>
      <c r="I39" s="9"/>
      <c r="J39" s="8">
        <v>4.08</v>
      </c>
      <c r="K39" s="9"/>
      <c r="L39" s="9"/>
      <c r="M39" s="8">
        <v>-7.21225601</v>
      </c>
      <c r="N39" s="8">
        <v>110.2511094</v>
      </c>
      <c r="O39" s="9"/>
      <c r="P39" s="8">
        <v>4.89</v>
      </c>
      <c r="Q39" s="9"/>
      <c r="R39" s="9" t="s">
        <v>839</v>
      </c>
      <c r="S39" s="9"/>
      <c r="T39" s="9"/>
      <c r="U39" s="9"/>
      <c r="V39" s="9"/>
      <c r="W39" s="9"/>
      <c r="X39" s="9"/>
      <c r="Y39" s="9"/>
      <c r="Z39" s="9"/>
      <c r="AA39" s="9"/>
      <c r="AB39" s="9"/>
      <c r="AC39" s="7" t="s">
        <v>1175</v>
      </c>
      <c r="AD39" s="7" t="s">
        <v>1176</v>
      </c>
      <c r="AE39" s="7" t="s">
        <v>1279</v>
      </c>
      <c r="AF39" s="9" t="s">
        <v>1178</v>
      </c>
      <c r="AG39" s="9" t="s">
        <v>1346</v>
      </c>
      <c r="AH39" s="8">
        <v>1.0</v>
      </c>
      <c r="AI39" s="9" t="s">
        <v>845</v>
      </c>
      <c r="AJ39" s="9" t="s">
        <v>846</v>
      </c>
      <c r="AK39" s="8">
        <v>35.0</v>
      </c>
      <c r="AL39" s="9" t="s">
        <v>847</v>
      </c>
      <c r="AM39" s="9" t="s">
        <v>848</v>
      </c>
      <c r="AN39" s="9" t="s">
        <v>986</v>
      </c>
      <c r="AO39" s="9" t="s">
        <v>935</v>
      </c>
      <c r="AP39" s="8">
        <v>0.0</v>
      </c>
      <c r="AQ39" s="8">
        <v>1.0</v>
      </c>
      <c r="AR39" s="8">
        <v>0.0</v>
      </c>
      <c r="AS39" s="8">
        <v>0.0</v>
      </c>
      <c r="AT39" s="8">
        <v>0.0</v>
      </c>
      <c r="AU39" s="8">
        <v>0.0</v>
      </c>
      <c r="AV39" s="8">
        <v>0.0</v>
      </c>
      <c r="AW39" s="8">
        <v>0.0</v>
      </c>
      <c r="AX39" s="9"/>
      <c r="AY39" s="9" t="s">
        <v>850</v>
      </c>
      <c r="AZ39" s="8">
        <v>1.0</v>
      </c>
      <c r="BA39" s="8">
        <v>0.0</v>
      </c>
      <c r="BB39" s="8">
        <v>0.0</v>
      </c>
      <c r="BC39" s="8">
        <v>0.0</v>
      </c>
      <c r="BD39" s="8">
        <v>0.0</v>
      </c>
      <c r="BE39" s="8">
        <v>0.0</v>
      </c>
      <c r="BF39" s="8">
        <v>0.0</v>
      </c>
      <c r="BG39" s="8">
        <v>0.0</v>
      </c>
      <c r="BH39" s="9"/>
      <c r="BI39" s="9" t="s">
        <v>1101</v>
      </c>
      <c r="BJ39" s="8">
        <v>2.0</v>
      </c>
      <c r="BK39" s="8">
        <v>1.0</v>
      </c>
      <c r="BL39" s="8">
        <v>1.0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856</v>
      </c>
      <c r="CD39" s="8">
        <v>0.0</v>
      </c>
      <c r="CE39" s="8">
        <v>0.0</v>
      </c>
      <c r="CF39" s="8">
        <v>0.0</v>
      </c>
      <c r="CG39" s="8">
        <v>0.0</v>
      </c>
      <c r="CH39" s="8">
        <v>0.0</v>
      </c>
      <c r="CI39" s="8">
        <v>1.0</v>
      </c>
      <c r="CJ39" s="8">
        <v>0.0</v>
      </c>
      <c r="CK39" s="9"/>
      <c r="CL39" s="9" t="s">
        <v>857</v>
      </c>
      <c r="CM39" s="8">
        <v>2025.0</v>
      </c>
      <c r="CN39" s="9" t="s">
        <v>858</v>
      </c>
      <c r="CO39" s="9" t="s">
        <v>859</v>
      </c>
      <c r="CP39" s="9" t="s">
        <v>860</v>
      </c>
      <c r="CQ39" s="8">
        <v>0.0</v>
      </c>
      <c r="CR39" s="8">
        <v>0.0</v>
      </c>
      <c r="CS39" s="8">
        <v>0.0</v>
      </c>
      <c r="CT39" s="8">
        <v>0.0</v>
      </c>
      <c r="CU39" s="10">
        <v>1.0</v>
      </c>
      <c r="CV39" s="10">
        <v>0.0</v>
      </c>
      <c r="CW39" s="10">
        <v>0.0</v>
      </c>
      <c r="CX39" s="8">
        <v>0.0</v>
      </c>
      <c r="CY39" s="9" t="s">
        <v>860</v>
      </c>
      <c r="CZ39" s="8">
        <v>1.0</v>
      </c>
      <c r="DA39" s="8">
        <v>0.0</v>
      </c>
      <c r="DB39" s="8">
        <v>0.0</v>
      </c>
      <c r="DC39" s="9"/>
      <c r="DD39" s="9" t="s">
        <v>937</v>
      </c>
      <c r="DE39" s="8">
        <v>1.0</v>
      </c>
      <c r="DF39" s="8">
        <v>0.0</v>
      </c>
      <c r="DG39" s="8">
        <v>1.0</v>
      </c>
      <c r="DH39" s="8">
        <v>0.0</v>
      </c>
      <c r="DI39" s="9"/>
      <c r="DJ39" s="9" t="s">
        <v>937</v>
      </c>
      <c r="DK39" s="8">
        <v>1.0</v>
      </c>
      <c r="DL39" s="8">
        <v>0.0</v>
      </c>
      <c r="DM39" s="8">
        <v>1.0</v>
      </c>
      <c r="DN39" s="8">
        <v>0.0</v>
      </c>
      <c r="DO39" s="9"/>
      <c r="DP39" s="8">
        <v>1.0</v>
      </c>
      <c r="DQ39" s="8">
        <v>0.0</v>
      </c>
      <c r="DR39" s="8">
        <v>0.0</v>
      </c>
      <c r="DS39" s="9"/>
      <c r="DT39" s="9"/>
      <c r="DU39" s="9"/>
      <c r="DV39" s="9" t="s">
        <v>857</v>
      </c>
      <c r="DW39" s="9"/>
      <c r="DX39" s="9"/>
      <c r="DY39" s="9"/>
      <c r="DZ39" s="9"/>
      <c r="EA39" s="9"/>
      <c r="EB39" s="9"/>
      <c r="EC39" s="9"/>
      <c r="ED39" s="9"/>
      <c r="EE39" s="9"/>
      <c r="EF39" s="9"/>
      <c r="EG39" s="9"/>
      <c r="EH39" s="9"/>
      <c r="EI39" s="9" t="s">
        <v>862</v>
      </c>
      <c r="EJ39" s="8">
        <v>0.0</v>
      </c>
      <c r="EK39" s="8">
        <v>0.0</v>
      </c>
      <c r="EL39" s="8">
        <v>0.0</v>
      </c>
      <c r="EM39" s="8">
        <v>1.0</v>
      </c>
      <c r="EN39" s="8">
        <v>0.0</v>
      </c>
      <c r="EO39" s="11"/>
      <c r="EP39" s="9" t="s">
        <v>863</v>
      </c>
      <c r="EQ39" s="9" t="s">
        <v>864</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868</v>
      </c>
      <c r="FI39" s="9" t="s">
        <v>867</v>
      </c>
      <c r="FJ39" s="9" t="s">
        <v>868</v>
      </c>
      <c r="FK39" s="9" t="s">
        <v>867</v>
      </c>
      <c r="FL39" s="9" t="s">
        <v>869</v>
      </c>
      <c r="FM39" s="9" t="s">
        <v>867</v>
      </c>
      <c r="FN39" s="9" t="s">
        <v>943</v>
      </c>
      <c r="FO39" s="9" t="s">
        <v>867</v>
      </c>
      <c r="FP39" s="9" t="s">
        <v>869</v>
      </c>
      <c r="FQ39" s="9" t="s">
        <v>867</v>
      </c>
      <c r="FR39" s="9" t="s">
        <v>857</v>
      </c>
      <c r="FS39" s="9" t="s">
        <v>867</v>
      </c>
      <c r="FT39" s="9" t="s">
        <v>871</v>
      </c>
      <c r="FU39" s="9" t="s">
        <v>872</v>
      </c>
      <c r="FV39" s="8">
        <v>1.0</v>
      </c>
      <c r="FW39" s="8">
        <v>0.0</v>
      </c>
      <c r="FX39" s="8">
        <v>0.0</v>
      </c>
      <c r="FY39" s="8">
        <v>0.0</v>
      </c>
      <c r="FZ39" s="9" t="s">
        <v>873</v>
      </c>
      <c r="GA39" s="9" t="s">
        <v>874</v>
      </c>
      <c r="GB39" s="8">
        <v>1.0</v>
      </c>
      <c r="GC39" s="8">
        <v>0.0</v>
      </c>
      <c r="GD39" s="8">
        <v>0.0</v>
      </c>
      <c r="GE39" s="8">
        <v>0.0</v>
      </c>
      <c r="GF39" s="9"/>
      <c r="GG39" s="9" t="s">
        <v>875</v>
      </c>
      <c r="GH39" s="9" t="s">
        <v>857</v>
      </c>
      <c r="GI39" s="9" t="s">
        <v>1086</v>
      </c>
      <c r="GJ39" s="8">
        <v>1.0</v>
      </c>
      <c r="GK39" s="8">
        <v>1.0</v>
      </c>
      <c r="GL39" s="8">
        <v>0.0</v>
      </c>
      <c r="GM39" s="8">
        <v>0.0</v>
      </c>
      <c r="GN39" s="9"/>
      <c r="GO39" s="8">
        <v>10.0</v>
      </c>
      <c r="GP39" s="9" t="s">
        <v>877</v>
      </c>
      <c r="GQ39" s="9" t="s">
        <v>878</v>
      </c>
      <c r="GR39" s="8">
        <v>1.0</v>
      </c>
      <c r="GS39" s="8">
        <v>1.0</v>
      </c>
      <c r="GT39" s="8">
        <v>0.0</v>
      </c>
      <c r="GU39" s="8">
        <v>0.0</v>
      </c>
      <c r="GV39" s="8">
        <v>0.0</v>
      </c>
      <c r="GW39" s="8">
        <v>0.0</v>
      </c>
      <c r="GX39" s="8">
        <v>0.0</v>
      </c>
      <c r="GY39" s="9"/>
      <c r="GZ39" s="9" t="s">
        <v>857</v>
      </c>
      <c r="HA39" s="8">
        <v>40.0</v>
      </c>
      <c r="HB39" s="8">
        <v>400000.0</v>
      </c>
      <c r="HC39" s="8">
        <v>5.0</v>
      </c>
      <c r="HD39" s="8">
        <v>50000.0</v>
      </c>
      <c r="HE39" s="8">
        <v>12.0</v>
      </c>
      <c r="HF39" s="8">
        <v>100000.0</v>
      </c>
      <c r="HG39" s="8">
        <v>3.0</v>
      </c>
      <c r="HH39" s="8">
        <v>25000.0</v>
      </c>
      <c r="HI39" s="9"/>
      <c r="HJ39" s="9"/>
      <c r="HK39" s="9"/>
      <c r="HL39" s="9"/>
      <c r="HM39" s="9"/>
      <c r="HN39" s="9"/>
      <c r="HO39" s="9"/>
      <c r="HP39" s="9"/>
      <c r="HQ39" s="9"/>
      <c r="HR39" s="9"/>
      <c r="HS39" s="9"/>
      <c r="HT39" s="9"/>
      <c r="HU39" s="9"/>
      <c r="HV39" s="9"/>
      <c r="HW39" s="9"/>
      <c r="HX39" s="9"/>
      <c r="HY39" s="8">
        <v>35.0</v>
      </c>
      <c r="HZ39" s="8">
        <v>350000.0</v>
      </c>
      <c r="IA39" s="8">
        <v>9.0</v>
      </c>
      <c r="IB39" s="8">
        <v>75000.0</v>
      </c>
      <c r="IC39" s="9"/>
      <c r="ID39" s="9"/>
      <c r="IE39" s="9"/>
      <c r="IF39" s="9"/>
      <c r="IG39" s="9"/>
      <c r="IH39" s="9"/>
      <c r="II39" s="9"/>
      <c r="IJ39" s="9"/>
      <c r="IK39" s="9" t="s">
        <v>879</v>
      </c>
      <c r="IL39" s="9" t="s">
        <v>880</v>
      </c>
      <c r="IM39" s="9" t="s">
        <v>857</v>
      </c>
      <c r="IN39" s="9" t="s">
        <v>881</v>
      </c>
      <c r="IO39" s="9" t="s">
        <v>1206</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1180</v>
      </c>
      <c r="KT39" s="9" t="s">
        <v>886</v>
      </c>
      <c r="KU39" s="9" t="s">
        <v>886</v>
      </c>
      <c r="KV39" s="9" t="s">
        <v>999</v>
      </c>
      <c r="KW39" s="8">
        <v>0.0</v>
      </c>
      <c r="KX39" s="8">
        <v>0.0</v>
      </c>
      <c r="KY39" s="8">
        <v>0.0</v>
      </c>
      <c r="KZ39" s="8">
        <v>1.0</v>
      </c>
      <c r="LA39" s="9" t="s">
        <v>884</v>
      </c>
      <c r="LB39" s="9" t="s">
        <v>1180</v>
      </c>
      <c r="LC39" s="8">
        <v>3.0</v>
      </c>
      <c r="LD39" s="8">
        <v>3.0</v>
      </c>
      <c r="LE39" s="8">
        <v>0.0</v>
      </c>
      <c r="LF39" s="8">
        <v>1.0</v>
      </c>
      <c r="LG39" s="9" t="s">
        <v>857</v>
      </c>
      <c r="LH39" s="8">
        <v>300000.0</v>
      </c>
      <c r="LI39" s="9"/>
      <c r="LJ39" s="9" t="s">
        <v>887</v>
      </c>
      <c r="LK39" s="8">
        <v>0.0</v>
      </c>
      <c r="LL39" s="8">
        <v>0.0</v>
      </c>
      <c r="LM39" s="8">
        <v>0.0</v>
      </c>
      <c r="LN39" s="8">
        <v>0.0</v>
      </c>
      <c r="LO39" s="8">
        <v>1.0</v>
      </c>
      <c r="LP39" s="8">
        <v>0.0</v>
      </c>
      <c r="LQ39" s="8">
        <v>0.0</v>
      </c>
      <c r="LR39" s="9"/>
      <c r="LS39" s="8">
        <v>15.0</v>
      </c>
      <c r="LT39" s="8">
        <v>0.0</v>
      </c>
      <c r="LU39" s="8">
        <v>0.0</v>
      </c>
      <c r="LV39" s="8">
        <v>5.0</v>
      </c>
      <c r="LW39" s="8">
        <v>0.0</v>
      </c>
      <c r="LX39" s="8">
        <v>0.0</v>
      </c>
      <c r="LY39" s="8">
        <v>5.0</v>
      </c>
      <c r="LZ39" s="8">
        <v>0.0</v>
      </c>
      <c r="MA39" s="8">
        <v>0.0</v>
      </c>
      <c r="MB39" s="9" t="s">
        <v>857</v>
      </c>
      <c r="MC39" s="8">
        <v>30.0</v>
      </c>
      <c r="MD39" s="8">
        <v>15.0</v>
      </c>
      <c r="ME39" s="8">
        <v>30.0</v>
      </c>
      <c r="MF39" s="8">
        <v>15.0</v>
      </c>
      <c r="MG39" s="8">
        <v>0.0</v>
      </c>
      <c r="MH39" s="8">
        <v>0.0</v>
      </c>
      <c r="MI39" s="9" t="s">
        <v>946</v>
      </c>
      <c r="MJ39" s="8">
        <v>0.0</v>
      </c>
      <c r="MK39" s="8">
        <v>0.0</v>
      </c>
      <c r="ML39" s="8">
        <v>1.0</v>
      </c>
      <c r="MM39" s="8">
        <v>0.0</v>
      </c>
      <c r="MN39" s="8">
        <v>0.0</v>
      </c>
      <c r="MO39" s="8">
        <v>0.0</v>
      </c>
      <c r="MP39" s="9"/>
      <c r="MQ39" s="9"/>
      <c r="MR39" s="9" t="s">
        <v>1182</v>
      </c>
      <c r="MS39" s="9"/>
      <c r="MT39" s="9" t="s">
        <v>972</v>
      </c>
      <c r="MU39" s="9" t="s">
        <v>881</v>
      </c>
      <c r="MV39" s="9"/>
      <c r="MW39" s="9"/>
      <c r="MX39" s="9"/>
      <c r="MY39" s="9"/>
      <c r="MZ39" s="9"/>
      <c r="NA39" s="9"/>
      <c r="NB39" s="9"/>
      <c r="NC39" s="9"/>
      <c r="ND39" s="9"/>
      <c r="NE39" s="9"/>
      <c r="NF39" s="9"/>
      <c r="NG39" s="9"/>
      <c r="NH39" s="9"/>
      <c r="NI39" s="9"/>
      <c r="NJ39" s="9"/>
      <c r="NK39" s="9"/>
      <c r="NL39" s="9" t="s">
        <v>857</v>
      </c>
      <c r="NM39" s="9" t="s">
        <v>893</v>
      </c>
      <c r="NN39" s="9" t="s">
        <v>993</v>
      </c>
      <c r="NO39" s="9" t="s">
        <v>994</v>
      </c>
      <c r="NP39" s="9"/>
      <c r="NQ39" s="9"/>
      <c r="NR39" s="9"/>
      <c r="NS39" s="9"/>
      <c r="NT39" s="9"/>
      <c r="NU39" s="9"/>
      <c r="NV39" s="9" t="s">
        <v>896</v>
      </c>
      <c r="NW39" s="9"/>
      <c r="NX39" s="9" t="s">
        <v>1183</v>
      </c>
      <c r="NY39" s="8">
        <v>40.0</v>
      </c>
      <c r="NZ39" s="8">
        <v>20.0</v>
      </c>
      <c r="OA39" s="8">
        <v>0.0</v>
      </c>
      <c r="OB39" s="8">
        <v>5.0</v>
      </c>
      <c r="OC39" s="8">
        <v>5.0</v>
      </c>
      <c r="OD39" s="8">
        <v>0.0</v>
      </c>
      <c r="OE39" s="9" t="s">
        <v>1180</v>
      </c>
      <c r="OF39" s="9" t="s">
        <v>1184</v>
      </c>
      <c r="OG39" s="9" t="s">
        <v>857</v>
      </c>
      <c r="OH39" s="8">
        <v>0.0</v>
      </c>
      <c r="OI39" s="8">
        <v>5.0</v>
      </c>
      <c r="OJ39" s="8">
        <v>0.0</v>
      </c>
      <c r="OK39" s="8">
        <v>0.0</v>
      </c>
      <c r="OL39" s="8">
        <v>0.0</v>
      </c>
      <c r="OM39" s="8">
        <v>0.0</v>
      </c>
      <c r="ON39" s="8">
        <v>0.0</v>
      </c>
      <c r="OO39" s="8">
        <v>0.0</v>
      </c>
      <c r="OP39" s="9" t="s">
        <v>2948</v>
      </c>
      <c r="OQ39" s="8">
        <v>0.0</v>
      </c>
      <c r="OR39" s="8">
        <v>1.0</v>
      </c>
      <c r="OS39" s="8">
        <v>0.0</v>
      </c>
      <c r="OT39" s="8">
        <v>0.0</v>
      </c>
      <c r="OU39" s="8">
        <v>0.0</v>
      </c>
      <c r="OV39" s="8">
        <v>0.0</v>
      </c>
      <c r="OW39" s="8">
        <v>0.0</v>
      </c>
      <c r="OX39" s="8">
        <v>0.0</v>
      </c>
      <c r="OY39" s="9"/>
      <c r="OZ39" s="9"/>
      <c r="PA39" s="9"/>
      <c r="PB39" s="9"/>
      <c r="PC39" s="9"/>
      <c r="PD39" s="9"/>
      <c r="PE39" s="9"/>
      <c r="PF39" s="9"/>
      <c r="PG39" s="9"/>
      <c r="PH39" s="9"/>
      <c r="PI39" s="9"/>
      <c r="PJ39" s="9" t="s">
        <v>900</v>
      </c>
      <c r="PK39" s="8">
        <v>0.0</v>
      </c>
      <c r="PL39" s="8">
        <v>0.0</v>
      </c>
      <c r="PM39" s="8">
        <v>0.0</v>
      </c>
      <c r="PN39" s="8">
        <v>0.0</v>
      </c>
      <c r="PO39" s="8">
        <v>0.0</v>
      </c>
      <c r="PP39" s="8">
        <v>1.0</v>
      </c>
      <c r="PQ39" s="8">
        <v>0.0</v>
      </c>
      <c r="PR39" s="8">
        <v>0.0</v>
      </c>
      <c r="PS39" s="8">
        <v>0.0</v>
      </c>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8">
        <v>5.0</v>
      </c>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t="s">
        <v>901</v>
      </c>
      <c r="UB39" s="9"/>
      <c r="UC39" s="9"/>
      <c r="UD39" s="9"/>
      <c r="UE39" s="9"/>
      <c r="UF39" s="9"/>
      <c r="UG39" s="9"/>
      <c r="UH39" s="9"/>
      <c r="UI39" s="9" t="s">
        <v>950</v>
      </c>
      <c r="UJ39" s="9"/>
      <c r="UK39" s="9"/>
      <c r="UL39" s="9"/>
      <c r="UM39" s="9"/>
      <c r="UN39" s="9"/>
      <c r="UO39" s="9"/>
      <c r="UP39" s="9"/>
      <c r="UQ39" s="9" t="s">
        <v>1158</v>
      </c>
      <c r="UR39" s="9"/>
      <c r="US39" s="9"/>
      <c r="UT39" s="9"/>
      <c r="UU39" s="9"/>
      <c r="UV39" s="9"/>
      <c r="UW39" s="9"/>
      <c r="UX39" s="9"/>
      <c r="UY39" s="9"/>
      <c r="UZ39" s="9"/>
      <c r="VA39" s="9"/>
      <c r="VB39" s="9"/>
      <c r="VC39" s="9"/>
      <c r="VD39" s="9"/>
      <c r="VE39" s="9"/>
      <c r="VF39" s="9"/>
      <c r="VG39" s="9"/>
      <c r="VH39" s="9"/>
      <c r="VI39" s="9"/>
      <c r="VJ39" s="9"/>
      <c r="VK39" s="9" t="s">
        <v>1347</v>
      </c>
      <c r="VL39" s="8">
        <v>0.0</v>
      </c>
      <c r="VM39" s="8">
        <v>1.0</v>
      </c>
      <c r="VN39" s="8">
        <v>0.0</v>
      </c>
      <c r="VO39" s="8">
        <v>0.0</v>
      </c>
      <c r="VP39" s="8">
        <v>1.0</v>
      </c>
      <c r="VQ39" s="8">
        <v>1.0</v>
      </c>
      <c r="VR39" s="8">
        <v>0.0</v>
      </c>
      <c r="VS39" s="8">
        <v>0.0</v>
      </c>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8">
        <v>60.0</v>
      </c>
      <c r="YU39" s="9"/>
      <c r="YV39" s="9"/>
      <c r="YW39" s="9"/>
      <c r="YX39" s="9"/>
      <c r="YY39" s="9"/>
      <c r="YZ39" s="9"/>
      <c r="ZA39" s="9"/>
      <c r="ZB39" s="8">
        <v>2.0</v>
      </c>
      <c r="ZC39" s="9"/>
      <c r="ZD39" s="9"/>
      <c r="ZE39" s="9"/>
      <c r="ZF39" s="9"/>
      <c r="ZG39" s="9"/>
      <c r="ZH39" s="9"/>
      <c r="ZI39" s="9"/>
      <c r="ZJ39" s="9" t="s">
        <v>905</v>
      </c>
      <c r="ZK39" s="9"/>
      <c r="ZL39" s="9"/>
      <c r="ZM39" s="9"/>
      <c r="ZN39" s="9"/>
      <c r="ZO39" s="9"/>
      <c r="ZP39" s="9"/>
      <c r="ZQ39" s="9" t="s">
        <v>857</v>
      </c>
      <c r="ZR39" s="9" t="s">
        <v>1033</v>
      </c>
      <c r="ZS39" s="8">
        <v>1.0</v>
      </c>
      <c r="ZT39" s="8">
        <v>1.0</v>
      </c>
      <c r="ZU39" s="8">
        <v>60.0</v>
      </c>
      <c r="ZV39" s="8">
        <v>60.0</v>
      </c>
      <c r="ZW39" s="9" t="s">
        <v>857</v>
      </c>
      <c r="ZX39" s="9" t="s">
        <v>867</v>
      </c>
      <c r="ZY39" s="9" t="s">
        <v>1074</v>
      </c>
      <c r="ZZ39" s="8">
        <v>1.0</v>
      </c>
      <c r="AAA39" s="8">
        <v>0.0</v>
      </c>
      <c r="AAB39" s="8">
        <v>0.0</v>
      </c>
      <c r="AAC39" s="8">
        <v>1.0</v>
      </c>
      <c r="AAD39" s="8">
        <v>1.0</v>
      </c>
      <c r="AAE39" s="8">
        <v>0.0</v>
      </c>
      <c r="AAF39" s="8">
        <v>0.0</v>
      </c>
      <c r="AAG39" s="9" t="s">
        <v>907</v>
      </c>
      <c r="AAH39" s="8">
        <v>1.0</v>
      </c>
      <c r="AAI39" s="8">
        <v>0.0</v>
      </c>
      <c r="AAJ39" s="8">
        <v>0.0</v>
      </c>
      <c r="AAK39" s="8">
        <v>0.0</v>
      </c>
      <c r="AAL39" s="8">
        <v>0.0</v>
      </c>
      <c r="AAM39" s="9"/>
      <c r="AAN39" s="9"/>
      <c r="AAO39" s="9"/>
      <c r="AAP39" s="9"/>
      <c r="AAQ39" s="9"/>
      <c r="AAR39" s="9"/>
      <c r="AAS39" s="9"/>
      <c r="AAT39" s="9"/>
      <c r="AAU39" s="9"/>
      <c r="AAV39" s="11" t="s">
        <v>953</v>
      </c>
      <c r="AAW39" s="9" t="s">
        <v>1075</v>
      </c>
      <c r="AAX39" s="8">
        <v>3500.0</v>
      </c>
      <c r="AAY39" s="8">
        <v>50.0</v>
      </c>
      <c r="AAZ39" s="8">
        <v>60.0</v>
      </c>
      <c r="ABA39" s="8">
        <v>60.0</v>
      </c>
      <c r="ABB39" s="9" t="s">
        <v>1199</v>
      </c>
      <c r="ABC39" s="9"/>
      <c r="ABD39" s="8">
        <v>50.0</v>
      </c>
      <c r="ABE39" s="8">
        <v>4000.0</v>
      </c>
      <c r="ABF39" s="8">
        <v>0.0</v>
      </c>
      <c r="ABG39" s="8">
        <v>4000.0</v>
      </c>
      <c r="ABH39" s="8">
        <v>500.0</v>
      </c>
      <c r="ABI39" s="8">
        <v>700.0</v>
      </c>
      <c r="ABJ39" s="9" t="s">
        <v>857</v>
      </c>
      <c r="ABK39" s="9" t="s">
        <v>1183</v>
      </c>
      <c r="ABL39" s="9" t="s">
        <v>1183</v>
      </c>
      <c r="ABM39" s="9" t="s">
        <v>1183</v>
      </c>
      <c r="ABN39" s="9"/>
      <c r="ABO39" s="9"/>
      <c r="ABP39" s="9" t="s">
        <v>976</v>
      </c>
      <c r="ABQ39" s="8">
        <v>0.0</v>
      </c>
      <c r="ABR39" s="8">
        <v>0.0</v>
      </c>
      <c r="ABS39" s="8">
        <v>1.0</v>
      </c>
      <c r="ABT39" s="8">
        <v>1.0</v>
      </c>
      <c r="ABU39" s="8">
        <v>0.0</v>
      </c>
      <c r="ABV39" s="8">
        <v>0.0</v>
      </c>
      <c r="ABW39" s="8">
        <v>0.0</v>
      </c>
      <c r="ABX39" s="9"/>
      <c r="ABY39" s="9" t="s">
        <v>912</v>
      </c>
      <c r="ABZ39" s="9" t="s">
        <v>1050</v>
      </c>
      <c r="ACA39" s="9" t="s">
        <v>996</v>
      </c>
      <c r="ACB39" s="9" t="s">
        <v>915</v>
      </c>
      <c r="ACC39" s="9" t="s">
        <v>1348</v>
      </c>
      <c r="ACD39" s="9" t="s">
        <v>1035</v>
      </c>
      <c r="ACE39" s="8">
        <v>1.0</v>
      </c>
      <c r="ACF39" s="8">
        <v>1.0</v>
      </c>
      <c r="ACG39" s="8">
        <v>0.0</v>
      </c>
      <c r="ACH39" s="8">
        <v>0.0</v>
      </c>
      <c r="ACI39" s="9" t="s">
        <v>1187</v>
      </c>
      <c r="ACJ39" s="9" t="s">
        <v>1187</v>
      </c>
      <c r="ACK39" s="9" t="s">
        <v>1187</v>
      </c>
      <c r="ACL39" s="9" t="s">
        <v>1187</v>
      </c>
      <c r="ACM39" s="9" t="s">
        <v>881</v>
      </c>
      <c r="ACN39" s="9"/>
      <c r="ACO39" s="9" t="s">
        <v>917</v>
      </c>
      <c r="ACP39" s="9"/>
      <c r="ACQ39" s="9"/>
      <c r="ACR39" s="9"/>
      <c r="ACS39" s="9"/>
      <c r="ACT39" s="9"/>
      <c r="ACU39" s="9"/>
      <c r="ACV39" s="9"/>
      <c r="ACW39" s="9"/>
      <c r="ACX39" s="9"/>
      <c r="ACY39" s="9"/>
      <c r="ACZ39" s="9" t="s">
        <v>919</v>
      </c>
      <c r="ADA39" s="8">
        <v>0.0</v>
      </c>
      <c r="ADB39" s="8">
        <v>0.0</v>
      </c>
      <c r="ADC39" s="8">
        <v>0.0</v>
      </c>
      <c r="ADD39" s="8">
        <v>0.0</v>
      </c>
      <c r="ADE39" s="8">
        <v>1.0</v>
      </c>
      <c r="ADF39" s="8">
        <v>0.0</v>
      </c>
      <c r="ADG39" s="8">
        <v>0.0</v>
      </c>
      <c r="ADH39" s="8">
        <v>0.0</v>
      </c>
      <c r="ADI39" s="12"/>
      <c r="ADJ39" s="17" t="s">
        <v>872</v>
      </c>
      <c r="ADK39" s="9"/>
      <c r="ADL39" s="17" t="s">
        <v>920</v>
      </c>
      <c r="ADM39" s="9"/>
      <c r="ADN39" s="11" t="s">
        <v>917</v>
      </c>
      <c r="ADO39" s="9" t="s">
        <v>871</v>
      </c>
      <c r="ADP39" s="17" t="s">
        <v>1108</v>
      </c>
      <c r="ADQ39" s="18">
        <v>1.0</v>
      </c>
      <c r="ADR39" s="18">
        <v>1.0</v>
      </c>
      <c r="ADS39" s="18">
        <v>1.0</v>
      </c>
      <c r="ADT39" s="18">
        <v>1.0</v>
      </c>
      <c r="ADU39" s="18">
        <v>1.0</v>
      </c>
      <c r="ADV39" s="18">
        <v>1.0</v>
      </c>
      <c r="ADW39" s="18">
        <v>1.0</v>
      </c>
      <c r="ADX39" s="18">
        <v>1.0</v>
      </c>
      <c r="ADY39" s="18">
        <v>1.0</v>
      </c>
      <c r="ADZ39" s="18">
        <v>0.0</v>
      </c>
      <c r="AEA39" s="18">
        <v>0.0</v>
      </c>
      <c r="AEB39" s="18">
        <v>0.0</v>
      </c>
      <c r="AEC39" s="9"/>
      <c r="AED39" s="9" t="s">
        <v>923</v>
      </c>
      <c r="AEE39" s="9"/>
      <c r="AEF39" s="9" t="s">
        <v>1188</v>
      </c>
      <c r="AEG39" s="9"/>
      <c r="AEH39" s="9" t="s">
        <v>1349</v>
      </c>
      <c r="AEI39" s="16" t="s">
        <v>1350</v>
      </c>
      <c r="AEJ39" s="9" t="s">
        <v>1351</v>
      </c>
      <c r="AEK39" s="16" t="s">
        <v>1352</v>
      </c>
      <c r="AEL39" s="9" t="s">
        <v>1137</v>
      </c>
      <c r="AEM39" s="9"/>
      <c r="AEN39" s="9"/>
    </row>
    <row r="40">
      <c r="A40" s="6">
        <v>46061.0</v>
      </c>
      <c r="B40" s="6">
        <v>46061.0</v>
      </c>
      <c r="C40" s="7" t="s">
        <v>837</v>
      </c>
      <c r="D40" s="7" t="s">
        <v>1353</v>
      </c>
      <c r="E40" s="8">
        <f>+6285800232746</f>
        <v>6285800232746</v>
      </c>
      <c r="F40" s="9"/>
      <c r="G40" s="8">
        <v>-7.249</v>
      </c>
      <c r="H40" s="8">
        <v>110.25009</v>
      </c>
      <c r="I40" s="9"/>
      <c r="J40" s="8">
        <v>4.1</v>
      </c>
      <c r="K40" s="9"/>
      <c r="L40" s="9"/>
      <c r="M40" s="8">
        <v>-7.2183808</v>
      </c>
      <c r="N40" s="8">
        <v>110.25106</v>
      </c>
      <c r="O40" s="9"/>
      <c r="P40" s="8">
        <v>4.66</v>
      </c>
      <c r="Q40" s="9"/>
      <c r="R40" s="9" t="s">
        <v>839</v>
      </c>
      <c r="S40" s="9"/>
      <c r="T40" s="9"/>
      <c r="U40" s="9"/>
      <c r="V40" s="9"/>
      <c r="W40" s="9"/>
      <c r="X40" s="9"/>
      <c r="Y40" s="9"/>
      <c r="Z40" s="9"/>
      <c r="AA40" s="9"/>
      <c r="AB40" s="9"/>
      <c r="AC40" s="7" t="s">
        <v>1175</v>
      </c>
      <c r="AD40" s="7" t="s">
        <v>1176</v>
      </c>
      <c r="AE40" s="7" t="s">
        <v>1354</v>
      </c>
      <c r="AF40" s="9" t="s">
        <v>1166</v>
      </c>
      <c r="AG40" s="9" t="s">
        <v>1355</v>
      </c>
      <c r="AH40" s="8">
        <v>16.0</v>
      </c>
      <c r="AI40" s="9" t="s">
        <v>933</v>
      </c>
      <c r="AJ40" s="9" t="s">
        <v>846</v>
      </c>
      <c r="AK40" s="8">
        <v>45.0</v>
      </c>
      <c r="AL40" s="9" t="s">
        <v>847</v>
      </c>
      <c r="AM40" s="9" t="s">
        <v>848</v>
      </c>
      <c r="AN40" s="9" t="s">
        <v>1009</v>
      </c>
      <c r="AO40" s="9" t="s">
        <v>850</v>
      </c>
      <c r="AP40" s="8">
        <v>1.0</v>
      </c>
      <c r="AQ40" s="8">
        <v>0.0</v>
      </c>
      <c r="AR40" s="8">
        <v>0.0</v>
      </c>
      <c r="AS40" s="8">
        <v>0.0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1101</v>
      </c>
      <c r="BJ40" s="8">
        <v>2.0</v>
      </c>
      <c r="BK40" s="8">
        <v>1.0</v>
      </c>
      <c r="BL40" s="8">
        <v>1.0</v>
      </c>
      <c r="BM40" s="8">
        <v>0.0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2010.0</v>
      </c>
      <c r="CN40" s="9" t="s">
        <v>858</v>
      </c>
      <c r="CO40" s="9" t="s">
        <v>859</v>
      </c>
      <c r="CP40" s="9" t="s">
        <v>860</v>
      </c>
      <c r="CQ40" s="8">
        <v>0.0</v>
      </c>
      <c r="CR40" s="8">
        <v>0.0</v>
      </c>
      <c r="CS40" s="8">
        <v>0.0</v>
      </c>
      <c r="CT40" s="8">
        <v>0.0</v>
      </c>
      <c r="CU40" s="10">
        <v>1.0</v>
      </c>
      <c r="CV40" s="10">
        <v>0.0</v>
      </c>
      <c r="CW40" s="10">
        <v>0.0</v>
      </c>
      <c r="CX40" s="8">
        <v>0.0</v>
      </c>
      <c r="CY40" s="9" t="s">
        <v>860</v>
      </c>
      <c r="CZ40" s="8">
        <v>1.0</v>
      </c>
      <c r="DA40" s="8">
        <v>0.0</v>
      </c>
      <c r="DB40" s="8">
        <v>0.0</v>
      </c>
      <c r="DC40" s="9"/>
      <c r="DD40" s="9" t="s">
        <v>937</v>
      </c>
      <c r="DE40" s="8">
        <v>1.0</v>
      </c>
      <c r="DF40" s="8">
        <v>0.0</v>
      </c>
      <c r="DG40" s="8">
        <v>1.0</v>
      </c>
      <c r="DH40" s="8">
        <v>0.0</v>
      </c>
      <c r="DI40" s="9"/>
      <c r="DJ40" s="9" t="s">
        <v>937</v>
      </c>
      <c r="DK40" s="8">
        <v>1.0</v>
      </c>
      <c r="DL40" s="8">
        <v>0.0</v>
      </c>
      <c r="DM40" s="8">
        <v>1.0</v>
      </c>
      <c r="DN40" s="8">
        <v>0.0</v>
      </c>
      <c r="DO40" s="9"/>
      <c r="DP40" s="8">
        <v>1.0</v>
      </c>
      <c r="DQ40" s="8">
        <v>0.0</v>
      </c>
      <c r="DR40" s="8">
        <v>0.0</v>
      </c>
      <c r="DS40" s="9"/>
      <c r="DT40" s="9"/>
      <c r="DU40" s="9"/>
      <c r="DV40" s="9" t="s">
        <v>857</v>
      </c>
      <c r="DW40" s="9"/>
      <c r="DX40" s="9"/>
      <c r="DY40" s="9"/>
      <c r="DZ40" s="9"/>
      <c r="EA40" s="9"/>
      <c r="EB40" s="9"/>
      <c r="EC40" s="9"/>
      <c r="ED40" s="9"/>
      <c r="EE40" s="9"/>
      <c r="EF40" s="9"/>
      <c r="EG40" s="9"/>
      <c r="EH40" s="9"/>
      <c r="EI40" s="9" t="s">
        <v>862</v>
      </c>
      <c r="EJ40" s="8">
        <v>0.0</v>
      </c>
      <c r="EK40" s="8">
        <v>0.0</v>
      </c>
      <c r="EL40" s="8">
        <v>0.0</v>
      </c>
      <c r="EM40" s="8">
        <v>1.0</v>
      </c>
      <c r="EN40" s="8">
        <v>0.0</v>
      </c>
      <c r="EO40" s="11"/>
      <c r="EP40" s="9" t="s">
        <v>863</v>
      </c>
      <c r="EQ40" s="9" t="s">
        <v>864</v>
      </c>
      <c r="ER40" s="9" t="s">
        <v>861</v>
      </c>
      <c r="ES40" s="8">
        <v>1.0</v>
      </c>
      <c r="ET40" s="8">
        <v>0.0</v>
      </c>
      <c r="EU40" s="8">
        <v>0.0</v>
      </c>
      <c r="EV40" s="8">
        <v>0.0</v>
      </c>
      <c r="EW40" s="9"/>
      <c r="EX40" s="9" t="s">
        <v>865</v>
      </c>
      <c r="EY40" s="8">
        <v>1.0</v>
      </c>
      <c r="EZ40" s="8">
        <v>0.0</v>
      </c>
      <c r="FA40" s="8">
        <v>0.0</v>
      </c>
      <c r="FB40" s="9"/>
      <c r="FC40" s="9" t="s">
        <v>1072</v>
      </c>
      <c r="FD40" s="9"/>
      <c r="FE40" s="9" t="s">
        <v>867</v>
      </c>
      <c r="FF40" s="9" t="s">
        <v>868</v>
      </c>
      <c r="FG40" s="9" t="s">
        <v>867</v>
      </c>
      <c r="FH40" s="9" t="s">
        <v>868</v>
      </c>
      <c r="FI40" s="9" t="s">
        <v>867</v>
      </c>
      <c r="FJ40" s="9" t="s">
        <v>868</v>
      </c>
      <c r="FK40" s="9" t="s">
        <v>867</v>
      </c>
      <c r="FL40" s="9" t="s">
        <v>943</v>
      </c>
      <c r="FM40" s="9" t="s">
        <v>867</v>
      </c>
      <c r="FN40" s="9" t="s">
        <v>868</v>
      </c>
      <c r="FO40" s="9" t="s">
        <v>867</v>
      </c>
      <c r="FP40" s="9" t="s">
        <v>943</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881</v>
      </c>
      <c r="GI40" s="9"/>
      <c r="GJ40" s="9"/>
      <c r="GK40" s="9"/>
      <c r="GL40" s="9"/>
      <c r="GM40" s="9"/>
      <c r="GN40" s="9"/>
      <c r="GO40" s="9"/>
      <c r="GP40" s="9" t="s">
        <v>877</v>
      </c>
      <c r="GQ40" s="9" t="s">
        <v>878</v>
      </c>
      <c r="GR40" s="8">
        <v>1.0</v>
      </c>
      <c r="GS40" s="8">
        <v>1.0</v>
      </c>
      <c r="GT40" s="8">
        <v>0.0</v>
      </c>
      <c r="GU40" s="8">
        <v>0.0</v>
      </c>
      <c r="GV40" s="8">
        <v>0.0</v>
      </c>
      <c r="GW40" s="8">
        <v>0.0</v>
      </c>
      <c r="GX40" s="8">
        <v>0.0</v>
      </c>
      <c r="GY40" s="9"/>
      <c r="GZ40" s="9" t="s">
        <v>857</v>
      </c>
      <c r="HA40" s="8">
        <v>15.0</v>
      </c>
      <c r="HB40" s="8">
        <v>150000.0</v>
      </c>
      <c r="HC40" s="8">
        <v>5.0</v>
      </c>
      <c r="HD40" s="8">
        <v>50000.0</v>
      </c>
      <c r="HE40" s="8">
        <v>12.0</v>
      </c>
      <c r="HF40" s="8">
        <v>100000.0</v>
      </c>
      <c r="HG40" s="8">
        <v>3.0</v>
      </c>
      <c r="HH40" s="8">
        <v>25000.0</v>
      </c>
      <c r="HI40" s="9"/>
      <c r="HJ40" s="9"/>
      <c r="HK40" s="9"/>
      <c r="HL40" s="9"/>
      <c r="HM40" s="9"/>
      <c r="HN40" s="9"/>
      <c r="HO40" s="9"/>
      <c r="HP40" s="9"/>
      <c r="HQ40" s="9"/>
      <c r="HR40" s="9"/>
      <c r="HS40" s="9"/>
      <c r="HT40" s="9"/>
      <c r="HU40" s="9"/>
      <c r="HV40" s="9"/>
      <c r="HW40" s="9"/>
      <c r="HX40" s="9"/>
      <c r="HY40" s="8">
        <v>10.0</v>
      </c>
      <c r="HZ40" s="8">
        <v>100000.0</v>
      </c>
      <c r="IA40" s="8">
        <v>9.0</v>
      </c>
      <c r="IB40" s="8">
        <v>75000.0</v>
      </c>
      <c r="IC40" s="9"/>
      <c r="ID40" s="9"/>
      <c r="IE40" s="9"/>
      <c r="IF40" s="9"/>
      <c r="IG40" s="9"/>
      <c r="IH40" s="9"/>
      <c r="II40" s="9"/>
      <c r="IJ40" s="9"/>
      <c r="IK40" s="9" t="s">
        <v>879</v>
      </c>
      <c r="IL40" s="9" t="s">
        <v>880</v>
      </c>
      <c r="IM40" s="9" t="s">
        <v>857</v>
      </c>
      <c r="IN40" s="9" t="s">
        <v>881</v>
      </c>
      <c r="IO40" s="9" t="s">
        <v>882</v>
      </c>
      <c r="IP40" s="9"/>
      <c r="IQ40" s="9" t="s">
        <v>883</v>
      </c>
      <c r="IR40" s="9"/>
      <c r="IS40" s="9"/>
      <c r="IT40" s="9"/>
      <c r="IU40" s="9"/>
      <c r="IV40" s="9"/>
      <c r="IW40" s="9"/>
      <c r="IX40" s="9"/>
      <c r="IY40" s="9"/>
      <c r="IZ40" s="9" t="s">
        <v>883</v>
      </c>
      <c r="JA40" s="9"/>
      <c r="JB40" s="9"/>
      <c r="JC40" s="9"/>
      <c r="JD40" s="9"/>
      <c r="JE40" s="9"/>
      <c r="JF40" s="9"/>
      <c r="JG40" s="9"/>
      <c r="JH40" s="9"/>
      <c r="JI40" s="9" t="s">
        <v>1356</v>
      </c>
      <c r="JJ40" s="9" t="s">
        <v>1014</v>
      </c>
      <c r="JK40" s="8">
        <v>0.0</v>
      </c>
      <c r="JL40" s="8">
        <v>1.0</v>
      </c>
      <c r="JM40" s="8">
        <v>0.0</v>
      </c>
      <c r="JN40" s="9" t="s">
        <v>1014</v>
      </c>
      <c r="JO40" s="8">
        <v>0.0</v>
      </c>
      <c r="JP40" s="8">
        <v>1.0</v>
      </c>
      <c r="JQ40" s="8">
        <v>0.0</v>
      </c>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999</v>
      </c>
      <c r="KW40" s="8">
        <v>0.0</v>
      </c>
      <c r="KX40" s="8">
        <v>0.0</v>
      </c>
      <c r="KY40" s="8">
        <v>0.0</v>
      </c>
      <c r="KZ40" s="8">
        <v>1.0</v>
      </c>
      <c r="LA40" s="9" t="s">
        <v>884</v>
      </c>
      <c r="LB40" s="9" t="s">
        <v>884</v>
      </c>
      <c r="LC40" s="8">
        <v>3.0</v>
      </c>
      <c r="LD40" s="8">
        <v>3.0</v>
      </c>
      <c r="LE40" s="8">
        <v>0.0</v>
      </c>
      <c r="LF40" s="8">
        <v>0.0</v>
      </c>
      <c r="LG40" s="9" t="s">
        <v>857</v>
      </c>
      <c r="LH40" s="8">
        <v>100000.0</v>
      </c>
      <c r="LI40" s="9"/>
      <c r="LJ40" s="9" t="s">
        <v>887</v>
      </c>
      <c r="LK40" s="8">
        <v>0.0</v>
      </c>
      <c r="LL40" s="8">
        <v>0.0</v>
      </c>
      <c r="LM40" s="8">
        <v>0.0</v>
      </c>
      <c r="LN40" s="8">
        <v>0.0</v>
      </c>
      <c r="LO40" s="8">
        <v>1.0</v>
      </c>
      <c r="LP40" s="8">
        <v>0.0</v>
      </c>
      <c r="LQ40" s="8">
        <v>0.0</v>
      </c>
      <c r="LR40" s="9"/>
      <c r="LS40" s="8">
        <v>15.0</v>
      </c>
      <c r="LT40" s="8">
        <v>20.0</v>
      </c>
      <c r="LU40" s="8">
        <v>0.0</v>
      </c>
      <c r="LV40" s="8">
        <v>5.0</v>
      </c>
      <c r="LW40" s="8">
        <v>7.0</v>
      </c>
      <c r="LX40" s="8">
        <v>0.0</v>
      </c>
      <c r="LY40" s="8">
        <v>5.0</v>
      </c>
      <c r="LZ40" s="8">
        <v>6.0</v>
      </c>
      <c r="MA40" s="8">
        <v>0.0</v>
      </c>
      <c r="MB40" s="9" t="s">
        <v>857</v>
      </c>
      <c r="MC40" s="8">
        <v>30.0</v>
      </c>
      <c r="MD40" s="8">
        <v>30.0</v>
      </c>
      <c r="ME40" s="8">
        <v>15.0</v>
      </c>
      <c r="MF40" s="8">
        <v>40.0</v>
      </c>
      <c r="MG40" s="8">
        <v>20.0</v>
      </c>
      <c r="MH40" s="8">
        <v>0.0</v>
      </c>
      <c r="MI40" s="9" t="s">
        <v>946</v>
      </c>
      <c r="MJ40" s="8">
        <v>0.0</v>
      </c>
      <c r="MK40" s="8">
        <v>0.0</v>
      </c>
      <c r="ML40" s="8">
        <v>1.0</v>
      </c>
      <c r="MM40" s="8">
        <v>0.0</v>
      </c>
      <c r="MN40" s="8">
        <v>0.0</v>
      </c>
      <c r="MO40" s="8">
        <v>0.0</v>
      </c>
      <c r="MP40" s="9"/>
      <c r="MQ40" s="9"/>
      <c r="MR40" s="9" t="s">
        <v>1357</v>
      </c>
      <c r="MS40" s="9"/>
      <c r="MT40" s="9" t="s">
        <v>972</v>
      </c>
      <c r="MU40" s="9" t="s">
        <v>881</v>
      </c>
      <c r="MV40" s="9"/>
      <c r="MW40" s="9"/>
      <c r="MX40" s="9"/>
      <c r="MY40" s="9"/>
      <c r="MZ40" s="9"/>
      <c r="NA40" s="9"/>
      <c r="NB40" s="9"/>
      <c r="NC40" s="9"/>
      <c r="ND40" s="9"/>
      <c r="NE40" s="9"/>
      <c r="NF40" s="9"/>
      <c r="NG40" s="9"/>
      <c r="NH40" s="9"/>
      <c r="NI40" s="9"/>
      <c r="NJ40" s="9"/>
      <c r="NK40" s="9"/>
      <c r="NL40" s="9" t="s">
        <v>857</v>
      </c>
      <c r="NM40" s="9" t="s">
        <v>893</v>
      </c>
      <c r="NN40" s="9" t="s">
        <v>1032</v>
      </c>
      <c r="NO40" s="9" t="s">
        <v>973</v>
      </c>
      <c r="NP40" s="9"/>
      <c r="NQ40" s="9"/>
      <c r="NR40" s="9"/>
      <c r="NS40" s="9"/>
      <c r="NT40" s="9"/>
      <c r="NU40" s="9"/>
      <c r="NV40" s="9" t="s">
        <v>896</v>
      </c>
      <c r="NW40" s="9"/>
      <c r="NX40" s="9" t="s">
        <v>897</v>
      </c>
      <c r="NY40" s="8">
        <v>40.0</v>
      </c>
      <c r="NZ40" s="8">
        <v>20.0</v>
      </c>
      <c r="OA40" s="8">
        <v>0.0</v>
      </c>
      <c r="OB40" s="8">
        <v>5.0</v>
      </c>
      <c r="OC40" s="8">
        <v>5.0</v>
      </c>
      <c r="OD40" s="8">
        <v>0.0</v>
      </c>
      <c r="OE40" s="9" t="s">
        <v>1180</v>
      </c>
      <c r="OF40" s="9" t="s">
        <v>899</v>
      </c>
      <c r="OG40" s="9" t="s">
        <v>857</v>
      </c>
      <c r="OH40" s="8">
        <v>5.0</v>
      </c>
      <c r="OI40" s="8">
        <v>0.0</v>
      </c>
      <c r="OJ40" s="8">
        <v>0.0</v>
      </c>
      <c r="OK40" s="8">
        <v>0.0</v>
      </c>
      <c r="OL40" s="8">
        <v>0.0</v>
      </c>
      <c r="OM40" s="8">
        <v>0.0</v>
      </c>
      <c r="ON40" s="8">
        <v>0.0</v>
      </c>
      <c r="OO40" s="8">
        <v>0.0</v>
      </c>
      <c r="OP40" s="9" t="s">
        <v>2947</v>
      </c>
      <c r="OQ40" s="8">
        <v>1.0</v>
      </c>
      <c r="OR40" s="8">
        <v>0.0</v>
      </c>
      <c r="OS40" s="8">
        <v>0.0</v>
      </c>
      <c r="OT40" s="8">
        <v>0.0</v>
      </c>
      <c r="OU40" s="8">
        <v>0.0</v>
      </c>
      <c r="OV40" s="8">
        <v>0.0</v>
      </c>
      <c r="OW40" s="8">
        <v>0.0</v>
      </c>
      <c r="OX40" s="8">
        <v>0.0</v>
      </c>
      <c r="OY40" s="9" t="s">
        <v>900</v>
      </c>
      <c r="OZ40" s="8">
        <v>1.0</v>
      </c>
      <c r="PA40" s="8">
        <v>0.0</v>
      </c>
      <c r="PB40" s="8">
        <v>0.0</v>
      </c>
      <c r="PC40" s="8">
        <v>0.0</v>
      </c>
      <c r="PD40" s="8">
        <v>0.0</v>
      </c>
      <c r="PE40" s="8">
        <v>0.0</v>
      </c>
      <c r="PF40" s="8">
        <v>1.0</v>
      </c>
      <c r="PG40" s="8">
        <v>0.0</v>
      </c>
      <c r="PH40" s="8">
        <v>0.0</v>
      </c>
      <c r="PI40" s="8">
        <v>0.0</v>
      </c>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8">
        <v>5.0</v>
      </c>
      <c r="SE40" s="9"/>
      <c r="SF40" s="9"/>
      <c r="SG40" s="9"/>
      <c r="SH40" s="9"/>
      <c r="SI40" s="9"/>
      <c r="SJ40" s="9"/>
      <c r="SK40" s="9"/>
      <c r="SL40" s="8">
        <v>5.0</v>
      </c>
      <c r="SM40" s="8">
        <v>0.0</v>
      </c>
      <c r="SN40" s="8">
        <v>0.0</v>
      </c>
      <c r="SO40" s="8">
        <v>0.0</v>
      </c>
      <c r="SP40" s="8">
        <v>0.0</v>
      </c>
      <c r="SQ40" s="8">
        <v>0.0</v>
      </c>
      <c r="SR40" s="8">
        <v>0.0</v>
      </c>
      <c r="SS40" s="8">
        <v>0.0</v>
      </c>
      <c r="ST40" s="8">
        <v>0.0</v>
      </c>
      <c r="SU40" s="8">
        <v>0.0</v>
      </c>
      <c r="SV40" s="8">
        <v>0.0</v>
      </c>
      <c r="SW40" s="8">
        <v>0.0</v>
      </c>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t="s">
        <v>901</v>
      </c>
      <c r="UA40" s="9"/>
      <c r="UB40" s="9"/>
      <c r="UC40" s="9"/>
      <c r="UD40" s="9"/>
      <c r="UE40" s="9"/>
      <c r="UF40" s="9"/>
      <c r="UG40" s="9"/>
      <c r="UH40" s="9" t="s">
        <v>950</v>
      </c>
      <c r="UI40" s="9"/>
      <c r="UJ40" s="9"/>
      <c r="UK40" s="9"/>
      <c r="UL40" s="9"/>
      <c r="UM40" s="9"/>
      <c r="UN40" s="9"/>
      <c r="UO40" s="9"/>
      <c r="UP40" s="9" t="s">
        <v>1158</v>
      </c>
      <c r="UQ40" s="9"/>
      <c r="UR40" s="9"/>
      <c r="US40" s="9"/>
      <c r="UT40" s="9"/>
      <c r="UU40" s="9"/>
      <c r="UV40" s="9"/>
      <c r="UW40" s="9"/>
      <c r="UX40" s="9" t="s">
        <v>1265</v>
      </c>
      <c r="UY40" s="8">
        <v>0.0</v>
      </c>
      <c r="UZ40" s="8">
        <v>0.0</v>
      </c>
      <c r="VA40" s="8">
        <v>0.0</v>
      </c>
      <c r="VB40" s="8">
        <v>0.0</v>
      </c>
      <c r="VC40" s="8">
        <v>0.0</v>
      </c>
      <c r="VD40" s="8">
        <v>0.0</v>
      </c>
      <c r="VE40" s="8">
        <v>1.0</v>
      </c>
      <c r="VF40" s="8">
        <v>0.0</v>
      </c>
      <c r="VG40" s="8">
        <v>1.0</v>
      </c>
      <c r="VH40" s="8">
        <v>1.0</v>
      </c>
      <c r="VI40" s="8">
        <v>0.0</v>
      </c>
      <c r="VJ40" s="8">
        <v>0.0</v>
      </c>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8">
        <v>60.0</v>
      </c>
      <c r="YI40" s="9"/>
      <c r="YJ40" s="9"/>
      <c r="YK40" s="9"/>
      <c r="YL40" s="9"/>
      <c r="YM40" s="9"/>
      <c r="YN40" s="9"/>
      <c r="YO40" s="9"/>
      <c r="YP40" s="9"/>
      <c r="YQ40" s="9"/>
      <c r="YR40" s="9"/>
      <c r="YS40" s="9"/>
      <c r="YT40" s="9"/>
      <c r="YU40" s="9"/>
      <c r="YV40" s="9"/>
      <c r="YW40" s="9"/>
      <c r="YX40" s="9"/>
      <c r="YY40" s="9"/>
      <c r="YZ40" s="9"/>
      <c r="ZA40" s="8">
        <v>2.0</v>
      </c>
      <c r="ZB40" s="9"/>
      <c r="ZC40" s="9"/>
      <c r="ZD40" s="9"/>
      <c r="ZE40" s="9"/>
      <c r="ZF40" s="9"/>
      <c r="ZG40" s="9"/>
      <c r="ZH40" s="9"/>
      <c r="ZI40" s="9" t="s">
        <v>1186</v>
      </c>
      <c r="ZJ40" s="9"/>
      <c r="ZK40" s="9"/>
      <c r="ZL40" s="9"/>
      <c r="ZM40" s="9"/>
      <c r="ZN40" s="9"/>
      <c r="ZO40" s="9"/>
      <c r="ZP40" s="9"/>
      <c r="ZQ40" s="9" t="s">
        <v>857</v>
      </c>
      <c r="ZR40" s="9" t="s">
        <v>1033</v>
      </c>
      <c r="ZS40" s="8">
        <v>1.0</v>
      </c>
      <c r="ZT40" s="8">
        <v>1.0</v>
      </c>
      <c r="ZU40" s="8">
        <v>60.0</v>
      </c>
      <c r="ZV40" s="8">
        <v>60.0</v>
      </c>
      <c r="ZW40" s="9" t="s">
        <v>857</v>
      </c>
      <c r="ZX40" s="9" t="s">
        <v>867</v>
      </c>
      <c r="ZY40" s="9" t="s">
        <v>1074</v>
      </c>
      <c r="ZZ40" s="8">
        <v>1.0</v>
      </c>
      <c r="AAA40" s="8">
        <v>0.0</v>
      </c>
      <c r="AAB40" s="8">
        <v>0.0</v>
      </c>
      <c r="AAC40" s="8">
        <v>1.0</v>
      </c>
      <c r="AAD40" s="8">
        <v>1.0</v>
      </c>
      <c r="AAE40" s="8">
        <v>0.0</v>
      </c>
      <c r="AAF40" s="8">
        <v>0.0</v>
      </c>
      <c r="AAG40" s="9" t="s">
        <v>1049</v>
      </c>
      <c r="AAH40" s="8">
        <v>1.0</v>
      </c>
      <c r="AAI40" s="8">
        <v>1.0</v>
      </c>
      <c r="AAJ40" s="8">
        <v>0.0</v>
      </c>
      <c r="AAK40" s="8">
        <v>0.0</v>
      </c>
      <c r="AAL40" s="8">
        <v>0.0</v>
      </c>
      <c r="AAM40" s="9"/>
      <c r="AAN40" s="9"/>
      <c r="AAO40" s="9"/>
      <c r="AAP40" s="9"/>
      <c r="AAQ40" s="9"/>
      <c r="AAR40" s="9"/>
      <c r="AAS40" s="9"/>
      <c r="AAT40" s="9"/>
      <c r="AAU40" s="9"/>
      <c r="AAV40" s="11" t="s">
        <v>908</v>
      </c>
      <c r="AAW40" s="9" t="s">
        <v>1075</v>
      </c>
      <c r="AAX40" s="8">
        <v>3000.0</v>
      </c>
      <c r="AAY40" s="8">
        <v>200.0</v>
      </c>
      <c r="AAZ40" s="8">
        <v>60.0</v>
      </c>
      <c r="ABA40" s="8">
        <v>60.0</v>
      </c>
      <c r="ABB40" s="9" t="s">
        <v>1199</v>
      </c>
      <c r="ABC40" s="9"/>
      <c r="ABD40" s="8">
        <v>70.0</v>
      </c>
      <c r="ABE40" s="8">
        <v>4000.0</v>
      </c>
      <c r="ABF40" s="8">
        <v>10.0</v>
      </c>
      <c r="ABG40" s="8">
        <v>4000.0</v>
      </c>
      <c r="ABH40" s="8">
        <v>500.0</v>
      </c>
      <c r="ABI40" s="8">
        <v>700.0</v>
      </c>
      <c r="ABJ40" s="9" t="s">
        <v>857</v>
      </c>
      <c r="ABK40" s="9" t="s">
        <v>911</v>
      </c>
      <c r="ABL40" s="9" t="s">
        <v>911</v>
      </c>
      <c r="ABM40" s="9" t="s">
        <v>911</v>
      </c>
      <c r="ABN40" s="9"/>
      <c r="ABO40" s="9"/>
      <c r="ABP40" s="9" t="s">
        <v>1215</v>
      </c>
      <c r="ABQ40" s="8">
        <v>0.0</v>
      </c>
      <c r="ABR40" s="8">
        <v>1.0</v>
      </c>
      <c r="ABS40" s="8">
        <v>0.0</v>
      </c>
      <c r="ABT40" s="8">
        <v>1.0</v>
      </c>
      <c r="ABU40" s="8">
        <v>0.0</v>
      </c>
      <c r="ABV40" s="8">
        <v>0.0</v>
      </c>
      <c r="ABW40" s="8">
        <v>0.0</v>
      </c>
      <c r="ABX40" s="9"/>
      <c r="ABY40" s="9" t="s">
        <v>912</v>
      </c>
      <c r="ABZ40" s="9" t="s">
        <v>1050</v>
      </c>
      <c r="ACA40" s="9" t="s">
        <v>957</v>
      </c>
      <c r="ACB40" s="9" t="s">
        <v>915</v>
      </c>
      <c r="ACC40" s="9" t="s">
        <v>916</v>
      </c>
      <c r="ACD40" s="9" t="s">
        <v>1035</v>
      </c>
      <c r="ACE40" s="8">
        <v>1.0</v>
      </c>
      <c r="ACF40" s="8">
        <v>1.0</v>
      </c>
      <c r="ACG40" s="8">
        <v>0.0</v>
      </c>
      <c r="ACH40" s="8">
        <v>0.0</v>
      </c>
      <c r="ACI40" s="9" t="s">
        <v>917</v>
      </c>
      <c r="ACJ40" s="9" t="s">
        <v>917</v>
      </c>
      <c r="ACK40" s="9" t="s">
        <v>917</v>
      </c>
      <c r="ACL40" s="9" t="s">
        <v>917</v>
      </c>
      <c r="ACM40" s="9" t="s">
        <v>881</v>
      </c>
      <c r="ACN40" s="9"/>
      <c r="ACO40" s="9" t="s">
        <v>917</v>
      </c>
      <c r="ACP40" s="9"/>
      <c r="ACQ40" s="9"/>
      <c r="ACR40" s="9"/>
      <c r="ACS40" s="9"/>
      <c r="ACT40" s="9"/>
      <c r="ACU40" s="9"/>
      <c r="ACV40" s="9"/>
      <c r="ACW40" s="9"/>
      <c r="ACX40" s="9"/>
      <c r="ACY40" s="9"/>
      <c r="ACZ40" s="9" t="s">
        <v>1018</v>
      </c>
      <c r="ADA40" s="8">
        <v>0.0</v>
      </c>
      <c r="ADB40" s="8">
        <v>0.0</v>
      </c>
      <c r="ADC40" s="8">
        <v>0.0</v>
      </c>
      <c r="ADD40" s="8">
        <v>0.0</v>
      </c>
      <c r="ADE40" s="8">
        <v>1.0</v>
      </c>
      <c r="ADF40" s="8">
        <v>1.0</v>
      </c>
      <c r="ADG40" s="8">
        <v>0.0</v>
      </c>
      <c r="ADH40" s="8">
        <v>0.0</v>
      </c>
      <c r="ADI40" s="12"/>
      <c r="ADJ40" s="17" t="s">
        <v>872</v>
      </c>
      <c r="ADK40" s="9"/>
      <c r="ADL40" s="17" t="s">
        <v>920</v>
      </c>
      <c r="ADM40" s="9"/>
      <c r="ADN40" s="11" t="s">
        <v>917</v>
      </c>
      <c r="ADO40" s="9" t="s">
        <v>961</v>
      </c>
      <c r="ADP40" s="17" t="s">
        <v>922</v>
      </c>
      <c r="ADQ40" s="18">
        <v>1.0</v>
      </c>
      <c r="ADR40" s="18">
        <v>1.0</v>
      </c>
      <c r="ADS40" s="18">
        <v>1.0</v>
      </c>
      <c r="ADT40" s="18">
        <v>1.0</v>
      </c>
      <c r="ADU40" s="18">
        <v>1.0</v>
      </c>
      <c r="ADV40" s="18">
        <v>1.0</v>
      </c>
      <c r="ADW40" s="18">
        <v>1.0</v>
      </c>
      <c r="ADX40" s="18">
        <v>1.0</v>
      </c>
      <c r="ADY40" s="18">
        <v>1.0</v>
      </c>
      <c r="ADZ40" s="18">
        <v>0.0</v>
      </c>
      <c r="AEA40" s="18">
        <v>1.0</v>
      </c>
      <c r="AEB40" s="18">
        <v>0.0</v>
      </c>
      <c r="AEC40" s="9"/>
      <c r="AED40" s="9" t="s">
        <v>923</v>
      </c>
      <c r="AEE40" s="9"/>
      <c r="AEF40" s="9" t="s">
        <v>924</v>
      </c>
      <c r="AEG40" s="9"/>
      <c r="AEH40" s="9" t="s">
        <v>1358</v>
      </c>
      <c r="AEI40" s="16" t="s">
        <v>1359</v>
      </c>
      <c r="AEJ40" s="9" t="s">
        <v>1360</v>
      </c>
      <c r="AEK40" s="16" t="s">
        <v>1361</v>
      </c>
      <c r="AEL40" s="9" t="s">
        <v>1137</v>
      </c>
      <c r="AEM40" s="9"/>
      <c r="AEN40" s="9"/>
    </row>
    <row r="41">
      <c r="A41" s="6">
        <v>46061.0</v>
      </c>
      <c r="B41" s="6">
        <v>46061.0</v>
      </c>
      <c r="C41" s="7" t="s">
        <v>837</v>
      </c>
      <c r="D41" s="7" t="s">
        <v>1362</v>
      </c>
      <c r="E41" s="8">
        <f>+6285640341611</f>
        <v>6285640341611</v>
      </c>
      <c r="F41" s="9"/>
      <c r="G41" s="8">
        <v>-7.23284219</v>
      </c>
      <c r="H41" s="8">
        <v>110.2552</v>
      </c>
      <c r="I41" s="9"/>
      <c r="J41" s="8">
        <v>2.46</v>
      </c>
      <c r="K41" s="9"/>
      <c r="L41" s="9"/>
      <c r="M41" s="8">
        <v>-7.23284039</v>
      </c>
      <c r="N41" s="8">
        <v>110.2552506</v>
      </c>
      <c r="O41" s="9"/>
      <c r="P41" s="8">
        <v>4.49</v>
      </c>
      <c r="Q41" s="9"/>
      <c r="R41" s="9" t="s">
        <v>839</v>
      </c>
      <c r="S41" s="9"/>
      <c r="T41" s="9"/>
      <c r="U41" s="9"/>
      <c r="V41" s="9"/>
      <c r="W41" s="9"/>
      <c r="X41" s="9"/>
      <c r="Y41" s="9"/>
      <c r="Z41" s="9"/>
      <c r="AA41" s="9"/>
      <c r="AB41" s="9"/>
      <c r="AC41" s="7" t="s">
        <v>1175</v>
      </c>
      <c r="AD41" s="7" t="s">
        <v>1176</v>
      </c>
      <c r="AE41" s="7" t="s">
        <v>1354</v>
      </c>
      <c r="AF41" s="9" t="s">
        <v>1166</v>
      </c>
      <c r="AG41" s="9" t="s">
        <v>1363</v>
      </c>
      <c r="AH41" s="8">
        <v>16.0</v>
      </c>
      <c r="AI41" s="9" t="s">
        <v>933</v>
      </c>
      <c r="AJ41" s="9" t="s">
        <v>934</v>
      </c>
      <c r="AK41" s="8">
        <v>45.0</v>
      </c>
      <c r="AL41" s="9" t="s">
        <v>847</v>
      </c>
      <c r="AM41" s="9" t="s">
        <v>848</v>
      </c>
      <c r="AN41" s="9" t="s">
        <v>1009</v>
      </c>
      <c r="AO41" s="9" t="s">
        <v>850</v>
      </c>
      <c r="AP41" s="8">
        <v>1.0</v>
      </c>
      <c r="AQ41" s="8">
        <v>0.0</v>
      </c>
      <c r="AR41" s="8">
        <v>0.0</v>
      </c>
      <c r="AS41" s="8">
        <v>0.0</v>
      </c>
      <c r="AT41" s="8">
        <v>0.0</v>
      </c>
      <c r="AU41" s="8">
        <v>0.0</v>
      </c>
      <c r="AV41" s="8">
        <v>0.0</v>
      </c>
      <c r="AW41" s="8">
        <v>0.0</v>
      </c>
      <c r="AX41" s="9"/>
      <c r="AY41" s="9" t="s">
        <v>1231</v>
      </c>
      <c r="AZ41" s="8">
        <v>0.0</v>
      </c>
      <c r="BA41" s="8">
        <v>0.0</v>
      </c>
      <c r="BB41" s="8">
        <v>0.0</v>
      </c>
      <c r="BC41" s="8">
        <v>1.0</v>
      </c>
      <c r="BD41" s="8">
        <v>0.0</v>
      </c>
      <c r="BE41" s="8">
        <v>0.0</v>
      </c>
      <c r="BF41" s="8">
        <v>0.0</v>
      </c>
      <c r="BG41" s="8">
        <v>0.0</v>
      </c>
      <c r="BH41" s="9"/>
      <c r="BI41" s="9" t="s">
        <v>852</v>
      </c>
      <c r="BJ41" s="8">
        <v>1.0</v>
      </c>
      <c r="BK41" s="8">
        <v>1.0</v>
      </c>
      <c r="BL41" s="8">
        <v>1.0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881</v>
      </c>
      <c r="CM41" s="8">
        <v>2010.0</v>
      </c>
      <c r="CN41" s="9" t="s">
        <v>858</v>
      </c>
      <c r="CO41" s="9" t="s">
        <v>859</v>
      </c>
      <c r="CP41" s="9" t="s">
        <v>860</v>
      </c>
      <c r="CQ41" s="8">
        <v>0.0</v>
      </c>
      <c r="CR41" s="8">
        <v>0.0</v>
      </c>
      <c r="CS41" s="8">
        <v>0.0</v>
      </c>
      <c r="CT41" s="8">
        <v>0.0</v>
      </c>
      <c r="CU41" s="10">
        <v>1.0</v>
      </c>
      <c r="CV41" s="10">
        <v>0.0</v>
      </c>
      <c r="CW41" s="10">
        <v>0.0</v>
      </c>
      <c r="CX41" s="8">
        <v>0.0</v>
      </c>
      <c r="CY41" s="9" t="s">
        <v>860</v>
      </c>
      <c r="CZ41" s="8">
        <v>1.0</v>
      </c>
      <c r="DA41" s="8">
        <v>0.0</v>
      </c>
      <c r="DB41" s="8">
        <v>0.0</v>
      </c>
      <c r="DC41" s="9"/>
      <c r="DD41" s="9" t="s">
        <v>937</v>
      </c>
      <c r="DE41" s="8">
        <v>1.0</v>
      </c>
      <c r="DF41" s="8">
        <v>0.0</v>
      </c>
      <c r="DG41" s="8">
        <v>1.0</v>
      </c>
      <c r="DH41" s="8">
        <v>0.0</v>
      </c>
      <c r="DI41" s="9"/>
      <c r="DJ41" s="9" t="s">
        <v>937</v>
      </c>
      <c r="DK41" s="8">
        <v>1.0</v>
      </c>
      <c r="DL41" s="8">
        <v>0.0</v>
      </c>
      <c r="DM41" s="8">
        <v>1.0</v>
      </c>
      <c r="DN41" s="8">
        <v>0.0</v>
      </c>
      <c r="DO41" s="9"/>
      <c r="DP41" s="8">
        <v>1.0</v>
      </c>
      <c r="DQ41" s="8">
        <v>0.0</v>
      </c>
      <c r="DR41" s="8">
        <v>0.0</v>
      </c>
      <c r="DS41" s="9"/>
      <c r="DT41" s="9"/>
      <c r="DU41" s="9"/>
      <c r="DV41" s="9" t="s">
        <v>938</v>
      </c>
      <c r="DW41" s="9" t="s">
        <v>939</v>
      </c>
      <c r="DX41" s="9" t="s">
        <v>987</v>
      </c>
      <c r="DY41" s="9"/>
      <c r="DZ41" s="9"/>
      <c r="EA41" s="9"/>
      <c r="EB41" s="9"/>
      <c r="EC41" s="9"/>
      <c r="ED41" s="9"/>
      <c r="EE41" s="9"/>
      <c r="EF41" s="9"/>
      <c r="EG41" s="9"/>
      <c r="EH41" s="9"/>
      <c r="EI41" s="9" t="s">
        <v>1364</v>
      </c>
      <c r="EJ41" s="8">
        <v>0.0</v>
      </c>
      <c r="EK41" s="8">
        <v>0.0</v>
      </c>
      <c r="EL41" s="8">
        <v>1.0</v>
      </c>
      <c r="EM41" s="8">
        <v>0.0</v>
      </c>
      <c r="EN41" s="8">
        <v>1.0</v>
      </c>
      <c r="EO41" s="11" t="s">
        <v>1365</v>
      </c>
      <c r="EP41" s="9" t="s">
        <v>863</v>
      </c>
      <c r="EQ41" s="9" t="s">
        <v>864</v>
      </c>
      <c r="ER41" s="9" t="s">
        <v>861</v>
      </c>
      <c r="ES41" s="8">
        <v>1.0</v>
      </c>
      <c r="ET41" s="8">
        <v>0.0</v>
      </c>
      <c r="EU41" s="8">
        <v>0.0</v>
      </c>
      <c r="EV41" s="8">
        <v>0.0</v>
      </c>
      <c r="EW41" s="9"/>
      <c r="EX41" s="9" t="s">
        <v>865</v>
      </c>
      <c r="EY41" s="8">
        <v>1.0</v>
      </c>
      <c r="EZ41" s="8">
        <v>0.0</v>
      </c>
      <c r="FA41" s="8">
        <v>0.0</v>
      </c>
      <c r="FB41" s="9"/>
      <c r="FC41" s="9" t="s">
        <v>866</v>
      </c>
      <c r="FD41" s="9"/>
      <c r="FE41" s="9" t="s">
        <v>867</v>
      </c>
      <c r="FF41" s="9" t="s">
        <v>869</v>
      </c>
      <c r="FG41" s="9" t="s">
        <v>867</v>
      </c>
      <c r="FH41" s="9" t="s">
        <v>869</v>
      </c>
      <c r="FI41" s="9" t="s">
        <v>867</v>
      </c>
      <c r="FJ41" s="9" t="s">
        <v>869</v>
      </c>
      <c r="FK41" s="9" t="s">
        <v>867</v>
      </c>
      <c r="FL41" s="9" t="s">
        <v>870</v>
      </c>
      <c r="FM41" s="9" t="s">
        <v>867</v>
      </c>
      <c r="FN41" s="9" t="s">
        <v>869</v>
      </c>
      <c r="FO41" s="9" t="s">
        <v>867</v>
      </c>
      <c r="FP41" s="9" t="s">
        <v>870</v>
      </c>
      <c r="FQ41" s="9" t="s">
        <v>867</v>
      </c>
      <c r="FR41" s="9" t="s">
        <v>857</v>
      </c>
      <c r="FS41" s="9" t="s">
        <v>867</v>
      </c>
      <c r="FT41" s="9" t="s">
        <v>871</v>
      </c>
      <c r="FU41" s="9" t="s">
        <v>872</v>
      </c>
      <c r="FV41" s="8">
        <v>1.0</v>
      </c>
      <c r="FW41" s="8">
        <v>0.0</v>
      </c>
      <c r="FX41" s="8">
        <v>0.0</v>
      </c>
      <c r="FY41" s="8">
        <v>0.0</v>
      </c>
      <c r="FZ41" s="9" t="s">
        <v>873</v>
      </c>
      <c r="GA41" s="9" t="s">
        <v>874</v>
      </c>
      <c r="GB41" s="8">
        <v>1.0</v>
      </c>
      <c r="GC41" s="8">
        <v>0.0</v>
      </c>
      <c r="GD41" s="8">
        <v>0.0</v>
      </c>
      <c r="GE41" s="8">
        <v>0.0</v>
      </c>
      <c r="GF41" s="9"/>
      <c r="GG41" s="9" t="s">
        <v>961</v>
      </c>
      <c r="GH41" s="9" t="s">
        <v>881</v>
      </c>
      <c r="GI41" s="9"/>
      <c r="GJ41" s="9"/>
      <c r="GK41" s="9"/>
      <c r="GL41" s="9"/>
      <c r="GM41" s="9"/>
      <c r="GN41" s="9"/>
      <c r="GO41" s="9"/>
      <c r="GP41" s="9" t="s">
        <v>877</v>
      </c>
      <c r="GQ41" s="9" t="s">
        <v>878</v>
      </c>
      <c r="GR41" s="8">
        <v>1.0</v>
      </c>
      <c r="GS41" s="8">
        <v>1.0</v>
      </c>
      <c r="GT41" s="8">
        <v>0.0</v>
      </c>
      <c r="GU41" s="8">
        <v>0.0</v>
      </c>
      <c r="GV41" s="8">
        <v>0.0</v>
      </c>
      <c r="GW41" s="8">
        <v>0.0</v>
      </c>
      <c r="GX41" s="8">
        <v>0.0</v>
      </c>
      <c r="GY41" s="9"/>
      <c r="GZ41" s="9" t="s">
        <v>881</v>
      </c>
      <c r="HA41" s="8">
        <v>150.0</v>
      </c>
      <c r="HB41" s="8">
        <v>1500000.0</v>
      </c>
      <c r="HC41" s="8">
        <v>0.0</v>
      </c>
      <c r="HD41" s="8">
        <v>0.0</v>
      </c>
      <c r="HE41" s="8">
        <v>12.0</v>
      </c>
      <c r="HF41" s="8">
        <v>100000.0</v>
      </c>
      <c r="HG41" s="8">
        <v>0.0</v>
      </c>
      <c r="HH41" s="8">
        <v>0.0</v>
      </c>
      <c r="HI41" s="9"/>
      <c r="HJ41" s="9"/>
      <c r="HK41" s="9"/>
      <c r="HL41" s="9"/>
      <c r="HM41" s="9"/>
      <c r="HN41" s="9"/>
      <c r="HO41" s="9"/>
      <c r="HP41" s="9"/>
      <c r="HQ41" s="9"/>
      <c r="HR41" s="9"/>
      <c r="HS41" s="9"/>
      <c r="HT41" s="9"/>
      <c r="HU41" s="9"/>
      <c r="HV41" s="9"/>
      <c r="HW41" s="9"/>
      <c r="HX41" s="9"/>
      <c r="HY41" s="8">
        <v>0.0</v>
      </c>
      <c r="HZ41" s="8">
        <v>0.0</v>
      </c>
      <c r="IA41" s="8">
        <v>0.0</v>
      </c>
      <c r="IB41" s="8">
        <v>0.0</v>
      </c>
      <c r="IC41" s="9"/>
      <c r="ID41" s="9"/>
      <c r="IE41" s="9"/>
      <c r="IF41" s="9"/>
      <c r="IG41" s="9"/>
      <c r="IH41" s="9"/>
      <c r="II41" s="9"/>
      <c r="IJ41" s="9"/>
      <c r="IK41" s="9" t="s">
        <v>879</v>
      </c>
      <c r="IL41" s="9" t="s">
        <v>1366</v>
      </c>
      <c r="IM41" s="9" t="s">
        <v>881</v>
      </c>
      <c r="IN41" s="9" t="s">
        <v>881</v>
      </c>
      <c r="IO41" s="9" t="s">
        <v>882</v>
      </c>
      <c r="IP41" s="9"/>
      <c r="IQ41" s="9" t="s">
        <v>1356</v>
      </c>
      <c r="IR41" s="9" t="s">
        <v>872</v>
      </c>
      <c r="IS41" s="8">
        <v>1.0</v>
      </c>
      <c r="IT41" s="8">
        <v>0.0</v>
      </c>
      <c r="IU41" s="8">
        <v>0.0</v>
      </c>
      <c r="IV41" s="9" t="s">
        <v>872</v>
      </c>
      <c r="IW41" s="8">
        <v>1.0</v>
      </c>
      <c r="IX41" s="8">
        <v>0.0</v>
      </c>
      <c r="IY41" s="8">
        <v>0.0</v>
      </c>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886</v>
      </c>
      <c r="KV41" s="9" t="s">
        <v>999</v>
      </c>
      <c r="KW41" s="8">
        <v>0.0</v>
      </c>
      <c r="KX41" s="8">
        <v>0.0</v>
      </c>
      <c r="KY41" s="8">
        <v>0.0</v>
      </c>
      <c r="KZ41" s="8">
        <v>1.0</v>
      </c>
      <c r="LA41" s="9" t="s">
        <v>884</v>
      </c>
      <c r="LB41" s="9" t="s">
        <v>884</v>
      </c>
      <c r="LC41" s="8">
        <v>0.0</v>
      </c>
      <c r="LD41" s="8">
        <v>0.0</v>
      </c>
      <c r="LE41" s="8">
        <v>0.0</v>
      </c>
      <c r="LF41" s="8">
        <v>0.0</v>
      </c>
      <c r="LG41" s="9" t="s">
        <v>881</v>
      </c>
      <c r="LH41" s="9"/>
      <c r="LI41" s="8">
        <v>100000.0</v>
      </c>
      <c r="LJ41" s="9" t="s">
        <v>887</v>
      </c>
      <c r="LK41" s="8">
        <v>0.0</v>
      </c>
      <c r="LL41" s="8">
        <v>0.0</v>
      </c>
      <c r="LM41" s="8">
        <v>0.0</v>
      </c>
      <c r="LN41" s="8">
        <v>0.0</v>
      </c>
      <c r="LO41" s="8">
        <v>1.0</v>
      </c>
      <c r="LP41" s="8">
        <v>0.0</v>
      </c>
      <c r="LQ41" s="8">
        <v>0.0</v>
      </c>
      <c r="LR41" s="9"/>
      <c r="LS41" s="8">
        <v>0.0</v>
      </c>
      <c r="LT41" s="8">
        <v>0.0</v>
      </c>
      <c r="LU41" s="8">
        <v>0.0</v>
      </c>
      <c r="LV41" s="8">
        <v>0.0</v>
      </c>
      <c r="LW41" s="8">
        <v>0.0</v>
      </c>
      <c r="LX41" s="8">
        <v>0.0</v>
      </c>
      <c r="LY41" s="8">
        <v>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8">
        <v>0.0</v>
      </c>
      <c r="MS41" s="9"/>
      <c r="MT41" s="8">
        <v>0.0</v>
      </c>
      <c r="MU41" s="9" t="s">
        <v>881</v>
      </c>
      <c r="MV41" s="9"/>
      <c r="MW41" s="9"/>
      <c r="MX41" s="9"/>
      <c r="MY41" s="9"/>
      <c r="MZ41" s="9"/>
      <c r="NA41" s="9"/>
      <c r="NB41" s="9"/>
      <c r="NC41" s="9"/>
      <c r="ND41" s="9"/>
      <c r="NE41" s="9"/>
      <c r="NF41" s="9"/>
      <c r="NG41" s="9"/>
      <c r="NH41" s="9"/>
      <c r="NI41" s="9"/>
      <c r="NJ41" s="9"/>
      <c r="NK41" s="9"/>
      <c r="NL41" s="9" t="s">
        <v>857</v>
      </c>
      <c r="NM41" s="9" t="s">
        <v>893</v>
      </c>
      <c r="NN41" s="9" t="s">
        <v>1141</v>
      </c>
      <c r="NO41" s="9" t="s">
        <v>973</v>
      </c>
      <c r="NP41" s="9"/>
      <c r="NQ41" s="9"/>
      <c r="NR41" s="9"/>
      <c r="NS41" s="9"/>
      <c r="NT41" s="9"/>
      <c r="NU41" s="9"/>
      <c r="NV41" s="9" t="s">
        <v>896</v>
      </c>
      <c r="NW41" s="9"/>
      <c r="NX41" s="9" t="s">
        <v>897</v>
      </c>
      <c r="NY41" s="8">
        <v>0.0</v>
      </c>
      <c r="NZ41" s="8">
        <v>0.0</v>
      </c>
      <c r="OA41" s="8">
        <v>0.0</v>
      </c>
      <c r="OB41" s="8">
        <v>0.0</v>
      </c>
      <c r="OC41" s="8">
        <v>0.0</v>
      </c>
      <c r="OD41" s="8">
        <v>0.0</v>
      </c>
      <c r="OE41" s="9" t="s">
        <v>898</v>
      </c>
      <c r="OF41" s="9" t="s">
        <v>899</v>
      </c>
      <c r="OG41" s="9" t="s">
        <v>881</v>
      </c>
      <c r="OH41" s="8">
        <v>0.0</v>
      </c>
      <c r="OI41" s="8">
        <v>0.0</v>
      </c>
      <c r="OJ41" s="8">
        <v>0.0</v>
      </c>
      <c r="OK41" s="8">
        <v>0.0</v>
      </c>
      <c r="OL41" s="8">
        <v>0.0</v>
      </c>
      <c r="OM41" s="8">
        <v>0.0</v>
      </c>
      <c r="ON41" s="8">
        <v>0.0</v>
      </c>
      <c r="OO41" s="8">
        <v>0.0</v>
      </c>
      <c r="OP41" s="9" t="s">
        <v>2947</v>
      </c>
      <c r="OQ41" s="8">
        <v>1.0</v>
      </c>
      <c r="OR41" s="8">
        <v>0.0</v>
      </c>
      <c r="OS41" s="8">
        <v>0.0</v>
      </c>
      <c r="OT41" s="8">
        <v>0.0</v>
      </c>
      <c r="OU41" s="8">
        <v>0.0</v>
      </c>
      <c r="OV41" s="8">
        <v>0.0</v>
      </c>
      <c r="OW41" s="8">
        <v>0.0</v>
      </c>
      <c r="OX41" s="8">
        <v>0.0</v>
      </c>
      <c r="OY41" s="9" t="s">
        <v>900</v>
      </c>
      <c r="OZ41" s="8">
        <v>1.0</v>
      </c>
      <c r="PA41" s="8">
        <v>0.0</v>
      </c>
      <c r="PB41" s="8">
        <v>0.0</v>
      </c>
      <c r="PC41" s="8">
        <v>0.0</v>
      </c>
      <c r="PD41" s="8">
        <v>0.0</v>
      </c>
      <c r="PE41" s="8">
        <v>0.0</v>
      </c>
      <c r="PF41" s="8">
        <v>1.0</v>
      </c>
      <c r="PG41" s="8">
        <v>0.0</v>
      </c>
      <c r="PH41" s="8">
        <v>0.0</v>
      </c>
      <c r="PI41" s="8">
        <v>0.0</v>
      </c>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8">
        <v>0.0</v>
      </c>
      <c r="SE41" s="9"/>
      <c r="SF41" s="9"/>
      <c r="SG41" s="9"/>
      <c r="SH41" s="9"/>
      <c r="SI41" s="9"/>
      <c r="SJ41" s="9"/>
      <c r="SK41" s="9"/>
      <c r="SL41" s="8">
        <v>0.0</v>
      </c>
      <c r="SM41" s="8">
        <v>0.0</v>
      </c>
      <c r="SN41" s="8">
        <v>0.0</v>
      </c>
      <c r="SO41" s="8">
        <v>0.0</v>
      </c>
      <c r="SP41" s="8">
        <v>0.0</v>
      </c>
      <c r="SQ41" s="8">
        <v>0.0</v>
      </c>
      <c r="SR41" s="8">
        <v>0.0</v>
      </c>
      <c r="SS41" s="8">
        <v>0.0</v>
      </c>
      <c r="ST41" s="8">
        <v>0.0</v>
      </c>
      <c r="SU41" s="8">
        <v>0.0</v>
      </c>
      <c r="SV41" s="8">
        <v>0.0</v>
      </c>
      <c r="SW41" s="8">
        <v>0.0</v>
      </c>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t="s">
        <v>881</v>
      </c>
      <c r="ZR41" s="9"/>
      <c r="ZS41" s="9"/>
      <c r="ZT41" s="9"/>
      <c r="ZU41" s="9"/>
      <c r="ZV41" s="9"/>
      <c r="ZW41" s="9" t="s">
        <v>857</v>
      </c>
      <c r="ZX41" s="9" t="s">
        <v>867</v>
      </c>
      <c r="ZY41" s="9" t="s">
        <v>995</v>
      </c>
      <c r="ZZ41" s="8">
        <v>1.0</v>
      </c>
      <c r="AAA41" s="8">
        <v>0.0</v>
      </c>
      <c r="AAB41" s="8">
        <v>0.0</v>
      </c>
      <c r="AAC41" s="8">
        <v>0.0</v>
      </c>
      <c r="AAD41" s="8">
        <v>1.0</v>
      </c>
      <c r="AAE41" s="8">
        <v>0.0</v>
      </c>
      <c r="AAF41" s="8">
        <v>0.0</v>
      </c>
      <c r="AAG41" s="9" t="s">
        <v>907</v>
      </c>
      <c r="AAH41" s="8">
        <v>1.0</v>
      </c>
      <c r="AAI41" s="8">
        <v>0.0</v>
      </c>
      <c r="AAJ41" s="8">
        <v>0.0</v>
      </c>
      <c r="AAK41" s="8">
        <v>0.0</v>
      </c>
      <c r="AAL41" s="8">
        <v>0.0</v>
      </c>
      <c r="AAM41" s="9"/>
      <c r="AAN41" s="9"/>
      <c r="AAO41" s="9"/>
      <c r="AAP41" s="9"/>
      <c r="AAQ41" s="9"/>
      <c r="AAR41" s="9"/>
      <c r="AAS41" s="9"/>
      <c r="AAT41" s="9"/>
      <c r="AAU41" s="9"/>
      <c r="AAV41" s="11" t="s">
        <v>953</v>
      </c>
      <c r="AAW41" s="9" t="s">
        <v>1075</v>
      </c>
      <c r="AAX41" s="8">
        <v>3000.0</v>
      </c>
      <c r="AAY41" s="9"/>
      <c r="AAZ41" s="8">
        <v>0.0</v>
      </c>
      <c r="ABA41" s="8">
        <v>0.0</v>
      </c>
      <c r="ABB41" s="9" t="s">
        <v>1199</v>
      </c>
      <c r="ABC41" s="9"/>
      <c r="ABD41" s="8">
        <v>50.0</v>
      </c>
      <c r="ABE41" s="8">
        <v>4000.0</v>
      </c>
      <c r="ABF41" s="8">
        <v>0.0</v>
      </c>
      <c r="ABG41" s="8">
        <v>0.0</v>
      </c>
      <c r="ABH41" s="8">
        <v>0.0</v>
      </c>
      <c r="ABI41" s="8">
        <v>0.0</v>
      </c>
      <c r="ABJ41" s="9" t="s">
        <v>857</v>
      </c>
      <c r="ABK41" s="9" t="s">
        <v>911</v>
      </c>
      <c r="ABL41" s="9" t="s">
        <v>911</v>
      </c>
      <c r="ABM41" s="9" t="s">
        <v>911</v>
      </c>
      <c r="ABN41" s="9"/>
      <c r="ABO41" s="9"/>
      <c r="ABP41" s="9" t="s">
        <v>955</v>
      </c>
      <c r="ABQ41" s="8">
        <v>0.0</v>
      </c>
      <c r="ABR41" s="8">
        <v>0.0</v>
      </c>
      <c r="ABS41" s="8">
        <v>0.0</v>
      </c>
      <c r="ABT41" s="8">
        <v>1.0</v>
      </c>
      <c r="ABU41" s="8">
        <v>0.0</v>
      </c>
      <c r="ABV41" s="8">
        <v>0.0</v>
      </c>
      <c r="ABW41" s="8">
        <v>0.0</v>
      </c>
      <c r="ABX41" s="9"/>
      <c r="ABY41" s="9" t="s">
        <v>1061</v>
      </c>
      <c r="ABZ41" s="9" t="s">
        <v>913</v>
      </c>
      <c r="ACA41" s="9" t="s">
        <v>957</v>
      </c>
      <c r="ACB41" s="9" t="s">
        <v>915</v>
      </c>
      <c r="ACC41" s="9" t="s">
        <v>916</v>
      </c>
      <c r="ACD41" s="9" t="s">
        <v>1035</v>
      </c>
      <c r="ACE41" s="8">
        <v>1.0</v>
      </c>
      <c r="ACF41" s="8">
        <v>1.0</v>
      </c>
      <c r="ACG41" s="8">
        <v>0.0</v>
      </c>
      <c r="ACH41" s="8">
        <v>0.0</v>
      </c>
      <c r="ACI41" s="9" t="s">
        <v>917</v>
      </c>
      <c r="ACJ41" s="9" t="s">
        <v>917</v>
      </c>
      <c r="ACK41" s="9" t="s">
        <v>917</v>
      </c>
      <c r="ACL41" s="9" t="s">
        <v>917</v>
      </c>
      <c r="ACM41" s="9" t="s">
        <v>881</v>
      </c>
      <c r="ACN41" s="9"/>
      <c r="ACO41" s="9" t="s">
        <v>917</v>
      </c>
      <c r="ACP41" s="9"/>
      <c r="ACQ41" s="9"/>
      <c r="ACR41" s="9"/>
      <c r="ACS41" s="9"/>
      <c r="ACT41" s="9"/>
      <c r="ACU41" s="9"/>
      <c r="ACV41" s="9"/>
      <c r="ACW41" s="9"/>
      <c r="ACX41" s="9"/>
      <c r="ACY41" s="9"/>
      <c r="ACZ41" s="9" t="s">
        <v>1018</v>
      </c>
      <c r="ADA41" s="8">
        <v>0.0</v>
      </c>
      <c r="ADB41" s="8">
        <v>0.0</v>
      </c>
      <c r="ADC41" s="8">
        <v>0.0</v>
      </c>
      <c r="ADD41" s="8">
        <v>0.0</v>
      </c>
      <c r="ADE41" s="8">
        <v>1.0</v>
      </c>
      <c r="ADF41" s="8">
        <v>1.0</v>
      </c>
      <c r="ADG41" s="8">
        <v>0.0</v>
      </c>
      <c r="ADH41" s="8">
        <v>0.0</v>
      </c>
      <c r="ADI41" s="12"/>
      <c r="ADJ41" s="13" t="s">
        <v>872</v>
      </c>
      <c r="ADK41" s="14"/>
      <c r="ADL41" s="13" t="s">
        <v>1367</v>
      </c>
      <c r="ADM41" s="9"/>
      <c r="ADN41" s="11" t="s">
        <v>999</v>
      </c>
      <c r="ADO41" s="9" t="s">
        <v>961</v>
      </c>
      <c r="ADP41" s="13" t="s">
        <v>1368</v>
      </c>
      <c r="ADQ41" s="15">
        <v>0.0</v>
      </c>
      <c r="ADR41" s="15">
        <v>0.0</v>
      </c>
      <c r="ADS41" s="15">
        <v>0.0</v>
      </c>
      <c r="ADT41" s="15">
        <v>0.0</v>
      </c>
      <c r="ADU41" s="15">
        <v>0.0</v>
      </c>
      <c r="ADV41" s="15">
        <v>0.0</v>
      </c>
      <c r="ADW41" s="15">
        <v>0.0</v>
      </c>
      <c r="ADX41" s="15">
        <v>0.0</v>
      </c>
      <c r="ADY41" s="15">
        <v>0.0</v>
      </c>
      <c r="ADZ41" s="15">
        <v>0.0</v>
      </c>
      <c r="AEA41" s="15">
        <v>1.0</v>
      </c>
      <c r="AEB41" s="15">
        <v>0.0</v>
      </c>
      <c r="AEC41" s="9"/>
      <c r="AED41" s="9" t="s">
        <v>923</v>
      </c>
      <c r="AEE41" s="9"/>
      <c r="AEF41" s="9" t="s">
        <v>924</v>
      </c>
      <c r="AEG41" s="9"/>
      <c r="AEH41" s="9" t="s">
        <v>1369</v>
      </c>
      <c r="AEI41" s="16" t="s">
        <v>1370</v>
      </c>
      <c r="AEJ41" s="9" t="s">
        <v>1371</v>
      </c>
      <c r="AEK41" s="16" t="s">
        <v>1372</v>
      </c>
      <c r="AEL41" s="9" t="s">
        <v>1137</v>
      </c>
      <c r="AEM41" s="9"/>
      <c r="AEN41" s="9"/>
    </row>
    <row r="42">
      <c r="A42" s="6">
        <v>46061.0</v>
      </c>
      <c r="B42" s="6">
        <v>46062.0</v>
      </c>
      <c r="C42" s="7" t="s">
        <v>837</v>
      </c>
      <c r="D42" s="7" t="s">
        <v>1373</v>
      </c>
      <c r="E42" s="8">
        <f>+6287805758884</f>
        <v>6287805758884</v>
      </c>
      <c r="F42" s="9"/>
      <c r="G42" s="8">
        <v>-7.23397612</v>
      </c>
      <c r="H42" s="8">
        <v>110.2724336</v>
      </c>
      <c r="I42" s="9"/>
      <c r="J42" s="8">
        <v>4.89</v>
      </c>
      <c r="K42" s="9"/>
      <c r="L42" s="9"/>
      <c r="M42" s="8">
        <v>-7.23397612</v>
      </c>
      <c r="N42" s="8">
        <v>110.2724</v>
      </c>
      <c r="O42" s="9"/>
      <c r="P42" s="8">
        <v>4.89</v>
      </c>
      <c r="Q42" s="9"/>
      <c r="R42" s="9" t="s">
        <v>839</v>
      </c>
      <c r="S42" s="9"/>
      <c r="T42" s="9"/>
      <c r="U42" s="9"/>
      <c r="V42" s="9"/>
      <c r="W42" s="9"/>
      <c r="X42" s="9"/>
      <c r="Y42" s="9"/>
      <c r="Z42" s="9"/>
      <c r="AA42" s="9"/>
      <c r="AB42" s="9"/>
      <c r="AC42" s="7" t="s">
        <v>1175</v>
      </c>
      <c r="AD42" s="7" t="s">
        <v>1176</v>
      </c>
      <c r="AE42" s="7" t="s">
        <v>1374</v>
      </c>
      <c r="AF42" s="9" t="s">
        <v>1178</v>
      </c>
      <c r="AG42" s="9" t="s">
        <v>1375</v>
      </c>
      <c r="AH42" s="8">
        <v>6.0</v>
      </c>
      <c r="AI42" s="9" t="s">
        <v>845</v>
      </c>
      <c r="AJ42" s="9" t="s">
        <v>934</v>
      </c>
      <c r="AK42" s="8">
        <v>52.0</v>
      </c>
      <c r="AL42" s="9" t="s">
        <v>847</v>
      </c>
      <c r="AM42" s="9" t="s">
        <v>848</v>
      </c>
      <c r="AN42" s="9" t="s">
        <v>986</v>
      </c>
      <c r="AO42" s="9" t="s">
        <v>935</v>
      </c>
      <c r="AP42" s="8">
        <v>0.0</v>
      </c>
      <c r="AQ42" s="8">
        <v>1.0</v>
      </c>
      <c r="AR42" s="8">
        <v>0.0</v>
      </c>
      <c r="AS42" s="8">
        <v>0.0</v>
      </c>
      <c r="AT42" s="8">
        <v>0.0</v>
      </c>
      <c r="AU42" s="8">
        <v>0.0</v>
      </c>
      <c r="AV42" s="8">
        <v>0.0</v>
      </c>
      <c r="AW42" s="8">
        <v>0.0</v>
      </c>
      <c r="AX42" s="9"/>
      <c r="AY42" s="9" t="s">
        <v>850</v>
      </c>
      <c r="AZ42" s="8">
        <v>1.0</v>
      </c>
      <c r="BA42" s="8">
        <v>0.0</v>
      </c>
      <c r="BB42" s="8">
        <v>0.0</v>
      </c>
      <c r="BC42" s="8">
        <v>0.0</v>
      </c>
      <c r="BD42" s="8">
        <v>0.0</v>
      </c>
      <c r="BE42" s="8">
        <v>0.0</v>
      </c>
      <c r="BF42" s="8">
        <v>0.0</v>
      </c>
      <c r="BG42" s="8">
        <v>0.0</v>
      </c>
      <c r="BH42" s="9"/>
      <c r="BI42" s="9" t="s">
        <v>852</v>
      </c>
      <c r="BJ42" s="8">
        <v>2.0</v>
      </c>
      <c r="BK42" s="8">
        <v>4.0</v>
      </c>
      <c r="BL42" s="8">
        <v>1.0</v>
      </c>
      <c r="BM42" s="8">
        <v>0.0</v>
      </c>
      <c r="BN42" s="9" t="s">
        <v>853</v>
      </c>
      <c r="BO42" s="9" t="s">
        <v>854</v>
      </c>
      <c r="BP42" s="8">
        <v>1.0</v>
      </c>
      <c r="BQ42" s="8">
        <v>0.0</v>
      </c>
      <c r="BR42" s="8">
        <v>0.0</v>
      </c>
      <c r="BS42" s="8">
        <v>0.0</v>
      </c>
      <c r="BT42" s="8">
        <v>0.0</v>
      </c>
      <c r="BU42" s="9"/>
      <c r="BV42" s="9" t="s">
        <v>855</v>
      </c>
      <c r="BW42" s="8">
        <v>0.0</v>
      </c>
      <c r="BX42" s="8">
        <v>0.0</v>
      </c>
      <c r="BY42" s="8">
        <v>1.0</v>
      </c>
      <c r="BZ42" s="8">
        <v>0.0</v>
      </c>
      <c r="CA42" s="8">
        <v>0.0</v>
      </c>
      <c r="CB42" s="9"/>
      <c r="CC42" s="9" t="s">
        <v>856</v>
      </c>
      <c r="CD42" s="8">
        <v>0.0</v>
      </c>
      <c r="CE42" s="8">
        <v>0.0</v>
      </c>
      <c r="CF42" s="8">
        <v>0.0</v>
      </c>
      <c r="CG42" s="8">
        <v>0.0</v>
      </c>
      <c r="CH42" s="8">
        <v>0.0</v>
      </c>
      <c r="CI42" s="8">
        <v>1.0</v>
      </c>
      <c r="CJ42" s="8">
        <v>0.0</v>
      </c>
      <c r="CK42" s="9"/>
      <c r="CL42" s="9" t="s">
        <v>857</v>
      </c>
      <c r="CM42" s="8">
        <v>2020.0</v>
      </c>
      <c r="CN42" s="9" t="s">
        <v>1376</v>
      </c>
      <c r="CO42" s="9" t="s">
        <v>1377</v>
      </c>
      <c r="CP42" s="9" t="s">
        <v>860</v>
      </c>
      <c r="CQ42" s="8">
        <v>0.0</v>
      </c>
      <c r="CR42" s="8">
        <v>0.0</v>
      </c>
      <c r="CS42" s="8">
        <v>0.0</v>
      </c>
      <c r="CT42" s="8">
        <v>0.0</v>
      </c>
      <c r="CU42" s="10">
        <v>1.0</v>
      </c>
      <c r="CV42" s="10">
        <v>0.0</v>
      </c>
      <c r="CW42" s="10">
        <v>0.0</v>
      </c>
      <c r="CX42" s="8">
        <v>0.0</v>
      </c>
      <c r="CY42" s="9" t="s">
        <v>860</v>
      </c>
      <c r="CZ42" s="8">
        <v>1.0</v>
      </c>
      <c r="DA42" s="8">
        <v>0.0</v>
      </c>
      <c r="DB42" s="8">
        <v>0.0</v>
      </c>
      <c r="DC42" s="9"/>
      <c r="DD42" s="9" t="s">
        <v>937</v>
      </c>
      <c r="DE42" s="8">
        <v>1.0</v>
      </c>
      <c r="DF42" s="8">
        <v>0.0</v>
      </c>
      <c r="DG42" s="8">
        <v>1.0</v>
      </c>
      <c r="DH42" s="8">
        <v>0.0</v>
      </c>
      <c r="DI42" s="9"/>
      <c r="DJ42" s="9" t="s">
        <v>937</v>
      </c>
      <c r="DK42" s="8">
        <v>1.0</v>
      </c>
      <c r="DL42" s="8">
        <v>0.0</v>
      </c>
      <c r="DM42" s="8">
        <v>1.0</v>
      </c>
      <c r="DN42" s="8">
        <v>0.0</v>
      </c>
      <c r="DO42" s="9"/>
      <c r="DP42" s="8">
        <v>1.0</v>
      </c>
      <c r="DQ42" s="8">
        <v>0.0</v>
      </c>
      <c r="DR42" s="8">
        <v>0.0</v>
      </c>
      <c r="DS42" s="9"/>
      <c r="DT42" s="9"/>
      <c r="DU42" s="9"/>
      <c r="DV42" s="9" t="s">
        <v>938</v>
      </c>
      <c r="DW42" s="9" t="s">
        <v>939</v>
      </c>
      <c r="DX42" s="9" t="s">
        <v>969</v>
      </c>
      <c r="DY42" s="9" t="s">
        <v>1378</v>
      </c>
      <c r="DZ42" s="9"/>
      <c r="EA42" s="9"/>
      <c r="EB42" s="9"/>
      <c r="EC42" s="9"/>
      <c r="ED42" s="9"/>
      <c r="EE42" s="9"/>
      <c r="EF42" s="9"/>
      <c r="EG42" s="9"/>
      <c r="EH42" s="9"/>
      <c r="EI42" s="9" t="s">
        <v>969</v>
      </c>
      <c r="EJ42" s="8">
        <v>0.0</v>
      </c>
      <c r="EK42" s="8">
        <v>0.0</v>
      </c>
      <c r="EL42" s="8">
        <v>0.0</v>
      </c>
      <c r="EM42" s="8">
        <v>0.0</v>
      </c>
      <c r="EN42" s="8">
        <v>1.0</v>
      </c>
      <c r="EO42" s="11" t="s">
        <v>1379</v>
      </c>
      <c r="EP42" s="9" t="s">
        <v>863</v>
      </c>
      <c r="EQ42" s="9" t="s">
        <v>1380</v>
      </c>
      <c r="ER42" s="9" t="s">
        <v>1381</v>
      </c>
      <c r="ES42" s="8">
        <v>0.0</v>
      </c>
      <c r="ET42" s="8">
        <v>1.0</v>
      </c>
      <c r="EU42" s="8">
        <v>0.0</v>
      </c>
      <c r="EV42" s="8">
        <v>0.0</v>
      </c>
      <c r="EW42" s="9"/>
      <c r="EX42" s="9" t="s">
        <v>865</v>
      </c>
      <c r="EY42" s="8">
        <v>1.0</v>
      </c>
      <c r="EZ42" s="8">
        <v>0.0</v>
      </c>
      <c r="FA42" s="8">
        <v>0.0</v>
      </c>
      <c r="FB42" s="9"/>
      <c r="FC42" s="9" t="s">
        <v>942</v>
      </c>
      <c r="FD42" s="9"/>
      <c r="FE42" s="9" t="s">
        <v>867</v>
      </c>
      <c r="FF42" s="9" t="s">
        <v>868</v>
      </c>
      <c r="FG42" s="9" t="s">
        <v>867</v>
      </c>
      <c r="FH42" s="9" t="s">
        <v>943</v>
      </c>
      <c r="FI42" s="9" t="s">
        <v>867</v>
      </c>
      <c r="FJ42" s="9" t="s">
        <v>943</v>
      </c>
      <c r="FK42" s="9" t="s">
        <v>867</v>
      </c>
      <c r="FL42" s="9" t="s">
        <v>943</v>
      </c>
      <c r="FM42" s="9" t="s">
        <v>867</v>
      </c>
      <c r="FN42" s="9" t="s">
        <v>869</v>
      </c>
      <c r="FO42" s="9" t="s">
        <v>867</v>
      </c>
      <c r="FP42" s="9" t="s">
        <v>943</v>
      </c>
      <c r="FQ42" s="9" t="s">
        <v>867</v>
      </c>
      <c r="FR42" s="9" t="s">
        <v>857</v>
      </c>
      <c r="FS42" s="9" t="s">
        <v>867</v>
      </c>
      <c r="FT42" s="9" t="s">
        <v>1130</v>
      </c>
      <c r="FU42" s="9" t="s">
        <v>872</v>
      </c>
      <c r="FV42" s="8">
        <v>1.0</v>
      </c>
      <c r="FW42" s="8">
        <v>0.0</v>
      </c>
      <c r="FX42" s="8">
        <v>0.0</v>
      </c>
      <c r="FY42" s="8">
        <v>0.0</v>
      </c>
      <c r="FZ42" s="9" t="s">
        <v>873</v>
      </c>
      <c r="GA42" s="9" t="s">
        <v>990</v>
      </c>
      <c r="GB42" s="8">
        <v>1.0</v>
      </c>
      <c r="GC42" s="8">
        <v>1.0</v>
      </c>
      <c r="GD42" s="8">
        <v>0.0</v>
      </c>
      <c r="GE42" s="8">
        <v>0.0</v>
      </c>
      <c r="GF42" s="9"/>
      <c r="GG42" s="9" t="s">
        <v>875</v>
      </c>
      <c r="GH42" s="9" t="s">
        <v>881</v>
      </c>
      <c r="GI42" s="9"/>
      <c r="GJ42" s="9"/>
      <c r="GK42" s="9"/>
      <c r="GL42" s="9"/>
      <c r="GM42" s="9"/>
      <c r="GN42" s="9"/>
      <c r="GO42" s="9"/>
      <c r="GP42" s="9" t="s">
        <v>877</v>
      </c>
      <c r="GQ42" s="9" t="s">
        <v>878</v>
      </c>
      <c r="GR42" s="8">
        <v>1.0</v>
      </c>
      <c r="GS42" s="8">
        <v>1.0</v>
      </c>
      <c r="GT42" s="8">
        <v>0.0</v>
      </c>
      <c r="GU42" s="8">
        <v>0.0</v>
      </c>
      <c r="GV42" s="8">
        <v>0.0</v>
      </c>
      <c r="GW42" s="8">
        <v>0.0</v>
      </c>
      <c r="GX42" s="8">
        <v>0.0</v>
      </c>
      <c r="GY42" s="9"/>
      <c r="GZ42" s="9" t="s">
        <v>881</v>
      </c>
      <c r="HA42" s="8">
        <v>150.0</v>
      </c>
      <c r="HB42" s="8">
        <v>1500000.0</v>
      </c>
      <c r="HC42" s="8">
        <v>0.0</v>
      </c>
      <c r="HD42" s="8">
        <v>0.0</v>
      </c>
      <c r="HE42" s="8">
        <v>12.0</v>
      </c>
      <c r="HF42" s="8">
        <v>100000.0</v>
      </c>
      <c r="HG42" s="8">
        <v>0.0</v>
      </c>
      <c r="HH42" s="8">
        <v>0.0</v>
      </c>
      <c r="HI42" s="9"/>
      <c r="HJ42" s="9"/>
      <c r="HK42" s="9"/>
      <c r="HL42" s="9"/>
      <c r="HM42" s="9"/>
      <c r="HN42" s="9"/>
      <c r="HO42" s="9"/>
      <c r="HP42" s="9"/>
      <c r="HQ42" s="9"/>
      <c r="HR42" s="9"/>
      <c r="HS42" s="9"/>
      <c r="HT42" s="9"/>
      <c r="HU42" s="9"/>
      <c r="HV42" s="9"/>
      <c r="HW42" s="9"/>
      <c r="HX42" s="9"/>
      <c r="HY42" s="8">
        <v>0.0</v>
      </c>
      <c r="HZ42" s="8">
        <v>0.0</v>
      </c>
      <c r="IA42" s="8">
        <v>0.0</v>
      </c>
      <c r="IB42" s="8">
        <v>0.0</v>
      </c>
      <c r="IC42" s="9"/>
      <c r="ID42" s="9"/>
      <c r="IE42" s="9"/>
      <c r="IF42" s="9"/>
      <c r="IG42" s="9"/>
      <c r="IH42" s="9"/>
      <c r="II42" s="9"/>
      <c r="IJ42" s="9"/>
      <c r="IK42" s="9" t="s">
        <v>1382</v>
      </c>
      <c r="IL42" s="9" t="s">
        <v>1383</v>
      </c>
      <c r="IM42" s="9" t="s">
        <v>881</v>
      </c>
      <c r="IN42" s="9" t="s">
        <v>881</v>
      </c>
      <c r="IO42" s="9" t="s">
        <v>945</v>
      </c>
      <c r="IP42" s="9"/>
      <c r="IQ42" s="9" t="s">
        <v>945</v>
      </c>
      <c r="IR42" s="9" t="s">
        <v>1384</v>
      </c>
      <c r="IS42" s="8">
        <v>0.0</v>
      </c>
      <c r="IT42" s="8">
        <v>0.0</v>
      </c>
      <c r="IU42" s="8">
        <v>1.0</v>
      </c>
      <c r="IV42" s="9" t="s">
        <v>872</v>
      </c>
      <c r="IW42" s="8">
        <v>1.0</v>
      </c>
      <c r="IX42" s="8">
        <v>0.0</v>
      </c>
      <c r="IY42" s="8">
        <v>0.0</v>
      </c>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872</v>
      </c>
      <c r="KW42" s="8">
        <v>1.0</v>
      </c>
      <c r="KX42" s="8">
        <v>0.0</v>
      </c>
      <c r="KY42" s="8">
        <v>0.0</v>
      </c>
      <c r="KZ42" s="8">
        <v>0.0</v>
      </c>
      <c r="LA42" s="9" t="s">
        <v>884</v>
      </c>
      <c r="LB42" s="9" t="s">
        <v>945</v>
      </c>
      <c r="LC42" s="8">
        <v>0.0</v>
      </c>
      <c r="LD42" s="8">
        <v>0.0</v>
      </c>
      <c r="LE42" s="8">
        <v>0.0</v>
      </c>
      <c r="LF42" s="8">
        <v>0.0</v>
      </c>
      <c r="LG42" s="9" t="s">
        <v>881</v>
      </c>
      <c r="LH42" s="9"/>
      <c r="LI42" s="8">
        <v>0.0</v>
      </c>
      <c r="LJ42" s="9" t="s">
        <v>969</v>
      </c>
      <c r="LK42" s="8">
        <v>0.0</v>
      </c>
      <c r="LL42" s="8">
        <v>0.0</v>
      </c>
      <c r="LM42" s="8">
        <v>0.0</v>
      </c>
      <c r="LN42" s="8">
        <v>0.0</v>
      </c>
      <c r="LO42" s="8">
        <v>0.0</v>
      </c>
      <c r="LP42" s="8">
        <v>0.0</v>
      </c>
      <c r="LQ42" s="8">
        <v>1.0</v>
      </c>
      <c r="LR42" s="9" t="s">
        <v>1385</v>
      </c>
      <c r="LS42" s="8">
        <v>0.0</v>
      </c>
      <c r="LT42" s="8">
        <v>0.0</v>
      </c>
      <c r="LU42" s="8">
        <v>0.0</v>
      </c>
      <c r="LV42" s="8">
        <v>0.0</v>
      </c>
      <c r="LW42" s="8">
        <v>0.0</v>
      </c>
      <c r="LX42" s="8">
        <v>0.0</v>
      </c>
      <c r="LY42" s="8">
        <v>0.0</v>
      </c>
      <c r="LZ42" s="8">
        <v>0.0</v>
      </c>
      <c r="MA42" s="8">
        <v>0.0</v>
      </c>
      <c r="MB42" s="9" t="s">
        <v>881</v>
      </c>
      <c r="MC42" s="8">
        <v>0.0</v>
      </c>
      <c r="MD42" s="8">
        <v>0.0</v>
      </c>
      <c r="ME42" s="8">
        <v>0.0</v>
      </c>
      <c r="MF42" s="8">
        <v>0.0</v>
      </c>
      <c r="MG42" s="8">
        <v>0.0</v>
      </c>
      <c r="MH42" s="8">
        <v>0.0</v>
      </c>
      <c r="MI42" s="9"/>
      <c r="MJ42" s="9"/>
      <c r="MK42" s="9"/>
      <c r="ML42" s="9"/>
      <c r="MM42" s="9"/>
      <c r="MN42" s="9"/>
      <c r="MO42" s="9"/>
      <c r="MP42" s="9"/>
      <c r="MQ42" s="9"/>
      <c r="MR42" s="8">
        <v>0.0</v>
      </c>
      <c r="MS42" s="9"/>
      <c r="MT42" s="8">
        <v>0.0</v>
      </c>
      <c r="MU42" s="9" t="s">
        <v>881</v>
      </c>
      <c r="MV42" s="9"/>
      <c r="MW42" s="9"/>
      <c r="MX42" s="9"/>
      <c r="MY42" s="9"/>
      <c r="MZ42" s="9"/>
      <c r="NA42" s="9"/>
      <c r="NB42" s="9"/>
      <c r="NC42" s="9"/>
      <c r="ND42" s="9"/>
      <c r="NE42" s="9"/>
      <c r="NF42" s="9"/>
      <c r="NG42" s="9"/>
      <c r="NH42" s="9"/>
      <c r="NI42" s="9"/>
      <c r="NJ42" s="9"/>
      <c r="NK42" s="9"/>
      <c r="NL42" s="9" t="s">
        <v>881</v>
      </c>
      <c r="NM42" s="9" t="s">
        <v>1386</v>
      </c>
      <c r="NN42" s="9" t="s">
        <v>1387</v>
      </c>
      <c r="NO42" s="9" t="s">
        <v>895</v>
      </c>
      <c r="NP42" s="9"/>
      <c r="NQ42" s="9"/>
      <c r="NR42" s="9"/>
      <c r="NS42" s="9"/>
      <c r="NT42" s="9"/>
      <c r="NU42" s="9"/>
      <c r="NV42" s="9"/>
      <c r="NW42" s="9"/>
      <c r="NX42" s="9" t="s">
        <v>914</v>
      </c>
      <c r="NY42" s="8">
        <v>0.0</v>
      </c>
      <c r="NZ42" s="8">
        <v>0.0</v>
      </c>
      <c r="OA42" s="8">
        <v>0.0</v>
      </c>
      <c r="OB42" s="8">
        <v>0.0</v>
      </c>
      <c r="OC42" s="8">
        <v>0.0</v>
      </c>
      <c r="OD42" s="8">
        <v>0.0</v>
      </c>
      <c r="OE42" s="9" t="s">
        <v>945</v>
      </c>
      <c r="OF42" s="9" t="s">
        <v>1388</v>
      </c>
      <c r="OG42" s="9" t="s">
        <v>857</v>
      </c>
      <c r="OH42" s="8">
        <v>0.0</v>
      </c>
      <c r="OI42" s="8">
        <v>0.0</v>
      </c>
      <c r="OJ42" s="8">
        <v>0.0</v>
      </c>
      <c r="OK42" s="8">
        <v>0.0</v>
      </c>
      <c r="OL42" s="8">
        <v>0.0</v>
      </c>
      <c r="OM42" s="8">
        <v>0.0</v>
      </c>
      <c r="ON42" s="8">
        <v>0.0</v>
      </c>
      <c r="OO42" s="8">
        <v>0.0</v>
      </c>
      <c r="OP42" s="9" t="s">
        <v>2947</v>
      </c>
      <c r="OQ42" s="8">
        <v>1.0</v>
      </c>
      <c r="OR42" s="8">
        <v>0.0</v>
      </c>
      <c r="OS42" s="8">
        <v>0.0</v>
      </c>
      <c r="OT42" s="8">
        <v>0.0</v>
      </c>
      <c r="OU42" s="8">
        <v>0.0</v>
      </c>
      <c r="OV42" s="8">
        <v>0.0</v>
      </c>
      <c r="OW42" s="8">
        <v>0.0</v>
      </c>
      <c r="OX42" s="8">
        <v>0.0</v>
      </c>
      <c r="OY42" s="9" t="s">
        <v>900</v>
      </c>
      <c r="OZ42" s="8">
        <v>1.0</v>
      </c>
      <c r="PA42" s="8">
        <v>0.0</v>
      </c>
      <c r="PB42" s="8">
        <v>0.0</v>
      </c>
      <c r="PC42" s="8">
        <v>0.0</v>
      </c>
      <c r="PD42" s="8">
        <v>0.0</v>
      </c>
      <c r="PE42" s="8">
        <v>0.0</v>
      </c>
      <c r="PF42" s="8">
        <v>1.0</v>
      </c>
      <c r="PG42" s="8">
        <v>0.0</v>
      </c>
      <c r="PH42" s="8">
        <v>0.0</v>
      </c>
      <c r="PI42" s="8">
        <v>0.0</v>
      </c>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8">
        <v>3.0</v>
      </c>
      <c r="SE42" s="9"/>
      <c r="SF42" s="9"/>
      <c r="SG42" s="9"/>
      <c r="SH42" s="9"/>
      <c r="SI42" s="9"/>
      <c r="SJ42" s="9"/>
      <c r="SK42" s="9"/>
      <c r="SL42" s="8">
        <v>0.0</v>
      </c>
      <c r="SM42" s="8">
        <v>0.0</v>
      </c>
      <c r="SN42" s="8">
        <v>0.0</v>
      </c>
      <c r="SO42" s="8">
        <v>0.0</v>
      </c>
      <c r="SP42" s="8">
        <v>0.0</v>
      </c>
      <c r="SQ42" s="8">
        <v>0.0</v>
      </c>
      <c r="SR42" s="8">
        <v>0.0</v>
      </c>
      <c r="SS42" s="8">
        <v>0.0</v>
      </c>
      <c r="ST42" s="8">
        <v>0.0</v>
      </c>
      <c r="SU42" s="8">
        <v>0.0</v>
      </c>
      <c r="SV42" s="8">
        <v>0.0</v>
      </c>
      <c r="SW42" s="8">
        <v>0.0</v>
      </c>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t="s">
        <v>881</v>
      </c>
      <c r="ZR42" s="9"/>
      <c r="ZS42" s="9"/>
      <c r="ZT42" s="9"/>
      <c r="ZU42" s="9"/>
      <c r="ZV42" s="9"/>
      <c r="ZW42" s="9" t="s">
        <v>881</v>
      </c>
      <c r="ZX42" s="9" t="s">
        <v>1389</v>
      </c>
      <c r="ZY42" s="9" t="s">
        <v>1016</v>
      </c>
      <c r="ZZ42" s="8">
        <v>0.0</v>
      </c>
      <c r="AAA42" s="8">
        <v>0.0</v>
      </c>
      <c r="AAB42" s="8">
        <v>0.0</v>
      </c>
      <c r="AAC42" s="8">
        <v>0.0</v>
      </c>
      <c r="AAD42" s="8">
        <v>1.0</v>
      </c>
      <c r="AAE42" s="8">
        <v>0.0</v>
      </c>
      <c r="AAF42" s="8">
        <v>0.0</v>
      </c>
      <c r="AAG42" s="9"/>
      <c r="AAH42" s="9"/>
      <c r="AAI42" s="9"/>
      <c r="AAJ42" s="9"/>
      <c r="AAK42" s="9"/>
      <c r="AAL42" s="9"/>
      <c r="AAM42" s="9"/>
      <c r="AAN42" s="9"/>
      <c r="AAO42" s="9"/>
      <c r="AAP42" s="9"/>
      <c r="AAQ42" s="9"/>
      <c r="AAR42" s="9"/>
      <c r="AAS42" s="9"/>
      <c r="AAT42" s="9"/>
      <c r="AAU42" s="9"/>
      <c r="AAV42" s="11"/>
      <c r="AAW42" s="9"/>
      <c r="AAX42" s="9"/>
      <c r="AAY42" s="9"/>
      <c r="AAZ42" s="9"/>
      <c r="ABA42" s="9"/>
      <c r="ABB42" s="9"/>
      <c r="ABC42" s="9"/>
      <c r="ABD42" s="9"/>
      <c r="ABE42" s="9"/>
      <c r="ABF42" s="9"/>
      <c r="ABG42" s="9"/>
      <c r="ABH42" s="9"/>
      <c r="ABI42" s="9"/>
      <c r="ABJ42" s="9"/>
      <c r="ABK42" s="9"/>
      <c r="ABL42" s="9"/>
      <c r="ABM42" s="9"/>
      <c r="ABN42" s="9"/>
      <c r="ABO42" s="9"/>
      <c r="ABP42" s="9" t="s">
        <v>955</v>
      </c>
      <c r="ABQ42" s="8">
        <v>0.0</v>
      </c>
      <c r="ABR42" s="8">
        <v>0.0</v>
      </c>
      <c r="ABS42" s="8">
        <v>0.0</v>
      </c>
      <c r="ABT42" s="8">
        <v>1.0</v>
      </c>
      <c r="ABU42" s="8">
        <v>0.0</v>
      </c>
      <c r="ABV42" s="8">
        <v>0.0</v>
      </c>
      <c r="ABW42" s="8">
        <v>0.0</v>
      </c>
      <c r="ABX42" s="9"/>
      <c r="ABY42" s="8">
        <v>0.0</v>
      </c>
      <c r="ABZ42" s="9" t="s">
        <v>1390</v>
      </c>
      <c r="ACA42" s="9" t="s">
        <v>914</v>
      </c>
      <c r="ACB42" s="9" t="s">
        <v>1391</v>
      </c>
      <c r="ACC42" s="9" t="s">
        <v>958</v>
      </c>
      <c r="ACD42" s="9" t="s">
        <v>915</v>
      </c>
      <c r="ACE42" s="8">
        <v>0.0</v>
      </c>
      <c r="ACF42" s="8">
        <v>1.0</v>
      </c>
      <c r="ACG42" s="8">
        <v>0.0</v>
      </c>
      <c r="ACH42" s="8">
        <v>0.0</v>
      </c>
      <c r="ACI42" s="9" t="s">
        <v>1392</v>
      </c>
      <c r="ACJ42" s="9" t="s">
        <v>1392</v>
      </c>
      <c r="ACK42" s="9" t="s">
        <v>1392</v>
      </c>
      <c r="ACL42" s="9" t="s">
        <v>1392</v>
      </c>
      <c r="ACM42" s="9" t="s">
        <v>881</v>
      </c>
      <c r="ACN42" s="9"/>
      <c r="ACO42" s="9" t="s">
        <v>1187</v>
      </c>
      <c r="ACP42" s="9"/>
      <c r="ACQ42" s="9"/>
      <c r="ACR42" s="9"/>
      <c r="ACS42" s="9"/>
      <c r="ACT42" s="9"/>
      <c r="ACU42" s="9"/>
      <c r="ACV42" s="9"/>
      <c r="ACW42" s="9"/>
      <c r="ACX42" s="9"/>
      <c r="ACY42" s="9"/>
      <c r="ACZ42" s="9" t="s">
        <v>919</v>
      </c>
      <c r="ADA42" s="8">
        <v>0.0</v>
      </c>
      <c r="ADB42" s="8">
        <v>0.0</v>
      </c>
      <c r="ADC42" s="8">
        <v>0.0</v>
      </c>
      <c r="ADD42" s="8">
        <v>0.0</v>
      </c>
      <c r="ADE42" s="8">
        <v>1.0</v>
      </c>
      <c r="ADF42" s="8">
        <v>0.0</v>
      </c>
      <c r="ADG42" s="8">
        <v>0.0</v>
      </c>
      <c r="ADH42" s="8">
        <v>0.0</v>
      </c>
      <c r="ADI42" s="12"/>
      <c r="ADJ42" s="13" t="s">
        <v>872</v>
      </c>
      <c r="ADK42" s="14"/>
      <c r="ADL42" s="13" t="s">
        <v>920</v>
      </c>
      <c r="ADM42" s="9"/>
      <c r="ADN42" s="11" t="s">
        <v>1393</v>
      </c>
      <c r="ADO42" s="9" t="s">
        <v>961</v>
      </c>
      <c r="ADP42" s="13" t="s">
        <v>969</v>
      </c>
      <c r="ADQ42" s="15">
        <v>0.0</v>
      </c>
      <c r="ADR42" s="15">
        <v>0.0</v>
      </c>
      <c r="ADS42" s="15">
        <v>0.0</v>
      </c>
      <c r="ADT42" s="15">
        <v>0.0</v>
      </c>
      <c r="ADU42" s="15">
        <v>0.0</v>
      </c>
      <c r="ADV42" s="15">
        <v>0.0</v>
      </c>
      <c r="ADW42" s="15">
        <v>0.0</v>
      </c>
      <c r="ADX42" s="15">
        <v>0.0</v>
      </c>
      <c r="ADY42" s="15">
        <v>0.0</v>
      </c>
      <c r="ADZ42" s="15">
        <v>0.0</v>
      </c>
      <c r="AEA42" s="15">
        <v>0.0</v>
      </c>
      <c r="AEB42" s="15">
        <v>1.0</v>
      </c>
      <c r="AEC42" s="9" t="s">
        <v>1394</v>
      </c>
      <c r="AED42" s="9" t="s">
        <v>969</v>
      </c>
      <c r="AEE42" s="9" t="s">
        <v>1395</v>
      </c>
      <c r="AEF42" s="9" t="s">
        <v>924</v>
      </c>
      <c r="AEG42" s="9"/>
      <c r="AEH42" s="9" t="s">
        <v>1396</v>
      </c>
      <c r="AEI42" s="16" t="s">
        <v>1397</v>
      </c>
      <c r="AEJ42" s="9" t="s">
        <v>1398</v>
      </c>
      <c r="AEK42" s="16" t="s">
        <v>1399</v>
      </c>
      <c r="AEL42" s="9" t="s">
        <v>1193</v>
      </c>
      <c r="AEM42" s="9"/>
      <c r="AEN42" s="9"/>
    </row>
    <row r="43">
      <c r="A43" s="6">
        <v>46062.0</v>
      </c>
      <c r="B43" s="6">
        <v>46062.0</v>
      </c>
      <c r="C43" s="7" t="s">
        <v>837</v>
      </c>
      <c r="D43" s="7" t="s">
        <v>1400</v>
      </c>
      <c r="E43" s="8">
        <f>+6282220569645</f>
        <v>6282220569645</v>
      </c>
      <c r="F43" s="9"/>
      <c r="G43" s="8">
        <v>-7.2315486</v>
      </c>
      <c r="H43" s="8">
        <v>110.283637</v>
      </c>
      <c r="I43" s="9"/>
      <c r="J43" s="8">
        <v>3.15</v>
      </c>
      <c r="K43" s="9"/>
      <c r="L43" s="9"/>
      <c r="M43" s="8">
        <v>-7.231677588</v>
      </c>
      <c r="N43" s="8">
        <v>110.2836414</v>
      </c>
      <c r="O43" s="9"/>
      <c r="P43" s="8">
        <v>4.25</v>
      </c>
      <c r="Q43" s="9"/>
      <c r="R43" s="9" t="s">
        <v>839</v>
      </c>
      <c r="S43" s="9"/>
      <c r="T43" s="9"/>
      <c r="U43" s="9"/>
      <c r="V43" s="9"/>
      <c r="W43" s="9"/>
      <c r="X43" s="9"/>
      <c r="Y43" s="9"/>
      <c r="Z43" s="9"/>
      <c r="AA43" s="9"/>
      <c r="AB43" s="9"/>
      <c r="AC43" s="7" t="s">
        <v>1175</v>
      </c>
      <c r="AD43" s="7" t="s">
        <v>1176</v>
      </c>
      <c r="AE43" s="7" t="s">
        <v>1401</v>
      </c>
      <c r="AF43" s="9" t="s">
        <v>1178</v>
      </c>
      <c r="AG43" s="9" t="s">
        <v>1402</v>
      </c>
      <c r="AH43" s="8">
        <v>3.0</v>
      </c>
      <c r="AI43" s="9" t="s">
        <v>845</v>
      </c>
      <c r="AJ43" s="9" t="s">
        <v>846</v>
      </c>
      <c r="AK43" s="8">
        <v>39.0</v>
      </c>
      <c r="AL43" s="9" t="s">
        <v>847</v>
      </c>
      <c r="AM43" s="9" t="s">
        <v>848</v>
      </c>
      <c r="AN43" s="9" t="s">
        <v>986</v>
      </c>
      <c r="AO43" s="9" t="s">
        <v>935</v>
      </c>
      <c r="AP43" s="8">
        <v>0.0</v>
      </c>
      <c r="AQ43" s="8">
        <v>1.0</v>
      </c>
      <c r="AR43" s="8">
        <v>0.0</v>
      </c>
      <c r="AS43" s="8">
        <v>0.0</v>
      </c>
      <c r="AT43" s="8">
        <v>0.0</v>
      </c>
      <c r="AU43" s="8">
        <v>0.0</v>
      </c>
      <c r="AV43" s="8">
        <v>0.0</v>
      </c>
      <c r="AW43" s="8">
        <v>0.0</v>
      </c>
      <c r="AX43" s="9"/>
      <c r="AY43" s="9" t="s">
        <v>850</v>
      </c>
      <c r="AZ43" s="8">
        <v>1.0</v>
      </c>
      <c r="BA43" s="8">
        <v>0.0</v>
      </c>
      <c r="BB43" s="8">
        <v>0.0</v>
      </c>
      <c r="BC43" s="8">
        <v>0.0</v>
      </c>
      <c r="BD43" s="8">
        <v>0.0</v>
      </c>
      <c r="BE43" s="8">
        <v>0.0</v>
      </c>
      <c r="BF43" s="8">
        <v>0.0</v>
      </c>
      <c r="BG43" s="8">
        <v>0.0</v>
      </c>
      <c r="BH43" s="9"/>
      <c r="BI43" s="9" t="s">
        <v>1101</v>
      </c>
      <c r="BJ43" s="8">
        <v>1.0</v>
      </c>
      <c r="BK43" s="8">
        <v>4.0</v>
      </c>
      <c r="BL43" s="8">
        <v>0.0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856</v>
      </c>
      <c r="CD43" s="8">
        <v>0.0</v>
      </c>
      <c r="CE43" s="8">
        <v>0.0</v>
      </c>
      <c r="CF43" s="8">
        <v>0.0</v>
      </c>
      <c r="CG43" s="8">
        <v>0.0</v>
      </c>
      <c r="CH43" s="8">
        <v>0.0</v>
      </c>
      <c r="CI43" s="8">
        <v>1.0</v>
      </c>
      <c r="CJ43" s="8">
        <v>0.0</v>
      </c>
      <c r="CK43" s="9"/>
      <c r="CL43" s="9" t="s">
        <v>857</v>
      </c>
      <c r="CM43" s="8">
        <v>2023.0</v>
      </c>
      <c r="CN43" s="9" t="s">
        <v>858</v>
      </c>
      <c r="CO43" s="9" t="s">
        <v>859</v>
      </c>
      <c r="CP43" s="9" t="s">
        <v>860</v>
      </c>
      <c r="CQ43" s="8">
        <v>0.0</v>
      </c>
      <c r="CR43" s="8">
        <v>0.0</v>
      </c>
      <c r="CS43" s="8">
        <v>0.0</v>
      </c>
      <c r="CT43" s="8">
        <v>0.0</v>
      </c>
      <c r="CU43" s="10">
        <v>1.0</v>
      </c>
      <c r="CV43" s="10">
        <v>0.0</v>
      </c>
      <c r="CW43" s="10">
        <v>0.0</v>
      </c>
      <c r="CX43" s="8">
        <v>0.0</v>
      </c>
      <c r="CY43" s="9" t="s">
        <v>860</v>
      </c>
      <c r="CZ43" s="8">
        <v>1.0</v>
      </c>
      <c r="DA43" s="8">
        <v>0.0</v>
      </c>
      <c r="DB43" s="8">
        <v>0.0</v>
      </c>
      <c r="DC43" s="9"/>
      <c r="DD43" s="9" t="s">
        <v>937</v>
      </c>
      <c r="DE43" s="8">
        <v>1.0</v>
      </c>
      <c r="DF43" s="8">
        <v>0.0</v>
      </c>
      <c r="DG43" s="8">
        <v>1.0</v>
      </c>
      <c r="DH43" s="8">
        <v>0.0</v>
      </c>
      <c r="DI43" s="9"/>
      <c r="DJ43" s="9" t="s">
        <v>937</v>
      </c>
      <c r="DK43" s="8">
        <v>1.0</v>
      </c>
      <c r="DL43" s="8">
        <v>0.0</v>
      </c>
      <c r="DM43" s="8">
        <v>1.0</v>
      </c>
      <c r="DN43" s="8">
        <v>0.0</v>
      </c>
      <c r="DO43" s="9"/>
      <c r="DP43" s="8">
        <v>1.0</v>
      </c>
      <c r="DQ43" s="8">
        <v>0.0</v>
      </c>
      <c r="DR43" s="8">
        <v>0.0</v>
      </c>
      <c r="DS43" s="9"/>
      <c r="DT43" s="9"/>
      <c r="DU43" s="9"/>
      <c r="DV43" s="9" t="s">
        <v>857</v>
      </c>
      <c r="DW43" s="9"/>
      <c r="DX43" s="9"/>
      <c r="DY43" s="9"/>
      <c r="DZ43" s="9"/>
      <c r="EA43" s="9"/>
      <c r="EB43" s="9"/>
      <c r="EC43" s="9"/>
      <c r="ED43" s="9"/>
      <c r="EE43" s="9"/>
      <c r="EF43" s="9"/>
      <c r="EG43" s="9"/>
      <c r="EH43" s="9"/>
      <c r="EI43" s="9" t="s">
        <v>862</v>
      </c>
      <c r="EJ43" s="8">
        <v>0.0</v>
      </c>
      <c r="EK43" s="8">
        <v>0.0</v>
      </c>
      <c r="EL43" s="8">
        <v>0.0</v>
      </c>
      <c r="EM43" s="8">
        <v>1.0</v>
      </c>
      <c r="EN43" s="8">
        <v>0.0</v>
      </c>
      <c r="EO43" s="11"/>
      <c r="EP43" s="9" t="s">
        <v>1403</v>
      </c>
      <c r="EQ43" s="9" t="s">
        <v>864</v>
      </c>
      <c r="ER43" s="9" t="s">
        <v>861</v>
      </c>
      <c r="ES43" s="8">
        <v>1.0</v>
      </c>
      <c r="ET43" s="8">
        <v>0.0</v>
      </c>
      <c r="EU43" s="8">
        <v>0.0</v>
      </c>
      <c r="EV43" s="8">
        <v>0.0</v>
      </c>
      <c r="EW43" s="9"/>
      <c r="EX43" s="9" t="s">
        <v>865</v>
      </c>
      <c r="EY43" s="8">
        <v>1.0</v>
      </c>
      <c r="EZ43" s="8">
        <v>0.0</v>
      </c>
      <c r="FA43" s="8">
        <v>0.0</v>
      </c>
      <c r="FB43" s="9"/>
      <c r="FC43" s="9" t="s">
        <v>1072</v>
      </c>
      <c r="FD43" s="9"/>
      <c r="FE43" s="9" t="s">
        <v>867</v>
      </c>
      <c r="FF43" s="9" t="s">
        <v>868</v>
      </c>
      <c r="FG43" s="9" t="s">
        <v>867</v>
      </c>
      <c r="FH43" s="9" t="s">
        <v>869</v>
      </c>
      <c r="FI43" s="9" t="s">
        <v>867</v>
      </c>
      <c r="FJ43" s="9" t="s">
        <v>868</v>
      </c>
      <c r="FK43" s="9" t="s">
        <v>867</v>
      </c>
      <c r="FL43" s="9" t="s">
        <v>868</v>
      </c>
      <c r="FM43" s="9" t="s">
        <v>867</v>
      </c>
      <c r="FN43" s="9" t="s">
        <v>943</v>
      </c>
      <c r="FO43" s="9" t="s">
        <v>867</v>
      </c>
      <c r="FP43" s="9" t="s">
        <v>870</v>
      </c>
      <c r="FQ43" s="9" t="s">
        <v>867</v>
      </c>
      <c r="FR43" s="9" t="s">
        <v>857</v>
      </c>
      <c r="FS43" s="9" t="s">
        <v>867</v>
      </c>
      <c r="FT43" s="9" t="s">
        <v>871</v>
      </c>
      <c r="FU43" s="9" t="s">
        <v>989</v>
      </c>
      <c r="FV43" s="8">
        <v>1.0</v>
      </c>
      <c r="FW43" s="8">
        <v>1.0</v>
      </c>
      <c r="FX43" s="8">
        <v>0.0</v>
      </c>
      <c r="FY43" s="8">
        <v>0.0</v>
      </c>
      <c r="FZ43" s="9" t="s">
        <v>873</v>
      </c>
      <c r="GA43" s="9" t="s">
        <v>874</v>
      </c>
      <c r="GB43" s="8">
        <v>1.0</v>
      </c>
      <c r="GC43" s="8">
        <v>0.0</v>
      </c>
      <c r="GD43" s="8">
        <v>0.0</v>
      </c>
      <c r="GE43" s="8">
        <v>0.0</v>
      </c>
      <c r="GF43" s="9"/>
      <c r="GG43" s="9" t="s">
        <v>875</v>
      </c>
      <c r="GH43" s="9" t="s">
        <v>857</v>
      </c>
      <c r="GI43" s="9" t="s">
        <v>1264</v>
      </c>
      <c r="GJ43" s="8">
        <v>0.0</v>
      </c>
      <c r="GK43" s="8">
        <v>1.0</v>
      </c>
      <c r="GL43" s="8">
        <v>0.0</v>
      </c>
      <c r="GM43" s="8">
        <v>0.0</v>
      </c>
      <c r="GN43" s="9"/>
      <c r="GO43" s="8">
        <v>10.0</v>
      </c>
      <c r="GP43" s="9" t="s">
        <v>877</v>
      </c>
      <c r="GQ43" s="9" t="s">
        <v>878</v>
      </c>
      <c r="GR43" s="8">
        <v>1.0</v>
      </c>
      <c r="GS43" s="8">
        <v>1.0</v>
      </c>
      <c r="GT43" s="8">
        <v>0.0</v>
      </c>
      <c r="GU43" s="8">
        <v>0.0</v>
      </c>
      <c r="GV43" s="8">
        <v>0.0</v>
      </c>
      <c r="GW43" s="8">
        <v>0.0</v>
      </c>
      <c r="GX43" s="8">
        <v>0.0</v>
      </c>
      <c r="GY43" s="9"/>
      <c r="GZ43" s="9" t="s">
        <v>857</v>
      </c>
      <c r="HA43" s="8">
        <v>15.0</v>
      </c>
      <c r="HB43" s="8">
        <v>150000.0</v>
      </c>
      <c r="HC43" s="8">
        <v>5.0</v>
      </c>
      <c r="HD43" s="8">
        <v>50000.0</v>
      </c>
      <c r="HE43" s="8">
        <v>12.0</v>
      </c>
      <c r="HF43" s="8">
        <v>100000.0</v>
      </c>
      <c r="HG43" s="8">
        <v>3.0</v>
      </c>
      <c r="HH43" s="8">
        <v>25000.0</v>
      </c>
      <c r="HI43" s="9"/>
      <c r="HJ43" s="9"/>
      <c r="HK43" s="9"/>
      <c r="HL43" s="9"/>
      <c r="HM43" s="9"/>
      <c r="HN43" s="9"/>
      <c r="HO43" s="9"/>
      <c r="HP43" s="9"/>
      <c r="HQ43" s="9"/>
      <c r="HR43" s="9"/>
      <c r="HS43" s="9"/>
      <c r="HT43" s="9"/>
      <c r="HU43" s="9"/>
      <c r="HV43" s="9"/>
      <c r="HW43" s="9"/>
      <c r="HX43" s="9"/>
      <c r="HY43" s="8">
        <v>10.0</v>
      </c>
      <c r="HZ43" s="8">
        <v>100000.0</v>
      </c>
      <c r="IA43" s="8">
        <v>9.0</v>
      </c>
      <c r="IB43" s="8">
        <v>75000.0</v>
      </c>
      <c r="IC43" s="9"/>
      <c r="ID43" s="9"/>
      <c r="IE43" s="9"/>
      <c r="IF43" s="9"/>
      <c r="IG43" s="9"/>
      <c r="IH43" s="9"/>
      <c r="II43" s="9"/>
      <c r="IJ43" s="9"/>
      <c r="IK43" s="9" t="s">
        <v>879</v>
      </c>
      <c r="IL43" s="9" t="s">
        <v>880</v>
      </c>
      <c r="IM43" s="9" t="s">
        <v>857</v>
      </c>
      <c r="IN43" s="9" t="s">
        <v>881</v>
      </c>
      <c r="IO43" s="9" t="s">
        <v>1206</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3.0</v>
      </c>
      <c r="LD43" s="8">
        <v>3.0</v>
      </c>
      <c r="LE43" s="8">
        <v>0.0</v>
      </c>
      <c r="LF43" s="8">
        <v>0.0</v>
      </c>
      <c r="LG43" s="9" t="s">
        <v>857</v>
      </c>
      <c r="LH43" s="8">
        <v>100000.0</v>
      </c>
      <c r="LI43" s="9"/>
      <c r="LJ43" s="9" t="s">
        <v>887</v>
      </c>
      <c r="LK43" s="8">
        <v>0.0</v>
      </c>
      <c r="LL43" s="8">
        <v>0.0</v>
      </c>
      <c r="LM43" s="8">
        <v>0.0</v>
      </c>
      <c r="LN43" s="8">
        <v>0.0</v>
      </c>
      <c r="LO43" s="8">
        <v>1.0</v>
      </c>
      <c r="LP43" s="8">
        <v>0.0</v>
      </c>
      <c r="LQ43" s="8">
        <v>0.0</v>
      </c>
      <c r="LR43" s="9"/>
      <c r="LS43" s="8">
        <v>15.0</v>
      </c>
      <c r="LT43" s="8">
        <v>20.0</v>
      </c>
      <c r="LU43" s="8">
        <v>0.0</v>
      </c>
      <c r="LV43" s="8">
        <v>10.0</v>
      </c>
      <c r="LW43" s="8">
        <v>10.0</v>
      </c>
      <c r="LX43" s="8">
        <v>0.0</v>
      </c>
      <c r="LY43" s="8">
        <v>5.0</v>
      </c>
      <c r="LZ43" s="8">
        <v>5.0</v>
      </c>
      <c r="MA43" s="8">
        <v>0.0</v>
      </c>
      <c r="MB43" s="9" t="s">
        <v>857</v>
      </c>
      <c r="MC43" s="8">
        <v>30.0</v>
      </c>
      <c r="MD43" s="8">
        <v>15.0</v>
      </c>
      <c r="ME43" s="8">
        <v>15.0</v>
      </c>
      <c r="MF43" s="8">
        <v>15.0</v>
      </c>
      <c r="MG43" s="8">
        <v>0.0</v>
      </c>
      <c r="MH43" s="8">
        <v>0.0</v>
      </c>
      <c r="MI43" s="9" t="s">
        <v>946</v>
      </c>
      <c r="MJ43" s="8">
        <v>0.0</v>
      </c>
      <c r="MK43" s="8">
        <v>0.0</v>
      </c>
      <c r="ML43" s="8">
        <v>1.0</v>
      </c>
      <c r="MM43" s="8">
        <v>0.0</v>
      </c>
      <c r="MN43" s="8">
        <v>0.0</v>
      </c>
      <c r="MO43" s="8">
        <v>0.0</v>
      </c>
      <c r="MP43" s="9"/>
      <c r="MQ43" s="9"/>
      <c r="MR43" s="9" t="s">
        <v>1404</v>
      </c>
      <c r="MS43" s="9"/>
      <c r="MT43" s="9" t="s">
        <v>991</v>
      </c>
      <c r="MU43" s="9" t="s">
        <v>881</v>
      </c>
      <c r="MV43" s="9"/>
      <c r="MW43" s="9"/>
      <c r="MX43" s="9"/>
      <c r="MY43" s="9"/>
      <c r="MZ43" s="9"/>
      <c r="NA43" s="9"/>
      <c r="NB43" s="9"/>
      <c r="NC43" s="9"/>
      <c r="ND43" s="9"/>
      <c r="NE43" s="9"/>
      <c r="NF43" s="9"/>
      <c r="NG43" s="9"/>
      <c r="NH43" s="9"/>
      <c r="NI43" s="9"/>
      <c r="NJ43" s="9"/>
      <c r="NK43" s="9"/>
      <c r="NL43" s="9" t="s">
        <v>857</v>
      </c>
      <c r="NM43" s="9" t="s">
        <v>893</v>
      </c>
      <c r="NN43" s="9" t="s">
        <v>993</v>
      </c>
      <c r="NO43" s="9" t="s">
        <v>994</v>
      </c>
      <c r="NP43" s="9"/>
      <c r="NQ43" s="9"/>
      <c r="NR43" s="9"/>
      <c r="NS43" s="9"/>
      <c r="NT43" s="9"/>
      <c r="NU43" s="9"/>
      <c r="NV43" s="9" t="s">
        <v>896</v>
      </c>
      <c r="NW43" s="9"/>
      <c r="NX43" s="9" t="s">
        <v>897</v>
      </c>
      <c r="NY43" s="8">
        <v>5.0</v>
      </c>
      <c r="NZ43" s="8">
        <v>5.0</v>
      </c>
      <c r="OA43" s="8">
        <v>0.0</v>
      </c>
      <c r="OB43" s="8">
        <v>5.0</v>
      </c>
      <c r="OC43" s="8">
        <v>5.0</v>
      </c>
      <c r="OD43" s="8">
        <v>0.0</v>
      </c>
      <c r="OE43" s="9" t="s">
        <v>898</v>
      </c>
      <c r="OF43" s="9" t="s">
        <v>1184</v>
      </c>
      <c r="OG43" s="9" t="s">
        <v>857</v>
      </c>
      <c r="OH43" s="8">
        <v>0.0</v>
      </c>
      <c r="OI43" s="8">
        <v>7.0</v>
      </c>
      <c r="OJ43" s="8">
        <v>0.0</v>
      </c>
      <c r="OK43" s="8">
        <v>0.0</v>
      </c>
      <c r="OL43" s="8">
        <v>0.0</v>
      </c>
      <c r="OM43" s="8">
        <v>0.0</v>
      </c>
      <c r="ON43" s="8">
        <v>0.0</v>
      </c>
      <c r="OO43" s="8">
        <v>0.0</v>
      </c>
      <c r="OP43" s="9" t="s">
        <v>2948</v>
      </c>
      <c r="OQ43" s="8">
        <v>0.0</v>
      </c>
      <c r="OR43" s="8">
        <v>1.0</v>
      </c>
      <c r="OS43" s="8">
        <v>0.0</v>
      </c>
      <c r="OT43" s="8">
        <v>0.0</v>
      </c>
      <c r="OU43" s="8">
        <v>0.0</v>
      </c>
      <c r="OV43" s="8">
        <v>0.0</v>
      </c>
      <c r="OW43" s="8">
        <v>0.0</v>
      </c>
      <c r="OX43" s="8">
        <v>0.0</v>
      </c>
      <c r="OY43" s="9"/>
      <c r="OZ43" s="9"/>
      <c r="PA43" s="9"/>
      <c r="PB43" s="9"/>
      <c r="PC43" s="9"/>
      <c r="PD43" s="9"/>
      <c r="PE43" s="9"/>
      <c r="PF43" s="9"/>
      <c r="PG43" s="9"/>
      <c r="PH43" s="9"/>
      <c r="PI43" s="9"/>
      <c r="PJ43" s="9" t="s">
        <v>900</v>
      </c>
      <c r="PK43" s="8">
        <v>0.0</v>
      </c>
      <c r="PL43" s="8">
        <v>0.0</v>
      </c>
      <c r="PM43" s="8">
        <v>0.0</v>
      </c>
      <c r="PN43" s="8">
        <v>0.0</v>
      </c>
      <c r="PO43" s="8">
        <v>0.0</v>
      </c>
      <c r="PP43" s="8">
        <v>1.0</v>
      </c>
      <c r="PQ43" s="8">
        <v>0.0</v>
      </c>
      <c r="PR43" s="8">
        <v>0.0</v>
      </c>
      <c r="PS43" s="8">
        <v>0.0</v>
      </c>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8">
        <v>7.0</v>
      </c>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t="s">
        <v>901</v>
      </c>
      <c r="UB43" s="9"/>
      <c r="UC43" s="9"/>
      <c r="UD43" s="9"/>
      <c r="UE43" s="9"/>
      <c r="UF43" s="9"/>
      <c r="UG43" s="9"/>
      <c r="UH43" s="9"/>
      <c r="UI43" s="9" t="s">
        <v>950</v>
      </c>
      <c r="UJ43" s="9"/>
      <c r="UK43" s="9"/>
      <c r="UL43" s="9"/>
      <c r="UM43" s="9"/>
      <c r="UN43" s="9"/>
      <c r="UO43" s="9"/>
      <c r="UP43" s="9"/>
      <c r="UQ43" s="9" t="s">
        <v>1158</v>
      </c>
      <c r="UR43" s="9"/>
      <c r="US43" s="9"/>
      <c r="UT43" s="9"/>
      <c r="UU43" s="9"/>
      <c r="UV43" s="9"/>
      <c r="UW43" s="9"/>
      <c r="UX43" s="9"/>
      <c r="UY43" s="9"/>
      <c r="UZ43" s="9"/>
      <c r="VA43" s="9"/>
      <c r="VB43" s="9"/>
      <c r="VC43" s="9"/>
      <c r="VD43" s="9"/>
      <c r="VE43" s="9"/>
      <c r="VF43" s="9"/>
      <c r="VG43" s="9"/>
      <c r="VH43" s="9"/>
      <c r="VI43" s="9"/>
      <c r="VJ43" s="9"/>
      <c r="VK43" s="9" t="s">
        <v>1207</v>
      </c>
      <c r="VL43" s="8">
        <v>0.0</v>
      </c>
      <c r="VM43" s="8">
        <v>0.0</v>
      </c>
      <c r="VN43" s="8">
        <v>0.0</v>
      </c>
      <c r="VO43" s="8">
        <v>1.0</v>
      </c>
      <c r="VP43" s="8">
        <v>1.0</v>
      </c>
      <c r="VQ43" s="8">
        <v>1.0</v>
      </c>
      <c r="VR43" s="8">
        <v>0.0</v>
      </c>
      <c r="VS43" s="8">
        <v>0.0</v>
      </c>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8">
        <v>60.0</v>
      </c>
      <c r="YU43" s="9"/>
      <c r="YV43" s="9"/>
      <c r="YW43" s="9"/>
      <c r="YX43" s="9"/>
      <c r="YY43" s="9"/>
      <c r="YZ43" s="9"/>
      <c r="ZA43" s="9"/>
      <c r="ZB43" s="8">
        <v>2.0</v>
      </c>
      <c r="ZC43" s="9"/>
      <c r="ZD43" s="9"/>
      <c r="ZE43" s="9"/>
      <c r="ZF43" s="9"/>
      <c r="ZG43" s="9"/>
      <c r="ZH43" s="9"/>
      <c r="ZI43" s="9"/>
      <c r="ZJ43" s="9" t="s">
        <v>1186</v>
      </c>
      <c r="ZK43" s="9"/>
      <c r="ZL43" s="9"/>
      <c r="ZM43" s="9"/>
      <c r="ZN43" s="9"/>
      <c r="ZO43" s="9"/>
      <c r="ZP43" s="9"/>
      <c r="ZQ43" s="9" t="s">
        <v>857</v>
      </c>
      <c r="ZR43" s="9" t="s">
        <v>1033</v>
      </c>
      <c r="ZS43" s="8">
        <v>1.0</v>
      </c>
      <c r="ZT43" s="8">
        <v>1.0</v>
      </c>
      <c r="ZU43" s="8">
        <v>60.0</v>
      </c>
      <c r="ZV43" s="8">
        <v>60.0</v>
      </c>
      <c r="ZW43" s="9" t="s">
        <v>857</v>
      </c>
      <c r="ZX43" s="9" t="s">
        <v>867</v>
      </c>
      <c r="ZY43" s="9" t="s">
        <v>1287</v>
      </c>
      <c r="ZZ43" s="8">
        <v>1.0</v>
      </c>
      <c r="AAA43" s="8">
        <v>0.0</v>
      </c>
      <c r="AAB43" s="8">
        <v>0.0</v>
      </c>
      <c r="AAC43" s="8">
        <v>1.0</v>
      </c>
      <c r="AAD43" s="8">
        <v>0.0</v>
      </c>
      <c r="AAE43" s="8">
        <v>0.0</v>
      </c>
      <c r="AAF43" s="8">
        <v>0.0</v>
      </c>
      <c r="AAG43" s="9" t="s">
        <v>907</v>
      </c>
      <c r="AAH43" s="8">
        <v>1.0</v>
      </c>
      <c r="AAI43" s="8">
        <v>0.0</v>
      </c>
      <c r="AAJ43" s="8">
        <v>0.0</v>
      </c>
      <c r="AAK43" s="8">
        <v>0.0</v>
      </c>
      <c r="AAL43" s="8">
        <v>0.0</v>
      </c>
      <c r="AAM43" s="9"/>
      <c r="AAN43" s="9"/>
      <c r="AAO43" s="9"/>
      <c r="AAP43" s="9"/>
      <c r="AAQ43" s="9"/>
      <c r="AAR43" s="9"/>
      <c r="AAS43" s="9"/>
      <c r="AAT43" s="9"/>
      <c r="AAU43" s="9"/>
      <c r="AAV43" s="11" t="s">
        <v>908</v>
      </c>
      <c r="AAW43" s="9" t="s">
        <v>1075</v>
      </c>
      <c r="AAX43" s="8">
        <v>4000.0</v>
      </c>
      <c r="AAY43" s="8">
        <v>300.0</v>
      </c>
      <c r="AAZ43" s="8">
        <v>60.0</v>
      </c>
      <c r="ABA43" s="8">
        <v>60.0</v>
      </c>
      <c r="ABB43" s="9" t="s">
        <v>1199</v>
      </c>
      <c r="ABC43" s="9"/>
      <c r="ABD43" s="8">
        <v>40.0</v>
      </c>
      <c r="ABE43" s="8">
        <v>4000.0</v>
      </c>
      <c r="ABF43" s="8">
        <v>5.0</v>
      </c>
      <c r="ABG43" s="8">
        <v>4000.0</v>
      </c>
      <c r="ABH43" s="8">
        <v>500.0</v>
      </c>
      <c r="ABI43" s="8">
        <v>700.0</v>
      </c>
      <c r="ABJ43" s="9" t="s">
        <v>857</v>
      </c>
      <c r="ABK43" s="9" t="s">
        <v>911</v>
      </c>
      <c r="ABL43" s="9" t="s">
        <v>911</v>
      </c>
      <c r="ABM43" s="9" t="s">
        <v>911</v>
      </c>
      <c r="ABN43" s="9"/>
      <c r="ABO43" s="9"/>
      <c r="ABP43" s="9" t="s">
        <v>976</v>
      </c>
      <c r="ABQ43" s="8">
        <v>0.0</v>
      </c>
      <c r="ABR43" s="8">
        <v>0.0</v>
      </c>
      <c r="ABS43" s="8">
        <v>1.0</v>
      </c>
      <c r="ABT43" s="8">
        <v>1.0</v>
      </c>
      <c r="ABU43" s="8">
        <v>0.0</v>
      </c>
      <c r="ABV43" s="8">
        <v>0.0</v>
      </c>
      <c r="ABW43" s="8">
        <v>0.0</v>
      </c>
      <c r="ABX43" s="9"/>
      <c r="ABY43" s="9" t="s">
        <v>912</v>
      </c>
      <c r="ABZ43" s="9" t="s">
        <v>1050</v>
      </c>
      <c r="ACA43" s="9" t="s">
        <v>957</v>
      </c>
      <c r="ACB43" s="9" t="s">
        <v>915</v>
      </c>
      <c r="ACC43" s="9" t="s">
        <v>916</v>
      </c>
      <c r="ACD43" s="9" t="s">
        <v>1017</v>
      </c>
      <c r="ACE43" s="8">
        <v>1.0</v>
      </c>
      <c r="ACF43" s="8">
        <v>1.0</v>
      </c>
      <c r="ACG43" s="8">
        <v>1.0</v>
      </c>
      <c r="ACH43" s="8">
        <v>0.0</v>
      </c>
      <c r="ACI43" s="9" t="s">
        <v>1187</v>
      </c>
      <c r="ACJ43" s="9" t="s">
        <v>1187</v>
      </c>
      <c r="ACK43" s="9" t="s">
        <v>1187</v>
      </c>
      <c r="ACL43" s="9" t="s">
        <v>1187</v>
      </c>
      <c r="ACM43" s="9" t="s">
        <v>881</v>
      </c>
      <c r="ACN43" s="9"/>
      <c r="ACO43" s="9" t="s">
        <v>1187</v>
      </c>
      <c r="ACP43" s="9"/>
      <c r="ACQ43" s="9"/>
      <c r="ACR43" s="9"/>
      <c r="ACS43" s="9"/>
      <c r="ACT43" s="9"/>
      <c r="ACU43" s="9"/>
      <c r="ACV43" s="9"/>
      <c r="ACW43" s="9"/>
      <c r="ACX43" s="9"/>
      <c r="ACY43" s="9"/>
      <c r="ACZ43" s="9" t="s">
        <v>919</v>
      </c>
      <c r="ADA43" s="8">
        <v>0.0</v>
      </c>
      <c r="ADB43" s="8">
        <v>0.0</v>
      </c>
      <c r="ADC43" s="8">
        <v>0.0</v>
      </c>
      <c r="ADD43" s="8">
        <v>0.0</v>
      </c>
      <c r="ADE43" s="8">
        <v>1.0</v>
      </c>
      <c r="ADF43" s="8">
        <v>0.0</v>
      </c>
      <c r="ADG43" s="8">
        <v>0.0</v>
      </c>
      <c r="ADH43" s="8">
        <v>0.0</v>
      </c>
      <c r="ADI43" s="12"/>
      <c r="ADJ43" s="17" t="s">
        <v>872</v>
      </c>
      <c r="ADK43" s="9"/>
      <c r="ADL43" s="17" t="s">
        <v>920</v>
      </c>
      <c r="ADM43" s="9"/>
      <c r="ADN43" s="11" t="s">
        <v>921</v>
      </c>
      <c r="ADO43" s="9" t="s">
        <v>871</v>
      </c>
      <c r="ADP43" s="17" t="s">
        <v>1108</v>
      </c>
      <c r="ADQ43" s="18">
        <v>1.0</v>
      </c>
      <c r="ADR43" s="18">
        <v>1.0</v>
      </c>
      <c r="ADS43" s="18">
        <v>1.0</v>
      </c>
      <c r="ADT43" s="18">
        <v>1.0</v>
      </c>
      <c r="ADU43" s="18">
        <v>1.0</v>
      </c>
      <c r="ADV43" s="18">
        <v>1.0</v>
      </c>
      <c r="ADW43" s="18">
        <v>1.0</v>
      </c>
      <c r="ADX43" s="18">
        <v>1.0</v>
      </c>
      <c r="ADY43" s="18">
        <v>1.0</v>
      </c>
      <c r="ADZ43" s="18">
        <v>0.0</v>
      </c>
      <c r="AEA43" s="18">
        <v>0.0</v>
      </c>
      <c r="AEB43" s="18">
        <v>0.0</v>
      </c>
      <c r="AEC43" s="9"/>
      <c r="AED43" s="9" t="s">
        <v>923</v>
      </c>
      <c r="AEE43" s="9"/>
      <c r="AEF43" s="9" t="s">
        <v>1188</v>
      </c>
      <c r="AEG43" s="9"/>
      <c r="AEH43" s="9" t="s">
        <v>1405</v>
      </c>
      <c r="AEI43" s="16" t="s">
        <v>1406</v>
      </c>
      <c r="AEJ43" s="9" t="s">
        <v>1407</v>
      </c>
      <c r="AEK43" s="16" t="s">
        <v>1408</v>
      </c>
      <c r="AEL43" s="9" t="s">
        <v>1193</v>
      </c>
      <c r="AEM43" s="9"/>
      <c r="AEN43" s="9" t="s">
        <v>1409</v>
      </c>
    </row>
    <row r="44">
      <c r="A44" s="6">
        <v>46062.0</v>
      </c>
      <c r="B44" s="6">
        <v>46062.0</v>
      </c>
      <c r="C44" s="7" t="s">
        <v>837</v>
      </c>
      <c r="D44" s="7" t="s">
        <v>1410</v>
      </c>
      <c r="E44" s="8">
        <f>+628132821607</f>
        <v>628132821607</v>
      </c>
      <c r="F44" s="9"/>
      <c r="G44" s="8">
        <v>-7.233894612</v>
      </c>
      <c r="H44" s="8">
        <v>110.2837566</v>
      </c>
      <c r="I44" s="9"/>
      <c r="J44" s="8">
        <v>1.88</v>
      </c>
      <c r="K44" s="9"/>
      <c r="L44" s="9"/>
      <c r="M44" s="8">
        <v>-7.233894612</v>
      </c>
      <c r="N44" s="8">
        <v>110.2837566</v>
      </c>
      <c r="O44" s="9"/>
      <c r="P44" s="8">
        <v>1.88</v>
      </c>
      <c r="Q44" s="9"/>
      <c r="R44" s="9" t="s">
        <v>839</v>
      </c>
      <c r="S44" s="9"/>
      <c r="T44" s="9"/>
      <c r="U44" s="9"/>
      <c r="V44" s="9"/>
      <c r="W44" s="9"/>
      <c r="X44" s="9"/>
      <c r="Y44" s="9"/>
      <c r="Z44" s="9"/>
      <c r="AA44" s="9"/>
      <c r="AB44" s="9"/>
      <c r="AC44" s="7" t="s">
        <v>1175</v>
      </c>
      <c r="AD44" s="7" t="s">
        <v>1176</v>
      </c>
      <c r="AE44" s="7" t="s">
        <v>1401</v>
      </c>
      <c r="AF44" s="9" t="s">
        <v>1178</v>
      </c>
      <c r="AG44" s="9" t="s">
        <v>1411</v>
      </c>
      <c r="AH44" s="8">
        <v>3.0</v>
      </c>
      <c r="AI44" s="9" t="s">
        <v>845</v>
      </c>
      <c r="AJ44" s="9" t="s">
        <v>846</v>
      </c>
      <c r="AK44" s="8">
        <v>59.0</v>
      </c>
      <c r="AL44" s="9" t="s">
        <v>847</v>
      </c>
      <c r="AM44" s="9" t="s">
        <v>848</v>
      </c>
      <c r="AN44" s="9" t="s">
        <v>849</v>
      </c>
      <c r="AO44" s="9" t="s">
        <v>935</v>
      </c>
      <c r="AP44" s="8">
        <v>0.0</v>
      </c>
      <c r="AQ44" s="8">
        <v>1.0</v>
      </c>
      <c r="AR44" s="8">
        <v>0.0</v>
      </c>
      <c r="AS44" s="8">
        <v>0.0</v>
      </c>
      <c r="AT44" s="8">
        <v>0.0</v>
      </c>
      <c r="AU44" s="8">
        <v>0.0</v>
      </c>
      <c r="AV44" s="8">
        <v>0.0</v>
      </c>
      <c r="AW44" s="8">
        <v>0.0</v>
      </c>
      <c r="AX44" s="9"/>
      <c r="AY44" s="9" t="s">
        <v>935</v>
      </c>
      <c r="AZ44" s="8">
        <v>0.0</v>
      </c>
      <c r="BA44" s="8">
        <v>1.0</v>
      </c>
      <c r="BB44" s="8">
        <v>0.0</v>
      </c>
      <c r="BC44" s="8">
        <v>0.0</v>
      </c>
      <c r="BD44" s="8">
        <v>0.0</v>
      </c>
      <c r="BE44" s="8">
        <v>0.0</v>
      </c>
      <c r="BF44" s="8">
        <v>0.0</v>
      </c>
      <c r="BG44" s="8">
        <v>0.0</v>
      </c>
      <c r="BH44" s="9"/>
      <c r="BI44" s="9" t="s">
        <v>852</v>
      </c>
      <c r="BJ44" s="8">
        <v>1.0</v>
      </c>
      <c r="BK44" s="8">
        <v>2.0</v>
      </c>
      <c r="BL44" s="8">
        <v>0.0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856</v>
      </c>
      <c r="CD44" s="8">
        <v>0.0</v>
      </c>
      <c r="CE44" s="8">
        <v>0.0</v>
      </c>
      <c r="CF44" s="8">
        <v>0.0</v>
      </c>
      <c r="CG44" s="8">
        <v>0.0</v>
      </c>
      <c r="CH44" s="8">
        <v>0.0</v>
      </c>
      <c r="CI44" s="8">
        <v>1.0</v>
      </c>
      <c r="CJ44" s="8">
        <v>0.0</v>
      </c>
      <c r="CK44" s="9"/>
      <c r="CL44" s="9" t="s">
        <v>857</v>
      </c>
      <c r="CM44" s="8">
        <v>2023.0</v>
      </c>
      <c r="CN44" s="9" t="s">
        <v>858</v>
      </c>
      <c r="CO44" s="9" t="s">
        <v>859</v>
      </c>
      <c r="CP44" s="9" t="s">
        <v>860</v>
      </c>
      <c r="CQ44" s="8">
        <v>0.0</v>
      </c>
      <c r="CR44" s="8">
        <v>0.0</v>
      </c>
      <c r="CS44" s="8">
        <v>0.0</v>
      </c>
      <c r="CT44" s="8">
        <v>0.0</v>
      </c>
      <c r="CU44" s="10">
        <v>1.0</v>
      </c>
      <c r="CV44" s="10">
        <v>0.0</v>
      </c>
      <c r="CW44" s="10">
        <v>0.0</v>
      </c>
      <c r="CX44" s="8">
        <v>0.0</v>
      </c>
      <c r="CY44" s="9" t="s">
        <v>860</v>
      </c>
      <c r="CZ44" s="8">
        <v>1.0</v>
      </c>
      <c r="DA44" s="8">
        <v>0.0</v>
      </c>
      <c r="DB44" s="8">
        <v>0.0</v>
      </c>
      <c r="DC44" s="9"/>
      <c r="DD44" s="9" t="s">
        <v>937</v>
      </c>
      <c r="DE44" s="8">
        <v>1.0</v>
      </c>
      <c r="DF44" s="8">
        <v>0.0</v>
      </c>
      <c r="DG44" s="8">
        <v>1.0</v>
      </c>
      <c r="DH44" s="8">
        <v>0.0</v>
      </c>
      <c r="DI44" s="9"/>
      <c r="DJ44" s="9" t="s">
        <v>937</v>
      </c>
      <c r="DK44" s="8">
        <v>1.0</v>
      </c>
      <c r="DL44" s="8">
        <v>0.0</v>
      </c>
      <c r="DM44" s="8">
        <v>1.0</v>
      </c>
      <c r="DN44" s="8">
        <v>0.0</v>
      </c>
      <c r="DO44" s="9"/>
      <c r="DP44" s="8">
        <v>1.0</v>
      </c>
      <c r="DQ44" s="8">
        <v>0.0</v>
      </c>
      <c r="DR44" s="8">
        <v>0.0</v>
      </c>
      <c r="DS44" s="9"/>
      <c r="DT44" s="9"/>
      <c r="DU44" s="9"/>
      <c r="DV44" s="9" t="s">
        <v>857</v>
      </c>
      <c r="DW44" s="9"/>
      <c r="DX44" s="9"/>
      <c r="DY44" s="9"/>
      <c r="DZ44" s="9"/>
      <c r="EA44" s="9"/>
      <c r="EB44" s="9"/>
      <c r="EC44" s="9"/>
      <c r="ED44" s="9"/>
      <c r="EE44" s="9"/>
      <c r="EF44" s="9"/>
      <c r="EG44" s="9"/>
      <c r="EH44" s="9"/>
      <c r="EI44" s="9" t="s">
        <v>862</v>
      </c>
      <c r="EJ44" s="8">
        <v>0.0</v>
      </c>
      <c r="EK44" s="8">
        <v>0.0</v>
      </c>
      <c r="EL44" s="8">
        <v>0.0</v>
      </c>
      <c r="EM44" s="8">
        <v>1.0</v>
      </c>
      <c r="EN44" s="8">
        <v>0.0</v>
      </c>
      <c r="EO44" s="11"/>
      <c r="EP44" s="9" t="s">
        <v>863</v>
      </c>
      <c r="EQ44" s="9" t="s">
        <v>864</v>
      </c>
      <c r="ER44" s="9" t="s">
        <v>861</v>
      </c>
      <c r="ES44" s="8">
        <v>1.0</v>
      </c>
      <c r="ET44" s="8">
        <v>0.0</v>
      </c>
      <c r="EU44" s="8">
        <v>0.0</v>
      </c>
      <c r="EV44" s="8">
        <v>0.0</v>
      </c>
      <c r="EW44" s="9"/>
      <c r="EX44" s="9" t="s">
        <v>865</v>
      </c>
      <c r="EY44" s="8">
        <v>1.0</v>
      </c>
      <c r="EZ44" s="8">
        <v>0.0</v>
      </c>
      <c r="FA44" s="8">
        <v>0.0</v>
      </c>
      <c r="FB44" s="9"/>
      <c r="FC44" s="9" t="s">
        <v>1072</v>
      </c>
      <c r="FD44" s="9"/>
      <c r="FE44" s="9" t="s">
        <v>867</v>
      </c>
      <c r="FF44" s="9" t="s">
        <v>868</v>
      </c>
      <c r="FG44" s="9" t="s">
        <v>867</v>
      </c>
      <c r="FH44" s="9" t="s">
        <v>868</v>
      </c>
      <c r="FI44" s="9" t="s">
        <v>867</v>
      </c>
      <c r="FJ44" s="9" t="s">
        <v>869</v>
      </c>
      <c r="FK44" s="9" t="s">
        <v>867</v>
      </c>
      <c r="FL44" s="9" t="s">
        <v>943</v>
      </c>
      <c r="FM44" s="9" t="s">
        <v>867</v>
      </c>
      <c r="FN44" s="9" t="s">
        <v>943</v>
      </c>
      <c r="FO44" s="9" t="s">
        <v>867</v>
      </c>
      <c r="FP44" s="9" t="s">
        <v>943</v>
      </c>
      <c r="FQ44" s="9" t="s">
        <v>867</v>
      </c>
      <c r="FR44" s="9" t="s">
        <v>857</v>
      </c>
      <c r="FS44" s="9" t="s">
        <v>867</v>
      </c>
      <c r="FT44" s="9" t="s">
        <v>871</v>
      </c>
      <c r="FU44" s="9" t="s">
        <v>989</v>
      </c>
      <c r="FV44" s="8">
        <v>1.0</v>
      </c>
      <c r="FW44" s="8">
        <v>1.0</v>
      </c>
      <c r="FX44" s="8">
        <v>0.0</v>
      </c>
      <c r="FY44" s="8">
        <v>0.0</v>
      </c>
      <c r="FZ44" s="9" t="s">
        <v>873</v>
      </c>
      <c r="GA44" s="9" t="s">
        <v>874</v>
      </c>
      <c r="GB44" s="8">
        <v>1.0</v>
      </c>
      <c r="GC44" s="8">
        <v>0.0</v>
      </c>
      <c r="GD44" s="8">
        <v>0.0</v>
      </c>
      <c r="GE44" s="8">
        <v>0.0</v>
      </c>
      <c r="GF44" s="9"/>
      <c r="GG44" s="9" t="s">
        <v>875</v>
      </c>
      <c r="GH44" s="9" t="s">
        <v>857</v>
      </c>
      <c r="GI44" s="9" t="s">
        <v>1264</v>
      </c>
      <c r="GJ44" s="8">
        <v>0.0</v>
      </c>
      <c r="GK44" s="8">
        <v>1.0</v>
      </c>
      <c r="GL44" s="8">
        <v>0.0</v>
      </c>
      <c r="GM44" s="8">
        <v>0.0</v>
      </c>
      <c r="GN44" s="9"/>
      <c r="GO44" s="8">
        <v>9.0</v>
      </c>
      <c r="GP44" s="9" t="s">
        <v>877</v>
      </c>
      <c r="GQ44" s="9" t="s">
        <v>878</v>
      </c>
      <c r="GR44" s="8">
        <v>1.0</v>
      </c>
      <c r="GS44" s="8">
        <v>1.0</v>
      </c>
      <c r="GT44" s="8">
        <v>0.0</v>
      </c>
      <c r="GU44" s="8">
        <v>0.0</v>
      </c>
      <c r="GV44" s="8">
        <v>0.0</v>
      </c>
      <c r="GW44" s="8">
        <v>0.0</v>
      </c>
      <c r="GX44" s="8">
        <v>0.0</v>
      </c>
      <c r="GY44" s="9"/>
      <c r="GZ44" s="9" t="s">
        <v>857</v>
      </c>
      <c r="HA44" s="8">
        <v>20.0</v>
      </c>
      <c r="HB44" s="8">
        <v>200000.0</v>
      </c>
      <c r="HC44" s="8">
        <v>5.0</v>
      </c>
      <c r="HD44" s="8">
        <v>50000.0</v>
      </c>
      <c r="HE44" s="8">
        <v>12.0</v>
      </c>
      <c r="HF44" s="8">
        <v>100000.0</v>
      </c>
      <c r="HG44" s="8">
        <v>3.0</v>
      </c>
      <c r="HH44" s="8">
        <v>25000.0</v>
      </c>
      <c r="HI44" s="9"/>
      <c r="HJ44" s="9"/>
      <c r="HK44" s="9"/>
      <c r="HL44" s="9"/>
      <c r="HM44" s="9"/>
      <c r="HN44" s="9"/>
      <c r="HO44" s="9"/>
      <c r="HP44" s="9"/>
      <c r="HQ44" s="9"/>
      <c r="HR44" s="9"/>
      <c r="HS44" s="9"/>
      <c r="HT44" s="9"/>
      <c r="HU44" s="9"/>
      <c r="HV44" s="9"/>
      <c r="HW44" s="9"/>
      <c r="HX44" s="9"/>
      <c r="HY44" s="8">
        <v>15.0</v>
      </c>
      <c r="HZ44" s="8">
        <v>150000.0</v>
      </c>
      <c r="IA44" s="8">
        <v>9.0</v>
      </c>
      <c r="IB44" s="8">
        <v>75000.0</v>
      </c>
      <c r="IC44" s="9"/>
      <c r="ID44" s="9"/>
      <c r="IE44" s="9"/>
      <c r="IF44" s="9"/>
      <c r="IG44" s="9"/>
      <c r="IH44" s="9"/>
      <c r="II44" s="9"/>
      <c r="IJ44" s="9"/>
      <c r="IK44" s="9" t="s">
        <v>879</v>
      </c>
      <c r="IL44" s="9" t="s">
        <v>880</v>
      </c>
      <c r="IM44" s="9" t="s">
        <v>857</v>
      </c>
      <c r="IN44" s="9" t="s">
        <v>881</v>
      </c>
      <c r="IO44" s="9" t="s">
        <v>882</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886</v>
      </c>
      <c r="KU44" s="9" t="s">
        <v>886</v>
      </c>
      <c r="KV44" s="9" t="s">
        <v>872</v>
      </c>
      <c r="KW44" s="8">
        <v>1.0</v>
      </c>
      <c r="KX44" s="8">
        <v>0.0</v>
      </c>
      <c r="KY44" s="8">
        <v>0.0</v>
      </c>
      <c r="KZ44" s="8">
        <v>0.0</v>
      </c>
      <c r="LA44" s="9" t="s">
        <v>884</v>
      </c>
      <c r="LB44" s="9" t="s">
        <v>884</v>
      </c>
      <c r="LC44" s="8">
        <v>3.0</v>
      </c>
      <c r="LD44" s="8">
        <v>3.0</v>
      </c>
      <c r="LE44" s="8">
        <v>0.0</v>
      </c>
      <c r="LF44" s="8">
        <v>0.0</v>
      </c>
      <c r="LG44" s="9" t="s">
        <v>857</v>
      </c>
      <c r="LH44" s="8">
        <v>150000.0</v>
      </c>
      <c r="LI44" s="9"/>
      <c r="LJ44" s="9" t="s">
        <v>887</v>
      </c>
      <c r="LK44" s="8">
        <v>0.0</v>
      </c>
      <c r="LL44" s="8">
        <v>0.0</v>
      </c>
      <c r="LM44" s="8">
        <v>0.0</v>
      </c>
      <c r="LN44" s="8">
        <v>0.0</v>
      </c>
      <c r="LO44" s="8">
        <v>1.0</v>
      </c>
      <c r="LP44" s="8">
        <v>0.0</v>
      </c>
      <c r="LQ44" s="8">
        <v>0.0</v>
      </c>
      <c r="LR44" s="9"/>
      <c r="LS44" s="8">
        <v>15.0</v>
      </c>
      <c r="LT44" s="8">
        <v>15.0</v>
      </c>
      <c r="LU44" s="8">
        <v>0.0</v>
      </c>
      <c r="LV44" s="8">
        <v>10.0</v>
      </c>
      <c r="LW44" s="8">
        <v>10.0</v>
      </c>
      <c r="LX44" s="8">
        <v>0.0</v>
      </c>
      <c r="LY44" s="8">
        <v>5.0</v>
      </c>
      <c r="LZ44" s="8">
        <v>5.0</v>
      </c>
      <c r="MA44" s="8">
        <v>0.0</v>
      </c>
      <c r="MB44" s="9" t="s">
        <v>857</v>
      </c>
      <c r="MC44" s="8">
        <v>30.0</v>
      </c>
      <c r="MD44" s="8">
        <v>15.0</v>
      </c>
      <c r="ME44" s="8">
        <v>30.0</v>
      </c>
      <c r="MF44" s="8">
        <v>15.0</v>
      </c>
      <c r="MG44" s="8">
        <v>0.0</v>
      </c>
      <c r="MH44" s="8">
        <v>0.0</v>
      </c>
      <c r="MI44" s="9" t="s">
        <v>946</v>
      </c>
      <c r="MJ44" s="8">
        <v>0.0</v>
      </c>
      <c r="MK44" s="8">
        <v>0.0</v>
      </c>
      <c r="ML44" s="8">
        <v>1.0</v>
      </c>
      <c r="MM44" s="8">
        <v>0.0</v>
      </c>
      <c r="MN44" s="8">
        <v>0.0</v>
      </c>
      <c r="MO44" s="8">
        <v>0.0</v>
      </c>
      <c r="MP44" s="9"/>
      <c r="MQ44" s="9"/>
      <c r="MR44" s="9" t="s">
        <v>1048</v>
      </c>
      <c r="MS44" s="9"/>
      <c r="MT44" s="9" t="s">
        <v>888</v>
      </c>
      <c r="MU44" s="9" t="s">
        <v>881</v>
      </c>
      <c r="MV44" s="9"/>
      <c r="MW44" s="9"/>
      <c r="MX44" s="9"/>
      <c r="MY44" s="9"/>
      <c r="MZ44" s="9"/>
      <c r="NA44" s="9"/>
      <c r="NB44" s="9"/>
      <c r="NC44" s="9"/>
      <c r="ND44" s="9"/>
      <c r="NE44" s="9"/>
      <c r="NF44" s="9"/>
      <c r="NG44" s="9"/>
      <c r="NH44" s="9"/>
      <c r="NI44" s="9"/>
      <c r="NJ44" s="9"/>
      <c r="NK44" s="9"/>
      <c r="NL44" s="9" t="s">
        <v>857</v>
      </c>
      <c r="NM44" s="9" t="s">
        <v>893</v>
      </c>
      <c r="NN44" s="9" t="s">
        <v>993</v>
      </c>
      <c r="NO44" s="9" t="s">
        <v>994</v>
      </c>
      <c r="NP44" s="9"/>
      <c r="NQ44" s="9"/>
      <c r="NR44" s="9"/>
      <c r="NS44" s="9"/>
      <c r="NT44" s="9"/>
      <c r="NU44" s="9"/>
      <c r="NV44" s="9" t="s">
        <v>896</v>
      </c>
      <c r="NW44" s="9"/>
      <c r="NX44" s="9" t="s">
        <v>897</v>
      </c>
      <c r="NY44" s="8">
        <v>40.0</v>
      </c>
      <c r="NZ44" s="8">
        <v>10.0</v>
      </c>
      <c r="OA44" s="8">
        <v>0.0</v>
      </c>
      <c r="OB44" s="8">
        <v>5.0</v>
      </c>
      <c r="OC44" s="8">
        <v>5.0</v>
      </c>
      <c r="OD44" s="8">
        <v>0.0</v>
      </c>
      <c r="OE44" s="9" t="s">
        <v>898</v>
      </c>
      <c r="OF44" s="9" t="s">
        <v>1184</v>
      </c>
      <c r="OG44" s="9" t="s">
        <v>857</v>
      </c>
      <c r="OH44" s="8">
        <v>0.0</v>
      </c>
      <c r="OI44" s="8">
        <v>4.0</v>
      </c>
      <c r="OJ44" s="8">
        <v>0.0</v>
      </c>
      <c r="OK44" s="8">
        <v>0.0</v>
      </c>
      <c r="OL44" s="8">
        <v>0.0</v>
      </c>
      <c r="OM44" s="8">
        <v>0.0</v>
      </c>
      <c r="ON44" s="8">
        <v>0.0</v>
      </c>
      <c r="OO44" s="8">
        <v>0.0</v>
      </c>
      <c r="OP44" s="9" t="s">
        <v>2948</v>
      </c>
      <c r="OQ44" s="8">
        <v>0.0</v>
      </c>
      <c r="OR44" s="8">
        <v>1.0</v>
      </c>
      <c r="OS44" s="8">
        <v>0.0</v>
      </c>
      <c r="OT44" s="8">
        <v>0.0</v>
      </c>
      <c r="OU44" s="8">
        <v>0.0</v>
      </c>
      <c r="OV44" s="8">
        <v>0.0</v>
      </c>
      <c r="OW44" s="8">
        <v>0.0</v>
      </c>
      <c r="OX44" s="8">
        <v>0.0</v>
      </c>
      <c r="OY44" s="9"/>
      <c r="OZ44" s="9"/>
      <c r="PA44" s="9"/>
      <c r="PB44" s="9"/>
      <c r="PC44" s="9"/>
      <c r="PD44" s="9"/>
      <c r="PE44" s="9"/>
      <c r="PF44" s="9"/>
      <c r="PG44" s="9"/>
      <c r="PH44" s="9"/>
      <c r="PI44" s="9"/>
      <c r="PJ44" s="9" t="s">
        <v>900</v>
      </c>
      <c r="PK44" s="8">
        <v>0.0</v>
      </c>
      <c r="PL44" s="8">
        <v>0.0</v>
      </c>
      <c r="PM44" s="8">
        <v>0.0</v>
      </c>
      <c r="PN44" s="8">
        <v>0.0</v>
      </c>
      <c r="PO44" s="8">
        <v>0.0</v>
      </c>
      <c r="PP44" s="8">
        <v>1.0</v>
      </c>
      <c r="PQ44" s="8">
        <v>0.0</v>
      </c>
      <c r="PR44" s="8">
        <v>0.0</v>
      </c>
      <c r="PS44" s="8">
        <v>0.0</v>
      </c>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8">
        <v>4.0</v>
      </c>
      <c r="SF44" s="9"/>
      <c r="SG44" s="9"/>
      <c r="SH44" s="9"/>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t="s">
        <v>901</v>
      </c>
      <c r="UB44" s="9"/>
      <c r="UC44" s="9"/>
      <c r="UD44" s="9"/>
      <c r="UE44" s="9"/>
      <c r="UF44" s="9"/>
      <c r="UG44" s="9"/>
      <c r="UH44" s="9"/>
      <c r="UI44" s="9" t="s">
        <v>950</v>
      </c>
      <c r="UJ44" s="9"/>
      <c r="UK44" s="9"/>
      <c r="UL44" s="9"/>
      <c r="UM44" s="9"/>
      <c r="UN44" s="9"/>
      <c r="UO44" s="9"/>
      <c r="UP44" s="9"/>
      <c r="UQ44" s="9" t="s">
        <v>1158</v>
      </c>
      <c r="UR44" s="9"/>
      <c r="US44" s="9"/>
      <c r="UT44" s="9"/>
      <c r="UU44" s="9"/>
      <c r="UV44" s="9"/>
      <c r="UW44" s="9"/>
      <c r="UX44" s="9"/>
      <c r="UY44" s="9"/>
      <c r="UZ44" s="9"/>
      <c r="VA44" s="9"/>
      <c r="VB44" s="9"/>
      <c r="VC44" s="9"/>
      <c r="VD44" s="9"/>
      <c r="VE44" s="9"/>
      <c r="VF44" s="9"/>
      <c r="VG44" s="9"/>
      <c r="VH44" s="9"/>
      <c r="VI44" s="9"/>
      <c r="VJ44" s="9"/>
      <c r="VK44" s="9" t="s">
        <v>1207</v>
      </c>
      <c r="VL44" s="8">
        <v>0.0</v>
      </c>
      <c r="VM44" s="8">
        <v>0.0</v>
      </c>
      <c r="VN44" s="8">
        <v>0.0</v>
      </c>
      <c r="VO44" s="8">
        <v>1.0</v>
      </c>
      <c r="VP44" s="8">
        <v>1.0</v>
      </c>
      <c r="VQ44" s="8">
        <v>1.0</v>
      </c>
      <c r="VR44" s="8">
        <v>0.0</v>
      </c>
      <c r="VS44" s="8">
        <v>0.0</v>
      </c>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8">
        <v>50.0</v>
      </c>
      <c r="YU44" s="9"/>
      <c r="YV44" s="9"/>
      <c r="YW44" s="9"/>
      <c r="YX44" s="9"/>
      <c r="YY44" s="9"/>
      <c r="YZ44" s="9"/>
      <c r="ZA44" s="9"/>
      <c r="ZB44" s="8">
        <v>2.0</v>
      </c>
      <c r="ZC44" s="9"/>
      <c r="ZD44" s="9"/>
      <c r="ZE44" s="9"/>
      <c r="ZF44" s="9"/>
      <c r="ZG44" s="9"/>
      <c r="ZH44" s="9"/>
      <c r="ZI44" s="9"/>
      <c r="ZJ44" s="9" t="s">
        <v>905</v>
      </c>
      <c r="ZK44" s="9"/>
      <c r="ZL44" s="9"/>
      <c r="ZM44" s="9"/>
      <c r="ZN44" s="9"/>
      <c r="ZO44" s="9"/>
      <c r="ZP44" s="9"/>
      <c r="ZQ44" s="9" t="s">
        <v>857</v>
      </c>
      <c r="ZR44" s="9" t="s">
        <v>1033</v>
      </c>
      <c r="ZS44" s="8">
        <v>1.0</v>
      </c>
      <c r="ZT44" s="8">
        <v>1.0</v>
      </c>
      <c r="ZU44" s="8">
        <v>50.0</v>
      </c>
      <c r="ZV44" s="8">
        <v>50.0</v>
      </c>
      <c r="ZW44" s="9" t="s">
        <v>857</v>
      </c>
      <c r="ZX44" s="9" t="s">
        <v>867</v>
      </c>
      <c r="ZY44" s="9" t="s">
        <v>1074</v>
      </c>
      <c r="ZZ44" s="8">
        <v>1.0</v>
      </c>
      <c r="AAA44" s="8">
        <v>0.0</v>
      </c>
      <c r="AAB44" s="8">
        <v>0.0</v>
      </c>
      <c r="AAC44" s="8">
        <v>1.0</v>
      </c>
      <c r="AAD44" s="8">
        <v>1.0</v>
      </c>
      <c r="AAE44" s="8">
        <v>0.0</v>
      </c>
      <c r="AAF44" s="8">
        <v>0.0</v>
      </c>
      <c r="AAG44" s="9" t="s">
        <v>907</v>
      </c>
      <c r="AAH44" s="8">
        <v>1.0</v>
      </c>
      <c r="AAI44" s="8">
        <v>0.0</v>
      </c>
      <c r="AAJ44" s="8">
        <v>0.0</v>
      </c>
      <c r="AAK44" s="8">
        <v>0.0</v>
      </c>
      <c r="AAL44" s="8">
        <v>0.0</v>
      </c>
      <c r="AAM44" s="9"/>
      <c r="AAN44" s="9"/>
      <c r="AAO44" s="9"/>
      <c r="AAP44" s="9"/>
      <c r="AAQ44" s="9"/>
      <c r="AAR44" s="9"/>
      <c r="AAS44" s="9"/>
      <c r="AAT44" s="9"/>
      <c r="AAU44" s="9"/>
      <c r="AAV44" s="11" t="s">
        <v>953</v>
      </c>
      <c r="AAW44" s="9" t="s">
        <v>1075</v>
      </c>
      <c r="AAX44" s="8">
        <v>2000.0</v>
      </c>
      <c r="AAY44" s="8">
        <v>200.0</v>
      </c>
      <c r="AAZ44" s="8">
        <v>50.0</v>
      </c>
      <c r="ABA44" s="8">
        <v>50.0</v>
      </c>
      <c r="ABB44" s="9" t="s">
        <v>1199</v>
      </c>
      <c r="ABC44" s="9"/>
      <c r="ABD44" s="8">
        <v>30.0</v>
      </c>
      <c r="ABE44" s="8">
        <v>4000.0</v>
      </c>
      <c r="ABF44" s="8">
        <v>5.0</v>
      </c>
      <c r="ABG44" s="8">
        <v>4000.0</v>
      </c>
      <c r="ABH44" s="8">
        <v>400.0</v>
      </c>
      <c r="ABI44" s="8">
        <v>500.0</v>
      </c>
      <c r="ABJ44" s="9" t="s">
        <v>857</v>
      </c>
      <c r="ABK44" s="9" t="s">
        <v>911</v>
      </c>
      <c r="ABL44" s="9" t="s">
        <v>911</v>
      </c>
      <c r="ABM44" s="9" t="s">
        <v>911</v>
      </c>
      <c r="ABN44" s="9"/>
      <c r="ABO44" s="9"/>
      <c r="ABP44" s="9" t="s">
        <v>1215</v>
      </c>
      <c r="ABQ44" s="8">
        <v>0.0</v>
      </c>
      <c r="ABR44" s="8">
        <v>1.0</v>
      </c>
      <c r="ABS44" s="8">
        <v>0.0</v>
      </c>
      <c r="ABT44" s="8">
        <v>1.0</v>
      </c>
      <c r="ABU44" s="8">
        <v>0.0</v>
      </c>
      <c r="ABV44" s="8">
        <v>0.0</v>
      </c>
      <c r="ABW44" s="8">
        <v>0.0</v>
      </c>
      <c r="ABX44" s="9"/>
      <c r="ABY44" s="9" t="s">
        <v>912</v>
      </c>
      <c r="ABZ44" s="9" t="s">
        <v>1050</v>
      </c>
      <c r="ACA44" s="9" t="s">
        <v>957</v>
      </c>
      <c r="ACB44" s="9" t="s">
        <v>915</v>
      </c>
      <c r="ACC44" s="9" t="s">
        <v>916</v>
      </c>
      <c r="ACD44" s="9" t="s">
        <v>1035</v>
      </c>
      <c r="ACE44" s="8">
        <v>1.0</v>
      </c>
      <c r="ACF44" s="8">
        <v>1.0</v>
      </c>
      <c r="ACG44" s="8">
        <v>0.0</v>
      </c>
      <c r="ACH44" s="8">
        <v>0.0</v>
      </c>
      <c r="ACI44" s="9" t="s">
        <v>1187</v>
      </c>
      <c r="ACJ44" s="9" t="s">
        <v>1187</v>
      </c>
      <c r="ACK44" s="9" t="s">
        <v>1187</v>
      </c>
      <c r="ACL44" s="9" t="s">
        <v>1187</v>
      </c>
      <c r="ACM44" s="9" t="s">
        <v>881</v>
      </c>
      <c r="ACN44" s="9"/>
      <c r="ACO44" s="9" t="s">
        <v>917</v>
      </c>
      <c r="ACP44" s="9"/>
      <c r="ACQ44" s="9"/>
      <c r="ACR44" s="9"/>
      <c r="ACS44" s="9"/>
      <c r="ACT44" s="9"/>
      <c r="ACU44" s="9"/>
      <c r="ACV44" s="9"/>
      <c r="ACW44" s="9"/>
      <c r="ACX44" s="9"/>
      <c r="ACY44" s="9"/>
      <c r="ACZ44" s="9" t="s">
        <v>919</v>
      </c>
      <c r="ADA44" s="8">
        <v>0.0</v>
      </c>
      <c r="ADB44" s="8">
        <v>0.0</v>
      </c>
      <c r="ADC44" s="8">
        <v>0.0</v>
      </c>
      <c r="ADD44" s="8">
        <v>0.0</v>
      </c>
      <c r="ADE44" s="8">
        <v>1.0</v>
      </c>
      <c r="ADF44" s="8">
        <v>0.0</v>
      </c>
      <c r="ADG44" s="8">
        <v>0.0</v>
      </c>
      <c r="ADH44" s="8">
        <v>0.0</v>
      </c>
      <c r="ADI44" s="12"/>
      <c r="ADJ44" s="17" t="s">
        <v>872</v>
      </c>
      <c r="ADK44" s="9"/>
      <c r="ADL44" s="17" t="s">
        <v>920</v>
      </c>
      <c r="ADM44" s="9"/>
      <c r="ADN44" s="11" t="s">
        <v>999</v>
      </c>
      <c r="ADO44" s="9" t="s">
        <v>871</v>
      </c>
      <c r="ADP44" s="17" t="s">
        <v>1108</v>
      </c>
      <c r="ADQ44" s="18">
        <v>1.0</v>
      </c>
      <c r="ADR44" s="18">
        <v>1.0</v>
      </c>
      <c r="ADS44" s="18">
        <v>1.0</v>
      </c>
      <c r="ADT44" s="18">
        <v>1.0</v>
      </c>
      <c r="ADU44" s="18">
        <v>1.0</v>
      </c>
      <c r="ADV44" s="18">
        <v>1.0</v>
      </c>
      <c r="ADW44" s="18">
        <v>1.0</v>
      </c>
      <c r="ADX44" s="18">
        <v>1.0</v>
      </c>
      <c r="ADY44" s="18">
        <v>1.0</v>
      </c>
      <c r="ADZ44" s="18">
        <v>0.0</v>
      </c>
      <c r="AEA44" s="18">
        <v>0.0</v>
      </c>
      <c r="AEB44" s="18">
        <v>0.0</v>
      </c>
      <c r="AEC44" s="9"/>
      <c r="AED44" s="9" t="s">
        <v>923</v>
      </c>
      <c r="AEE44" s="9"/>
      <c r="AEF44" s="9" t="s">
        <v>1188</v>
      </c>
      <c r="AEG44" s="9"/>
      <c r="AEH44" s="9" t="s">
        <v>1412</v>
      </c>
      <c r="AEI44" s="16" t="s">
        <v>1413</v>
      </c>
      <c r="AEJ44" s="9" t="s">
        <v>1414</v>
      </c>
      <c r="AEK44" s="16" t="s">
        <v>1415</v>
      </c>
      <c r="AEL44" s="9" t="s">
        <v>1193</v>
      </c>
      <c r="AEM44" s="9"/>
      <c r="AEN44" s="9" t="s">
        <v>1409</v>
      </c>
    </row>
    <row r="45">
      <c r="A45" s="6">
        <v>46062.0</v>
      </c>
      <c r="B45" s="6">
        <v>46062.0</v>
      </c>
      <c r="C45" s="7" t="s">
        <v>837</v>
      </c>
      <c r="D45" s="7" t="s">
        <v>1416</v>
      </c>
      <c r="E45" s="8">
        <f>+628895911406</f>
        <v>628895911406</v>
      </c>
      <c r="F45" s="9"/>
      <c r="G45" s="8">
        <v>-7.232339412</v>
      </c>
      <c r="H45" s="8">
        <v>110.284028</v>
      </c>
      <c r="I45" s="9"/>
      <c r="J45" s="8">
        <v>4.84</v>
      </c>
      <c r="K45" s="9"/>
      <c r="L45" s="9"/>
      <c r="M45" s="8">
        <v>-7.2324144</v>
      </c>
      <c r="N45" s="8">
        <v>110.2840848</v>
      </c>
      <c r="O45" s="9"/>
      <c r="P45" s="8">
        <v>4.9</v>
      </c>
      <c r="Q45" s="9"/>
      <c r="R45" s="9" t="s">
        <v>839</v>
      </c>
      <c r="S45" s="9"/>
      <c r="T45" s="9"/>
      <c r="U45" s="9"/>
      <c r="V45" s="9"/>
      <c r="W45" s="9"/>
      <c r="X45" s="9"/>
      <c r="Y45" s="9"/>
      <c r="Z45" s="9"/>
      <c r="AA45" s="9"/>
      <c r="AB45" s="9"/>
      <c r="AC45" s="7" t="s">
        <v>1175</v>
      </c>
      <c r="AD45" s="7" t="s">
        <v>1176</v>
      </c>
      <c r="AE45" s="7" t="s">
        <v>1401</v>
      </c>
      <c r="AF45" s="9" t="s">
        <v>1166</v>
      </c>
      <c r="AG45" s="9" t="s">
        <v>1417</v>
      </c>
      <c r="AH45" s="8">
        <v>15.0</v>
      </c>
      <c r="AI45" s="9" t="s">
        <v>933</v>
      </c>
      <c r="AJ45" s="9" t="s">
        <v>846</v>
      </c>
      <c r="AK45" s="8">
        <v>55.0</v>
      </c>
      <c r="AL45" s="9" t="s">
        <v>847</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2.0</v>
      </c>
      <c r="BK45" s="8">
        <v>2.0</v>
      </c>
      <c r="BL45" s="8">
        <v>2.0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856</v>
      </c>
      <c r="CD45" s="8">
        <v>0.0</v>
      </c>
      <c r="CE45" s="8">
        <v>0.0</v>
      </c>
      <c r="CF45" s="8">
        <v>0.0</v>
      </c>
      <c r="CG45" s="8">
        <v>0.0</v>
      </c>
      <c r="CH45" s="8">
        <v>0.0</v>
      </c>
      <c r="CI45" s="8">
        <v>1.0</v>
      </c>
      <c r="CJ45" s="8">
        <v>0.0</v>
      </c>
      <c r="CK45" s="9"/>
      <c r="CL45" s="9" t="s">
        <v>857</v>
      </c>
      <c r="CM45" s="8">
        <v>2010.0</v>
      </c>
      <c r="CN45" s="9" t="s">
        <v>858</v>
      </c>
      <c r="CO45" s="9" t="s">
        <v>859</v>
      </c>
      <c r="CP45" s="9" t="s">
        <v>860</v>
      </c>
      <c r="CQ45" s="8">
        <v>0.0</v>
      </c>
      <c r="CR45" s="8">
        <v>0.0</v>
      </c>
      <c r="CS45" s="8">
        <v>0.0</v>
      </c>
      <c r="CT45" s="8">
        <v>0.0</v>
      </c>
      <c r="CU45" s="10">
        <v>1.0</v>
      </c>
      <c r="CV45" s="10">
        <v>0.0</v>
      </c>
      <c r="CW45" s="10">
        <v>0.0</v>
      </c>
      <c r="CX45" s="8">
        <v>0.0</v>
      </c>
      <c r="CY45" s="9" t="s">
        <v>860</v>
      </c>
      <c r="CZ45" s="8">
        <v>1.0</v>
      </c>
      <c r="DA45" s="8">
        <v>0.0</v>
      </c>
      <c r="DB45" s="8">
        <v>0.0</v>
      </c>
      <c r="DC45" s="9"/>
      <c r="DD45" s="9" t="s">
        <v>937</v>
      </c>
      <c r="DE45" s="8">
        <v>1.0</v>
      </c>
      <c r="DF45" s="8">
        <v>0.0</v>
      </c>
      <c r="DG45" s="8">
        <v>1.0</v>
      </c>
      <c r="DH45" s="8">
        <v>0.0</v>
      </c>
      <c r="DI45" s="9"/>
      <c r="DJ45" s="9" t="s">
        <v>937</v>
      </c>
      <c r="DK45" s="8">
        <v>1.0</v>
      </c>
      <c r="DL45" s="8">
        <v>0.0</v>
      </c>
      <c r="DM45" s="8">
        <v>1.0</v>
      </c>
      <c r="DN45" s="8">
        <v>0.0</v>
      </c>
      <c r="DO45" s="9"/>
      <c r="DP45" s="8">
        <v>1.0</v>
      </c>
      <c r="DQ45" s="8">
        <v>0.0</v>
      </c>
      <c r="DR45" s="8">
        <v>0.0</v>
      </c>
      <c r="DS45" s="9"/>
      <c r="DT45" s="9"/>
      <c r="DU45" s="9"/>
      <c r="DV45" s="9" t="s">
        <v>857</v>
      </c>
      <c r="DW45" s="9"/>
      <c r="DX45" s="9"/>
      <c r="DY45" s="9"/>
      <c r="DZ45" s="9"/>
      <c r="EA45" s="9"/>
      <c r="EB45" s="9"/>
      <c r="EC45" s="9"/>
      <c r="ED45" s="9"/>
      <c r="EE45" s="9"/>
      <c r="EF45" s="9"/>
      <c r="EG45" s="9"/>
      <c r="EH45" s="9"/>
      <c r="EI45" s="9" t="s">
        <v>862</v>
      </c>
      <c r="EJ45" s="8">
        <v>0.0</v>
      </c>
      <c r="EK45" s="8">
        <v>0.0</v>
      </c>
      <c r="EL45" s="8">
        <v>0.0</v>
      </c>
      <c r="EM45" s="8">
        <v>1.0</v>
      </c>
      <c r="EN45" s="8">
        <v>0.0</v>
      </c>
      <c r="EO45" s="11"/>
      <c r="EP45" s="9" t="s">
        <v>863</v>
      </c>
      <c r="EQ45" s="9" t="s">
        <v>864</v>
      </c>
      <c r="ER45" s="9" t="s">
        <v>861</v>
      </c>
      <c r="ES45" s="8">
        <v>1.0</v>
      </c>
      <c r="ET45" s="8">
        <v>0.0</v>
      </c>
      <c r="EU45" s="8">
        <v>0.0</v>
      </c>
      <c r="EV45" s="8">
        <v>0.0</v>
      </c>
      <c r="EW45" s="9"/>
      <c r="EX45" s="9" t="s">
        <v>865</v>
      </c>
      <c r="EY45" s="8">
        <v>1.0</v>
      </c>
      <c r="EZ45" s="8">
        <v>0.0</v>
      </c>
      <c r="FA45" s="8">
        <v>0.0</v>
      </c>
      <c r="FB45" s="9"/>
      <c r="FC45" s="9" t="s">
        <v>1072</v>
      </c>
      <c r="FD45" s="9"/>
      <c r="FE45" s="9" t="s">
        <v>867</v>
      </c>
      <c r="FF45" s="9" t="s">
        <v>868</v>
      </c>
      <c r="FG45" s="9" t="s">
        <v>867</v>
      </c>
      <c r="FH45" s="9" t="s">
        <v>868</v>
      </c>
      <c r="FI45" s="9" t="s">
        <v>867</v>
      </c>
      <c r="FJ45" s="9" t="s">
        <v>943</v>
      </c>
      <c r="FK45" s="9" t="s">
        <v>867</v>
      </c>
      <c r="FL45" s="9" t="s">
        <v>943</v>
      </c>
      <c r="FM45" s="9" t="s">
        <v>867</v>
      </c>
      <c r="FN45" s="9" t="s">
        <v>943</v>
      </c>
      <c r="FO45" s="9" t="s">
        <v>867</v>
      </c>
      <c r="FP45" s="9" t="s">
        <v>870</v>
      </c>
      <c r="FQ45" s="9" t="s">
        <v>867</v>
      </c>
      <c r="FR45" s="9" t="s">
        <v>857</v>
      </c>
      <c r="FS45" s="9" t="s">
        <v>867</v>
      </c>
      <c r="FT45" s="9" t="s">
        <v>871</v>
      </c>
      <c r="FU45" s="9" t="s">
        <v>989</v>
      </c>
      <c r="FV45" s="8">
        <v>1.0</v>
      </c>
      <c r="FW45" s="8">
        <v>1.0</v>
      </c>
      <c r="FX45" s="8">
        <v>0.0</v>
      </c>
      <c r="FY45" s="8">
        <v>0.0</v>
      </c>
      <c r="FZ45" s="9" t="s">
        <v>873</v>
      </c>
      <c r="GA45" s="9" t="s">
        <v>990</v>
      </c>
      <c r="GB45" s="8">
        <v>1.0</v>
      </c>
      <c r="GC45" s="8">
        <v>1.0</v>
      </c>
      <c r="GD45" s="8">
        <v>0.0</v>
      </c>
      <c r="GE45" s="8">
        <v>0.0</v>
      </c>
      <c r="GF45" s="9"/>
      <c r="GG45" s="9" t="s">
        <v>875</v>
      </c>
      <c r="GH45" s="9" t="s">
        <v>857</v>
      </c>
      <c r="GI45" s="9" t="s">
        <v>876</v>
      </c>
      <c r="GJ45" s="8">
        <v>1.0</v>
      </c>
      <c r="GK45" s="8">
        <v>0.0</v>
      </c>
      <c r="GL45" s="8">
        <v>0.0</v>
      </c>
      <c r="GM45" s="8">
        <v>0.0</v>
      </c>
      <c r="GN45" s="9"/>
      <c r="GO45" s="8">
        <v>9.0</v>
      </c>
      <c r="GP45" s="9" t="s">
        <v>877</v>
      </c>
      <c r="GQ45" s="9" t="s">
        <v>1418</v>
      </c>
      <c r="GR45" s="8">
        <v>0.0</v>
      </c>
      <c r="GS45" s="8">
        <v>1.0</v>
      </c>
      <c r="GT45" s="8">
        <v>0.0</v>
      </c>
      <c r="GU45" s="8">
        <v>0.0</v>
      </c>
      <c r="GV45" s="8">
        <v>0.0</v>
      </c>
      <c r="GW45" s="8">
        <v>0.0</v>
      </c>
      <c r="GX45" s="8">
        <v>0.0</v>
      </c>
      <c r="GY45" s="9"/>
      <c r="GZ45" s="9" t="s">
        <v>857</v>
      </c>
      <c r="HA45" s="8">
        <v>20.0</v>
      </c>
      <c r="HB45" s="8">
        <v>20000.0</v>
      </c>
      <c r="HC45" s="8">
        <v>5.0</v>
      </c>
      <c r="HD45" s="8">
        <v>50000.0</v>
      </c>
      <c r="HE45" s="9"/>
      <c r="HF45" s="9"/>
      <c r="HG45" s="9"/>
      <c r="HH45" s="9"/>
      <c r="HI45" s="9"/>
      <c r="HJ45" s="9"/>
      <c r="HK45" s="9"/>
      <c r="HL45" s="9"/>
      <c r="HM45" s="9"/>
      <c r="HN45" s="9"/>
      <c r="HO45" s="9"/>
      <c r="HP45" s="9"/>
      <c r="HQ45" s="9"/>
      <c r="HR45" s="9"/>
      <c r="HS45" s="9"/>
      <c r="HT45" s="9"/>
      <c r="HU45" s="9"/>
      <c r="HV45" s="9"/>
      <c r="HW45" s="9"/>
      <c r="HX45" s="9"/>
      <c r="HY45" s="8">
        <v>15.0</v>
      </c>
      <c r="HZ45" s="8">
        <v>150000.0</v>
      </c>
      <c r="IA45" s="9"/>
      <c r="IB45" s="9"/>
      <c r="IC45" s="9"/>
      <c r="ID45" s="9"/>
      <c r="IE45" s="9"/>
      <c r="IF45" s="9"/>
      <c r="IG45" s="9"/>
      <c r="IH45" s="9"/>
      <c r="II45" s="9"/>
      <c r="IJ45" s="9"/>
      <c r="IK45" s="9" t="s">
        <v>879</v>
      </c>
      <c r="IL45" s="9" t="s">
        <v>880</v>
      </c>
      <c r="IM45" s="9" t="s">
        <v>857</v>
      </c>
      <c r="IN45" s="9" t="s">
        <v>881</v>
      </c>
      <c r="IO45" s="9" t="s">
        <v>882</v>
      </c>
      <c r="IP45" s="9" t="s">
        <v>1419</v>
      </c>
      <c r="IQ45" s="9" t="s">
        <v>1356</v>
      </c>
      <c r="IR45" s="9" t="s">
        <v>872</v>
      </c>
      <c r="IS45" s="8">
        <v>1.0</v>
      </c>
      <c r="IT45" s="8">
        <v>0.0</v>
      </c>
      <c r="IU45" s="8">
        <v>0.0</v>
      </c>
      <c r="IV45" s="9" t="s">
        <v>1014</v>
      </c>
      <c r="IW45" s="8">
        <v>0.0</v>
      </c>
      <c r="IX45" s="8">
        <v>1.0</v>
      </c>
      <c r="IY45" s="8">
        <v>0.0</v>
      </c>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884</v>
      </c>
      <c r="KT45" s="9" t="s">
        <v>886</v>
      </c>
      <c r="KU45" s="9" t="s">
        <v>886</v>
      </c>
      <c r="KV45" s="9" t="s">
        <v>872</v>
      </c>
      <c r="KW45" s="8">
        <v>1.0</v>
      </c>
      <c r="KX45" s="8">
        <v>0.0</v>
      </c>
      <c r="KY45" s="8">
        <v>0.0</v>
      </c>
      <c r="KZ45" s="8">
        <v>0.0</v>
      </c>
      <c r="LA45" s="9" t="s">
        <v>884</v>
      </c>
      <c r="LB45" s="9" t="s">
        <v>884</v>
      </c>
      <c r="LC45" s="8">
        <v>3.0</v>
      </c>
      <c r="LD45" s="8">
        <v>3.0</v>
      </c>
      <c r="LE45" s="8">
        <v>0.0</v>
      </c>
      <c r="LF45" s="8">
        <v>0.0</v>
      </c>
      <c r="LG45" s="9" t="s">
        <v>857</v>
      </c>
      <c r="LH45" s="8">
        <v>100000.0</v>
      </c>
      <c r="LI45" s="9"/>
      <c r="LJ45" s="9" t="s">
        <v>887</v>
      </c>
      <c r="LK45" s="8">
        <v>0.0</v>
      </c>
      <c r="LL45" s="8">
        <v>0.0</v>
      </c>
      <c r="LM45" s="8">
        <v>0.0</v>
      </c>
      <c r="LN45" s="8">
        <v>0.0</v>
      </c>
      <c r="LO45" s="8">
        <v>1.0</v>
      </c>
      <c r="LP45" s="8">
        <v>0.0</v>
      </c>
      <c r="LQ45" s="8">
        <v>0.0</v>
      </c>
      <c r="LR45" s="9"/>
      <c r="LS45" s="8">
        <v>15.0</v>
      </c>
      <c r="LT45" s="8">
        <v>15.0</v>
      </c>
      <c r="LU45" s="8">
        <v>0.0</v>
      </c>
      <c r="LV45" s="8">
        <v>5.0</v>
      </c>
      <c r="LW45" s="8">
        <v>5.0</v>
      </c>
      <c r="LX45" s="8">
        <v>0.0</v>
      </c>
      <c r="LY45" s="8">
        <v>5.0</v>
      </c>
      <c r="LZ45" s="8">
        <v>5.0</v>
      </c>
      <c r="MA45" s="8">
        <v>0.0</v>
      </c>
      <c r="MB45" s="9" t="s">
        <v>857</v>
      </c>
      <c r="MC45" s="8">
        <v>30.0</v>
      </c>
      <c r="MD45" s="8">
        <v>15.0</v>
      </c>
      <c r="ME45" s="8">
        <v>30.0</v>
      </c>
      <c r="MF45" s="8">
        <v>15.0</v>
      </c>
      <c r="MG45" s="8">
        <v>0.0</v>
      </c>
      <c r="MH45" s="8">
        <v>0.0</v>
      </c>
      <c r="MI45" s="9" t="s">
        <v>946</v>
      </c>
      <c r="MJ45" s="8">
        <v>0.0</v>
      </c>
      <c r="MK45" s="8">
        <v>0.0</v>
      </c>
      <c r="ML45" s="8">
        <v>1.0</v>
      </c>
      <c r="MM45" s="8">
        <v>0.0</v>
      </c>
      <c r="MN45" s="8">
        <v>0.0</v>
      </c>
      <c r="MO45" s="8">
        <v>0.0</v>
      </c>
      <c r="MP45" s="9"/>
      <c r="MQ45" s="9"/>
      <c r="MR45" s="9" t="s">
        <v>1420</v>
      </c>
      <c r="MS45" s="9"/>
      <c r="MT45" s="9" t="s">
        <v>1421</v>
      </c>
      <c r="MU45" s="9" t="s">
        <v>881</v>
      </c>
      <c r="MV45" s="9"/>
      <c r="MW45" s="9"/>
      <c r="MX45" s="9"/>
      <c r="MY45" s="9"/>
      <c r="MZ45" s="9"/>
      <c r="NA45" s="9"/>
      <c r="NB45" s="9"/>
      <c r="NC45" s="9"/>
      <c r="ND45" s="9"/>
      <c r="NE45" s="9"/>
      <c r="NF45" s="9"/>
      <c r="NG45" s="9"/>
      <c r="NH45" s="9"/>
      <c r="NI45" s="9"/>
      <c r="NJ45" s="9"/>
      <c r="NK45" s="9"/>
      <c r="NL45" s="9" t="s">
        <v>857</v>
      </c>
      <c r="NM45" s="9" t="s">
        <v>893</v>
      </c>
      <c r="NN45" s="9" t="s">
        <v>1141</v>
      </c>
      <c r="NO45" s="9" t="s">
        <v>973</v>
      </c>
      <c r="NP45" s="9"/>
      <c r="NQ45" s="9"/>
      <c r="NR45" s="9"/>
      <c r="NS45" s="9"/>
      <c r="NT45" s="9"/>
      <c r="NU45" s="9"/>
      <c r="NV45" s="9" t="s">
        <v>896</v>
      </c>
      <c r="NW45" s="9"/>
      <c r="NX45" s="9" t="s">
        <v>897</v>
      </c>
      <c r="NY45" s="8">
        <v>40.0</v>
      </c>
      <c r="NZ45" s="8">
        <v>20.0</v>
      </c>
      <c r="OA45" s="8">
        <v>0.0</v>
      </c>
      <c r="OB45" s="8">
        <v>5.0</v>
      </c>
      <c r="OC45" s="8">
        <v>5.0</v>
      </c>
      <c r="OD45" s="8">
        <v>0.0</v>
      </c>
      <c r="OE45" s="9" t="s">
        <v>898</v>
      </c>
      <c r="OF45" s="9" t="s">
        <v>899</v>
      </c>
      <c r="OG45" s="9" t="s">
        <v>857</v>
      </c>
      <c r="OH45" s="8">
        <v>0.0</v>
      </c>
      <c r="OI45" s="8">
        <v>4.0</v>
      </c>
      <c r="OJ45" s="8">
        <v>0.0</v>
      </c>
      <c r="OK45" s="8">
        <v>0.0</v>
      </c>
      <c r="OL45" s="8">
        <v>0.0</v>
      </c>
      <c r="OM45" s="8">
        <v>0.0</v>
      </c>
      <c r="ON45" s="8">
        <v>0.0</v>
      </c>
      <c r="OO45" s="8">
        <v>0.0</v>
      </c>
      <c r="OP45" s="9" t="s">
        <v>2948</v>
      </c>
      <c r="OQ45" s="8">
        <v>0.0</v>
      </c>
      <c r="OR45" s="8">
        <v>1.0</v>
      </c>
      <c r="OS45" s="8">
        <v>0.0</v>
      </c>
      <c r="OT45" s="8">
        <v>0.0</v>
      </c>
      <c r="OU45" s="8">
        <v>0.0</v>
      </c>
      <c r="OV45" s="8">
        <v>0.0</v>
      </c>
      <c r="OW45" s="8">
        <v>0.0</v>
      </c>
      <c r="OX45" s="8">
        <v>0.0</v>
      </c>
      <c r="OY45" s="9"/>
      <c r="OZ45" s="9"/>
      <c r="PA45" s="9"/>
      <c r="PB45" s="9"/>
      <c r="PC45" s="9"/>
      <c r="PD45" s="9"/>
      <c r="PE45" s="9"/>
      <c r="PF45" s="9"/>
      <c r="PG45" s="9"/>
      <c r="PH45" s="9"/>
      <c r="PI45" s="9"/>
      <c r="PJ45" s="9" t="s">
        <v>900</v>
      </c>
      <c r="PK45" s="8">
        <v>0.0</v>
      </c>
      <c r="PL45" s="8">
        <v>0.0</v>
      </c>
      <c r="PM45" s="8">
        <v>0.0</v>
      </c>
      <c r="PN45" s="8">
        <v>0.0</v>
      </c>
      <c r="PO45" s="8">
        <v>0.0</v>
      </c>
      <c r="PP45" s="8">
        <v>1.0</v>
      </c>
      <c r="PQ45" s="8">
        <v>0.0</v>
      </c>
      <c r="PR45" s="8">
        <v>0.0</v>
      </c>
      <c r="PS45" s="8">
        <v>0.0</v>
      </c>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8">
        <v>4.0</v>
      </c>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t="s">
        <v>901</v>
      </c>
      <c r="UB45" s="9"/>
      <c r="UC45" s="9"/>
      <c r="UD45" s="9"/>
      <c r="UE45" s="9"/>
      <c r="UF45" s="9"/>
      <c r="UG45" s="9"/>
      <c r="UH45" s="9"/>
      <c r="UI45" s="9" t="s">
        <v>950</v>
      </c>
      <c r="UJ45" s="9"/>
      <c r="UK45" s="9"/>
      <c r="UL45" s="9"/>
      <c r="UM45" s="9"/>
      <c r="UN45" s="9"/>
      <c r="UO45" s="9"/>
      <c r="UP45" s="9"/>
      <c r="UQ45" s="9" t="s">
        <v>1158</v>
      </c>
      <c r="UR45" s="9"/>
      <c r="US45" s="9"/>
      <c r="UT45" s="9"/>
      <c r="UU45" s="9"/>
      <c r="UV45" s="9"/>
      <c r="UW45" s="9"/>
      <c r="UX45" s="9"/>
      <c r="UY45" s="9"/>
      <c r="UZ45" s="9"/>
      <c r="VA45" s="9"/>
      <c r="VB45" s="9"/>
      <c r="VC45" s="9"/>
      <c r="VD45" s="9"/>
      <c r="VE45" s="9"/>
      <c r="VF45" s="9"/>
      <c r="VG45" s="9"/>
      <c r="VH45" s="9"/>
      <c r="VI45" s="9"/>
      <c r="VJ45" s="9"/>
      <c r="VK45" s="9" t="s">
        <v>1214</v>
      </c>
      <c r="VL45" s="8">
        <v>0.0</v>
      </c>
      <c r="VM45" s="8">
        <v>0.0</v>
      </c>
      <c r="VN45" s="8">
        <v>1.0</v>
      </c>
      <c r="VO45" s="8">
        <v>1.0</v>
      </c>
      <c r="VP45" s="8">
        <v>0.0</v>
      </c>
      <c r="VQ45" s="8">
        <v>1.0</v>
      </c>
      <c r="VR45" s="8">
        <v>0.0</v>
      </c>
      <c r="VS45" s="8">
        <v>0.0</v>
      </c>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8">
        <v>50.0</v>
      </c>
      <c r="YU45" s="9"/>
      <c r="YV45" s="9"/>
      <c r="YW45" s="9"/>
      <c r="YX45" s="9"/>
      <c r="YY45" s="9"/>
      <c r="YZ45" s="9"/>
      <c r="ZA45" s="9"/>
      <c r="ZB45" s="8">
        <v>2.0</v>
      </c>
      <c r="ZC45" s="9"/>
      <c r="ZD45" s="9"/>
      <c r="ZE45" s="9"/>
      <c r="ZF45" s="9"/>
      <c r="ZG45" s="9"/>
      <c r="ZH45" s="9"/>
      <c r="ZI45" s="9"/>
      <c r="ZJ45" s="9" t="s">
        <v>1186</v>
      </c>
      <c r="ZK45" s="9"/>
      <c r="ZL45" s="9"/>
      <c r="ZM45" s="9"/>
      <c r="ZN45" s="9"/>
      <c r="ZO45" s="9"/>
      <c r="ZP45" s="9"/>
      <c r="ZQ45" s="9" t="s">
        <v>857</v>
      </c>
      <c r="ZR45" s="9" t="s">
        <v>1033</v>
      </c>
      <c r="ZS45" s="8">
        <v>1.0</v>
      </c>
      <c r="ZT45" s="8">
        <v>1.0</v>
      </c>
      <c r="ZU45" s="8">
        <v>50.0</v>
      </c>
      <c r="ZV45" s="8">
        <v>50.0</v>
      </c>
      <c r="ZW45" s="9" t="s">
        <v>857</v>
      </c>
      <c r="ZX45" s="9" t="s">
        <v>867</v>
      </c>
      <c r="ZY45" s="9" t="s">
        <v>1074</v>
      </c>
      <c r="ZZ45" s="8">
        <v>1.0</v>
      </c>
      <c r="AAA45" s="8">
        <v>0.0</v>
      </c>
      <c r="AAB45" s="8">
        <v>0.0</v>
      </c>
      <c r="AAC45" s="8">
        <v>1.0</v>
      </c>
      <c r="AAD45" s="8">
        <v>1.0</v>
      </c>
      <c r="AAE45" s="8">
        <v>0.0</v>
      </c>
      <c r="AAF45" s="8">
        <v>0.0</v>
      </c>
      <c r="AAG45" s="9" t="s">
        <v>907</v>
      </c>
      <c r="AAH45" s="8">
        <v>1.0</v>
      </c>
      <c r="AAI45" s="8">
        <v>0.0</v>
      </c>
      <c r="AAJ45" s="8">
        <v>0.0</v>
      </c>
      <c r="AAK45" s="8">
        <v>0.0</v>
      </c>
      <c r="AAL45" s="8">
        <v>0.0</v>
      </c>
      <c r="AAM45" s="9"/>
      <c r="AAN45" s="9"/>
      <c r="AAO45" s="9"/>
      <c r="AAP45" s="9"/>
      <c r="AAQ45" s="9"/>
      <c r="AAR45" s="9"/>
      <c r="AAS45" s="9"/>
      <c r="AAT45" s="9"/>
      <c r="AAU45" s="9"/>
      <c r="AAV45" s="11" t="s">
        <v>953</v>
      </c>
      <c r="AAW45" s="9" t="s">
        <v>1075</v>
      </c>
      <c r="AAX45" s="8">
        <v>2500.0</v>
      </c>
      <c r="AAY45" s="8">
        <v>300.0</v>
      </c>
      <c r="AAZ45" s="8">
        <v>50.0</v>
      </c>
      <c r="ABA45" s="8">
        <v>50.0</v>
      </c>
      <c r="ABB45" s="9" t="s">
        <v>1199</v>
      </c>
      <c r="ABC45" s="9"/>
      <c r="ABD45" s="8">
        <v>30.0</v>
      </c>
      <c r="ABE45" s="8">
        <v>4000.0</v>
      </c>
      <c r="ABF45" s="8">
        <v>5.0</v>
      </c>
      <c r="ABG45" s="8">
        <v>4000.0</v>
      </c>
      <c r="ABH45" s="8">
        <v>400.0</v>
      </c>
      <c r="ABI45" s="8">
        <v>450.0</v>
      </c>
      <c r="ABJ45" s="9" t="s">
        <v>857</v>
      </c>
      <c r="ABK45" s="9" t="s">
        <v>911</v>
      </c>
      <c r="ABL45" s="9" t="s">
        <v>911</v>
      </c>
      <c r="ABM45" s="9" t="s">
        <v>911</v>
      </c>
      <c r="ABN45" s="9"/>
      <c r="ABO45" s="9"/>
      <c r="ABP45" s="9" t="s">
        <v>1215</v>
      </c>
      <c r="ABQ45" s="8">
        <v>0.0</v>
      </c>
      <c r="ABR45" s="8">
        <v>1.0</v>
      </c>
      <c r="ABS45" s="8">
        <v>0.0</v>
      </c>
      <c r="ABT45" s="8">
        <v>1.0</v>
      </c>
      <c r="ABU45" s="8">
        <v>0.0</v>
      </c>
      <c r="ABV45" s="8">
        <v>0.0</v>
      </c>
      <c r="ABW45" s="8">
        <v>0.0</v>
      </c>
      <c r="ABX45" s="9"/>
      <c r="ABY45" s="9" t="s">
        <v>912</v>
      </c>
      <c r="ABZ45" s="9" t="s">
        <v>1050</v>
      </c>
      <c r="ACA45" s="9" t="s">
        <v>957</v>
      </c>
      <c r="ACB45" s="9" t="s">
        <v>915</v>
      </c>
      <c r="ACC45" s="9" t="s">
        <v>916</v>
      </c>
      <c r="ACD45" s="9" t="s">
        <v>1017</v>
      </c>
      <c r="ACE45" s="8">
        <v>1.0</v>
      </c>
      <c r="ACF45" s="8">
        <v>1.0</v>
      </c>
      <c r="ACG45" s="8">
        <v>1.0</v>
      </c>
      <c r="ACH45" s="8">
        <v>0.0</v>
      </c>
      <c r="ACI45" s="9" t="s">
        <v>917</v>
      </c>
      <c r="ACJ45" s="9" t="s">
        <v>917</v>
      </c>
      <c r="ACK45" s="9" t="s">
        <v>917</v>
      </c>
      <c r="ACL45" s="9" t="s">
        <v>917</v>
      </c>
      <c r="ACM45" s="9" t="s">
        <v>881</v>
      </c>
      <c r="ACN45" s="9"/>
      <c r="ACO45" s="9" t="s">
        <v>917</v>
      </c>
      <c r="ACP45" s="9"/>
      <c r="ACQ45" s="9"/>
      <c r="ACR45" s="9"/>
      <c r="ACS45" s="9"/>
      <c r="ACT45" s="9"/>
      <c r="ACU45" s="9"/>
      <c r="ACV45" s="9"/>
      <c r="ACW45" s="9"/>
      <c r="ACX45" s="9"/>
      <c r="ACY45" s="9"/>
      <c r="ACZ45" s="9" t="s">
        <v>919</v>
      </c>
      <c r="ADA45" s="8">
        <v>0.0</v>
      </c>
      <c r="ADB45" s="8">
        <v>0.0</v>
      </c>
      <c r="ADC45" s="8">
        <v>0.0</v>
      </c>
      <c r="ADD45" s="8">
        <v>0.0</v>
      </c>
      <c r="ADE45" s="8">
        <v>1.0</v>
      </c>
      <c r="ADF45" s="8">
        <v>0.0</v>
      </c>
      <c r="ADG45" s="8">
        <v>0.0</v>
      </c>
      <c r="ADH45" s="8">
        <v>0.0</v>
      </c>
      <c r="ADI45" s="12"/>
      <c r="ADJ45" s="17" t="s">
        <v>872</v>
      </c>
      <c r="ADK45" s="9"/>
      <c r="ADL45" s="17" t="s">
        <v>920</v>
      </c>
      <c r="ADM45" s="9"/>
      <c r="ADN45" s="11" t="s">
        <v>917</v>
      </c>
      <c r="ADO45" s="9" t="s">
        <v>961</v>
      </c>
      <c r="ADP45" s="17" t="s">
        <v>1422</v>
      </c>
      <c r="ADQ45" s="18">
        <v>1.0</v>
      </c>
      <c r="ADR45" s="18">
        <v>1.0</v>
      </c>
      <c r="ADS45" s="18">
        <v>1.0</v>
      </c>
      <c r="ADT45" s="18">
        <v>1.0</v>
      </c>
      <c r="ADU45" s="18">
        <v>1.0</v>
      </c>
      <c r="ADV45" s="18">
        <v>1.0</v>
      </c>
      <c r="ADW45" s="18">
        <v>0.0</v>
      </c>
      <c r="ADX45" s="18">
        <v>0.0</v>
      </c>
      <c r="ADY45" s="18">
        <v>0.0</v>
      </c>
      <c r="ADZ45" s="18">
        <v>0.0</v>
      </c>
      <c r="AEA45" s="18">
        <v>0.0</v>
      </c>
      <c r="AEB45" s="18">
        <v>0.0</v>
      </c>
      <c r="AEC45" s="9"/>
      <c r="AED45" s="9" t="s">
        <v>923</v>
      </c>
      <c r="AEE45" s="9"/>
      <c r="AEF45" s="9" t="s">
        <v>924</v>
      </c>
      <c r="AEG45" s="9"/>
      <c r="AEH45" s="9" t="s">
        <v>1423</v>
      </c>
      <c r="AEI45" s="16" t="s">
        <v>1424</v>
      </c>
      <c r="AEJ45" s="9" t="s">
        <v>1425</v>
      </c>
      <c r="AEK45" s="16" t="s">
        <v>1426</v>
      </c>
      <c r="AEL45" s="9" t="s">
        <v>1193</v>
      </c>
      <c r="AEM45" s="9"/>
      <c r="AEN45" s="9"/>
    </row>
    <row r="46">
      <c r="A46" s="6">
        <v>46062.0</v>
      </c>
      <c r="B46" s="6">
        <v>46062.0</v>
      </c>
      <c r="C46" s="7" t="s">
        <v>837</v>
      </c>
      <c r="D46" s="7" t="s">
        <v>1427</v>
      </c>
      <c r="E46" s="8">
        <f>+62812285509669</f>
        <v>62812285509669</v>
      </c>
      <c r="F46" s="9"/>
      <c r="G46" s="8">
        <v>-7.232487012</v>
      </c>
      <c r="H46" s="8">
        <v>110.2855482</v>
      </c>
      <c r="I46" s="9"/>
      <c r="J46" s="8">
        <v>4.6</v>
      </c>
      <c r="K46" s="9"/>
      <c r="L46" s="9"/>
      <c r="M46" s="8">
        <v>-7.232431788</v>
      </c>
      <c r="N46" s="8">
        <v>110.2855566</v>
      </c>
      <c r="O46" s="9"/>
      <c r="P46" s="8">
        <v>4.46</v>
      </c>
      <c r="Q46" s="9"/>
      <c r="R46" s="9" t="s">
        <v>839</v>
      </c>
      <c r="S46" s="9"/>
      <c r="T46" s="9"/>
      <c r="U46" s="9"/>
      <c r="V46" s="9"/>
      <c r="W46" s="9"/>
      <c r="X46" s="9"/>
      <c r="Y46" s="9"/>
      <c r="Z46" s="9"/>
      <c r="AA46" s="9"/>
      <c r="AB46" s="9"/>
      <c r="AC46" s="7" t="s">
        <v>1175</v>
      </c>
      <c r="AD46" s="7" t="s">
        <v>1176</v>
      </c>
      <c r="AE46" s="7" t="s">
        <v>1401</v>
      </c>
      <c r="AF46" s="9" t="s">
        <v>1178</v>
      </c>
      <c r="AG46" s="9" t="s">
        <v>1428</v>
      </c>
      <c r="AH46" s="8">
        <v>3.0</v>
      </c>
      <c r="AI46" s="9" t="s">
        <v>845</v>
      </c>
      <c r="AJ46" s="9" t="s">
        <v>846</v>
      </c>
      <c r="AK46" s="8">
        <v>49.0</v>
      </c>
      <c r="AL46" s="9" t="s">
        <v>847</v>
      </c>
      <c r="AM46" s="9" t="s">
        <v>848</v>
      </c>
      <c r="AN46" s="9" t="s">
        <v>986</v>
      </c>
      <c r="AO46" s="9" t="s">
        <v>935</v>
      </c>
      <c r="AP46" s="8">
        <v>0.0</v>
      </c>
      <c r="AQ46" s="8">
        <v>1.0</v>
      </c>
      <c r="AR46" s="8">
        <v>0.0</v>
      </c>
      <c r="AS46" s="8">
        <v>0.0</v>
      </c>
      <c r="AT46" s="8">
        <v>0.0</v>
      </c>
      <c r="AU46" s="8">
        <v>0.0</v>
      </c>
      <c r="AV46" s="8">
        <v>0.0</v>
      </c>
      <c r="AW46" s="8">
        <v>0.0</v>
      </c>
      <c r="AX46" s="9"/>
      <c r="AY46" s="9" t="s">
        <v>1429</v>
      </c>
      <c r="AZ46" s="8">
        <v>0.0</v>
      </c>
      <c r="BA46" s="8">
        <v>1.0</v>
      </c>
      <c r="BB46" s="8">
        <v>0.0</v>
      </c>
      <c r="BC46" s="8">
        <v>1.0</v>
      </c>
      <c r="BD46" s="8">
        <v>0.0</v>
      </c>
      <c r="BE46" s="8">
        <v>0.0</v>
      </c>
      <c r="BF46" s="8">
        <v>0.0</v>
      </c>
      <c r="BG46" s="8">
        <v>0.0</v>
      </c>
      <c r="BH46" s="9"/>
      <c r="BI46" s="9" t="s">
        <v>1101</v>
      </c>
      <c r="BJ46" s="8">
        <v>1.0</v>
      </c>
      <c r="BK46" s="8">
        <v>1.0</v>
      </c>
      <c r="BL46" s="8">
        <v>1.0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856</v>
      </c>
      <c r="CD46" s="8">
        <v>0.0</v>
      </c>
      <c r="CE46" s="8">
        <v>0.0</v>
      </c>
      <c r="CF46" s="8">
        <v>0.0</v>
      </c>
      <c r="CG46" s="8">
        <v>0.0</v>
      </c>
      <c r="CH46" s="8">
        <v>0.0</v>
      </c>
      <c r="CI46" s="8">
        <v>1.0</v>
      </c>
      <c r="CJ46" s="8">
        <v>0.0</v>
      </c>
      <c r="CK46" s="9"/>
      <c r="CL46" s="9" t="s">
        <v>857</v>
      </c>
      <c r="CM46" s="8">
        <v>2023.0</v>
      </c>
      <c r="CN46" s="9" t="s">
        <v>858</v>
      </c>
      <c r="CO46" s="9" t="s">
        <v>859</v>
      </c>
      <c r="CP46" s="9" t="s">
        <v>860</v>
      </c>
      <c r="CQ46" s="8">
        <v>0.0</v>
      </c>
      <c r="CR46" s="8">
        <v>0.0</v>
      </c>
      <c r="CS46" s="8">
        <v>0.0</v>
      </c>
      <c r="CT46" s="8">
        <v>0.0</v>
      </c>
      <c r="CU46" s="10">
        <v>1.0</v>
      </c>
      <c r="CV46" s="10">
        <v>0.0</v>
      </c>
      <c r="CW46" s="10">
        <v>0.0</v>
      </c>
      <c r="CX46" s="8">
        <v>0.0</v>
      </c>
      <c r="CY46" s="9" t="s">
        <v>860</v>
      </c>
      <c r="CZ46" s="8">
        <v>1.0</v>
      </c>
      <c r="DA46" s="8">
        <v>0.0</v>
      </c>
      <c r="DB46" s="8">
        <v>0.0</v>
      </c>
      <c r="DC46" s="9"/>
      <c r="DD46" s="9" t="s">
        <v>937</v>
      </c>
      <c r="DE46" s="8">
        <v>1.0</v>
      </c>
      <c r="DF46" s="8">
        <v>0.0</v>
      </c>
      <c r="DG46" s="8">
        <v>1.0</v>
      </c>
      <c r="DH46" s="8">
        <v>0.0</v>
      </c>
      <c r="DI46" s="9"/>
      <c r="DJ46" s="9" t="s">
        <v>937</v>
      </c>
      <c r="DK46" s="8">
        <v>1.0</v>
      </c>
      <c r="DL46" s="8">
        <v>0.0</v>
      </c>
      <c r="DM46" s="8">
        <v>1.0</v>
      </c>
      <c r="DN46" s="8">
        <v>0.0</v>
      </c>
      <c r="DO46" s="9"/>
      <c r="DP46" s="8">
        <v>1.0</v>
      </c>
      <c r="DQ46" s="8">
        <v>0.0</v>
      </c>
      <c r="DR46" s="8">
        <v>0.0</v>
      </c>
      <c r="DS46" s="9"/>
      <c r="DT46" s="9"/>
      <c r="DU46" s="9"/>
      <c r="DV46" s="9" t="s">
        <v>857</v>
      </c>
      <c r="DW46" s="9"/>
      <c r="DX46" s="9"/>
      <c r="DY46" s="9"/>
      <c r="DZ46" s="9"/>
      <c r="EA46" s="9"/>
      <c r="EB46" s="9"/>
      <c r="EC46" s="9"/>
      <c r="ED46" s="9"/>
      <c r="EE46" s="9"/>
      <c r="EF46" s="9"/>
      <c r="EG46" s="9"/>
      <c r="EH46" s="9"/>
      <c r="EI46" s="9" t="s">
        <v>862</v>
      </c>
      <c r="EJ46" s="8">
        <v>0.0</v>
      </c>
      <c r="EK46" s="8">
        <v>0.0</v>
      </c>
      <c r="EL46" s="8">
        <v>0.0</v>
      </c>
      <c r="EM46" s="8">
        <v>1.0</v>
      </c>
      <c r="EN46" s="8">
        <v>0.0</v>
      </c>
      <c r="EO46" s="11"/>
      <c r="EP46" s="9" t="s">
        <v>863</v>
      </c>
      <c r="EQ46" s="9" t="s">
        <v>864</v>
      </c>
      <c r="ER46" s="9" t="s">
        <v>861</v>
      </c>
      <c r="ES46" s="8">
        <v>1.0</v>
      </c>
      <c r="ET46" s="8">
        <v>0.0</v>
      </c>
      <c r="EU46" s="8">
        <v>0.0</v>
      </c>
      <c r="EV46" s="8">
        <v>0.0</v>
      </c>
      <c r="EW46" s="9"/>
      <c r="EX46" s="9" t="s">
        <v>865</v>
      </c>
      <c r="EY46" s="8">
        <v>1.0</v>
      </c>
      <c r="EZ46" s="8">
        <v>0.0</v>
      </c>
      <c r="FA46" s="8">
        <v>0.0</v>
      </c>
      <c r="FB46" s="9"/>
      <c r="FC46" s="9" t="s">
        <v>1072</v>
      </c>
      <c r="FD46" s="9"/>
      <c r="FE46" s="9" t="s">
        <v>867</v>
      </c>
      <c r="FF46" s="9" t="s">
        <v>868</v>
      </c>
      <c r="FG46" s="9" t="s">
        <v>867</v>
      </c>
      <c r="FH46" s="9" t="s">
        <v>868</v>
      </c>
      <c r="FI46" s="9" t="s">
        <v>867</v>
      </c>
      <c r="FJ46" s="9" t="s">
        <v>868</v>
      </c>
      <c r="FK46" s="9" t="s">
        <v>867</v>
      </c>
      <c r="FL46" s="9" t="s">
        <v>869</v>
      </c>
      <c r="FM46" s="9" t="s">
        <v>867</v>
      </c>
      <c r="FN46" s="9" t="s">
        <v>943</v>
      </c>
      <c r="FO46" s="9" t="s">
        <v>867</v>
      </c>
      <c r="FP46" s="9" t="s">
        <v>943</v>
      </c>
      <c r="FQ46" s="9" t="s">
        <v>867</v>
      </c>
      <c r="FR46" s="9" t="s">
        <v>857</v>
      </c>
      <c r="FS46" s="9" t="s">
        <v>867</v>
      </c>
      <c r="FT46" s="9" t="s">
        <v>871</v>
      </c>
      <c r="FU46" s="9" t="s">
        <v>989</v>
      </c>
      <c r="FV46" s="8">
        <v>1.0</v>
      </c>
      <c r="FW46" s="8">
        <v>1.0</v>
      </c>
      <c r="FX46" s="8">
        <v>0.0</v>
      </c>
      <c r="FY46" s="8">
        <v>0.0</v>
      </c>
      <c r="FZ46" s="9" t="s">
        <v>1197</v>
      </c>
      <c r="GA46" s="9" t="s">
        <v>874</v>
      </c>
      <c r="GB46" s="8">
        <v>1.0</v>
      </c>
      <c r="GC46" s="8">
        <v>0.0</v>
      </c>
      <c r="GD46" s="8">
        <v>0.0</v>
      </c>
      <c r="GE46" s="8">
        <v>0.0</v>
      </c>
      <c r="GF46" s="9"/>
      <c r="GG46" s="9" t="s">
        <v>875</v>
      </c>
      <c r="GH46" s="9" t="s">
        <v>857</v>
      </c>
      <c r="GI46" s="9" t="s">
        <v>1264</v>
      </c>
      <c r="GJ46" s="8">
        <v>0.0</v>
      </c>
      <c r="GK46" s="8">
        <v>1.0</v>
      </c>
      <c r="GL46" s="8">
        <v>0.0</v>
      </c>
      <c r="GM46" s="8">
        <v>0.0</v>
      </c>
      <c r="GN46" s="9"/>
      <c r="GO46" s="8">
        <v>9.0</v>
      </c>
      <c r="GP46" s="9" t="s">
        <v>877</v>
      </c>
      <c r="GQ46" s="9" t="s">
        <v>878</v>
      </c>
      <c r="GR46" s="8">
        <v>1.0</v>
      </c>
      <c r="GS46" s="8">
        <v>1.0</v>
      </c>
      <c r="GT46" s="8">
        <v>0.0</v>
      </c>
      <c r="GU46" s="8">
        <v>0.0</v>
      </c>
      <c r="GV46" s="8">
        <v>0.0</v>
      </c>
      <c r="GW46" s="8">
        <v>0.0</v>
      </c>
      <c r="GX46" s="8">
        <v>0.0</v>
      </c>
      <c r="GY46" s="9"/>
      <c r="GZ46" s="9" t="s">
        <v>857</v>
      </c>
      <c r="HA46" s="8">
        <v>15.0</v>
      </c>
      <c r="HB46" s="8">
        <v>150000.0</v>
      </c>
      <c r="HC46" s="8">
        <v>5.0</v>
      </c>
      <c r="HD46" s="8">
        <v>50000.0</v>
      </c>
      <c r="HE46" s="8">
        <v>12.0</v>
      </c>
      <c r="HF46" s="8">
        <v>100000.0</v>
      </c>
      <c r="HG46" s="8">
        <v>3.0</v>
      </c>
      <c r="HH46" s="8">
        <v>25000.0</v>
      </c>
      <c r="HI46" s="9"/>
      <c r="HJ46" s="9"/>
      <c r="HK46" s="9"/>
      <c r="HL46" s="9"/>
      <c r="HM46" s="9"/>
      <c r="HN46" s="9"/>
      <c r="HO46" s="9"/>
      <c r="HP46" s="9"/>
      <c r="HQ46" s="9"/>
      <c r="HR46" s="9"/>
      <c r="HS46" s="9"/>
      <c r="HT46" s="9"/>
      <c r="HU46" s="9"/>
      <c r="HV46" s="9"/>
      <c r="HW46" s="9"/>
      <c r="HX46" s="9"/>
      <c r="HY46" s="8">
        <v>10.0</v>
      </c>
      <c r="HZ46" s="8">
        <v>100000.0</v>
      </c>
      <c r="IA46" s="8">
        <v>9.0</v>
      </c>
      <c r="IB46" s="8">
        <v>75000.0</v>
      </c>
      <c r="IC46" s="9"/>
      <c r="ID46" s="9"/>
      <c r="IE46" s="9"/>
      <c r="IF46" s="9"/>
      <c r="IG46" s="9"/>
      <c r="IH46" s="9"/>
      <c r="II46" s="9"/>
      <c r="IJ46" s="9"/>
      <c r="IK46" s="9" t="s">
        <v>879</v>
      </c>
      <c r="IL46" s="9" t="s">
        <v>880</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1180</v>
      </c>
      <c r="KT46" s="9" t="s">
        <v>886</v>
      </c>
      <c r="KU46" s="9" t="s">
        <v>886</v>
      </c>
      <c r="KV46" s="9" t="s">
        <v>999</v>
      </c>
      <c r="KW46" s="8">
        <v>0.0</v>
      </c>
      <c r="KX46" s="8">
        <v>0.0</v>
      </c>
      <c r="KY46" s="8">
        <v>0.0</v>
      </c>
      <c r="KZ46" s="8">
        <v>1.0</v>
      </c>
      <c r="LA46" s="9" t="s">
        <v>884</v>
      </c>
      <c r="LB46" s="9" t="s">
        <v>884</v>
      </c>
      <c r="LC46" s="8">
        <v>3.0</v>
      </c>
      <c r="LD46" s="8">
        <v>3.0</v>
      </c>
      <c r="LE46" s="8">
        <v>0.0</v>
      </c>
      <c r="LF46" s="8">
        <v>0.0</v>
      </c>
      <c r="LG46" s="9" t="s">
        <v>857</v>
      </c>
      <c r="LH46" s="8">
        <v>100000.0</v>
      </c>
      <c r="LI46" s="9"/>
      <c r="LJ46" s="9" t="s">
        <v>887</v>
      </c>
      <c r="LK46" s="8">
        <v>0.0</v>
      </c>
      <c r="LL46" s="8">
        <v>0.0</v>
      </c>
      <c r="LM46" s="8">
        <v>0.0</v>
      </c>
      <c r="LN46" s="8">
        <v>0.0</v>
      </c>
      <c r="LO46" s="8">
        <v>1.0</v>
      </c>
      <c r="LP46" s="8">
        <v>0.0</v>
      </c>
      <c r="LQ46" s="8">
        <v>0.0</v>
      </c>
      <c r="LR46" s="9"/>
      <c r="LS46" s="8">
        <v>15.0</v>
      </c>
      <c r="LT46" s="8">
        <v>20.0</v>
      </c>
      <c r="LU46" s="8">
        <v>0.0</v>
      </c>
      <c r="LV46" s="8">
        <v>7.0</v>
      </c>
      <c r="LW46" s="8">
        <v>7.0</v>
      </c>
      <c r="LX46" s="8">
        <v>0.0</v>
      </c>
      <c r="LY46" s="8">
        <v>6.0</v>
      </c>
      <c r="LZ46" s="8">
        <v>6.0</v>
      </c>
      <c r="MA46" s="8">
        <v>0.0</v>
      </c>
      <c r="MB46" s="9" t="s">
        <v>857</v>
      </c>
      <c r="MC46" s="8">
        <v>30.0</v>
      </c>
      <c r="MD46" s="8">
        <v>15.0</v>
      </c>
      <c r="ME46" s="8">
        <v>30.0</v>
      </c>
      <c r="MF46" s="8">
        <v>15.0</v>
      </c>
      <c r="MG46" s="8">
        <v>0.0</v>
      </c>
      <c r="MH46" s="8">
        <v>0.0</v>
      </c>
      <c r="MI46" s="9" t="s">
        <v>946</v>
      </c>
      <c r="MJ46" s="8">
        <v>0.0</v>
      </c>
      <c r="MK46" s="8">
        <v>0.0</v>
      </c>
      <c r="ML46" s="8">
        <v>1.0</v>
      </c>
      <c r="MM46" s="8">
        <v>0.0</v>
      </c>
      <c r="MN46" s="8">
        <v>0.0</v>
      </c>
      <c r="MO46" s="8">
        <v>0.0</v>
      </c>
      <c r="MP46" s="9"/>
      <c r="MQ46" s="9"/>
      <c r="MR46" s="9" t="s">
        <v>888</v>
      </c>
      <c r="MS46" s="9"/>
      <c r="MT46" s="9" t="s">
        <v>972</v>
      </c>
      <c r="MU46" s="9" t="s">
        <v>881</v>
      </c>
      <c r="MV46" s="9"/>
      <c r="MW46" s="9"/>
      <c r="MX46" s="9"/>
      <c r="MY46" s="9"/>
      <c r="MZ46" s="9"/>
      <c r="NA46" s="9"/>
      <c r="NB46" s="9"/>
      <c r="NC46" s="9"/>
      <c r="ND46" s="9"/>
      <c r="NE46" s="9"/>
      <c r="NF46" s="9"/>
      <c r="NG46" s="9"/>
      <c r="NH46" s="9"/>
      <c r="NI46" s="9"/>
      <c r="NJ46" s="9"/>
      <c r="NK46" s="9"/>
      <c r="NL46" s="9" t="s">
        <v>857</v>
      </c>
      <c r="NM46" s="9" t="s">
        <v>893</v>
      </c>
      <c r="NN46" s="9" t="s">
        <v>993</v>
      </c>
      <c r="NO46" s="9" t="s">
        <v>994</v>
      </c>
      <c r="NP46" s="9"/>
      <c r="NQ46" s="9"/>
      <c r="NR46" s="9"/>
      <c r="NS46" s="9"/>
      <c r="NT46" s="9"/>
      <c r="NU46" s="9"/>
      <c r="NV46" s="9" t="s">
        <v>896</v>
      </c>
      <c r="NW46" s="9"/>
      <c r="NX46" s="9" t="s">
        <v>897</v>
      </c>
      <c r="NY46" s="8">
        <v>40.0</v>
      </c>
      <c r="NZ46" s="8">
        <v>20.0</v>
      </c>
      <c r="OA46" s="8">
        <v>0.0</v>
      </c>
      <c r="OB46" s="8">
        <v>5.0</v>
      </c>
      <c r="OC46" s="8">
        <v>5.0</v>
      </c>
      <c r="OD46" s="8">
        <v>0.0</v>
      </c>
      <c r="OE46" s="9" t="s">
        <v>898</v>
      </c>
      <c r="OF46" s="9" t="s">
        <v>1184</v>
      </c>
      <c r="OG46" s="9" t="s">
        <v>857</v>
      </c>
      <c r="OH46" s="8">
        <v>0.0</v>
      </c>
      <c r="OI46" s="8">
        <v>3.0</v>
      </c>
      <c r="OJ46" s="8">
        <v>0.0</v>
      </c>
      <c r="OK46" s="8">
        <v>0.0</v>
      </c>
      <c r="OL46" s="8">
        <v>0.0</v>
      </c>
      <c r="OM46" s="8">
        <v>0.0</v>
      </c>
      <c r="ON46" s="8">
        <v>0.0</v>
      </c>
      <c r="OO46" s="8">
        <v>0.0</v>
      </c>
      <c r="OP46" s="9" t="s">
        <v>2948</v>
      </c>
      <c r="OQ46" s="8">
        <v>0.0</v>
      </c>
      <c r="OR46" s="8">
        <v>1.0</v>
      </c>
      <c r="OS46" s="8">
        <v>0.0</v>
      </c>
      <c r="OT46" s="8">
        <v>0.0</v>
      </c>
      <c r="OU46" s="8">
        <v>0.0</v>
      </c>
      <c r="OV46" s="8">
        <v>0.0</v>
      </c>
      <c r="OW46" s="8">
        <v>0.0</v>
      </c>
      <c r="OX46" s="8">
        <v>0.0</v>
      </c>
      <c r="OY46" s="9"/>
      <c r="OZ46" s="9"/>
      <c r="PA46" s="9"/>
      <c r="PB46" s="9"/>
      <c r="PC46" s="9"/>
      <c r="PD46" s="9"/>
      <c r="PE46" s="9"/>
      <c r="PF46" s="9"/>
      <c r="PG46" s="9"/>
      <c r="PH46" s="9"/>
      <c r="PI46" s="9"/>
      <c r="PJ46" s="9" t="s">
        <v>900</v>
      </c>
      <c r="PK46" s="8">
        <v>0.0</v>
      </c>
      <c r="PL46" s="8">
        <v>0.0</v>
      </c>
      <c r="PM46" s="8">
        <v>0.0</v>
      </c>
      <c r="PN46" s="8">
        <v>0.0</v>
      </c>
      <c r="PO46" s="8">
        <v>0.0</v>
      </c>
      <c r="PP46" s="8">
        <v>1.0</v>
      </c>
      <c r="PQ46" s="8">
        <v>0.0</v>
      </c>
      <c r="PR46" s="8">
        <v>0.0</v>
      </c>
      <c r="PS46" s="8">
        <v>0.0</v>
      </c>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8">
        <v>3.0</v>
      </c>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t="s">
        <v>901</v>
      </c>
      <c r="UB46" s="9"/>
      <c r="UC46" s="9"/>
      <c r="UD46" s="9"/>
      <c r="UE46" s="9"/>
      <c r="UF46" s="9"/>
      <c r="UG46" s="9"/>
      <c r="UH46" s="9"/>
      <c r="UI46" s="9" t="s">
        <v>950</v>
      </c>
      <c r="UJ46" s="9"/>
      <c r="UK46" s="9"/>
      <c r="UL46" s="9"/>
      <c r="UM46" s="9"/>
      <c r="UN46" s="9"/>
      <c r="UO46" s="9"/>
      <c r="UP46" s="9"/>
      <c r="UQ46" s="9" t="s">
        <v>1158</v>
      </c>
      <c r="UR46" s="9"/>
      <c r="US46" s="9"/>
      <c r="UT46" s="9"/>
      <c r="UU46" s="9"/>
      <c r="UV46" s="9"/>
      <c r="UW46" s="9"/>
      <c r="UX46" s="9"/>
      <c r="UY46" s="9"/>
      <c r="UZ46" s="9"/>
      <c r="VA46" s="9"/>
      <c r="VB46" s="9"/>
      <c r="VC46" s="9"/>
      <c r="VD46" s="9"/>
      <c r="VE46" s="9"/>
      <c r="VF46" s="9"/>
      <c r="VG46" s="9"/>
      <c r="VH46" s="9"/>
      <c r="VI46" s="9"/>
      <c r="VJ46" s="9"/>
      <c r="VK46" s="9" t="s">
        <v>1340</v>
      </c>
      <c r="VL46" s="8">
        <v>0.0</v>
      </c>
      <c r="VM46" s="8">
        <v>0.0</v>
      </c>
      <c r="VN46" s="8">
        <v>1.0</v>
      </c>
      <c r="VO46" s="8">
        <v>0.0</v>
      </c>
      <c r="VP46" s="8">
        <v>1.0</v>
      </c>
      <c r="VQ46" s="8">
        <v>0.0</v>
      </c>
      <c r="VR46" s="8">
        <v>0.0</v>
      </c>
      <c r="VS46" s="8">
        <v>0.0</v>
      </c>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8">
        <v>2.0</v>
      </c>
      <c r="ZC46" s="9"/>
      <c r="ZD46" s="9"/>
      <c r="ZE46" s="9"/>
      <c r="ZF46" s="9"/>
      <c r="ZG46" s="9"/>
      <c r="ZH46" s="9"/>
      <c r="ZI46" s="9"/>
      <c r="ZJ46" s="9" t="s">
        <v>905</v>
      </c>
      <c r="ZK46" s="9"/>
      <c r="ZL46" s="9"/>
      <c r="ZM46" s="9"/>
      <c r="ZN46" s="9"/>
      <c r="ZO46" s="9"/>
      <c r="ZP46" s="9"/>
      <c r="ZQ46" s="9" t="s">
        <v>857</v>
      </c>
      <c r="ZR46" s="9" t="s">
        <v>1033</v>
      </c>
      <c r="ZS46" s="8">
        <v>1.0</v>
      </c>
      <c r="ZT46" s="8">
        <v>1.0</v>
      </c>
      <c r="ZU46" s="8">
        <v>50.0</v>
      </c>
      <c r="ZV46" s="8">
        <v>50.0</v>
      </c>
      <c r="ZW46" s="9" t="s">
        <v>857</v>
      </c>
      <c r="ZX46" s="9" t="s">
        <v>867</v>
      </c>
      <c r="ZY46" s="9" t="s">
        <v>1287</v>
      </c>
      <c r="ZZ46" s="8">
        <v>1.0</v>
      </c>
      <c r="AAA46" s="8">
        <v>0.0</v>
      </c>
      <c r="AAB46" s="8">
        <v>0.0</v>
      </c>
      <c r="AAC46" s="8">
        <v>1.0</v>
      </c>
      <c r="AAD46" s="8">
        <v>0.0</v>
      </c>
      <c r="AAE46" s="8">
        <v>0.0</v>
      </c>
      <c r="AAF46" s="8">
        <v>0.0</v>
      </c>
      <c r="AAG46" s="9" t="s">
        <v>907</v>
      </c>
      <c r="AAH46" s="8">
        <v>1.0</v>
      </c>
      <c r="AAI46" s="8">
        <v>0.0</v>
      </c>
      <c r="AAJ46" s="8">
        <v>0.0</v>
      </c>
      <c r="AAK46" s="8">
        <v>0.0</v>
      </c>
      <c r="AAL46" s="8">
        <v>0.0</v>
      </c>
      <c r="AAM46" s="9"/>
      <c r="AAN46" s="9"/>
      <c r="AAO46" s="9"/>
      <c r="AAP46" s="9"/>
      <c r="AAQ46" s="9"/>
      <c r="AAR46" s="9"/>
      <c r="AAS46" s="9"/>
      <c r="AAT46" s="9"/>
      <c r="AAU46" s="9"/>
      <c r="AAV46" s="11" t="s">
        <v>953</v>
      </c>
      <c r="AAW46" s="9" t="s">
        <v>1075</v>
      </c>
      <c r="AAX46" s="8">
        <v>3000.0</v>
      </c>
      <c r="AAY46" s="8">
        <v>300.0</v>
      </c>
      <c r="AAZ46" s="8">
        <v>50.0</v>
      </c>
      <c r="ABA46" s="8">
        <v>50.0</v>
      </c>
      <c r="ABB46" s="9" t="s">
        <v>1199</v>
      </c>
      <c r="ABC46" s="9"/>
      <c r="ABD46" s="8">
        <v>40.0</v>
      </c>
      <c r="ABE46" s="8">
        <v>4000.0</v>
      </c>
      <c r="ABF46" s="8">
        <v>10.0</v>
      </c>
      <c r="ABG46" s="8">
        <v>4000.0</v>
      </c>
      <c r="ABH46" s="8">
        <v>500.0</v>
      </c>
      <c r="ABI46" s="8">
        <v>550.0</v>
      </c>
      <c r="ABJ46" s="9" t="s">
        <v>857</v>
      </c>
      <c r="ABK46" s="9" t="s">
        <v>911</v>
      </c>
      <c r="ABL46" s="9" t="s">
        <v>911</v>
      </c>
      <c r="ABM46" s="9" t="s">
        <v>1034</v>
      </c>
      <c r="ABN46" s="9"/>
      <c r="ABO46" s="9"/>
      <c r="ABP46" s="9" t="s">
        <v>1304</v>
      </c>
      <c r="ABQ46" s="8">
        <v>0.0</v>
      </c>
      <c r="ABR46" s="8">
        <v>1.0</v>
      </c>
      <c r="ABS46" s="8">
        <v>1.0</v>
      </c>
      <c r="ABT46" s="8">
        <v>0.0</v>
      </c>
      <c r="ABU46" s="8">
        <v>0.0</v>
      </c>
      <c r="ABV46" s="8">
        <v>0.0</v>
      </c>
      <c r="ABW46" s="8">
        <v>0.0</v>
      </c>
      <c r="ABX46" s="9"/>
      <c r="ABY46" s="9" t="s">
        <v>912</v>
      </c>
      <c r="ABZ46" s="9" t="s">
        <v>913</v>
      </c>
      <c r="ACA46" s="9" t="s">
        <v>996</v>
      </c>
      <c r="ACB46" s="9" t="s">
        <v>915</v>
      </c>
      <c r="ACC46" s="9" t="s">
        <v>916</v>
      </c>
      <c r="ACD46" s="9" t="s">
        <v>1035</v>
      </c>
      <c r="ACE46" s="8">
        <v>1.0</v>
      </c>
      <c r="ACF46" s="8">
        <v>1.0</v>
      </c>
      <c r="ACG46" s="8">
        <v>0.0</v>
      </c>
      <c r="ACH46" s="8">
        <v>0.0</v>
      </c>
      <c r="ACI46" s="9" t="s">
        <v>1187</v>
      </c>
      <c r="ACJ46" s="9" t="s">
        <v>1187</v>
      </c>
      <c r="ACK46" s="9" t="s">
        <v>1187</v>
      </c>
      <c r="ACL46" s="9" t="s">
        <v>1187</v>
      </c>
      <c r="ACM46" s="9" t="s">
        <v>881</v>
      </c>
      <c r="ACN46" s="9"/>
      <c r="ACO46" s="9" t="s">
        <v>1187</v>
      </c>
      <c r="ACP46" s="9"/>
      <c r="ACQ46" s="9"/>
      <c r="ACR46" s="9"/>
      <c r="ACS46" s="9"/>
      <c r="ACT46" s="9"/>
      <c r="ACU46" s="9"/>
      <c r="ACV46" s="9"/>
      <c r="ACW46" s="9"/>
      <c r="ACX46" s="9"/>
      <c r="ACY46" s="9"/>
      <c r="ACZ46" s="9" t="s">
        <v>919</v>
      </c>
      <c r="ADA46" s="8">
        <v>0.0</v>
      </c>
      <c r="ADB46" s="8">
        <v>0.0</v>
      </c>
      <c r="ADC46" s="8">
        <v>0.0</v>
      </c>
      <c r="ADD46" s="8">
        <v>0.0</v>
      </c>
      <c r="ADE46" s="8">
        <v>1.0</v>
      </c>
      <c r="ADF46" s="8">
        <v>0.0</v>
      </c>
      <c r="ADG46" s="8">
        <v>0.0</v>
      </c>
      <c r="ADH46" s="8">
        <v>0.0</v>
      </c>
      <c r="ADI46" s="12"/>
      <c r="ADJ46" s="17" t="s">
        <v>872</v>
      </c>
      <c r="ADK46" s="9"/>
      <c r="ADL46" s="17" t="s">
        <v>920</v>
      </c>
      <c r="ADM46" s="9"/>
      <c r="ADN46" s="11" t="s">
        <v>917</v>
      </c>
      <c r="ADO46" s="9" t="s">
        <v>871</v>
      </c>
      <c r="ADP46" s="17" t="s">
        <v>1076</v>
      </c>
      <c r="ADQ46" s="18">
        <v>1.0</v>
      </c>
      <c r="ADR46" s="18">
        <v>1.0</v>
      </c>
      <c r="ADS46" s="18">
        <v>1.0</v>
      </c>
      <c r="ADT46" s="18">
        <v>1.0</v>
      </c>
      <c r="ADU46" s="18">
        <v>1.0</v>
      </c>
      <c r="ADV46" s="18">
        <v>1.0</v>
      </c>
      <c r="ADW46" s="18">
        <v>1.0</v>
      </c>
      <c r="ADX46" s="18">
        <v>1.0</v>
      </c>
      <c r="ADY46" s="18">
        <v>0.0</v>
      </c>
      <c r="ADZ46" s="18">
        <v>0.0</v>
      </c>
      <c r="AEA46" s="18">
        <v>0.0</v>
      </c>
      <c r="AEB46" s="18">
        <v>0.0</v>
      </c>
      <c r="AEC46" s="9"/>
      <c r="AED46" s="9" t="s">
        <v>1305</v>
      </c>
      <c r="AEE46" s="9"/>
      <c r="AEF46" s="9" t="s">
        <v>1188</v>
      </c>
      <c r="AEG46" s="9"/>
      <c r="AEH46" s="9" t="s">
        <v>1430</v>
      </c>
      <c r="AEI46" s="16" t="s">
        <v>1431</v>
      </c>
      <c r="AEJ46" s="9" t="s">
        <v>1432</v>
      </c>
      <c r="AEK46" s="16" t="s">
        <v>1433</v>
      </c>
      <c r="AEL46" s="9" t="s">
        <v>1137</v>
      </c>
      <c r="AEM46" s="9"/>
      <c r="AEN46" s="9"/>
    </row>
    <row r="47">
      <c r="A47" s="6">
        <v>46062.0</v>
      </c>
      <c r="B47" s="6">
        <v>46062.0</v>
      </c>
      <c r="C47" s="7" t="s">
        <v>837</v>
      </c>
      <c r="D47" s="7" t="s">
        <v>1434</v>
      </c>
      <c r="E47" s="8">
        <f>+6285701460813</f>
        <v>6285701460813</v>
      </c>
      <c r="F47" s="9"/>
      <c r="G47" s="8">
        <v>-7.232807988</v>
      </c>
      <c r="H47" s="8">
        <v>110.291011</v>
      </c>
      <c r="I47" s="9"/>
      <c r="J47" s="8">
        <v>4.9</v>
      </c>
      <c r="K47" s="9"/>
      <c r="L47" s="9"/>
      <c r="M47" s="8">
        <v>-7.2327546</v>
      </c>
      <c r="N47" s="8">
        <v>110.291009</v>
      </c>
      <c r="O47" s="9"/>
      <c r="P47" s="8">
        <v>4.47</v>
      </c>
      <c r="Q47" s="9"/>
      <c r="R47" s="9" t="s">
        <v>839</v>
      </c>
      <c r="S47" s="9"/>
      <c r="T47" s="9"/>
      <c r="U47" s="9"/>
      <c r="V47" s="9"/>
      <c r="W47" s="9"/>
      <c r="X47" s="9"/>
      <c r="Y47" s="9"/>
      <c r="Z47" s="9"/>
      <c r="AA47" s="9"/>
      <c r="AB47" s="9"/>
      <c r="AC47" s="7" t="s">
        <v>1175</v>
      </c>
      <c r="AD47" s="7" t="s">
        <v>1176</v>
      </c>
      <c r="AE47" s="7" t="s">
        <v>1401</v>
      </c>
      <c r="AF47" s="9" t="s">
        <v>1178</v>
      </c>
      <c r="AG47" s="9" t="s">
        <v>1435</v>
      </c>
      <c r="AH47" s="8">
        <v>3.0</v>
      </c>
      <c r="AI47" s="9" t="s">
        <v>845</v>
      </c>
      <c r="AJ47" s="9" t="s">
        <v>846</v>
      </c>
      <c r="AK47" s="8">
        <v>30.0</v>
      </c>
      <c r="AL47" s="9" t="s">
        <v>847</v>
      </c>
      <c r="AM47" s="9" t="s">
        <v>848</v>
      </c>
      <c r="AN47" s="9" t="s">
        <v>1009</v>
      </c>
      <c r="AO47" s="9" t="s">
        <v>935</v>
      </c>
      <c r="AP47" s="8">
        <v>0.0</v>
      </c>
      <c r="AQ47" s="8">
        <v>1.0</v>
      </c>
      <c r="AR47" s="8">
        <v>0.0</v>
      </c>
      <c r="AS47" s="8">
        <v>0.0</v>
      </c>
      <c r="AT47" s="8">
        <v>0.0</v>
      </c>
      <c r="AU47" s="8">
        <v>0.0</v>
      </c>
      <c r="AV47" s="8">
        <v>0.0</v>
      </c>
      <c r="AW47" s="8">
        <v>0.0</v>
      </c>
      <c r="AX47" s="9"/>
      <c r="AY47" s="9" t="s">
        <v>1436</v>
      </c>
      <c r="AZ47" s="8">
        <v>1.0</v>
      </c>
      <c r="BA47" s="8">
        <v>0.0</v>
      </c>
      <c r="BB47" s="8">
        <v>0.0</v>
      </c>
      <c r="BC47" s="8">
        <v>1.0</v>
      </c>
      <c r="BD47" s="8">
        <v>0.0</v>
      </c>
      <c r="BE47" s="8">
        <v>0.0</v>
      </c>
      <c r="BF47" s="8">
        <v>0.0</v>
      </c>
      <c r="BG47" s="8">
        <v>0.0</v>
      </c>
      <c r="BH47" s="9"/>
      <c r="BI47" s="9" t="s">
        <v>852</v>
      </c>
      <c r="BJ47" s="8">
        <v>1.0</v>
      </c>
      <c r="BK47" s="8">
        <v>2.0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856</v>
      </c>
      <c r="CD47" s="8">
        <v>0.0</v>
      </c>
      <c r="CE47" s="8">
        <v>0.0</v>
      </c>
      <c r="CF47" s="8">
        <v>0.0</v>
      </c>
      <c r="CG47" s="8">
        <v>0.0</v>
      </c>
      <c r="CH47" s="8">
        <v>0.0</v>
      </c>
      <c r="CI47" s="8">
        <v>1.0</v>
      </c>
      <c r="CJ47" s="8">
        <v>0.0</v>
      </c>
      <c r="CK47" s="9"/>
      <c r="CL47" s="9" t="s">
        <v>857</v>
      </c>
      <c r="CM47" s="8">
        <v>2023.0</v>
      </c>
      <c r="CN47" s="9" t="s">
        <v>858</v>
      </c>
      <c r="CO47" s="9" t="s">
        <v>859</v>
      </c>
      <c r="CP47" s="9" t="s">
        <v>860</v>
      </c>
      <c r="CQ47" s="8">
        <v>0.0</v>
      </c>
      <c r="CR47" s="8">
        <v>0.0</v>
      </c>
      <c r="CS47" s="8">
        <v>0.0</v>
      </c>
      <c r="CT47" s="8">
        <v>0.0</v>
      </c>
      <c r="CU47" s="10">
        <v>1.0</v>
      </c>
      <c r="CV47" s="10">
        <v>0.0</v>
      </c>
      <c r="CW47" s="10">
        <v>0.0</v>
      </c>
      <c r="CX47" s="8">
        <v>0.0</v>
      </c>
      <c r="CY47" s="9" t="s">
        <v>860</v>
      </c>
      <c r="CZ47" s="8">
        <v>1.0</v>
      </c>
      <c r="DA47" s="8">
        <v>0.0</v>
      </c>
      <c r="DB47" s="8">
        <v>0.0</v>
      </c>
      <c r="DC47" s="9"/>
      <c r="DD47" s="9" t="s">
        <v>937</v>
      </c>
      <c r="DE47" s="8">
        <v>1.0</v>
      </c>
      <c r="DF47" s="8">
        <v>0.0</v>
      </c>
      <c r="DG47" s="8">
        <v>1.0</v>
      </c>
      <c r="DH47" s="8">
        <v>0.0</v>
      </c>
      <c r="DI47" s="9"/>
      <c r="DJ47" s="9" t="s">
        <v>937</v>
      </c>
      <c r="DK47" s="8">
        <v>1.0</v>
      </c>
      <c r="DL47" s="8">
        <v>0.0</v>
      </c>
      <c r="DM47" s="8">
        <v>1.0</v>
      </c>
      <c r="DN47" s="8">
        <v>0.0</v>
      </c>
      <c r="DO47" s="9"/>
      <c r="DP47" s="8">
        <v>1.0</v>
      </c>
      <c r="DQ47" s="8">
        <v>0.0</v>
      </c>
      <c r="DR47" s="8">
        <v>0.0</v>
      </c>
      <c r="DS47" s="9"/>
      <c r="DT47" s="9"/>
      <c r="DU47" s="9"/>
      <c r="DV47" s="9" t="s">
        <v>857</v>
      </c>
      <c r="DW47" s="9"/>
      <c r="DX47" s="9"/>
      <c r="DY47" s="9"/>
      <c r="DZ47" s="9"/>
      <c r="EA47" s="9"/>
      <c r="EB47" s="9"/>
      <c r="EC47" s="9"/>
      <c r="ED47" s="9"/>
      <c r="EE47" s="9"/>
      <c r="EF47" s="9"/>
      <c r="EG47" s="9"/>
      <c r="EH47" s="9"/>
      <c r="EI47" s="9" t="s">
        <v>862</v>
      </c>
      <c r="EJ47" s="8">
        <v>0.0</v>
      </c>
      <c r="EK47" s="8">
        <v>0.0</v>
      </c>
      <c r="EL47" s="8">
        <v>0.0</v>
      </c>
      <c r="EM47" s="8">
        <v>1.0</v>
      </c>
      <c r="EN47" s="8">
        <v>0.0</v>
      </c>
      <c r="EO47" s="11"/>
      <c r="EP47" s="9" t="s">
        <v>863</v>
      </c>
      <c r="EQ47" s="9" t="s">
        <v>864</v>
      </c>
      <c r="ER47" s="9" t="s">
        <v>861</v>
      </c>
      <c r="ES47" s="8">
        <v>1.0</v>
      </c>
      <c r="ET47" s="8">
        <v>0.0</v>
      </c>
      <c r="EU47" s="8">
        <v>0.0</v>
      </c>
      <c r="EV47" s="8">
        <v>0.0</v>
      </c>
      <c r="EW47" s="9"/>
      <c r="EX47" s="9" t="s">
        <v>865</v>
      </c>
      <c r="EY47" s="8">
        <v>1.0</v>
      </c>
      <c r="EZ47" s="8">
        <v>0.0</v>
      </c>
      <c r="FA47" s="8">
        <v>0.0</v>
      </c>
      <c r="FB47" s="9"/>
      <c r="FC47" s="9" t="s">
        <v>1072</v>
      </c>
      <c r="FD47" s="9"/>
      <c r="FE47" s="9" t="s">
        <v>867</v>
      </c>
      <c r="FF47" s="9" t="s">
        <v>868</v>
      </c>
      <c r="FG47" s="9" t="s">
        <v>867</v>
      </c>
      <c r="FH47" s="9" t="s">
        <v>868</v>
      </c>
      <c r="FI47" s="9" t="s">
        <v>867</v>
      </c>
      <c r="FJ47" s="9" t="s">
        <v>868</v>
      </c>
      <c r="FK47" s="9" t="s">
        <v>867</v>
      </c>
      <c r="FL47" s="9" t="s">
        <v>943</v>
      </c>
      <c r="FM47" s="9" t="s">
        <v>867</v>
      </c>
      <c r="FN47" s="9" t="s">
        <v>870</v>
      </c>
      <c r="FO47" s="9" t="s">
        <v>867</v>
      </c>
      <c r="FP47" s="9" t="s">
        <v>943</v>
      </c>
      <c r="FQ47" s="9" t="s">
        <v>867</v>
      </c>
      <c r="FR47" s="9" t="s">
        <v>857</v>
      </c>
      <c r="FS47" s="9" t="s">
        <v>867</v>
      </c>
      <c r="FT47" s="9" t="s">
        <v>871</v>
      </c>
      <c r="FU47" s="9" t="s">
        <v>989</v>
      </c>
      <c r="FV47" s="8">
        <v>1.0</v>
      </c>
      <c r="FW47" s="8">
        <v>1.0</v>
      </c>
      <c r="FX47" s="8">
        <v>0.0</v>
      </c>
      <c r="FY47" s="8">
        <v>0.0</v>
      </c>
      <c r="FZ47" s="9" t="s">
        <v>1197</v>
      </c>
      <c r="GA47" s="9" t="s">
        <v>874</v>
      </c>
      <c r="GB47" s="8">
        <v>1.0</v>
      </c>
      <c r="GC47" s="8">
        <v>0.0</v>
      </c>
      <c r="GD47" s="8">
        <v>0.0</v>
      </c>
      <c r="GE47" s="8">
        <v>0.0</v>
      </c>
      <c r="GF47" s="9"/>
      <c r="GG47" s="9" t="s">
        <v>875</v>
      </c>
      <c r="GH47" s="9" t="s">
        <v>857</v>
      </c>
      <c r="GI47" s="9" t="s">
        <v>876</v>
      </c>
      <c r="GJ47" s="8">
        <v>1.0</v>
      </c>
      <c r="GK47" s="8">
        <v>0.0</v>
      </c>
      <c r="GL47" s="8">
        <v>0.0</v>
      </c>
      <c r="GM47" s="8">
        <v>0.0</v>
      </c>
      <c r="GN47" s="9"/>
      <c r="GO47" s="8">
        <v>9.0</v>
      </c>
      <c r="GP47" s="9" t="s">
        <v>877</v>
      </c>
      <c r="GQ47" s="9" t="s">
        <v>878</v>
      </c>
      <c r="GR47" s="8">
        <v>1.0</v>
      </c>
      <c r="GS47" s="8">
        <v>1.0</v>
      </c>
      <c r="GT47" s="8">
        <v>0.0</v>
      </c>
      <c r="GU47" s="8">
        <v>0.0</v>
      </c>
      <c r="GV47" s="8">
        <v>0.0</v>
      </c>
      <c r="GW47" s="8">
        <v>0.0</v>
      </c>
      <c r="GX47" s="8">
        <v>0.0</v>
      </c>
      <c r="GY47" s="9"/>
      <c r="GZ47" s="9" t="s">
        <v>857</v>
      </c>
      <c r="HA47" s="8">
        <v>10.0</v>
      </c>
      <c r="HB47" s="8">
        <v>100000.0</v>
      </c>
      <c r="HC47" s="8">
        <v>5.0</v>
      </c>
      <c r="HD47" s="8">
        <v>50000.0</v>
      </c>
      <c r="HE47" s="8">
        <v>12.0</v>
      </c>
      <c r="HF47" s="8">
        <v>100000.0</v>
      </c>
      <c r="HG47" s="8">
        <v>3.0</v>
      </c>
      <c r="HH47" s="8">
        <v>25000.0</v>
      </c>
      <c r="HI47" s="9"/>
      <c r="HJ47" s="9"/>
      <c r="HK47" s="9"/>
      <c r="HL47" s="9"/>
      <c r="HM47" s="9"/>
      <c r="HN47" s="9"/>
      <c r="HO47" s="9"/>
      <c r="HP47" s="9"/>
      <c r="HQ47" s="9"/>
      <c r="HR47" s="9"/>
      <c r="HS47" s="9"/>
      <c r="HT47" s="9"/>
      <c r="HU47" s="9"/>
      <c r="HV47" s="9"/>
      <c r="HW47" s="9"/>
      <c r="HX47" s="9"/>
      <c r="HY47" s="8">
        <v>5.0</v>
      </c>
      <c r="HZ47" s="8">
        <v>50000.0</v>
      </c>
      <c r="IA47" s="8">
        <v>9.0</v>
      </c>
      <c r="IB47" s="8">
        <v>75000.0</v>
      </c>
      <c r="IC47" s="9"/>
      <c r="ID47" s="9"/>
      <c r="IE47" s="9"/>
      <c r="IF47" s="9"/>
      <c r="IG47" s="9"/>
      <c r="IH47" s="9"/>
      <c r="II47" s="9"/>
      <c r="IJ47" s="9"/>
      <c r="IK47" s="9" t="s">
        <v>879</v>
      </c>
      <c r="IL47" s="9" t="s">
        <v>880</v>
      </c>
      <c r="IM47" s="9" t="s">
        <v>857</v>
      </c>
      <c r="IN47" s="9" t="s">
        <v>881</v>
      </c>
      <c r="IO47" s="9" t="s">
        <v>882</v>
      </c>
      <c r="IP47" s="9"/>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3.0</v>
      </c>
      <c r="LD47" s="8">
        <v>3.0</v>
      </c>
      <c r="LE47" s="8">
        <v>0.0</v>
      </c>
      <c r="LF47" s="8">
        <v>0.0</v>
      </c>
      <c r="LG47" s="9" t="s">
        <v>857</v>
      </c>
      <c r="LH47" s="8">
        <v>100000.0</v>
      </c>
      <c r="LI47" s="9"/>
      <c r="LJ47" s="9" t="s">
        <v>887</v>
      </c>
      <c r="LK47" s="8">
        <v>0.0</v>
      </c>
      <c r="LL47" s="8">
        <v>0.0</v>
      </c>
      <c r="LM47" s="8">
        <v>0.0</v>
      </c>
      <c r="LN47" s="8">
        <v>0.0</v>
      </c>
      <c r="LO47" s="8">
        <v>1.0</v>
      </c>
      <c r="LP47" s="8">
        <v>0.0</v>
      </c>
      <c r="LQ47" s="8">
        <v>0.0</v>
      </c>
      <c r="LR47" s="9"/>
      <c r="LS47" s="8">
        <v>15.0</v>
      </c>
      <c r="LT47" s="8">
        <v>15.0</v>
      </c>
      <c r="LU47" s="8">
        <v>0.0</v>
      </c>
      <c r="LV47" s="8">
        <v>6.0</v>
      </c>
      <c r="LW47" s="8">
        <v>6.0</v>
      </c>
      <c r="LX47" s="8">
        <v>0.0</v>
      </c>
      <c r="LY47" s="8">
        <v>7.0</v>
      </c>
      <c r="LZ47" s="8">
        <v>7.0</v>
      </c>
      <c r="MA47" s="8">
        <v>0.0</v>
      </c>
      <c r="MB47" s="9" t="s">
        <v>857</v>
      </c>
      <c r="MC47" s="8">
        <v>30.0</v>
      </c>
      <c r="MD47" s="8">
        <v>15.0</v>
      </c>
      <c r="ME47" s="8">
        <v>30.0</v>
      </c>
      <c r="MF47" s="8">
        <v>15.0</v>
      </c>
      <c r="MG47" s="8">
        <v>0.0</v>
      </c>
      <c r="MH47" s="8">
        <v>0.0</v>
      </c>
      <c r="MI47" s="9" t="s">
        <v>946</v>
      </c>
      <c r="MJ47" s="8">
        <v>0.0</v>
      </c>
      <c r="MK47" s="8">
        <v>0.0</v>
      </c>
      <c r="ML47" s="8">
        <v>1.0</v>
      </c>
      <c r="MM47" s="8">
        <v>0.0</v>
      </c>
      <c r="MN47" s="8">
        <v>0.0</v>
      </c>
      <c r="MO47" s="8">
        <v>0.0</v>
      </c>
      <c r="MP47" s="9"/>
      <c r="MQ47" s="9"/>
      <c r="MR47" s="9" t="s">
        <v>888</v>
      </c>
      <c r="MS47" s="9"/>
      <c r="MT47" s="9" t="s">
        <v>1437</v>
      </c>
      <c r="MU47" s="9" t="s">
        <v>881</v>
      </c>
      <c r="MV47" s="9"/>
      <c r="MW47" s="9"/>
      <c r="MX47" s="9"/>
      <c r="MY47" s="9"/>
      <c r="MZ47" s="9"/>
      <c r="NA47" s="9"/>
      <c r="NB47" s="9"/>
      <c r="NC47" s="9"/>
      <c r="ND47" s="9"/>
      <c r="NE47" s="9"/>
      <c r="NF47" s="9"/>
      <c r="NG47" s="9"/>
      <c r="NH47" s="9"/>
      <c r="NI47" s="9"/>
      <c r="NJ47" s="9"/>
      <c r="NK47" s="9"/>
      <c r="NL47" s="9" t="s">
        <v>857</v>
      </c>
      <c r="NM47" s="9" t="s">
        <v>893</v>
      </c>
      <c r="NN47" s="9" t="s">
        <v>993</v>
      </c>
      <c r="NO47" s="9" t="s">
        <v>994</v>
      </c>
      <c r="NP47" s="9"/>
      <c r="NQ47" s="9"/>
      <c r="NR47" s="9"/>
      <c r="NS47" s="9"/>
      <c r="NT47" s="9"/>
      <c r="NU47" s="9"/>
      <c r="NV47" s="9" t="s">
        <v>896</v>
      </c>
      <c r="NW47" s="9"/>
      <c r="NX47" s="9" t="s">
        <v>897</v>
      </c>
      <c r="NY47" s="8">
        <v>40.0</v>
      </c>
      <c r="NZ47" s="8">
        <v>20.0</v>
      </c>
      <c r="OA47" s="8">
        <v>0.0</v>
      </c>
      <c r="OB47" s="8">
        <v>5.0</v>
      </c>
      <c r="OC47" s="8">
        <v>5.0</v>
      </c>
      <c r="OD47" s="8">
        <v>0.0</v>
      </c>
      <c r="OE47" s="9" t="s">
        <v>898</v>
      </c>
      <c r="OF47" s="9" t="s">
        <v>1184</v>
      </c>
      <c r="OG47" s="9" t="s">
        <v>857</v>
      </c>
      <c r="OH47" s="8">
        <v>0.0</v>
      </c>
      <c r="OI47" s="8">
        <v>2.0</v>
      </c>
      <c r="OJ47" s="8">
        <v>0.0</v>
      </c>
      <c r="OK47" s="8">
        <v>0.0</v>
      </c>
      <c r="OL47" s="8">
        <v>0.0</v>
      </c>
      <c r="OM47" s="8">
        <v>0.0</v>
      </c>
      <c r="ON47" s="8">
        <v>0.0</v>
      </c>
      <c r="OO47" s="8">
        <v>0.0</v>
      </c>
      <c r="OP47" s="9" t="s">
        <v>2948</v>
      </c>
      <c r="OQ47" s="8">
        <v>0.0</v>
      </c>
      <c r="OR47" s="8">
        <v>1.0</v>
      </c>
      <c r="OS47" s="8">
        <v>0.0</v>
      </c>
      <c r="OT47" s="8">
        <v>0.0</v>
      </c>
      <c r="OU47" s="8">
        <v>0.0</v>
      </c>
      <c r="OV47" s="8">
        <v>0.0</v>
      </c>
      <c r="OW47" s="8">
        <v>0.0</v>
      </c>
      <c r="OX47" s="8">
        <v>0.0</v>
      </c>
      <c r="OY47" s="9"/>
      <c r="OZ47" s="9"/>
      <c r="PA47" s="9"/>
      <c r="PB47" s="9"/>
      <c r="PC47" s="9"/>
      <c r="PD47" s="9"/>
      <c r="PE47" s="9"/>
      <c r="PF47" s="9"/>
      <c r="PG47" s="9"/>
      <c r="PH47" s="9"/>
      <c r="PI47" s="9"/>
      <c r="PJ47" s="9" t="s">
        <v>900</v>
      </c>
      <c r="PK47" s="8">
        <v>0.0</v>
      </c>
      <c r="PL47" s="8">
        <v>0.0</v>
      </c>
      <c r="PM47" s="8">
        <v>0.0</v>
      </c>
      <c r="PN47" s="8">
        <v>0.0</v>
      </c>
      <c r="PO47" s="8">
        <v>0.0</v>
      </c>
      <c r="PP47" s="8">
        <v>1.0</v>
      </c>
      <c r="PQ47" s="8">
        <v>0.0</v>
      </c>
      <c r="PR47" s="8">
        <v>0.0</v>
      </c>
      <c r="PS47" s="8">
        <v>0.0</v>
      </c>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8">
        <v>2.0</v>
      </c>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t="s">
        <v>901</v>
      </c>
      <c r="UB47" s="9"/>
      <c r="UC47" s="9"/>
      <c r="UD47" s="9"/>
      <c r="UE47" s="9"/>
      <c r="UF47" s="9"/>
      <c r="UG47" s="9"/>
      <c r="UH47" s="9"/>
      <c r="UI47" s="9" t="s">
        <v>950</v>
      </c>
      <c r="UJ47" s="9"/>
      <c r="UK47" s="9"/>
      <c r="UL47" s="9"/>
      <c r="UM47" s="9"/>
      <c r="UN47" s="9"/>
      <c r="UO47" s="9"/>
      <c r="UP47" s="9"/>
      <c r="UQ47" s="9" t="s">
        <v>1158</v>
      </c>
      <c r="UR47" s="9"/>
      <c r="US47" s="9"/>
      <c r="UT47" s="9"/>
      <c r="UU47" s="9"/>
      <c r="UV47" s="9"/>
      <c r="UW47" s="9"/>
      <c r="UX47" s="9"/>
      <c r="UY47" s="9"/>
      <c r="UZ47" s="9"/>
      <c r="VA47" s="9"/>
      <c r="VB47" s="9"/>
      <c r="VC47" s="9"/>
      <c r="VD47" s="9"/>
      <c r="VE47" s="9"/>
      <c r="VF47" s="9"/>
      <c r="VG47" s="9"/>
      <c r="VH47" s="9"/>
      <c r="VI47" s="9"/>
      <c r="VJ47" s="9"/>
      <c r="VK47" s="9" t="s">
        <v>1207</v>
      </c>
      <c r="VL47" s="8">
        <v>0.0</v>
      </c>
      <c r="VM47" s="8">
        <v>0.0</v>
      </c>
      <c r="VN47" s="8">
        <v>0.0</v>
      </c>
      <c r="VO47" s="8">
        <v>1.0</v>
      </c>
      <c r="VP47" s="8">
        <v>1.0</v>
      </c>
      <c r="VQ47" s="8">
        <v>1.0</v>
      </c>
      <c r="VR47" s="8">
        <v>0.0</v>
      </c>
      <c r="VS47" s="8">
        <v>0.0</v>
      </c>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8">
        <v>50.0</v>
      </c>
      <c r="YU47" s="9"/>
      <c r="YV47" s="9"/>
      <c r="YW47" s="9"/>
      <c r="YX47" s="9"/>
      <c r="YY47" s="9"/>
      <c r="YZ47" s="9"/>
      <c r="ZA47" s="9"/>
      <c r="ZB47" s="8">
        <v>2.0</v>
      </c>
      <c r="ZC47" s="9"/>
      <c r="ZD47" s="9"/>
      <c r="ZE47" s="9"/>
      <c r="ZF47" s="9"/>
      <c r="ZG47" s="9"/>
      <c r="ZH47" s="9"/>
      <c r="ZI47" s="9"/>
      <c r="ZJ47" s="9" t="s">
        <v>1186</v>
      </c>
      <c r="ZK47" s="9"/>
      <c r="ZL47" s="9"/>
      <c r="ZM47" s="9"/>
      <c r="ZN47" s="9"/>
      <c r="ZO47" s="9"/>
      <c r="ZP47" s="9"/>
      <c r="ZQ47" s="9" t="s">
        <v>857</v>
      </c>
      <c r="ZR47" s="9" t="s">
        <v>1033</v>
      </c>
      <c r="ZS47" s="8">
        <v>1.0</v>
      </c>
      <c r="ZT47" s="8">
        <v>1.0</v>
      </c>
      <c r="ZU47" s="8">
        <v>40.0</v>
      </c>
      <c r="ZV47" s="8">
        <v>40.0</v>
      </c>
      <c r="ZW47" s="9" t="s">
        <v>857</v>
      </c>
      <c r="ZX47" s="9" t="s">
        <v>867</v>
      </c>
      <c r="ZY47" s="9" t="s">
        <v>1287</v>
      </c>
      <c r="ZZ47" s="8">
        <v>1.0</v>
      </c>
      <c r="AAA47" s="8">
        <v>0.0</v>
      </c>
      <c r="AAB47" s="8">
        <v>0.0</v>
      </c>
      <c r="AAC47" s="8">
        <v>1.0</v>
      </c>
      <c r="AAD47" s="8">
        <v>0.0</v>
      </c>
      <c r="AAE47" s="8">
        <v>0.0</v>
      </c>
      <c r="AAF47" s="8">
        <v>0.0</v>
      </c>
      <c r="AAG47" s="9" t="s">
        <v>907</v>
      </c>
      <c r="AAH47" s="8">
        <v>1.0</v>
      </c>
      <c r="AAI47" s="8">
        <v>0.0</v>
      </c>
      <c r="AAJ47" s="8">
        <v>0.0</v>
      </c>
      <c r="AAK47" s="8">
        <v>0.0</v>
      </c>
      <c r="AAL47" s="8">
        <v>0.0</v>
      </c>
      <c r="AAM47" s="9"/>
      <c r="AAN47" s="9"/>
      <c r="AAO47" s="9"/>
      <c r="AAP47" s="9"/>
      <c r="AAQ47" s="9"/>
      <c r="AAR47" s="9"/>
      <c r="AAS47" s="9"/>
      <c r="AAT47" s="9"/>
      <c r="AAU47" s="9"/>
      <c r="AAV47" s="11" t="s">
        <v>953</v>
      </c>
      <c r="AAW47" s="9" t="s">
        <v>1075</v>
      </c>
      <c r="AAX47" s="8">
        <v>2000.0</v>
      </c>
      <c r="AAY47" s="8">
        <v>100.0</v>
      </c>
      <c r="AAZ47" s="8">
        <v>40.0</v>
      </c>
      <c r="ABA47" s="8">
        <v>40.0</v>
      </c>
      <c r="ABB47" s="9" t="s">
        <v>1199</v>
      </c>
      <c r="ABC47" s="9"/>
      <c r="ABD47" s="8">
        <v>30.0</v>
      </c>
      <c r="ABE47" s="8">
        <v>4000.0</v>
      </c>
      <c r="ABF47" s="8">
        <v>10.0</v>
      </c>
      <c r="ABG47" s="8">
        <v>4000.0</v>
      </c>
      <c r="ABH47" s="8">
        <v>300.0</v>
      </c>
      <c r="ABI47" s="8">
        <v>350.0</v>
      </c>
      <c r="ABJ47" s="9" t="s">
        <v>857</v>
      </c>
      <c r="ABK47" s="9" t="s">
        <v>911</v>
      </c>
      <c r="ABL47" s="9" t="s">
        <v>911</v>
      </c>
      <c r="ABM47" s="9" t="s">
        <v>911</v>
      </c>
      <c r="ABN47" s="9"/>
      <c r="ABO47" s="9"/>
      <c r="ABP47" s="9" t="s">
        <v>1215</v>
      </c>
      <c r="ABQ47" s="8">
        <v>0.0</v>
      </c>
      <c r="ABR47" s="8">
        <v>1.0</v>
      </c>
      <c r="ABS47" s="8">
        <v>0.0</v>
      </c>
      <c r="ABT47" s="8">
        <v>1.0</v>
      </c>
      <c r="ABU47" s="8">
        <v>0.0</v>
      </c>
      <c r="ABV47" s="8">
        <v>0.0</v>
      </c>
      <c r="ABW47" s="8">
        <v>0.0</v>
      </c>
      <c r="ABX47" s="9"/>
      <c r="ABY47" s="9" t="s">
        <v>912</v>
      </c>
      <c r="ABZ47" s="9" t="s">
        <v>1050</v>
      </c>
      <c r="ACA47" s="9" t="s">
        <v>957</v>
      </c>
      <c r="ACB47" s="9" t="s">
        <v>915</v>
      </c>
      <c r="ACC47" s="9" t="s">
        <v>916</v>
      </c>
      <c r="ACD47" s="9" t="s">
        <v>896</v>
      </c>
      <c r="ACE47" s="8">
        <v>1.0</v>
      </c>
      <c r="ACF47" s="8">
        <v>0.0</v>
      </c>
      <c r="ACG47" s="8">
        <v>0.0</v>
      </c>
      <c r="ACH47" s="8">
        <v>0.0</v>
      </c>
      <c r="ACI47" s="9" t="s">
        <v>1187</v>
      </c>
      <c r="ACJ47" s="9" t="s">
        <v>1187</v>
      </c>
      <c r="ACK47" s="9" t="s">
        <v>1187</v>
      </c>
      <c r="ACL47" s="9" t="s">
        <v>1187</v>
      </c>
      <c r="ACM47" s="9" t="s">
        <v>881</v>
      </c>
      <c r="ACN47" s="9"/>
      <c r="ACO47" s="9" t="s">
        <v>1187</v>
      </c>
      <c r="ACP47" s="9"/>
      <c r="ACQ47" s="9"/>
      <c r="ACR47" s="9"/>
      <c r="ACS47" s="9"/>
      <c r="ACT47" s="9"/>
      <c r="ACU47" s="9"/>
      <c r="ACV47" s="9"/>
      <c r="ACW47" s="9"/>
      <c r="ACX47" s="9"/>
      <c r="ACY47" s="9"/>
      <c r="ACZ47" s="9" t="s">
        <v>919</v>
      </c>
      <c r="ADA47" s="8">
        <v>0.0</v>
      </c>
      <c r="ADB47" s="8">
        <v>0.0</v>
      </c>
      <c r="ADC47" s="8">
        <v>0.0</v>
      </c>
      <c r="ADD47" s="8">
        <v>0.0</v>
      </c>
      <c r="ADE47" s="8">
        <v>1.0</v>
      </c>
      <c r="ADF47" s="8">
        <v>0.0</v>
      </c>
      <c r="ADG47" s="8">
        <v>0.0</v>
      </c>
      <c r="ADH47" s="8">
        <v>0.0</v>
      </c>
      <c r="ADI47" s="12"/>
      <c r="ADJ47" s="17" t="s">
        <v>872</v>
      </c>
      <c r="ADK47" s="9"/>
      <c r="ADL47" s="17" t="s">
        <v>920</v>
      </c>
      <c r="ADM47" s="9"/>
      <c r="ADN47" s="11" t="s">
        <v>999</v>
      </c>
      <c r="ADO47" s="9" t="s">
        <v>871</v>
      </c>
      <c r="ADP47" s="17" t="s">
        <v>1108</v>
      </c>
      <c r="ADQ47" s="18">
        <v>1.0</v>
      </c>
      <c r="ADR47" s="18">
        <v>1.0</v>
      </c>
      <c r="ADS47" s="18">
        <v>1.0</v>
      </c>
      <c r="ADT47" s="18">
        <v>1.0</v>
      </c>
      <c r="ADU47" s="18">
        <v>1.0</v>
      </c>
      <c r="ADV47" s="18">
        <v>1.0</v>
      </c>
      <c r="ADW47" s="18">
        <v>1.0</v>
      </c>
      <c r="ADX47" s="18">
        <v>1.0</v>
      </c>
      <c r="ADY47" s="18">
        <v>1.0</v>
      </c>
      <c r="ADZ47" s="18">
        <v>0.0</v>
      </c>
      <c r="AEA47" s="18">
        <v>0.0</v>
      </c>
      <c r="AEB47" s="18">
        <v>0.0</v>
      </c>
      <c r="AEC47" s="9"/>
      <c r="AED47" s="9" t="s">
        <v>923</v>
      </c>
      <c r="AEE47" s="9"/>
      <c r="AEF47" s="9" t="s">
        <v>1188</v>
      </c>
      <c r="AEG47" s="9"/>
      <c r="AEH47" s="9" t="s">
        <v>1438</v>
      </c>
      <c r="AEI47" s="16" t="s">
        <v>1439</v>
      </c>
      <c r="AEJ47" s="9" t="s">
        <v>1440</v>
      </c>
      <c r="AEK47" s="16" t="s">
        <v>1441</v>
      </c>
      <c r="AEL47" s="9" t="s">
        <v>1137</v>
      </c>
      <c r="AEM47" s="9"/>
      <c r="AEN47" s="9"/>
    </row>
    <row r="48">
      <c r="A48" s="6">
        <v>46062.0</v>
      </c>
      <c r="B48" s="6">
        <v>46063.0</v>
      </c>
      <c r="C48" s="7" t="s">
        <v>837</v>
      </c>
      <c r="D48" s="7" t="s">
        <v>1442</v>
      </c>
      <c r="E48" s="8">
        <f>+62882077254553</f>
        <v>62882077254553</v>
      </c>
      <c r="F48" s="9"/>
      <c r="G48" s="8">
        <v>-7.21472</v>
      </c>
      <c r="H48" s="8">
        <v>110.2514082</v>
      </c>
      <c r="I48" s="9"/>
      <c r="J48" s="8">
        <v>2.23</v>
      </c>
      <c r="K48" s="9"/>
      <c r="L48" s="9"/>
      <c r="M48" s="8">
        <v>-7.2145684</v>
      </c>
      <c r="N48" s="8">
        <v>110.2513932</v>
      </c>
      <c r="O48" s="9"/>
      <c r="P48" s="8">
        <v>5.0</v>
      </c>
      <c r="Q48" s="9"/>
      <c r="R48" s="9" t="s">
        <v>839</v>
      </c>
      <c r="S48" s="9"/>
      <c r="T48" s="9"/>
      <c r="U48" s="9"/>
      <c r="V48" s="9"/>
      <c r="W48" s="9"/>
      <c r="X48" s="9"/>
      <c r="Y48" s="9"/>
      <c r="Z48" s="9"/>
      <c r="AA48" s="9"/>
      <c r="AB48" s="9"/>
      <c r="AC48" s="7" t="s">
        <v>1175</v>
      </c>
      <c r="AD48" s="7" t="s">
        <v>1176</v>
      </c>
      <c r="AE48" s="7" t="s">
        <v>1279</v>
      </c>
      <c r="AF48" s="9" t="s">
        <v>1178</v>
      </c>
      <c r="AG48" s="9" t="s">
        <v>1443</v>
      </c>
      <c r="AH48" s="8">
        <v>2.0</v>
      </c>
      <c r="AI48" s="9" t="s">
        <v>845</v>
      </c>
      <c r="AJ48" s="9" t="s">
        <v>846</v>
      </c>
      <c r="AK48" s="8">
        <v>45.0</v>
      </c>
      <c r="AL48" s="9" t="s">
        <v>1444</v>
      </c>
      <c r="AM48" s="9" t="s">
        <v>848</v>
      </c>
      <c r="AN48" s="9" t="s">
        <v>986</v>
      </c>
      <c r="AO48" s="9" t="s">
        <v>935</v>
      </c>
      <c r="AP48" s="8">
        <v>0.0</v>
      </c>
      <c r="AQ48" s="8">
        <v>1.0</v>
      </c>
      <c r="AR48" s="8">
        <v>0.0</v>
      </c>
      <c r="AS48" s="8">
        <v>0.0</v>
      </c>
      <c r="AT48" s="8">
        <v>0.0</v>
      </c>
      <c r="AU48" s="8">
        <v>0.0</v>
      </c>
      <c r="AV48" s="8">
        <v>0.0</v>
      </c>
      <c r="AW48" s="8">
        <v>0.0</v>
      </c>
      <c r="AX48" s="9"/>
      <c r="AY48" s="9" t="s">
        <v>1231</v>
      </c>
      <c r="AZ48" s="8">
        <v>0.0</v>
      </c>
      <c r="BA48" s="8">
        <v>0.0</v>
      </c>
      <c r="BB48" s="8">
        <v>0.0</v>
      </c>
      <c r="BC48" s="8">
        <v>1.0</v>
      </c>
      <c r="BD48" s="8">
        <v>0.0</v>
      </c>
      <c r="BE48" s="8">
        <v>0.0</v>
      </c>
      <c r="BF48" s="8">
        <v>0.0</v>
      </c>
      <c r="BG48" s="8">
        <v>0.0</v>
      </c>
      <c r="BH48" s="9"/>
      <c r="BI48" s="9" t="s">
        <v>852</v>
      </c>
      <c r="BJ48" s="8">
        <v>2.0</v>
      </c>
      <c r="BK48" s="8">
        <v>2.0</v>
      </c>
      <c r="BL48" s="8">
        <v>1.0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856</v>
      </c>
      <c r="CD48" s="8">
        <v>0.0</v>
      </c>
      <c r="CE48" s="8">
        <v>0.0</v>
      </c>
      <c r="CF48" s="8">
        <v>0.0</v>
      </c>
      <c r="CG48" s="8">
        <v>0.0</v>
      </c>
      <c r="CH48" s="8">
        <v>0.0</v>
      </c>
      <c r="CI48" s="8">
        <v>1.0</v>
      </c>
      <c r="CJ48" s="8">
        <v>0.0</v>
      </c>
      <c r="CK48" s="9"/>
      <c r="CL48" s="9" t="s">
        <v>857</v>
      </c>
      <c r="CM48" s="8">
        <v>2024.0</v>
      </c>
      <c r="CN48" s="9" t="s">
        <v>858</v>
      </c>
      <c r="CO48" s="9" t="s">
        <v>859</v>
      </c>
      <c r="CP48" s="9" t="s">
        <v>860</v>
      </c>
      <c r="CQ48" s="8">
        <v>0.0</v>
      </c>
      <c r="CR48" s="8">
        <v>0.0</v>
      </c>
      <c r="CS48" s="8">
        <v>0.0</v>
      </c>
      <c r="CT48" s="8">
        <v>0.0</v>
      </c>
      <c r="CU48" s="10">
        <v>1.0</v>
      </c>
      <c r="CV48" s="10">
        <v>0.0</v>
      </c>
      <c r="CW48" s="10">
        <v>0.0</v>
      </c>
      <c r="CX48" s="8">
        <v>0.0</v>
      </c>
      <c r="CY48" s="9" t="s">
        <v>860</v>
      </c>
      <c r="CZ48" s="8">
        <v>1.0</v>
      </c>
      <c r="DA48" s="8">
        <v>0.0</v>
      </c>
      <c r="DB48" s="8">
        <v>0.0</v>
      </c>
      <c r="DC48" s="9"/>
      <c r="DD48" s="9" t="s">
        <v>937</v>
      </c>
      <c r="DE48" s="8">
        <v>1.0</v>
      </c>
      <c r="DF48" s="8">
        <v>0.0</v>
      </c>
      <c r="DG48" s="8">
        <v>1.0</v>
      </c>
      <c r="DH48" s="8">
        <v>0.0</v>
      </c>
      <c r="DI48" s="9"/>
      <c r="DJ48" s="9" t="s">
        <v>937</v>
      </c>
      <c r="DK48" s="8">
        <v>1.0</v>
      </c>
      <c r="DL48" s="8">
        <v>0.0</v>
      </c>
      <c r="DM48" s="8">
        <v>1.0</v>
      </c>
      <c r="DN48" s="8">
        <v>0.0</v>
      </c>
      <c r="DO48" s="9"/>
      <c r="DP48" s="8">
        <v>1.0</v>
      </c>
      <c r="DQ48" s="8">
        <v>0.0</v>
      </c>
      <c r="DR48" s="8">
        <v>0.0</v>
      </c>
      <c r="DS48" s="9"/>
      <c r="DT48" s="9"/>
      <c r="DU48" s="9"/>
      <c r="DV48" s="9" t="s">
        <v>857</v>
      </c>
      <c r="DW48" s="9"/>
      <c r="DX48" s="9"/>
      <c r="DY48" s="9"/>
      <c r="DZ48" s="9"/>
      <c r="EA48" s="9"/>
      <c r="EB48" s="9"/>
      <c r="EC48" s="9"/>
      <c r="ED48" s="9"/>
      <c r="EE48" s="9"/>
      <c r="EF48" s="9"/>
      <c r="EG48" s="9"/>
      <c r="EH48" s="9"/>
      <c r="EI48" s="9" t="s">
        <v>862</v>
      </c>
      <c r="EJ48" s="8">
        <v>0.0</v>
      </c>
      <c r="EK48" s="8">
        <v>0.0</v>
      </c>
      <c r="EL48" s="8">
        <v>0.0</v>
      </c>
      <c r="EM48" s="8">
        <v>1.0</v>
      </c>
      <c r="EN48" s="8">
        <v>0.0</v>
      </c>
      <c r="EO48" s="11"/>
      <c r="EP48" s="9" t="s">
        <v>1403</v>
      </c>
      <c r="EQ48" s="9" t="s">
        <v>864</v>
      </c>
      <c r="ER48" s="9" t="s">
        <v>861</v>
      </c>
      <c r="ES48" s="8">
        <v>1.0</v>
      </c>
      <c r="ET48" s="8">
        <v>0.0</v>
      </c>
      <c r="EU48" s="8">
        <v>0.0</v>
      </c>
      <c r="EV48" s="8">
        <v>0.0</v>
      </c>
      <c r="EW48" s="9"/>
      <c r="EX48" s="9" t="s">
        <v>1013</v>
      </c>
      <c r="EY48" s="8">
        <v>1.0</v>
      </c>
      <c r="EZ48" s="8">
        <v>1.0</v>
      </c>
      <c r="FA48" s="8">
        <v>0.0</v>
      </c>
      <c r="FB48" s="9"/>
      <c r="FC48" s="9" t="s">
        <v>1072</v>
      </c>
      <c r="FD48" s="9"/>
      <c r="FE48" s="9" t="s">
        <v>867</v>
      </c>
      <c r="FF48" s="9" t="s">
        <v>868</v>
      </c>
      <c r="FG48" s="9" t="s">
        <v>867</v>
      </c>
      <c r="FH48" s="9" t="s">
        <v>868</v>
      </c>
      <c r="FI48" s="9" t="s">
        <v>867</v>
      </c>
      <c r="FJ48" s="9" t="s">
        <v>868</v>
      </c>
      <c r="FK48" s="9" t="s">
        <v>867</v>
      </c>
      <c r="FL48" s="9" t="s">
        <v>869</v>
      </c>
      <c r="FM48" s="9" t="s">
        <v>867</v>
      </c>
      <c r="FN48" s="9" t="s">
        <v>943</v>
      </c>
      <c r="FO48" s="9" t="s">
        <v>867</v>
      </c>
      <c r="FP48" s="9" t="s">
        <v>943</v>
      </c>
      <c r="FQ48" s="9" t="s">
        <v>867</v>
      </c>
      <c r="FR48" s="9" t="s">
        <v>857</v>
      </c>
      <c r="FS48" s="9" t="s">
        <v>867</v>
      </c>
      <c r="FT48" s="9" t="s">
        <v>871</v>
      </c>
      <c r="FU48" s="9" t="s">
        <v>989</v>
      </c>
      <c r="FV48" s="8">
        <v>1.0</v>
      </c>
      <c r="FW48" s="8">
        <v>1.0</v>
      </c>
      <c r="FX48" s="8">
        <v>0.0</v>
      </c>
      <c r="FY48" s="8">
        <v>0.0</v>
      </c>
      <c r="FZ48" s="9" t="s">
        <v>873</v>
      </c>
      <c r="GA48" s="9" t="s">
        <v>874</v>
      </c>
      <c r="GB48" s="8">
        <v>1.0</v>
      </c>
      <c r="GC48" s="8">
        <v>0.0</v>
      </c>
      <c r="GD48" s="8">
        <v>0.0</v>
      </c>
      <c r="GE48" s="8">
        <v>0.0</v>
      </c>
      <c r="GF48" s="9"/>
      <c r="GG48" s="9" t="s">
        <v>875</v>
      </c>
      <c r="GH48" s="9" t="s">
        <v>857</v>
      </c>
      <c r="GI48" s="9" t="s">
        <v>1264</v>
      </c>
      <c r="GJ48" s="8">
        <v>0.0</v>
      </c>
      <c r="GK48" s="8">
        <v>1.0</v>
      </c>
      <c r="GL48" s="8">
        <v>0.0</v>
      </c>
      <c r="GM48" s="8">
        <v>0.0</v>
      </c>
      <c r="GN48" s="9"/>
      <c r="GO48" s="8">
        <v>10.0</v>
      </c>
      <c r="GP48" s="9" t="s">
        <v>877</v>
      </c>
      <c r="GQ48" s="9" t="s">
        <v>1102</v>
      </c>
      <c r="GR48" s="8">
        <v>1.0</v>
      </c>
      <c r="GS48" s="8">
        <v>0.0</v>
      </c>
      <c r="GT48" s="8">
        <v>0.0</v>
      </c>
      <c r="GU48" s="8">
        <v>0.0</v>
      </c>
      <c r="GV48" s="8">
        <v>0.0</v>
      </c>
      <c r="GW48" s="8">
        <v>0.0</v>
      </c>
      <c r="GX48" s="8">
        <v>0.0</v>
      </c>
      <c r="GY48" s="9"/>
      <c r="GZ48" s="9" t="s">
        <v>857</v>
      </c>
      <c r="HA48" s="9"/>
      <c r="HB48" s="9"/>
      <c r="HC48" s="9"/>
      <c r="HD48" s="9"/>
      <c r="HE48" s="8">
        <v>12.0</v>
      </c>
      <c r="HF48" s="8">
        <v>100000.0</v>
      </c>
      <c r="HG48" s="8">
        <v>0.0</v>
      </c>
      <c r="HH48" s="8">
        <v>0.0</v>
      </c>
      <c r="HI48" s="9"/>
      <c r="HJ48" s="9"/>
      <c r="HK48" s="9"/>
      <c r="HL48" s="9"/>
      <c r="HM48" s="9"/>
      <c r="HN48" s="9"/>
      <c r="HO48" s="9"/>
      <c r="HP48" s="9"/>
      <c r="HQ48" s="9"/>
      <c r="HR48" s="9"/>
      <c r="HS48" s="9"/>
      <c r="HT48" s="9"/>
      <c r="HU48" s="9"/>
      <c r="HV48" s="9"/>
      <c r="HW48" s="9"/>
      <c r="HX48" s="9"/>
      <c r="HY48" s="9"/>
      <c r="HZ48" s="9"/>
      <c r="IA48" s="8">
        <v>12.0</v>
      </c>
      <c r="IB48" s="8">
        <v>100000.0</v>
      </c>
      <c r="IC48" s="9"/>
      <c r="ID48" s="9"/>
      <c r="IE48" s="9"/>
      <c r="IF48" s="9"/>
      <c r="IG48" s="9"/>
      <c r="IH48" s="9"/>
      <c r="II48" s="9"/>
      <c r="IJ48" s="9"/>
      <c r="IK48" s="9" t="s">
        <v>879</v>
      </c>
      <c r="IL48" s="9" t="s">
        <v>880</v>
      </c>
      <c r="IM48" s="9" t="s">
        <v>857</v>
      </c>
      <c r="IN48" s="9" t="s">
        <v>881</v>
      </c>
      <c r="IO48" s="9" t="s">
        <v>1206</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1180</v>
      </c>
      <c r="KT48" s="9" t="s">
        <v>886</v>
      </c>
      <c r="KU48" s="9" t="s">
        <v>886</v>
      </c>
      <c r="KV48" s="9" t="s">
        <v>999</v>
      </c>
      <c r="KW48" s="8">
        <v>0.0</v>
      </c>
      <c r="KX48" s="8">
        <v>0.0</v>
      </c>
      <c r="KY48" s="8">
        <v>0.0</v>
      </c>
      <c r="KZ48" s="8">
        <v>1.0</v>
      </c>
      <c r="LA48" s="9" t="s">
        <v>1180</v>
      </c>
      <c r="LB48" s="9" t="s">
        <v>1180</v>
      </c>
      <c r="LC48" s="8">
        <v>3.0</v>
      </c>
      <c r="LD48" s="8">
        <v>3.0</v>
      </c>
      <c r="LE48" s="8">
        <v>0.0</v>
      </c>
      <c r="LF48" s="8">
        <v>0.0</v>
      </c>
      <c r="LG48" s="9" t="s">
        <v>857</v>
      </c>
      <c r="LH48" s="8">
        <v>100000.0</v>
      </c>
      <c r="LI48" s="9"/>
      <c r="LJ48" s="9" t="s">
        <v>887</v>
      </c>
      <c r="LK48" s="8">
        <v>0.0</v>
      </c>
      <c r="LL48" s="8">
        <v>0.0</v>
      </c>
      <c r="LM48" s="8">
        <v>0.0</v>
      </c>
      <c r="LN48" s="8">
        <v>0.0</v>
      </c>
      <c r="LO48" s="8">
        <v>1.0</v>
      </c>
      <c r="LP48" s="8">
        <v>0.0</v>
      </c>
      <c r="LQ48" s="8">
        <v>0.0</v>
      </c>
      <c r="LR48" s="9"/>
      <c r="LS48" s="8">
        <v>15.0</v>
      </c>
      <c r="LT48" s="8">
        <v>15.0</v>
      </c>
      <c r="LU48" s="8">
        <v>0.0</v>
      </c>
      <c r="LV48" s="8">
        <v>6.0</v>
      </c>
      <c r="LW48" s="8">
        <v>6.0</v>
      </c>
      <c r="LX48" s="8">
        <v>0.0</v>
      </c>
      <c r="LY48" s="8">
        <v>5.0</v>
      </c>
      <c r="LZ48" s="8">
        <v>5.0</v>
      </c>
      <c r="MA48" s="8">
        <v>0.0</v>
      </c>
      <c r="MB48" s="9" t="s">
        <v>857</v>
      </c>
      <c r="MC48" s="8">
        <v>30.0</v>
      </c>
      <c r="MD48" s="8">
        <v>15.0</v>
      </c>
      <c r="ME48" s="8">
        <v>30.0</v>
      </c>
      <c r="MF48" s="8">
        <v>15.0</v>
      </c>
      <c r="MG48" s="8">
        <v>0.0</v>
      </c>
      <c r="MH48" s="8">
        <v>0.0</v>
      </c>
      <c r="MI48" s="9" t="s">
        <v>946</v>
      </c>
      <c r="MJ48" s="8">
        <v>0.0</v>
      </c>
      <c r="MK48" s="8">
        <v>0.0</v>
      </c>
      <c r="ML48" s="8">
        <v>1.0</v>
      </c>
      <c r="MM48" s="8">
        <v>0.0</v>
      </c>
      <c r="MN48" s="8">
        <v>0.0</v>
      </c>
      <c r="MO48" s="8">
        <v>0.0</v>
      </c>
      <c r="MP48" s="9"/>
      <c r="MQ48" s="9"/>
      <c r="MR48" s="9" t="s">
        <v>991</v>
      </c>
      <c r="MS48" s="9"/>
      <c r="MT48" s="9" t="s">
        <v>972</v>
      </c>
      <c r="MU48" s="9" t="s">
        <v>881</v>
      </c>
      <c r="MV48" s="9"/>
      <c r="MW48" s="9"/>
      <c r="MX48" s="9"/>
      <c r="MY48" s="9"/>
      <c r="MZ48" s="9"/>
      <c r="NA48" s="9"/>
      <c r="NB48" s="9"/>
      <c r="NC48" s="9"/>
      <c r="ND48" s="9"/>
      <c r="NE48" s="9"/>
      <c r="NF48" s="9"/>
      <c r="NG48" s="9"/>
      <c r="NH48" s="9"/>
      <c r="NI48" s="9"/>
      <c r="NJ48" s="9"/>
      <c r="NK48" s="9"/>
      <c r="NL48" s="9" t="s">
        <v>857</v>
      </c>
      <c r="NM48" s="9" t="s">
        <v>893</v>
      </c>
      <c r="NN48" s="9" t="s">
        <v>993</v>
      </c>
      <c r="NO48" s="9" t="s">
        <v>994</v>
      </c>
      <c r="NP48" s="9"/>
      <c r="NQ48" s="9"/>
      <c r="NR48" s="9"/>
      <c r="NS48" s="9"/>
      <c r="NT48" s="9"/>
      <c r="NU48" s="9"/>
      <c r="NV48" s="9" t="s">
        <v>896</v>
      </c>
      <c r="NW48" s="9"/>
      <c r="NX48" s="9" t="s">
        <v>1183</v>
      </c>
      <c r="NY48" s="8">
        <v>40.0</v>
      </c>
      <c r="NZ48" s="8">
        <v>15.0</v>
      </c>
      <c r="OA48" s="8">
        <v>0.0</v>
      </c>
      <c r="OB48" s="8">
        <v>5.0</v>
      </c>
      <c r="OC48" s="8">
        <v>5.0</v>
      </c>
      <c r="OD48" s="8">
        <v>0.0</v>
      </c>
      <c r="OE48" s="9" t="s">
        <v>1180</v>
      </c>
      <c r="OF48" s="9" t="s">
        <v>1184</v>
      </c>
      <c r="OG48" s="9" t="s">
        <v>857</v>
      </c>
      <c r="OH48" s="8">
        <v>0.0</v>
      </c>
      <c r="OI48" s="8">
        <v>5.0</v>
      </c>
      <c r="OJ48" s="8">
        <v>0.0</v>
      </c>
      <c r="OK48" s="8">
        <v>0.0</v>
      </c>
      <c r="OL48" s="8">
        <v>0.0</v>
      </c>
      <c r="OM48" s="8">
        <v>0.0</v>
      </c>
      <c r="ON48" s="8">
        <v>0.0</v>
      </c>
      <c r="OO48" s="8">
        <v>0.0</v>
      </c>
      <c r="OP48" s="9" t="s">
        <v>2948</v>
      </c>
      <c r="OQ48" s="8">
        <v>0.0</v>
      </c>
      <c r="OR48" s="8">
        <v>1.0</v>
      </c>
      <c r="OS48" s="8">
        <v>0.0</v>
      </c>
      <c r="OT48" s="8">
        <v>0.0</v>
      </c>
      <c r="OU48" s="8">
        <v>0.0</v>
      </c>
      <c r="OV48" s="8">
        <v>0.0</v>
      </c>
      <c r="OW48" s="8">
        <v>0.0</v>
      </c>
      <c r="OX48" s="8">
        <v>0.0</v>
      </c>
      <c r="OY48" s="9"/>
      <c r="OZ48" s="9"/>
      <c r="PA48" s="9"/>
      <c r="PB48" s="9"/>
      <c r="PC48" s="9"/>
      <c r="PD48" s="9"/>
      <c r="PE48" s="9"/>
      <c r="PF48" s="9"/>
      <c r="PG48" s="9"/>
      <c r="PH48" s="9"/>
      <c r="PI48" s="9"/>
      <c r="PJ48" s="9" t="s">
        <v>900</v>
      </c>
      <c r="PK48" s="8">
        <v>0.0</v>
      </c>
      <c r="PL48" s="8">
        <v>0.0</v>
      </c>
      <c r="PM48" s="8">
        <v>0.0</v>
      </c>
      <c r="PN48" s="8">
        <v>0.0</v>
      </c>
      <c r="PO48" s="8">
        <v>0.0</v>
      </c>
      <c r="PP48" s="8">
        <v>1.0</v>
      </c>
      <c r="PQ48" s="8">
        <v>0.0</v>
      </c>
      <c r="PR48" s="8">
        <v>0.0</v>
      </c>
      <c r="PS48" s="8">
        <v>0.0</v>
      </c>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8">
        <v>5.0</v>
      </c>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t="s">
        <v>901</v>
      </c>
      <c r="UB48" s="9"/>
      <c r="UC48" s="9"/>
      <c r="UD48" s="9"/>
      <c r="UE48" s="9"/>
      <c r="UF48" s="9"/>
      <c r="UG48" s="9"/>
      <c r="UH48" s="9"/>
      <c r="UI48" s="9" t="s">
        <v>950</v>
      </c>
      <c r="UJ48" s="9"/>
      <c r="UK48" s="9"/>
      <c r="UL48" s="9"/>
      <c r="UM48" s="9"/>
      <c r="UN48" s="9"/>
      <c r="UO48" s="9"/>
      <c r="UP48" s="9"/>
      <c r="UQ48" s="9" t="s">
        <v>1158</v>
      </c>
      <c r="UR48" s="9"/>
      <c r="US48" s="9"/>
      <c r="UT48" s="9"/>
      <c r="UU48" s="9"/>
      <c r="UV48" s="9"/>
      <c r="UW48" s="9"/>
      <c r="UX48" s="9"/>
      <c r="UY48" s="9"/>
      <c r="UZ48" s="9"/>
      <c r="VA48" s="9"/>
      <c r="VB48" s="9"/>
      <c r="VC48" s="9"/>
      <c r="VD48" s="9"/>
      <c r="VE48" s="9"/>
      <c r="VF48" s="9"/>
      <c r="VG48" s="9"/>
      <c r="VH48" s="9"/>
      <c r="VI48" s="9"/>
      <c r="VJ48" s="9"/>
      <c r="VK48" s="9" t="s">
        <v>1207</v>
      </c>
      <c r="VL48" s="8">
        <v>0.0</v>
      </c>
      <c r="VM48" s="8">
        <v>0.0</v>
      </c>
      <c r="VN48" s="8">
        <v>0.0</v>
      </c>
      <c r="VO48" s="8">
        <v>1.0</v>
      </c>
      <c r="VP48" s="8">
        <v>1.0</v>
      </c>
      <c r="VQ48" s="8">
        <v>1.0</v>
      </c>
      <c r="VR48" s="8">
        <v>0.0</v>
      </c>
      <c r="VS48" s="8">
        <v>0.0</v>
      </c>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8">
        <v>60.0</v>
      </c>
      <c r="YU48" s="9"/>
      <c r="YV48" s="9"/>
      <c r="YW48" s="9"/>
      <c r="YX48" s="9"/>
      <c r="YY48" s="9"/>
      <c r="YZ48" s="9"/>
      <c r="ZA48" s="9"/>
      <c r="ZB48" s="8">
        <v>2.0</v>
      </c>
      <c r="ZC48" s="9"/>
      <c r="ZD48" s="9"/>
      <c r="ZE48" s="9"/>
      <c r="ZF48" s="9"/>
      <c r="ZG48" s="9"/>
      <c r="ZH48" s="9"/>
      <c r="ZI48" s="9"/>
      <c r="ZJ48" s="9" t="s">
        <v>1186</v>
      </c>
      <c r="ZK48" s="9"/>
      <c r="ZL48" s="9"/>
      <c r="ZM48" s="9"/>
      <c r="ZN48" s="9"/>
      <c r="ZO48" s="9"/>
      <c r="ZP48" s="9"/>
      <c r="ZQ48" s="9" t="s">
        <v>857</v>
      </c>
      <c r="ZR48" s="9" t="s">
        <v>1033</v>
      </c>
      <c r="ZS48" s="8">
        <v>1.0</v>
      </c>
      <c r="ZT48" s="8">
        <v>1.0</v>
      </c>
      <c r="ZU48" s="8">
        <v>60.0</v>
      </c>
      <c r="ZV48" s="8">
        <v>60.0</v>
      </c>
      <c r="ZW48" s="9" t="s">
        <v>857</v>
      </c>
      <c r="ZX48" s="9" t="s">
        <v>867</v>
      </c>
      <c r="ZY48" s="9" t="s">
        <v>1074</v>
      </c>
      <c r="ZZ48" s="8">
        <v>1.0</v>
      </c>
      <c r="AAA48" s="8">
        <v>0.0</v>
      </c>
      <c r="AAB48" s="8">
        <v>0.0</v>
      </c>
      <c r="AAC48" s="8">
        <v>1.0</v>
      </c>
      <c r="AAD48" s="8">
        <v>1.0</v>
      </c>
      <c r="AAE48" s="8">
        <v>0.0</v>
      </c>
      <c r="AAF48" s="8">
        <v>0.0</v>
      </c>
      <c r="AAG48" s="9" t="s">
        <v>907</v>
      </c>
      <c r="AAH48" s="8">
        <v>1.0</v>
      </c>
      <c r="AAI48" s="8">
        <v>0.0</v>
      </c>
      <c r="AAJ48" s="8">
        <v>0.0</v>
      </c>
      <c r="AAK48" s="8">
        <v>0.0</v>
      </c>
      <c r="AAL48" s="8">
        <v>0.0</v>
      </c>
      <c r="AAM48" s="9"/>
      <c r="AAN48" s="9"/>
      <c r="AAO48" s="9"/>
      <c r="AAP48" s="9"/>
      <c r="AAQ48" s="9"/>
      <c r="AAR48" s="9"/>
      <c r="AAS48" s="9"/>
      <c r="AAT48" s="9"/>
      <c r="AAU48" s="9"/>
      <c r="AAV48" s="11" t="s">
        <v>953</v>
      </c>
      <c r="AAW48" s="9" t="s">
        <v>1075</v>
      </c>
      <c r="AAX48" s="8">
        <v>3000.0</v>
      </c>
      <c r="AAY48" s="8">
        <v>500.0</v>
      </c>
      <c r="AAZ48" s="8">
        <v>60.0</v>
      </c>
      <c r="ABA48" s="8">
        <v>60.0</v>
      </c>
      <c r="ABB48" s="9" t="s">
        <v>1199</v>
      </c>
      <c r="ABC48" s="9"/>
      <c r="ABD48" s="8">
        <v>30.0</v>
      </c>
      <c r="ABE48" s="8">
        <v>4000.0</v>
      </c>
      <c r="ABF48" s="8">
        <v>10.0</v>
      </c>
      <c r="ABG48" s="8">
        <v>4000.0</v>
      </c>
      <c r="ABH48" s="8">
        <v>500.0</v>
      </c>
      <c r="ABI48" s="8">
        <v>700.0</v>
      </c>
      <c r="ABJ48" s="9" t="s">
        <v>857</v>
      </c>
      <c r="ABK48" s="9" t="s">
        <v>1183</v>
      </c>
      <c r="ABL48" s="9" t="s">
        <v>1183</v>
      </c>
      <c r="ABM48" s="9" t="s">
        <v>911</v>
      </c>
      <c r="ABN48" s="9"/>
      <c r="ABO48" s="9"/>
      <c r="ABP48" s="9" t="s">
        <v>1107</v>
      </c>
      <c r="ABQ48" s="8">
        <v>0.0</v>
      </c>
      <c r="ABR48" s="8">
        <v>1.0</v>
      </c>
      <c r="ABS48" s="8">
        <v>1.0</v>
      </c>
      <c r="ABT48" s="8">
        <v>1.0</v>
      </c>
      <c r="ABU48" s="8">
        <v>0.0</v>
      </c>
      <c r="ABV48" s="8">
        <v>0.0</v>
      </c>
      <c r="ABW48" s="8">
        <v>0.0</v>
      </c>
      <c r="ABX48" s="9"/>
      <c r="ABY48" s="9" t="s">
        <v>912</v>
      </c>
      <c r="ABZ48" s="9" t="s">
        <v>1050</v>
      </c>
      <c r="ACA48" s="9" t="s">
        <v>957</v>
      </c>
      <c r="ACB48" s="9" t="s">
        <v>915</v>
      </c>
      <c r="ACC48" s="9" t="s">
        <v>916</v>
      </c>
      <c r="ACD48" s="9" t="s">
        <v>1035</v>
      </c>
      <c r="ACE48" s="8">
        <v>1.0</v>
      </c>
      <c r="ACF48" s="8">
        <v>1.0</v>
      </c>
      <c r="ACG48" s="8">
        <v>0.0</v>
      </c>
      <c r="ACH48" s="8">
        <v>0.0</v>
      </c>
      <c r="ACI48" s="9" t="s">
        <v>1187</v>
      </c>
      <c r="ACJ48" s="9" t="s">
        <v>1187</v>
      </c>
      <c r="ACK48" s="9" t="s">
        <v>1187</v>
      </c>
      <c r="ACL48" s="9" t="s">
        <v>1187</v>
      </c>
      <c r="ACM48" s="9" t="s">
        <v>881</v>
      </c>
      <c r="ACN48" s="9"/>
      <c r="ACO48" s="9" t="s">
        <v>1187</v>
      </c>
      <c r="ACP48" s="9"/>
      <c r="ACQ48" s="9"/>
      <c r="ACR48" s="9"/>
      <c r="ACS48" s="9"/>
      <c r="ACT48" s="9"/>
      <c r="ACU48" s="9"/>
      <c r="ACV48" s="9"/>
      <c r="ACW48" s="9"/>
      <c r="ACX48" s="9"/>
      <c r="ACY48" s="9"/>
      <c r="ACZ48" s="9" t="s">
        <v>919</v>
      </c>
      <c r="ADA48" s="8">
        <v>0.0</v>
      </c>
      <c r="ADB48" s="8">
        <v>0.0</v>
      </c>
      <c r="ADC48" s="8">
        <v>0.0</v>
      </c>
      <c r="ADD48" s="8">
        <v>0.0</v>
      </c>
      <c r="ADE48" s="8">
        <v>1.0</v>
      </c>
      <c r="ADF48" s="8">
        <v>0.0</v>
      </c>
      <c r="ADG48" s="8">
        <v>0.0</v>
      </c>
      <c r="ADH48" s="8">
        <v>0.0</v>
      </c>
      <c r="ADI48" s="12"/>
      <c r="ADJ48" s="17" t="s">
        <v>872</v>
      </c>
      <c r="ADK48" s="9"/>
      <c r="ADL48" s="17" t="s">
        <v>920</v>
      </c>
      <c r="ADM48" s="9"/>
      <c r="ADN48" s="11" t="s">
        <v>921</v>
      </c>
      <c r="ADO48" s="9" t="s">
        <v>871</v>
      </c>
      <c r="ADP48" s="17" t="s">
        <v>1108</v>
      </c>
      <c r="ADQ48" s="18">
        <v>1.0</v>
      </c>
      <c r="ADR48" s="18">
        <v>1.0</v>
      </c>
      <c r="ADS48" s="18">
        <v>1.0</v>
      </c>
      <c r="ADT48" s="18">
        <v>1.0</v>
      </c>
      <c r="ADU48" s="18">
        <v>1.0</v>
      </c>
      <c r="ADV48" s="18">
        <v>1.0</v>
      </c>
      <c r="ADW48" s="18">
        <v>1.0</v>
      </c>
      <c r="ADX48" s="18">
        <v>1.0</v>
      </c>
      <c r="ADY48" s="18">
        <v>1.0</v>
      </c>
      <c r="ADZ48" s="18">
        <v>0.0</v>
      </c>
      <c r="AEA48" s="18">
        <v>0.0</v>
      </c>
      <c r="AEB48" s="18">
        <v>0.0</v>
      </c>
      <c r="AEC48" s="9"/>
      <c r="AED48" s="9" t="s">
        <v>923</v>
      </c>
      <c r="AEE48" s="9"/>
      <c r="AEF48" s="9" t="s">
        <v>1188</v>
      </c>
      <c r="AEG48" s="9"/>
      <c r="AEH48" s="9" t="s">
        <v>1445</v>
      </c>
      <c r="AEI48" s="16" t="s">
        <v>1446</v>
      </c>
      <c r="AEJ48" s="9" t="s">
        <v>1447</v>
      </c>
      <c r="AEK48" s="16" t="s">
        <v>1448</v>
      </c>
      <c r="AEL48" s="9" t="s">
        <v>1193</v>
      </c>
      <c r="AEM48" s="9"/>
      <c r="AEN48" s="9"/>
    </row>
    <row r="49">
      <c r="A49" s="22">
        <v>46063.0</v>
      </c>
      <c r="B49" s="22">
        <v>46063.0</v>
      </c>
      <c r="C49" s="23" t="s">
        <v>837</v>
      </c>
      <c r="D49" s="23" t="s">
        <v>1449</v>
      </c>
      <c r="E49" s="24">
        <f>+6282226379779</f>
        <v>6282226379779</v>
      </c>
      <c r="F49" s="14"/>
      <c r="G49" s="24">
        <v>-7.2148853</v>
      </c>
      <c r="H49" s="24">
        <v>110.2642462</v>
      </c>
      <c r="I49" s="14"/>
      <c r="J49" s="24">
        <v>4.86</v>
      </c>
      <c r="K49" s="14"/>
      <c r="L49" s="14"/>
      <c r="M49" s="24">
        <v>-7.214891212</v>
      </c>
      <c r="N49" s="24">
        <v>110.2542816</v>
      </c>
      <c r="O49" s="14"/>
      <c r="P49" s="24">
        <v>4.58</v>
      </c>
      <c r="Q49" s="14"/>
      <c r="R49" s="14" t="s">
        <v>839</v>
      </c>
      <c r="S49" s="14"/>
      <c r="T49" s="14"/>
      <c r="U49" s="14"/>
      <c r="V49" s="14"/>
      <c r="W49" s="14"/>
      <c r="X49" s="14"/>
      <c r="Y49" s="14"/>
      <c r="Z49" s="14"/>
      <c r="AA49" s="14"/>
      <c r="AB49" s="14"/>
      <c r="AC49" s="23" t="s">
        <v>1175</v>
      </c>
      <c r="AD49" s="23" t="s">
        <v>1176</v>
      </c>
      <c r="AE49" s="23" t="s">
        <v>1195</v>
      </c>
      <c r="AF49" s="14" t="s">
        <v>1178</v>
      </c>
      <c r="AG49" s="14" t="s">
        <v>1450</v>
      </c>
      <c r="AH49" s="24">
        <v>2.0</v>
      </c>
      <c r="AI49" s="14" t="s">
        <v>845</v>
      </c>
      <c r="AJ49" s="14" t="s">
        <v>846</v>
      </c>
      <c r="AK49" s="24">
        <v>36.0</v>
      </c>
      <c r="AL49" s="14" t="s">
        <v>1444</v>
      </c>
      <c r="AM49" s="14" t="s">
        <v>848</v>
      </c>
      <c r="AN49" s="14" t="s">
        <v>986</v>
      </c>
      <c r="AO49" s="9" t="s">
        <v>1231</v>
      </c>
      <c r="AP49" s="24">
        <v>0.0</v>
      </c>
      <c r="AQ49" s="24">
        <v>0.0</v>
      </c>
      <c r="AR49" s="24">
        <v>0.0</v>
      </c>
      <c r="AS49" s="24">
        <v>1.0</v>
      </c>
      <c r="AT49" s="24">
        <v>0.0</v>
      </c>
      <c r="AU49" s="24">
        <v>0.0</v>
      </c>
      <c r="AV49" s="24">
        <v>0.0</v>
      </c>
      <c r="AW49" s="24">
        <v>0.0</v>
      </c>
      <c r="AX49" s="14"/>
      <c r="AY49" s="14" t="s">
        <v>935</v>
      </c>
      <c r="AZ49" s="24">
        <v>0.0</v>
      </c>
      <c r="BA49" s="24">
        <v>1.0</v>
      </c>
      <c r="BB49" s="24">
        <v>0.0</v>
      </c>
      <c r="BC49" s="24">
        <v>0.0</v>
      </c>
      <c r="BD49" s="24">
        <v>0.0</v>
      </c>
      <c r="BE49" s="24">
        <v>0.0</v>
      </c>
      <c r="BF49" s="24">
        <v>0.0</v>
      </c>
      <c r="BG49" s="24">
        <v>0.0</v>
      </c>
      <c r="BH49" s="14"/>
      <c r="BI49" s="14" t="s">
        <v>852</v>
      </c>
      <c r="BJ49" s="24">
        <v>1.0</v>
      </c>
      <c r="BK49" s="24">
        <v>1.0</v>
      </c>
      <c r="BL49" s="24">
        <v>2.0</v>
      </c>
      <c r="BM49" s="24">
        <v>1.0</v>
      </c>
      <c r="BN49" s="14" t="s">
        <v>853</v>
      </c>
      <c r="BO49" s="14" t="s">
        <v>854</v>
      </c>
      <c r="BP49" s="24">
        <v>1.0</v>
      </c>
      <c r="BQ49" s="24">
        <v>0.0</v>
      </c>
      <c r="BR49" s="24">
        <v>0.0</v>
      </c>
      <c r="BS49" s="24">
        <v>0.0</v>
      </c>
      <c r="BT49" s="24">
        <v>0.0</v>
      </c>
      <c r="BU49" s="14"/>
      <c r="BV49" s="14" t="s">
        <v>855</v>
      </c>
      <c r="BW49" s="24">
        <v>0.0</v>
      </c>
      <c r="BX49" s="24">
        <v>0.0</v>
      </c>
      <c r="BY49" s="24">
        <v>1.0</v>
      </c>
      <c r="BZ49" s="24">
        <v>0.0</v>
      </c>
      <c r="CA49" s="24">
        <v>0.0</v>
      </c>
      <c r="CB49" s="14"/>
      <c r="CC49" s="14" t="s">
        <v>856</v>
      </c>
      <c r="CD49" s="24">
        <v>0.0</v>
      </c>
      <c r="CE49" s="24">
        <v>0.0</v>
      </c>
      <c r="CF49" s="24">
        <v>0.0</v>
      </c>
      <c r="CG49" s="24">
        <v>0.0</v>
      </c>
      <c r="CH49" s="24">
        <v>0.0</v>
      </c>
      <c r="CI49" s="24">
        <v>1.0</v>
      </c>
      <c r="CJ49" s="24">
        <v>0.0</v>
      </c>
      <c r="CK49" s="14"/>
      <c r="CL49" s="14" t="s">
        <v>857</v>
      </c>
      <c r="CM49" s="24">
        <v>2024.0</v>
      </c>
      <c r="CN49" s="14" t="s">
        <v>858</v>
      </c>
      <c r="CO49" s="14" t="s">
        <v>859</v>
      </c>
      <c r="CP49" s="14" t="s">
        <v>860</v>
      </c>
      <c r="CQ49" s="24">
        <v>0.0</v>
      </c>
      <c r="CR49" s="24">
        <v>0.0</v>
      </c>
      <c r="CS49" s="24">
        <v>0.0</v>
      </c>
      <c r="CT49" s="24">
        <v>0.0</v>
      </c>
      <c r="CU49" s="10">
        <v>1.0</v>
      </c>
      <c r="CV49" s="10">
        <v>0.0</v>
      </c>
      <c r="CW49" s="10">
        <v>0.0</v>
      </c>
      <c r="CX49" s="8">
        <v>0.0</v>
      </c>
      <c r="CY49" s="9" t="s">
        <v>860</v>
      </c>
      <c r="CZ49" s="8">
        <v>1.0</v>
      </c>
      <c r="DA49" s="8">
        <v>0.0</v>
      </c>
      <c r="DB49" s="8">
        <v>0.0</v>
      </c>
      <c r="DC49" s="9"/>
      <c r="DD49" s="9" t="s">
        <v>937</v>
      </c>
      <c r="DE49" s="8">
        <v>1.0</v>
      </c>
      <c r="DF49" s="8">
        <v>0.0</v>
      </c>
      <c r="DG49" s="8">
        <v>1.0</v>
      </c>
      <c r="DH49" s="8">
        <v>0.0</v>
      </c>
      <c r="DI49" s="9"/>
      <c r="DJ49" s="9" t="s">
        <v>937</v>
      </c>
      <c r="DK49" s="8">
        <v>1.0</v>
      </c>
      <c r="DL49" s="8">
        <v>0.0</v>
      </c>
      <c r="DM49" s="8">
        <v>1.0</v>
      </c>
      <c r="DN49" s="8">
        <v>0.0</v>
      </c>
      <c r="DO49" s="9"/>
      <c r="DP49" s="8">
        <v>1.0</v>
      </c>
      <c r="DQ49" s="8">
        <v>0.0</v>
      </c>
      <c r="DR49" s="8">
        <v>0.0</v>
      </c>
      <c r="DS49" s="14"/>
      <c r="DT49" s="14"/>
      <c r="DU49" s="14"/>
      <c r="DV49" s="14" t="s">
        <v>857</v>
      </c>
      <c r="DW49" s="14"/>
      <c r="DX49" s="14"/>
      <c r="DY49" s="14"/>
      <c r="DZ49" s="14"/>
      <c r="EA49" s="14"/>
      <c r="EB49" s="14"/>
      <c r="EC49" s="14"/>
      <c r="ED49" s="14"/>
      <c r="EE49" s="14"/>
      <c r="EF49" s="14"/>
      <c r="EG49" s="14"/>
      <c r="EH49" s="14"/>
      <c r="EI49" s="14" t="s">
        <v>862</v>
      </c>
      <c r="EJ49" s="24">
        <v>0.0</v>
      </c>
      <c r="EK49" s="24">
        <v>0.0</v>
      </c>
      <c r="EL49" s="24">
        <v>0.0</v>
      </c>
      <c r="EM49" s="24">
        <v>1.0</v>
      </c>
      <c r="EN49" s="24">
        <v>0.0</v>
      </c>
      <c r="EO49" s="11"/>
      <c r="EP49" s="14" t="s">
        <v>1403</v>
      </c>
      <c r="EQ49" s="14" t="s">
        <v>864</v>
      </c>
      <c r="ER49" s="14" t="s">
        <v>861</v>
      </c>
      <c r="ES49" s="24">
        <v>1.0</v>
      </c>
      <c r="ET49" s="24">
        <v>0.0</v>
      </c>
      <c r="EU49" s="24">
        <v>0.0</v>
      </c>
      <c r="EV49" s="24">
        <v>0.0</v>
      </c>
      <c r="EW49" s="14"/>
      <c r="EX49" s="9" t="s">
        <v>865</v>
      </c>
      <c r="EY49" s="8">
        <v>1.0</v>
      </c>
      <c r="EZ49" s="8">
        <v>0.0</v>
      </c>
      <c r="FA49" s="8">
        <v>0.0</v>
      </c>
      <c r="FB49" s="14"/>
      <c r="FC49" s="14" t="s">
        <v>1072</v>
      </c>
      <c r="FD49" s="14"/>
      <c r="FE49" s="14" t="s">
        <v>867</v>
      </c>
      <c r="FF49" s="14" t="s">
        <v>868</v>
      </c>
      <c r="FG49" s="14" t="s">
        <v>867</v>
      </c>
      <c r="FH49" s="14" t="s">
        <v>868</v>
      </c>
      <c r="FI49" s="14" t="s">
        <v>867</v>
      </c>
      <c r="FJ49" s="14" t="s">
        <v>868</v>
      </c>
      <c r="FK49" s="14" t="s">
        <v>867</v>
      </c>
      <c r="FL49" s="14" t="s">
        <v>943</v>
      </c>
      <c r="FM49" s="14" t="s">
        <v>867</v>
      </c>
      <c r="FN49" s="14" t="s">
        <v>943</v>
      </c>
      <c r="FO49" s="14" t="s">
        <v>867</v>
      </c>
      <c r="FP49" s="14" t="s">
        <v>943</v>
      </c>
      <c r="FQ49" s="14" t="s">
        <v>867</v>
      </c>
      <c r="FR49" s="14" t="s">
        <v>857</v>
      </c>
      <c r="FS49" s="14" t="s">
        <v>867</v>
      </c>
      <c r="FT49" s="14" t="s">
        <v>871</v>
      </c>
      <c r="FU49" s="14" t="s">
        <v>989</v>
      </c>
      <c r="FV49" s="24">
        <v>1.0</v>
      </c>
      <c r="FW49" s="24">
        <v>1.0</v>
      </c>
      <c r="FX49" s="24">
        <v>0.0</v>
      </c>
      <c r="FY49" s="24">
        <v>0.0</v>
      </c>
      <c r="FZ49" s="14" t="s">
        <v>1197</v>
      </c>
      <c r="GA49" s="14" t="s">
        <v>874</v>
      </c>
      <c r="GB49" s="24">
        <v>1.0</v>
      </c>
      <c r="GC49" s="24">
        <v>0.0</v>
      </c>
      <c r="GD49" s="24">
        <v>0.0</v>
      </c>
      <c r="GE49" s="24">
        <v>0.0</v>
      </c>
      <c r="GF49" s="14"/>
      <c r="GG49" s="14" t="s">
        <v>875</v>
      </c>
      <c r="GH49" s="14" t="s">
        <v>857</v>
      </c>
      <c r="GI49" s="14" t="s">
        <v>1264</v>
      </c>
      <c r="GJ49" s="24">
        <v>0.0</v>
      </c>
      <c r="GK49" s="24">
        <v>1.0</v>
      </c>
      <c r="GL49" s="24">
        <v>0.0</v>
      </c>
      <c r="GM49" s="24">
        <v>0.0</v>
      </c>
      <c r="GN49" s="14"/>
      <c r="GO49" s="24">
        <v>9.0</v>
      </c>
      <c r="GP49" s="14" t="s">
        <v>877</v>
      </c>
      <c r="GQ49" s="14" t="s">
        <v>878</v>
      </c>
      <c r="GR49" s="24">
        <v>1.0</v>
      </c>
      <c r="GS49" s="24">
        <v>1.0</v>
      </c>
      <c r="GT49" s="24">
        <v>0.0</v>
      </c>
      <c r="GU49" s="24">
        <v>0.0</v>
      </c>
      <c r="GV49" s="24">
        <v>0.0</v>
      </c>
      <c r="GW49" s="24">
        <v>0.0</v>
      </c>
      <c r="GX49" s="24">
        <v>0.0</v>
      </c>
      <c r="GY49" s="14"/>
      <c r="GZ49" s="14" t="s">
        <v>857</v>
      </c>
      <c r="HA49" s="24">
        <v>20.0</v>
      </c>
      <c r="HB49" s="24">
        <v>200000.0</v>
      </c>
      <c r="HC49" s="24">
        <v>5.0</v>
      </c>
      <c r="HD49" s="24">
        <v>50000.0</v>
      </c>
      <c r="HE49" s="24">
        <v>1.0</v>
      </c>
      <c r="HF49" s="24">
        <v>100000.0</v>
      </c>
      <c r="HG49" s="24">
        <v>3.0</v>
      </c>
      <c r="HH49" s="24">
        <v>25000.0</v>
      </c>
      <c r="HI49" s="14"/>
      <c r="HJ49" s="14"/>
      <c r="HK49" s="14"/>
      <c r="HL49" s="14"/>
      <c r="HM49" s="14"/>
      <c r="HN49" s="14"/>
      <c r="HO49" s="14"/>
      <c r="HP49" s="14"/>
      <c r="HQ49" s="14"/>
      <c r="HR49" s="14"/>
      <c r="HS49" s="14"/>
      <c r="HT49" s="14"/>
      <c r="HU49" s="14"/>
      <c r="HV49" s="14"/>
      <c r="HW49" s="14"/>
      <c r="HX49" s="14"/>
      <c r="HY49" s="24">
        <v>15.0</v>
      </c>
      <c r="HZ49" s="24">
        <v>150000.0</v>
      </c>
      <c r="IA49" s="24">
        <v>9.0</v>
      </c>
      <c r="IB49" s="24">
        <v>75000.0</v>
      </c>
      <c r="IC49" s="14"/>
      <c r="ID49" s="14"/>
      <c r="IE49" s="14"/>
      <c r="IF49" s="14"/>
      <c r="IG49" s="14"/>
      <c r="IH49" s="14"/>
      <c r="II49" s="14"/>
      <c r="IJ49" s="14"/>
      <c r="IK49" s="14" t="s">
        <v>879</v>
      </c>
      <c r="IL49" s="14" t="s">
        <v>880</v>
      </c>
      <c r="IM49" s="14" t="s">
        <v>857</v>
      </c>
      <c r="IN49" s="14" t="s">
        <v>881</v>
      </c>
      <c r="IO49" s="14" t="s">
        <v>882</v>
      </c>
      <c r="IP49" s="14"/>
      <c r="IQ49" s="14" t="s">
        <v>883</v>
      </c>
      <c r="IR49" s="14"/>
      <c r="IS49" s="14"/>
      <c r="IT49" s="14"/>
      <c r="IU49" s="14"/>
      <c r="IV49" s="14"/>
      <c r="IW49" s="14"/>
      <c r="IX49" s="14"/>
      <c r="IY49" s="14"/>
      <c r="IZ49" s="14" t="s">
        <v>883</v>
      </c>
      <c r="JA49" s="14"/>
      <c r="JB49" s="14"/>
      <c r="JC49" s="14"/>
      <c r="JD49" s="14"/>
      <c r="JE49" s="14"/>
      <c r="JF49" s="14"/>
      <c r="JG49" s="14"/>
      <c r="JH49" s="14"/>
      <c r="JI49" s="14" t="s">
        <v>883</v>
      </c>
      <c r="JJ49" s="14"/>
      <c r="JK49" s="14"/>
      <c r="JL49" s="14"/>
      <c r="JM49" s="14"/>
      <c r="JN49" s="14"/>
      <c r="JO49" s="14"/>
      <c r="JP49" s="14"/>
      <c r="JQ49" s="14"/>
      <c r="JR49" s="14" t="s">
        <v>883</v>
      </c>
      <c r="JS49" s="14"/>
      <c r="JT49" s="14"/>
      <c r="JU49" s="14"/>
      <c r="JV49" s="14"/>
      <c r="JW49" s="14"/>
      <c r="JX49" s="14"/>
      <c r="JY49" s="14"/>
      <c r="JZ49" s="14"/>
      <c r="KA49" s="14" t="s">
        <v>883</v>
      </c>
      <c r="KB49" s="14"/>
      <c r="KC49" s="14"/>
      <c r="KD49" s="14"/>
      <c r="KE49" s="14"/>
      <c r="KF49" s="14"/>
      <c r="KG49" s="14"/>
      <c r="KH49" s="14"/>
      <c r="KI49" s="14"/>
      <c r="KJ49" s="14" t="s">
        <v>883</v>
      </c>
      <c r="KK49" s="14"/>
      <c r="KL49" s="14"/>
      <c r="KM49" s="14"/>
      <c r="KN49" s="14"/>
      <c r="KO49" s="14"/>
      <c r="KP49" s="14"/>
      <c r="KQ49" s="14"/>
      <c r="KR49" s="14"/>
      <c r="KS49" s="14" t="s">
        <v>884</v>
      </c>
      <c r="KT49" s="14" t="s">
        <v>886</v>
      </c>
      <c r="KU49" s="14" t="s">
        <v>886</v>
      </c>
      <c r="KV49" s="14" t="s">
        <v>999</v>
      </c>
      <c r="KW49" s="24">
        <v>0.0</v>
      </c>
      <c r="KX49" s="24">
        <v>0.0</v>
      </c>
      <c r="KY49" s="24">
        <v>0.0</v>
      </c>
      <c r="KZ49" s="24">
        <v>1.0</v>
      </c>
      <c r="LA49" s="14" t="s">
        <v>884</v>
      </c>
      <c r="LB49" s="14" t="s">
        <v>884</v>
      </c>
      <c r="LC49" s="24">
        <v>3.0</v>
      </c>
      <c r="LD49" s="24">
        <v>3.0</v>
      </c>
      <c r="LE49" s="24">
        <v>0.0</v>
      </c>
      <c r="LF49" s="24">
        <v>0.0</v>
      </c>
      <c r="LG49" s="14" t="s">
        <v>857</v>
      </c>
      <c r="LH49" s="24">
        <v>100000.0</v>
      </c>
      <c r="LI49" s="14"/>
      <c r="LJ49" s="14" t="s">
        <v>887</v>
      </c>
      <c r="LK49" s="24">
        <v>0.0</v>
      </c>
      <c r="LL49" s="24">
        <v>0.0</v>
      </c>
      <c r="LM49" s="24">
        <v>0.0</v>
      </c>
      <c r="LN49" s="24">
        <v>0.0</v>
      </c>
      <c r="LO49" s="24">
        <v>1.0</v>
      </c>
      <c r="LP49" s="24">
        <v>0.0</v>
      </c>
      <c r="LQ49" s="24">
        <v>0.0</v>
      </c>
      <c r="LR49" s="14"/>
      <c r="LS49" s="24">
        <v>15.0</v>
      </c>
      <c r="LT49" s="24">
        <v>15.0</v>
      </c>
      <c r="LU49" s="24">
        <v>0.0</v>
      </c>
      <c r="LV49" s="24">
        <v>7.0</v>
      </c>
      <c r="LW49" s="24">
        <v>7.0</v>
      </c>
      <c r="LX49" s="24">
        <v>0.0</v>
      </c>
      <c r="LY49" s="24">
        <v>5.0</v>
      </c>
      <c r="LZ49" s="24">
        <v>5.0</v>
      </c>
      <c r="MA49" s="24">
        <v>0.0</v>
      </c>
      <c r="MB49" s="14" t="s">
        <v>857</v>
      </c>
      <c r="MC49" s="24">
        <v>30.0</v>
      </c>
      <c r="MD49" s="24">
        <v>15.0</v>
      </c>
      <c r="ME49" s="24">
        <v>30.0</v>
      </c>
      <c r="MF49" s="24">
        <v>15.0</v>
      </c>
      <c r="MG49" s="24">
        <v>0.0</v>
      </c>
      <c r="MH49" s="24">
        <v>0.0</v>
      </c>
      <c r="MI49" s="14" t="s">
        <v>946</v>
      </c>
      <c r="MJ49" s="24">
        <v>0.0</v>
      </c>
      <c r="MK49" s="24">
        <v>0.0</v>
      </c>
      <c r="ML49" s="24">
        <v>1.0</v>
      </c>
      <c r="MM49" s="24">
        <v>0.0</v>
      </c>
      <c r="MN49" s="24">
        <v>0.0</v>
      </c>
      <c r="MO49" s="24">
        <v>0.0</v>
      </c>
      <c r="MP49" s="14"/>
      <c r="MQ49" s="14"/>
      <c r="MR49" s="14" t="s">
        <v>1182</v>
      </c>
      <c r="MS49" s="14"/>
      <c r="MT49" s="14" t="s">
        <v>991</v>
      </c>
      <c r="MU49" s="14" t="s">
        <v>881</v>
      </c>
      <c r="MV49" s="14"/>
      <c r="MW49" s="14"/>
      <c r="MX49" s="14"/>
      <c r="MY49" s="14"/>
      <c r="MZ49" s="14"/>
      <c r="NA49" s="14"/>
      <c r="NB49" s="14"/>
      <c r="NC49" s="14"/>
      <c r="ND49" s="14"/>
      <c r="NE49" s="14"/>
      <c r="NF49" s="14"/>
      <c r="NG49" s="14"/>
      <c r="NH49" s="14"/>
      <c r="NI49" s="14"/>
      <c r="NJ49" s="14"/>
      <c r="NK49" s="14"/>
      <c r="NL49" s="14" t="s">
        <v>881</v>
      </c>
      <c r="NM49" s="14" t="s">
        <v>893</v>
      </c>
      <c r="NN49" s="14" t="s">
        <v>993</v>
      </c>
      <c r="NO49" s="14" t="s">
        <v>994</v>
      </c>
      <c r="NP49" s="14"/>
      <c r="NQ49" s="14"/>
      <c r="NR49" s="14"/>
      <c r="NS49" s="14"/>
      <c r="NT49" s="14"/>
      <c r="NU49" s="14"/>
      <c r="NV49" s="14" t="s">
        <v>896</v>
      </c>
      <c r="NW49" s="14"/>
      <c r="NX49" s="14" t="s">
        <v>897</v>
      </c>
      <c r="NY49" s="24">
        <v>35.0</v>
      </c>
      <c r="NZ49" s="24">
        <v>15.0</v>
      </c>
      <c r="OA49" s="24">
        <v>0.0</v>
      </c>
      <c r="OB49" s="24">
        <v>5.0</v>
      </c>
      <c r="OC49" s="24">
        <v>5.0</v>
      </c>
      <c r="OD49" s="24">
        <v>0.0</v>
      </c>
      <c r="OE49" s="14" t="s">
        <v>898</v>
      </c>
      <c r="OF49" s="14" t="s">
        <v>1184</v>
      </c>
      <c r="OG49" s="14" t="s">
        <v>857</v>
      </c>
      <c r="OH49" s="24">
        <v>0.0</v>
      </c>
      <c r="OI49" s="24">
        <v>4.0</v>
      </c>
      <c r="OJ49" s="24">
        <v>0.0</v>
      </c>
      <c r="OK49" s="24">
        <v>0.0</v>
      </c>
      <c r="OL49" s="24">
        <v>0.0</v>
      </c>
      <c r="OM49" s="24">
        <v>0.0</v>
      </c>
      <c r="ON49" s="24">
        <v>0.0</v>
      </c>
      <c r="OO49" s="24">
        <v>0.0</v>
      </c>
      <c r="OP49" s="14" t="s">
        <v>2948</v>
      </c>
      <c r="OQ49" s="24">
        <v>0.0</v>
      </c>
      <c r="OR49" s="24">
        <v>1.0</v>
      </c>
      <c r="OS49" s="24">
        <v>0.0</v>
      </c>
      <c r="OT49" s="24">
        <v>0.0</v>
      </c>
      <c r="OU49" s="24">
        <v>0.0</v>
      </c>
      <c r="OV49" s="24">
        <v>0.0</v>
      </c>
      <c r="OW49" s="24">
        <v>0.0</v>
      </c>
      <c r="OX49" s="24">
        <v>0.0</v>
      </c>
      <c r="OY49" s="14"/>
      <c r="OZ49" s="14"/>
      <c r="PA49" s="14"/>
      <c r="PB49" s="14"/>
      <c r="PC49" s="14"/>
      <c r="PD49" s="14"/>
      <c r="PE49" s="14"/>
      <c r="PF49" s="14"/>
      <c r="PG49" s="14"/>
      <c r="PH49" s="14"/>
      <c r="PI49" s="14"/>
      <c r="PJ49" s="14" t="s">
        <v>900</v>
      </c>
      <c r="PK49" s="24">
        <v>0.0</v>
      </c>
      <c r="PL49" s="24">
        <v>0.0</v>
      </c>
      <c r="PM49" s="24">
        <v>0.0</v>
      </c>
      <c r="PN49" s="24">
        <v>0.0</v>
      </c>
      <c r="PO49" s="24">
        <v>0.0</v>
      </c>
      <c r="PP49" s="24">
        <v>1.0</v>
      </c>
      <c r="PQ49" s="24">
        <v>0.0</v>
      </c>
      <c r="PR49" s="24">
        <v>0.0</v>
      </c>
      <c r="PS49" s="24">
        <v>0.0</v>
      </c>
      <c r="PT49" s="14"/>
      <c r="PU49" s="14"/>
      <c r="PV49" s="14"/>
      <c r="PW49" s="14"/>
      <c r="PX49" s="14"/>
      <c r="PY49" s="14"/>
      <c r="PZ49" s="14"/>
      <c r="QA49" s="14"/>
      <c r="QB49" s="14"/>
      <c r="QC49" s="14"/>
      <c r="QD49" s="14"/>
      <c r="QE49" s="14"/>
      <c r="QF49" s="14"/>
      <c r="QG49" s="14"/>
      <c r="QH49" s="14"/>
      <c r="QI49" s="14"/>
      <c r="QJ49" s="14"/>
      <c r="QK49" s="14"/>
      <c r="QL49" s="14"/>
      <c r="QM49" s="14"/>
      <c r="QN49" s="14"/>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24">
        <v>4.0</v>
      </c>
      <c r="SF49" s="14"/>
      <c r="SG49" s="14"/>
      <c r="SH49" s="14"/>
      <c r="SI49" s="14"/>
      <c r="SJ49" s="14"/>
      <c r="SK49" s="14"/>
      <c r="SL49" s="14"/>
      <c r="SM49" s="14"/>
      <c r="SN49" s="14"/>
      <c r="SO49" s="14"/>
      <c r="SP49" s="14"/>
      <c r="SQ49" s="14"/>
      <c r="SR49" s="14"/>
      <c r="SS49" s="14"/>
      <c r="ST49" s="14"/>
      <c r="SU49" s="14"/>
      <c r="SV49" s="14"/>
      <c r="SW49" s="14"/>
      <c r="SX49" s="14"/>
      <c r="SY49" s="14"/>
      <c r="SZ49" s="14"/>
      <c r="TA49" s="14"/>
      <c r="TB49" s="14"/>
      <c r="TC49" s="14"/>
      <c r="TD49" s="14"/>
      <c r="TE49" s="14"/>
      <c r="TF49" s="14"/>
      <c r="TG49" s="14"/>
      <c r="TH49" s="14"/>
      <c r="TI49" s="14"/>
      <c r="TJ49" s="14"/>
      <c r="TK49" s="14"/>
      <c r="TL49" s="14"/>
      <c r="TM49" s="14"/>
      <c r="TN49" s="14"/>
      <c r="TO49" s="14"/>
      <c r="TP49" s="14"/>
      <c r="TQ49" s="14"/>
      <c r="TR49" s="14"/>
      <c r="TS49" s="14"/>
      <c r="TT49" s="14"/>
      <c r="TU49" s="14"/>
      <c r="TV49" s="14"/>
      <c r="TW49" s="14"/>
      <c r="TX49" s="14"/>
      <c r="TY49" s="14"/>
      <c r="TZ49" s="14"/>
      <c r="UA49" s="14" t="s">
        <v>901</v>
      </c>
      <c r="UB49" s="14"/>
      <c r="UC49" s="14"/>
      <c r="UD49" s="14"/>
      <c r="UE49" s="14"/>
      <c r="UF49" s="14"/>
      <c r="UG49" s="14"/>
      <c r="UH49" s="14"/>
      <c r="UI49" s="14" t="s">
        <v>950</v>
      </c>
      <c r="UJ49" s="14"/>
      <c r="UK49" s="14"/>
      <c r="UL49" s="14"/>
      <c r="UM49" s="14"/>
      <c r="UN49" s="14"/>
      <c r="UO49" s="14"/>
      <c r="UP49" s="14"/>
      <c r="UQ49" s="14" t="s">
        <v>903</v>
      </c>
      <c r="UR49" s="14"/>
      <c r="US49" s="14"/>
      <c r="UT49" s="14"/>
      <c r="UU49" s="14"/>
      <c r="UV49" s="14"/>
      <c r="UW49" s="14"/>
      <c r="UX49" s="14"/>
      <c r="UY49" s="14"/>
      <c r="UZ49" s="14"/>
      <c r="VA49" s="14"/>
      <c r="VB49" s="14"/>
      <c r="VC49" s="14"/>
      <c r="VD49" s="14"/>
      <c r="VE49" s="14"/>
      <c r="VF49" s="14"/>
      <c r="VG49" s="14"/>
      <c r="VH49" s="14"/>
      <c r="VI49" s="14"/>
      <c r="VJ49" s="14"/>
      <c r="VK49" s="14" t="s">
        <v>1303</v>
      </c>
      <c r="VL49" s="24">
        <v>0.0</v>
      </c>
      <c r="VM49" s="24">
        <v>0.0</v>
      </c>
      <c r="VN49" s="24">
        <v>0.0</v>
      </c>
      <c r="VO49" s="24">
        <v>1.0</v>
      </c>
      <c r="VP49" s="24">
        <v>1.0</v>
      </c>
      <c r="VQ49" s="24">
        <v>0.0</v>
      </c>
      <c r="VR49" s="24">
        <v>0.0</v>
      </c>
      <c r="VS49" s="24">
        <v>0.0</v>
      </c>
      <c r="VT49" s="14"/>
      <c r="VU49" s="14"/>
      <c r="VV49" s="14"/>
      <c r="VW49" s="14"/>
      <c r="VX49" s="14"/>
      <c r="VY49" s="14"/>
      <c r="VZ49" s="14"/>
      <c r="WA49" s="14"/>
      <c r="WB49" s="14"/>
      <c r="WC49" s="14"/>
      <c r="WD49" s="14"/>
      <c r="WE49" s="14"/>
      <c r="WF49" s="14"/>
      <c r="WG49" s="14"/>
      <c r="WH49" s="14"/>
      <c r="WI49" s="14"/>
      <c r="WJ49" s="14"/>
      <c r="WK49" s="14"/>
      <c r="WL49" s="14"/>
      <c r="WM49" s="14"/>
      <c r="WN49" s="14"/>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24">
        <v>2.0</v>
      </c>
      <c r="ZC49" s="14"/>
      <c r="ZD49" s="14"/>
      <c r="ZE49" s="14"/>
      <c r="ZF49" s="14"/>
      <c r="ZG49" s="14"/>
      <c r="ZH49" s="14"/>
      <c r="ZI49" s="14"/>
      <c r="ZJ49" s="14" t="s">
        <v>1186</v>
      </c>
      <c r="ZK49" s="14"/>
      <c r="ZL49" s="14"/>
      <c r="ZM49" s="14"/>
      <c r="ZN49" s="14"/>
      <c r="ZO49" s="14"/>
      <c r="ZP49" s="14"/>
      <c r="ZQ49" s="14" t="s">
        <v>857</v>
      </c>
      <c r="ZR49" s="14" t="s">
        <v>1033</v>
      </c>
      <c r="ZS49" s="24">
        <v>1.0</v>
      </c>
      <c r="ZT49" s="24">
        <v>1.0</v>
      </c>
      <c r="ZU49" s="24">
        <v>50.0</v>
      </c>
      <c r="ZV49" s="24">
        <v>50.0</v>
      </c>
      <c r="ZW49" s="14" t="s">
        <v>857</v>
      </c>
      <c r="ZX49" s="14" t="s">
        <v>867</v>
      </c>
      <c r="ZY49" s="14" t="s">
        <v>1287</v>
      </c>
      <c r="ZZ49" s="24">
        <v>1.0</v>
      </c>
      <c r="AAA49" s="24">
        <v>0.0</v>
      </c>
      <c r="AAB49" s="24">
        <v>0.0</v>
      </c>
      <c r="AAC49" s="24">
        <v>1.0</v>
      </c>
      <c r="AAD49" s="24">
        <v>0.0</v>
      </c>
      <c r="AAE49" s="24">
        <v>0.0</v>
      </c>
      <c r="AAF49" s="24">
        <v>0.0</v>
      </c>
      <c r="AAG49" s="14" t="s">
        <v>907</v>
      </c>
      <c r="AAH49" s="24">
        <v>1.0</v>
      </c>
      <c r="AAI49" s="24">
        <v>0.0</v>
      </c>
      <c r="AAJ49" s="24">
        <v>0.0</v>
      </c>
      <c r="AAK49" s="24">
        <v>0.0</v>
      </c>
      <c r="AAL49" s="24">
        <v>0.0</v>
      </c>
      <c r="AAM49" s="14"/>
      <c r="AAN49" s="14"/>
      <c r="AAO49" s="14"/>
      <c r="AAP49" s="14"/>
      <c r="AAQ49" s="14"/>
      <c r="AAR49" s="14"/>
      <c r="AAS49" s="14"/>
      <c r="AAT49" s="14"/>
      <c r="AAU49" s="14"/>
      <c r="AAV49" s="11" t="s">
        <v>953</v>
      </c>
      <c r="AAW49" s="14" t="s">
        <v>1075</v>
      </c>
      <c r="AAX49" s="24">
        <v>3000.0</v>
      </c>
      <c r="AAY49" s="24">
        <v>200.0</v>
      </c>
      <c r="AAZ49" s="24">
        <v>50.0</v>
      </c>
      <c r="ABA49" s="24">
        <v>50.0</v>
      </c>
      <c r="ABB49" s="14" t="s">
        <v>1199</v>
      </c>
      <c r="ABC49" s="14"/>
      <c r="ABD49" s="24">
        <v>20.0</v>
      </c>
      <c r="ABE49" s="24">
        <v>5.0</v>
      </c>
      <c r="ABF49" s="24">
        <v>5.0</v>
      </c>
      <c r="ABG49" s="24">
        <v>4000.0</v>
      </c>
      <c r="ABH49" s="24">
        <v>500.0</v>
      </c>
      <c r="ABI49" s="24">
        <v>600.0</v>
      </c>
      <c r="ABJ49" s="14" t="s">
        <v>857</v>
      </c>
      <c r="ABK49" s="14" t="s">
        <v>1183</v>
      </c>
      <c r="ABL49" s="14" t="s">
        <v>911</v>
      </c>
      <c r="ABM49" s="14" t="s">
        <v>911</v>
      </c>
      <c r="ABN49" s="14"/>
      <c r="ABO49" s="14"/>
      <c r="ABP49" s="14" t="s">
        <v>976</v>
      </c>
      <c r="ABQ49" s="24">
        <v>0.0</v>
      </c>
      <c r="ABR49" s="24">
        <v>0.0</v>
      </c>
      <c r="ABS49" s="24">
        <v>1.0</v>
      </c>
      <c r="ABT49" s="24">
        <v>1.0</v>
      </c>
      <c r="ABU49" s="24">
        <v>0.0</v>
      </c>
      <c r="ABV49" s="24">
        <v>0.0</v>
      </c>
      <c r="ABW49" s="24">
        <v>0.0</v>
      </c>
      <c r="ABX49" s="14"/>
      <c r="ABY49" s="14" t="s">
        <v>912</v>
      </c>
      <c r="ABZ49" s="14" t="s">
        <v>1050</v>
      </c>
      <c r="ACA49" s="14" t="s">
        <v>957</v>
      </c>
      <c r="ACB49" s="14" t="s">
        <v>915</v>
      </c>
      <c r="ACC49" s="14" t="s">
        <v>916</v>
      </c>
      <c r="ACD49" s="14" t="s">
        <v>1035</v>
      </c>
      <c r="ACE49" s="24">
        <v>1.0</v>
      </c>
      <c r="ACF49" s="24">
        <v>1.0</v>
      </c>
      <c r="ACG49" s="24">
        <v>0.0</v>
      </c>
      <c r="ACH49" s="24">
        <v>0.0</v>
      </c>
      <c r="ACI49" s="14" t="s">
        <v>1187</v>
      </c>
      <c r="ACJ49" s="14" t="s">
        <v>1187</v>
      </c>
      <c r="ACK49" s="14" t="s">
        <v>1187</v>
      </c>
      <c r="ACL49" s="14" t="s">
        <v>1187</v>
      </c>
      <c r="ACM49" s="14" t="s">
        <v>881</v>
      </c>
      <c r="ACN49" s="14"/>
      <c r="ACO49" s="14" t="s">
        <v>1187</v>
      </c>
      <c r="ACP49" s="14"/>
      <c r="ACQ49" s="14"/>
      <c r="ACR49" s="14"/>
      <c r="ACS49" s="14"/>
      <c r="ACT49" s="14"/>
      <c r="ACU49" s="14"/>
      <c r="ACV49" s="14"/>
      <c r="ACW49" s="14"/>
      <c r="ACX49" s="14"/>
      <c r="ACY49" s="14"/>
      <c r="ACZ49" s="14" t="s">
        <v>919</v>
      </c>
      <c r="ADA49" s="24">
        <v>0.0</v>
      </c>
      <c r="ADB49" s="24">
        <v>0.0</v>
      </c>
      <c r="ADC49" s="24">
        <v>0.0</v>
      </c>
      <c r="ADD49" s="24">
        <v>0.0</v>
      </c>
      <c r="ADE49" s="24">
        <v>1.0</v>
      </c>
      <c r="ADF49" s="24">
        <v>0.0</v>
      </c>
      <c r="ADG49" s="24">
        <v>0.0</v>
      </c>
      <c r="ADH49" s="24">
        <v>0.0</v>
      </c>
      <c r="ADI49" s="12"/>
      <c r="ADJ49" s="17" t="s">
        <v>872</v>
      </c>
      <c r="ADK49" s="9"/>
      <c r="ADL49" s="17" t="s">
        <v>920</v>
      </c>
      <c r="ADM49" s="14"/>
      <c r="ADN49" s="11" t="s">
        <v>999</v>
      </c>
      <c r="ADO49" s="14" t="s">
        <v>871</v>
      </c>
      <c r="ADP49" s="17" t="s">
        <v>1108</v>
      </c>
      <c r="ADQ49" s="18">
        <v>1.0</v>
      </c>
      <c r="ADR49" s="18">
        <v>1.0</v>
      </c>
      <c r="ADS49" s="18">
        <v>1.0</v>
      </c>
      <c r="ADT49" s="18">
        <v>1.0</v>
      </c>
      <c r="ADU49" s="18">
        <v>1.0</v>
      </c>
      <c r="ADV49" s="18">
        <v>1.0</v>
      </c>
      <c r="ADW49" s="18">
        <v>1.0</v>
      </c>
      <c r="ADX49" s="18">
        <v>1.0</v>
      </c>
      <c r="ADY49" s="18">
        <v>1.0</v>
      </c>
      <c r="ADZ49" s="18">
        <v>0.0</v>
      </c>
      <c r="AEA49" s="18">
        <v>0.0</v>
      </c>
      <c r="AEB49" s="18">
        <v>0.0</v>
      </c>
      <c r="AEC49" s="14"/>
      <c r="AED49" s="14" t="s">
        <v>923</v>
      </c>
      <c r="AEE49" s="14"/>
      <c r="AEF49" s="14" t="s">
        <v>1188</v>
      </c>
      <c r="AEG49" s="14"/>
      <c r="AEH49" s="14" t="s">
        <v>1451</v>
      </c>
      <c r="AEI49" s="25" t="s">
        <v>1452</v>
      </c>
      <c r="AEJ49" s="14" t="s">
        <v>1453</v>
      </c>
      <c r="AEK49" s="25" t="s">
        <v>1454</v>
      </c>
      <c r="AEL49" s="14" t="s">
        <v>1113</v>
      </c>
      <c r="AEM49" s="14"/>
      <c r="AEN49" s="14" t="s">
        <v>1455</v>
      </c>
    </row>
  </sheetData>
  <hyperlinks>
    <hyperlink r:id="rId2" ref="AEI2"/>
    <hyperlink r:id="rId3" ref="AEK2"/>
    <hyperlink r:id="rId4" ref="AEI3"/>
    <hyperlink r:id="rId5" ref="AEK3"/>
    <hyperlink r:id="rId6" ref="AEI4"/>
    <hyperlink r:id="rId7" ref="AEK4"/>
    <hyperlink r:id="rId8" ref="AEI5"/>
    <hyperlink r:id="rId9" ref="AEK5"/>
    <hyperlink r:id="rId10" ref="AEI6"/>
    <hyperlink r:id="rId11" ref="AEK6"/>
    <hyperlink r:id="rId12" ref="AEI7"/>
    <hyperlink r:id="rId13" ref="AEK7"/>
    <hyperlink r:id="rId14" ref="AEI8"/>
    <hyperlink r:id="rId15" ref="AEK8"/>
    <hyperlink r:id="rId16" ref="AEI9"/>
    <hyperlink r:id="rId17" ref="AEK9"/>
    <hyperlink r:id="rId18" ref="AEI10"/>
    <hyperlink r:id="rId19" ref="AEK10"/>
    <hyperlink r:id="rId20" ref="AEI11"/>
    <hyperlink r:id="rId21" ref="AEK11"/>
    <hyperlink r:id="rId22" ref="AEI12"/>
    <hyperlink r:id="rId23" ref="AEK12"/>
    <hyperlink r:id="rId24" ref="AEI13"/>
    <hyperlink r:id="rId25" ref="AEK13"/>
    <hyperlink r:id="rId26" ref="AEI14"/>
    <hyperlink r:id="rId27" ref="AEK14"/>
    <hyperlink r:id="rId28" ref="AEI15"/>
    <hyperlink r:id="rId29" ref="AEK15"/>
    <hyperlink r:id="rId30" ref="AEI16"/>
    <hyperlink r:id="rId31" ref="AEK16"/>
    <hyperlink r:id="rId32" ref="AEI17"/>
    <hyperlink r:id="rId33" ref="AEK17"/>
    <hyperlink r:id="rId34" ref="AEI18"/>
    <hyperlink r:id="rId35" ref="AEK18"/>
    <hyperlink r:id="rId36" ref="AEI19"/>
    <hyperlink r:id="rId37" ref="AEK19"/>
    <hyperlink r:id="rId38" ref="AEI20"/>
    <hyperlink r:id="rId39" ref="AEK20"/>
    <hyperlink r:id="rId40" ref="AEI21"/>
    <hyperlink r:id="rId41" ref="AEK21"/>
    <hyperlink r:id="rId42" ref="AEI22"/>
    <hyperlink r:id="rId43" ref="AEK22"/>
    <hyperlink r:id="rId44" ref="AEI23"/>
    <hyperlink r:id="rId45" ref="AEK23"/>
    <hyperlink r:id="rId46" ref="AEI24"/>
    <hyperlink r:id="rId47" ref="AEK24"/>
    <hyperlink r:id="rId48" ref="AEI25"/>
    <hyperlink r:id="rId49" ref="AEK25"/>
    <hyperlink r:id="rId50" ref="AEI26"/>
    <hyperlink r:id="rId51" ref="AEK26"/>
    <hyperlink r:id="rId52" ref="AEI27"/>
    <hyperlink r:id="rId53" ref="AEK27"/>
    <hyperlink r:id="rId54" ref="AEI28"/>
    <hyperlink r:id="rId55" ref="AEK28"/>
    <hyperlink r:id="rId56" ref="AEI29"/>
    <hyperlink r:id="rId57" ref="AEK29"/>
    <hyperlink r:id="rId58" ref="AEI30"/>
    <hyperlink r:id="rId59" ref="AEK30"/>
    <hyperlink r:id="rId60" ref="AEI31"/>
    <hyperlink r:id="rId61" ref="AEK31"/>
    <hyperlink r:id="rId62" ref="AEI32"/>
    <hyperlink r:id="rId63" ref="AEK32"/>
    <hyperlink r:id="rId64" ref="AEI33"/>
    <hyperlink r:id="rId65" ref="AEK33"/>
    <hyperlink r:id="rId66" ref="AEI34"/>
    <hyperlink r:id="rId67" ref="AEK34"/>
    <hyperlink r:id="rId68" ref="AEI35"/>
    <hyperlink r:id="rId69" ref="AEK35"/>
    <hyperlink r:id="rId70" ref="AEI36"/>
    <hyperlink r:id="rId71" ref="AEK36"/>
    <hyperlink r:id="rId72" ref="AEI37"/>
    <hyperlink r:id="rId73" ref="AEK37"/>
    <hyperlink r:id="rId74" ref="AEI38"/>
    <hyperlink r:id="rId75" ref="AEK38"/>
    <hyperlink r:id="rId76" ref="AEI39"/>
    <hyperlink r:id="rId77" ref="AEK39"/>
    <hyperlink r:id="rId78" ref="AEI40"/>
    <hyperlink r:id="rId79" ref="AEK40"/>
    <hyperlink r:id="rId80" ref="AEI41"/>
    <hyperlink r:id="rId81" ref="AEK41"/>
    <hyperlink r:id="rId82" ref="AEI42"/>
    <hyperlink r:id="rId83" ref="AEK42"/>
    <hyperlink r:id="rId84" ref="AEI43"/>
    <hyperlink r:id="rId85" ref="AEK43"/>
    <hyperlink r:id="rId86" ref="AEI44"/>
    <hyperlink r:id="rId87" ref="AEK44"/>
    <hyperlink r:id="rId88" ref="AEI45"/>
    <hyperlink r:id="rId89" ref="AEK45"/>
    <hyperlink r:id="rId90" ref="AEI46"/>
    <hyperlink r:id="rId91" ref="AEK46"/>
    <hyperlink r:id="rId92" ref="AEI47"/>
    <hyperlink r:id="rId93" ref="AEK47"/>
    <hyperlink r:id="rId94" ref="AEI48"/>
    <hyperlink r:id="rId95" ref="AEK48"/>
    <hyperlink r:id="rId96" ref="AEI49"/>
    <hyperlink r:id="rId97" ref="AEK49"/>
  </hyperlinks>
  <drawing r:id="rId98"/>
  <legacyDrawing r:id="rId9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hidden="1" min="1" max="2" width="12.63"/>
    <col customWidth="1" min="7" max="7" width="66.38"/>
  </cols>
  <sheetData>
    <row r="1">
      <c r="A1" s="46" t="s">
        <v>0</v>
      </c>
      <c r="B1" s="46" t="s">
        <v>1</v>
      </c>
      <c r="C1" s="46" t="s">
        <v>2951</v>
      </c>
      <c r="D1" s="46" t="s">
        <v>2952</v>
      </c>
      <c r="E1" s="46" t="s">
        <v>2953</v>
      </c>
      <c r="F1" s="46" t="s">
        <v>2954</v>
      </c>
      <c r="G1" s="46" t="s">
        <v>2955</v>
      </c>
      <c r="H1" s="46" t="s">
        <v>401</v>
      </c>
      <c r="I1" s="46" t="s">
        <v>402</v>
      </c>
      <c r="J1" s="46" t="s">
        <v>403</v>
      </c>
      <c r="K1" s="46" t="s">
        <v>404</v>
      </c>
      <c r="L1" s="46" t="s">
        <v>405</v>
      </c>
      <c r="M1" s="46" t="s">
        <v>406</v>
      </c>
      <c r="N1" s="46" t="s">
        <v>407</v>
      </c>
      <c r="O1" s="46" t="s">
        <v>408</v>
      </c>
      <c r="P1" s="46" t="s">
        <v>409</v>
      </c>
      <c r="Q1" s="46" t="s">
        <v>410</v>
      </c>
      <c r="R1" s="46" t="s">
        <v>411</v>
      </c>
      <c r="S1" s="46" t="s">
        <v>412</v>
      </c>
      <c r="T1" s="46" t="s">
        <v>413</v>
      </c>
      <c r="U1" s="46" t="s">
        <v>414</v>
      </c>
      <c r="V1" s="46" t="s">
        <v>415</v>
      </c>
      <c r="W1" s="46" t="s">
        <v>416</v>
      </c>
      <c r="X1" s="46" t="s">
        <v>417</v>
      </c>
      <c r="Y1" s="46" t="s">
        <v>418</v>
      </c>
      <c r="Z1" s="46" t="s">
        <v>419</v>
      </c>
      <c r="AA1" s="46" t="s">
        <v>420</v>
      </c>
      <c r="AB1" s="46" t="s">
        <v>421</v>
      </c>
      <c r="AC1" s="46" t="s">
        <v>422</v>
      </c>
      <c r="AD1" s="46" t="s">
        <v>423</v>
      </c>
      <c r="AE1" s="46" t="s">
        <v>424</v>
      </c>
      <c r="AF1" s="46" t="s">
        <v>425</v>
      </c>
      <c r="AG1" s="46" t="s">
        <v>426</v>
      </c>
      <c r="AH1" s="46" t="s">
        <v>427</v>
      </c>
      <c r="AI1" s="46" t="s">
        <v>428</v>
      </c>
      <c r="AJ1" s="46" t="s">
        <v>429</v>
      </c>
      <c r="AK1" s="46" t="s">
        <v>430</v>
      </c>
      <c r="AL1" s="46" t="s">
        <v>2956</v>
      </c>
      <c r="AM1" s="46" t="s">
        <v>2957</v>
      </c>
      <c r="AN1" s="46" t="s">
        <v>2958</v>
      </c>
      <c r="AO1" s="46" t="s">
        <v>2959</v>
      </c>
      <c r="AP1" s="46" t="s">
        <v>2960</v>
      </c>
      <c r="AQ1" s="46" t="s">
        <v>2961</v>
      </c>
      <c r="AR1" s="46" t="s">
        <v>2962</v>
      </c>
      <c r="AS1" s="46" t="s">
        <v>2963</v>
      </c>
      <c r="AT1" s="46" t="s">
        <v>2964</v>
      </c>
      <c r="AU1" s="46" t="s">
        <v>2965</v>
      </c>
      <c r="AV1" s="46" t="s">
        <v>2966</v>
      </c>
      <c r="AW1" s="46" t="s">
        <v>2967</v>
      </c>
      <c r="AX1" s="46" t="s">
        <v>2968</v>
      </c>
      <c r="AY1" s="46" t="s">
        <v>2969</v>
      </c>
      <c r="AZ1" s="46" t="s">
        <v>2970</v>
      </c>
      <c r="BA1" s="46" t="s">
        <v>2971</v>
      </c>
      <c r="BB1" s="46" t="s">
        <v>2972</v>
      </c>
      <c r="BC1" s="46" t="s">
        <v>2973</v>
      </c>
      <c r="BD1" s="46" t="s">
        <v>2974</v>
      </c>
      <c r="BE1" s="46" t="s">
        <v>2975</v>
      </c>
      <c r="BF1" s="46" t="s">
        <v>2976</v>
      </c>
      <c r="BG1" s="46" t="s">
        <v>2977</v>
      </c>
      <c r="BH1" s="46" t="s">
        <v>2978</v>
      </c>
      <c r="BI1" s="46" t="s">
        <v>2979</v>
      </c>
      <c r="BJ1" s="46" t="s">
        <v>2980</v>
      </c>
      <c r="BK1" s="46" t="s">
        <v>2981</v>
      </c>
      <c r="BL1" s="46" t="s">
        <v>2982</v>
      </c>
      <c r="BM1" s="46" t="s">
        <v>2983</v>
      </c>
      <c r="BN1" s="46" t="s">
        <v>2984</v>
      </c>
      <c r="BO1" s="46" t="s">
        <v>2985</v>
      </c>
      <c r="BP1" s="46" t="s">
        <v>2986</v>
      </c>
      <c r="BQ1" s="46" t="s">
        <v>2987</v>
      </c>
      <c r="BR1" s="46" t="s">
        <v>2988</v>
      </c>
      <c r="BS1" s="46" t="s">
        <v>2989</v>
      </c>
      <c r="BT1" s="46" t="s">
        <v>2990</v>
      </c>
      <c r="BU1" s="46" t="s">
        <v>2991</v>
      </c>
      <c r="BV1" s="46" t="s">
        <v>2992</v>
      </c>
      <c r="BW1" s="46" t="s">
        <v>2993</v>
      </c>
      <c r="BX1" s="46" t="s">
        <v>2994</v>
      </c>
      <c r="BY1" s="46" t="s">
        <v>2995</v>
      </c>
      <c r="BZ1" s="46" t="s">
        <v>2996</v>
      </c>
      <c r="CA1" s="46" t="s">
        <v>2997</v>
      </c>
      <c r="CB1" s="46" t="s">
        <v>2998</v>
      </c>
      <c r="CC1" s="46" t="s">
        <v>2999</v>
      </c>
      <c r="CD1" s="46" t="s">
        <v>3000</v>
      </c>
      <c r="CE1" s="46" t="s">
        <v>3001</v>
      </c>
      <c r="CF1" s="46" t="s">
        <v>3002</v>
      </c>
      <c r="CG1" s="46" t="s">
        <v>3003</v>
      </c>
      <c r="CH1" s="46" t="s">
        <v>3004</v>
      </c>
      <c r="CI1" s="46" t="s">
        <v>3005</v>
      </c>
      <c r="CJ1" s="46" t="s">
        <v>3006</v>
      </c>
      <c r="CK1" s="46" t="s">
        <v>1893</v>
      </c>
      <c r="CL1" s="46" t="s">
        <v>1894</v>
      </c>
      <c r="CM1" s="46" t="s">
        <v>1895</v>
      </c>
      <c r="CN1" s="46" t="s">
        <v>1896</v>
      </c>
      <c r="CO1" s="46" t="s">
        <v>1897</v>
      </c>
      <c r="CP1" s="46" t="s">
        <v>1898</v>
      </c>
      <c r="CQ1" s="46" t="s">
        <v>1899</v>
      </c>
      <c r="CR1" s="46" t="s">
        <v>1900</v>
      </c>
      <c r="CS1" s="46" t="s">
        <v>1901</v>
      </c>
      <c r="CT1" s="46" t="s">
        <v>1902</v>
      </c>
      <c r="CU1" s="46" t="s">
        <v>1903</v>
      </c>
    </row>
    <row r="2">
      <c r="A2" s="47">
        <v>46093.58097729167</v>
      </c>
      <c r="B2" s="47">
        <v>46093.59280278935</v>
      </c>
      <c r="C2" s="48" t="s">
        <v>3007</v>
      </c>
      <c r="D2" s="48" t="s">
        <v>3008</v>
      </c>
      <c r="E2" s="48" t="s">
        <v>3009</v>
      </c>
      <c r="F2" s="48" t="s">
        <v>3010</v>
      </c>
      <c r="G2" s="49" t="s">
        <v>3011</v>
      </c>
      <c r="H2" s="48" t="s">
        <v>3012</v>
      </c>
      <c r="I2" s="50">
        <v>0.0</v>
      </c>
      <c r="J2" s="50">
        <v>0.0</v>
      </c>
      <c r="K2" s="50">
        <v>0.0</v>
      </c>
      <c r="L2" s="50">
        <v>1.0</v>
      </c>
      <c r="M2" s="50">
        <v>0.0</v>
      </c>
      <c r="N2" s="50">
        <v>0.0</v>
      </c>
      <c r="O2" s="50">
        <v>0.0</v>
      </c>
      <c r="P2" s="50">
        <v>0.0</v>
      </c>
      <c r="Q2" s="50">
        <v>0.0</v>
      </c>
      <c r="R2" s="48" t="s">
        <v>3012</v>
      </c>
      <c r="S2" s="50">
        <v>0.0</v>
      </c>
      <c r="T2" s="50">
        <v>0.0</v>
      </c>
      <c r="U2" s="50">
        <v>0.0</v>
      </c>
      <c r="V2" s="50">
        <v>1.0</v>
      </c>
      <c r="W2" s="50">
        <v>0.0</v>
      </c>
      <c r="X2" s="50">
        <v>0.0</v>
      </c>
      <c r="Y2" s="50">
        <v>0.0</v>
      </c>
      <c r="Z2" s="50">
        <v>0.0</v>
      </c>
      <c r="AA2" s="50">
        <v>0.0</v>
      </c>
      <c r="AB2" s="48" t="s">
        <v>3012</v>
      </c>
      <c r="AC2" s="50">
        <v>0.0</v>
      </c>
      <c r="AD2" s="50">
        <v>0.0</v>
      </c>
      <c r="AE2" s="50">
        <v>0.0</v>
      </c>
      <c r="AF2" s="50">
        <v>1.0</v>
      </c>
      <c r="AG2" s="50">
        <v>0.0</v>
      </c>
      <c r="AH2" s="50">
        <v>0.0</v>
      </c>
      <c r="AI2" s="50">
        <v>0.0</v>
      </c>
      <c r="AJ2" s="50">
        <v>0.0</v>
      </c>
      <c r="AK2" s="50">
        <v>0.0</v>
      </c>
      <c r="AL2" s="48"/>
      <c r="AM2" s="48"/>
      <c r="AN2" s="48"/>
      <c r="AO2" s="48"/>
      <c r="AP2" s="50">
        <v>10.0</v>
      </c>
      <c r="AQ2" s="48"/>
      <c r="AR2" s="48"/>
      <c r="AS2" s="48"/>
      <c r="AT2" s="48"/>
      <c r="AU2" s="48"/>
      <c r="AV2" s="48"/>
      <c r="AW2" s="48"/>
      <c r="AX2" s="48"/>
      <c r="AY2" s="50">
        <v>1.0</v>
      </c>
      <c r="AZ2" s="48"/>
      <c r="BA2" s="48"/>
      <c r="BB2" s="48"/>
      <c r="BC2" s="48"/>
      <c r="BD2" s="48"/>
      <c r="BE2" s="48"/>
      <c r="BF2" s="48"/>
      <c r="BG2" s="48"/>
      <c r="BH2" s="48"/>
      <c r="BI2" s="48"/>
      <c r="BJ2" s="48"/>
      <c r="BK2" s="48"/>
      <c r="BL2" s="48"/>
      <c r="BM2" s="48"/>
      <c r="BN2" s="48"/>
      <c r="BO2" s="48"/>
      <c r="BP2" s="50">
        <v>0.0</v>
      </c>
      <c r="BQ2" s="50">
        <v>0.0</v>
      </c>
      <c r="BR2" s="50">
        <v>0.0</v>
      </c>
      <c r="BS2" s="50">
        <v>9.0</v>
      </c>
      <c r="BT2" s="48"/>
      <c r="BU2" s="48"/>
      <c r="BV2" s="48"/>
      <c r="BW2" s="48"/>
      <c r="BX2" s="48"/>
      <c r="BY2" s="48"/>
      <c r="BZ2" s="48"/>
      <c r="CA2" s="48"/>
      <c r="CB2" s="48"/>
      <c r="CC2" s="48"/>
      <c r="CD2" s="48"/>
      <c r="CE2" s="48"/>
      <c r="CF2" s="48"/>
      <c r="CG2" s="48"/>
      <c r="CH2" s="48"/>
      <c r="CI2" s="48"/>
      <c r="CJ2" s="48"/>
      <c r="CK2" s="50">
        <v>6.9418895E8</v>
      </c>
      <c r="CL2" s="48" t="s">
        <v>3013</v>
      </c>
      <c r="CM2" s="47">
        <v>46093.25947916666</v>
      </c>
      <c r="CN2" s="48"/>
      <c r="CO2" s="48"/>
      <c r="CP2" s="48" t="s">
        <v>1954</v>
      </c>
      <c r="CQ2" s="48"/>
      <c r="CR2" s="48" t="s">
        <v>3014</v>
      </c>
      <c r="CS2" s="48"/>
      <c r="CT2" s="48" t="s">
        <v>3015</v>
      </c>
      <c r="CU2" s="50">
        <v>1.0</v>
      </c>
    </row>
    <row r="3">
      <c r="A3" s="47">
        <v>46093.59280299769</v>
      </c>
      <c r="B3" s="47">
        <v>46093.59987105324</v>
      </c>
      <c r="C3" s="48" t="s">
        <v>3016</v>
      </c>
      <c r="D3" s="48" t="s">
        <v>3008</v>
      </c>
      <c r="E3" s="48" t="s">
        <v>3009</v>
      </c>
      <c r="F3" s="48" t="s">
        <v>3017</v>
      </c>
      <c r="G3" s="49" t="s">
        <v>3018</v>
      </c>
      <c r="H3" s="48" t="s">
        <v>3019</v>
      </c>
      <c r="I3" s="50">
        <v>0.0</v>
      </c>
      <c r="J3" s="50">
        <v>0.0</v>
      </c>
      <c r="K3" s="50">
        <v>1.0</v>
      </c>
      <c r="L3" s="50">
        <v>1.0</v>
      </c>
      <c r="M3" s="50">
        <v>0.0</v>
      </c>
      <c r="N3" s="50">
        <v>1.0</v>
      </c>
      <c r="O3" s="50">
        <v>0.0</v>
      </c>
      <c r="P3" s="50">
        <v>0.0</v>
      </c>
      <c r="Q3" s="50">
        <v>0.0</v>
      </c>
      <c r="R3" s="48" t="s">
        <v>3019</v>
      </c>
      <c r="S3" s="50">
        <v>0.0</v>
      </c>
      <c r="T3" s="50">
        <v>0.0</v>
      </c>
      <c r="U3" s="50">
        <v>1.0</v>
      </c>
      <c r="V3" s="50">
        <v>1.0</v>
      </c>
      <c r="W3" s="50">
        <v>0.0</v>
      </c>
      <c r="X3" s="50">
        <v>1.0</v>
      </c>
      <c r="Y3" s="50">
        <v>0.0</v>
      </c>
      <c r="Z3" s="50">
        <v>0.0</v>
      </c>
      <c r="AA3" s="50">
        <v>0.0</v>
      </c>
      <c r="AB3" s="48" t="s">
        <v>999</v>
      </c>
      <c r="AC3" s="50">
        <v>0.0</v>
      </c>
      <c r="AD3" s="50">
        <v>0.0</v>
      </c>
      <c r="AE3" s="50">
        <v>0.0</v>
      </c>
      <c r="AF3" s="50">
        <v>0.0</v>
      </c>
      <c r="AG3" s="50">
        <v>0.0</v>
      </c>
      <c r="AH3" s="50">
        <v>0.0</v>
      </c>
      <c r="AI3" s="50">
        <v>0.0</v>
      </c>
      <c r="AJ3" s="50">
        <v>0.0</v>
      </c>
      <c r="AK3" s="50">
        <v>1.0</v>
      </c>
      <c r="AL3" s="48"/>
      <c r="AM3" s="48"/>
      <c r="AN3" s="48"/>
      <c r="AO3" s="50">
        <v>2.0</v>
      </c>
      <c r="AP3" s="50">
        <v>3.0</v>
      </c>
      <c r="AQ3" s="48"/>
      <c r="AR3" s="50">
        <v>10.0</v>
      </c>
      <c r="AS3" s="48"/>
      <c r="AT3" s="48"/>
      <c r="AU3" s="48"/>
      <c r="AV3" s="48"/>
      <c r="AW3" s="48"/>
      <c r="AX3" s="50">
        <v>2.0</v>
      </c>
      <c r="AY3" s="50">
        <v>3.0</v>
      </c>
      <c r="AZ3" s="48"/>
      <c r="BA3" s="50">
        <v>10.0</v>
      </c>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50">
        <v>6.94204353E8</v>
      </c>
      <c r="CL3" s="48" t="s">
        <v>3020</v>
      </c>
      <c r="CM3" s="47">
        <v>46093.26655092592</v>
      </c>
      <c r="CN3" s="48"/>
      <c r="CO3" s="48"/>
      <c r="CP3" s="48" t="s">
        <v>1954</v>
      </c>
      <c r="CQ3" s="48"/>
      <c r="CR3" s="48" t="s">
        <v>3014</v>
      </c>
      <c r="CS3" s="48"/>
      <c r="CT3" s="48" t="s">
        <v>3021</v>
      </c>
      <c r="CU3" s="50">
        <v>2.0</v>
      </c>
    </row>
    <row r="4">
      <c r="A4" s="47">
        <v>46093.59987125</v>
      </c>
      <c r="B4" s="47">
        <v>46093.60582113426</v>
      </c>
      <c r="C4" s="48" t="s">
        <v>3022</v>
      </c>
      <c r="D4" s="48" t="s">
        <v>3008</v>
      </c>
      <c r="E4" s="48" t="s">
        <v>3009</v>
      </c>
      <c r="F4" s="48" t="s">
        <v>3017</v>
      </c>
      <c r="G4" s="49" t="s">
        <v>3023</v>
      </c>
      <c r="H4" s="48" t="s">
        <v>3012</v>
      </c>
      <c r="I4" s="50">
        <v>0.0</v>
      </c>
      <c r="J4" s="50">
        <v>0.0</v>
      </c>
      <c r="K4" s="50">
        <v>0.0</v>
      </c>
      <c r="L4" s="50">
        <v>1.0</v>
      </c>
      <c r="M4" s="50">
        <v>0.0</v>
      </c>
      <c r="N4" s="50">
        <v>0.0</v>
      </c>
      <c r="O4" s="50">
        <v>0.0</v>
      </c>
      <c r="P4" s="50">
        <v>0.0</v>
      </c>
      <c r="Q4" s="50">
        <v>0.0</v>
      </c>
      <c r="R4" s="48" t="s">
        <v>3012</v>
      </c>
      <c r="S4" s="50">
        <v>0.0</v>
      </c>
      <c r="T4" s="50">
        <v>0.0</v>
      </c>
      <c r="U4" s="50">
        <v>0.0</v>
      </c>
      <c r="V4" s="50">
        <v>1.0</v>
      </c>
      <c r="W4" s="50">
        <v>0.0</v>
      </c>
      <c r="X4" s="50">
        <v>0.0</v>
      </c>
      <c r="Y4" s="50">
        <v>0.0</v>
      </c>
      <c r="Z4" s="50">
        <v>0.0</v>
      </c>
      <c r="AA4" s="50">
        <v>0.0</v>
      </c>
      <c r="AB4" s="48" t="s">
        <v>3012</v>
      </c>
      <c r="AC4" s="50">
        <v>0.0</v>
      </c>
      <c r="AD4" s="50">
        <v>0.0</v>
      </c>
      <c r="AE4" s="50">
        <v>0.0</v>
      </c>
      <c r="AF4" s="50">
        <v>1.0</v>
      </c>
      <c r="AG4" s="50">
        <v>0.0</v>
      </c>
      <c r="AH4" s="50">
        <v>0.0</v>
      </c>
      <c r="AI4" s="50">
        <v>0.0</v>
      </c>
      <c r="AJ4" s="50">
        <v>0.0</v>
      </c>
      <c r="AK4" s="50">
        <v>0.0</v>
      </c>
      <c r="AL4" s="48"/>
      <c r="AM4" s="48"/>
      <c r="AN4" s="48"/>
      <c r="AO4" s="48"/>
      <c r="AP4" s="50">
        <v>3.0</v>
      </c>
      <c r="AQ4" s="48"/>
      <c r="AR4" s="48"/>
      <c r="AS4" s="48"/>
      <c r="AT4" s="48"/>
      <c r="AU4" s="48"/>
      <c r="AV4" s="48"/>
      <c r="AW4" s="48"/>
      <c r="AX4" s="48"/>
      <c r="AY4" s="50">
        <v>2.0</v>
      </c>
      <c r="AZ4" s="48"/>
      <c r="BA4" s="48"/>
      <c r="BB4" s="48"/>
      <c r="BC4" s="48"/>
      <c r="BD4" s="48"/>
      <c r="BE4" s="48"/>
      <c r="BF4" s="48"/>
      <c r="BG4" s="48"/>
      <c r="BH4" s="48"/>
      <c r="BI4" s="48"/>
      <c r="BJ4" s="48"/>
      <c r="BK4" s="48"/>
      <c r="BL4" s="48"/>
      <c r="BM4" s="48"/>
      <c r="BN4" s="48"/>
      <c r="BO4" s="48"/>
      <c r="BP4" s="50">
        <v>0.0</v>
      </c>
      <c r="BQ4" s="50">
        <v>0.0</v>
      </c>
      <c r="BR4" s="50">
        <v>0.0</v>
      </c>
      <c r="BS4" s="50">
        <v>1.0</v>
      </c>
      <c r="BT4" s="48"/>
      <c r="BU4" s="48"/>
      <c r="BV4" s="48"/>
      <c r="BW4" s="48"/>
      <c r="BX4" s="48"/>
      <c r="BY4" s="48"/>
      <c r="BZ4" s="48"/>
      <c r="CA4" s="48"/>
      <c r="CB4" s="48"/>
      <c r="CC4" s="48"/>
      <c r="CD4" s="48"/>
      <c r="CE4" s="48"/>
      <c r="CF4" s="48"/>
      <c r="CG4" s="48"/>
      <c r="CH4" s="48"/>
      <c r="CI4" s="48"/>
      <c r="CJ4" s="48"/>
      <c r="CK4" s="50">
        <v>6.94215192E8</v>
      </c>
      <c r="CL4" s="48" t="s">
        <v>3024</v>
      </c>
      <c r="CM4" s="47">
        <v>46093.2725</v>
      </c>
      <c r="CN4" s="48"/>
      <c r="CO4" s="48"/>
      <c r="CP4" s="48" t="s">
        <v>1954</v>
      </c>
      <c r="CQ4" s="48"/>
      <c r="CR4" s="48" t="s">
        <v>3014</v>
      </c>
      <c r="CS4" s="48"/>
      <c r="CT4" s="48" t="s">
        <v>3025</v>
      </c>
      <c r="CU4" s="50">
        <v>3.0</v>
      </c>
    </row>
    <row r="5">
      <c r="A5" s="47">
        <v>46093.60582127315</v>
      </c>
      <c r="B5" s="47">
        <v>46093.61099422454</v>
      </c>
      <c r="C5" s="48" t="s">
        <v>3026</v>
      </c>
      <c r="D5" s="48" t="s">
        <v>3008</v>
      </c>
      <c r="E5" s="48" t="s">
        <v>3009</v>
      </c>
      <c r="F5" s="48" t="s">
        <v>3017</v>
      </c>
      <c r="G5" s="49" t="s">
        <v>3027</v>
      </c>
      <c r="H5" s="48" t="s">
        <v>3028</v>
      </c>
      <c r="I5" s="50">
        <v>0.0</v>
      </c>
      <c r="J5" s="50">
        <v>0.0</v>
      </c>
      <c r="K5" s="50">
        <v>0.0</v>
      </c>
      <c r="L5" s="50">
        <v>1.0</v>
      </c>
      <c r="M5" s="50">
        <v>0.0</v>
      </c>
      <c r="N5" s="50">
        <v>1.0</v>
      </c>
      <c r="O5" s="50">
        <v>1.0</v>
      </c>
      <c r="P5" s="50">
        <v>0.0</v>
      </c>
      <c r="Q5" s="50">
        <v>0.0</v>
      </c>
      <c r="R5" s="48" t="s">
        <v>3028</v>
      </c>
      <c r="S5" s="50">
        <v>0.0</v>
      </c>
      <c r="T5" s="50">
        <v>0.0</v>
      </c>
      <c r="U5" s="50">
        <v>0.0</v>
      </c>
      <c r="V5" s="50">
        <v>1.0</v>
      </c>
      <c r="W5" s="50">
        <v>0.0</v>
      </c>
      <c r="X5" s="50">
        <v>1.0</v>
      </c>
      <c r="Y5" s="50">
        <v>1.0</v>
      </c>
      <c r="Z5" s="50">
        <v>0.0</v>
      </c>
      <c r="AA5" s="50">
        <v>0.0</v>
      </c>
      <c r="AB5" s="48" t="s">
        <v>3012</v>
      </c>
      <c r="AC5" s="50">
        <v>0.0</v>
      </c>
      <c r="AD5" s="50">
        <v>0.0</v>
      </c>
      <c r="AE5" s="50">
        <v>0.0</v>
      </c>
      <c r="AF5" s="50">
        <v>1.0</v>
      </c>
      <c r="AG5" s="50">
        <v>0.0</v>
      </c>
      <c r="AH5" s="50">
        <v>0.0</v>
      </c>
      <c r="AI5" s="50">
        <v>0.0</v>
      </c>
      <c r="AJ5" s="50">
        <v>0.0</v>
      </c>
      <c r="AK5" s="50">
        <v>0.0</v>
      </c>
      <c r="AL5" s="48"/>
      <c r="AM5" s="48"/>
      <c r="AN5" s="48"/>
      <c r="AO5" s="48"/>
      <c r="AP5" s="50">
        <v>3.0</v>
      </c>
      <c r="AQ5" s="48"/>
      <c r="AR5" s="50">
        <v>3.0</v>
      </c>
      <c r="AS5" s="50">
        <v>10.0</v>
      </c>
      <c r="AT5" s="48"/>
      <c r="AU5" s="48"/>
      <c r="AV5" s="48"/>
      <c r="AW5" s="48"/>
      <c r="AX5" s="48"/>
      <c r="AY5" s="50">
        <v>7.0</v>
      </c>
      <c r="AZ5" s="48"/>
      <c r="BA5" s="50">
        <v>3.0</v>
      </c>
      <c r="BB5" s="50">
        <v>10.0</v>
      </c>
      <c r="BC5" s="48"/>
      <c r="BD5" s="48"/>
      <c r="BE5" s="48"/>
      <c r="BF5" s="48"/>
      <c r="BG5" s="48"/>
      <c r="BH5" s="48"/>
      <c r="BI5" s="48"/>
      <c r="BJ5" s="48"/>
      <c r="BK5" s="48"/>
      <c r="BL5" s="48"/>
      <c r="BM5" s="48"/>
      <c r="BN5" s="48"/>
      <c r="BO5" s="48"/>
      <c r="BP5" s="50">
        <v>0.0</v>
      </c>
      <c r="BQ5" s="50">
        <v>0.0</v>
      </c>
      <c r="BR5" s="50">
        <v>4.0</v>
      </c>
      <c r="BS5" s="50">
        <v>0.0</v>
      </c>
      <c r="BT5" s="48"/>
      <c r="BU5" s="48"/>
      <c r="BV5" s="48"/>
      <c r="BW5" s="48"/>
      <c r="BX5" s="48"/>
      <c r="BY5" s="48"/>
      <c r="BZ5" s="48"/>
      <c r="CA5" s="48"/>
      <c r="CB5" s="48"/>
      <c r="CC5" s="48"/>
      <c r="CD5" s="48"/>
      <c r="CE5" s="48"/>
      <c r="CF5" s="48"/>
      <c r="CG5" s="48"/>
      <c r="CH5" s="48"/>
      <c r="CI5" s="48"/>
      <c r="CJ5" s="48"/>
      <c r="CK5" s="50">
        <v>6.94224287E8</v>
      </c>
      <c r="CL5" s="48" t="s">
        <v>3029</v>
      </c>
      <c r="CM5" s="47">
        <v>46093.27766203704</v>
      </c>
      <c r="CN5" s="48"/>
      <c r="CO5" s="48"/>
      <c r="CP5" s="48" t="s">
        <v>1954</v>
      </c>
      <c r="CQ5" s="48"/>
      <c r="CR5" s="48" t="s">
        <v>3014</v>
      </c>
      <c r="CS5" s="48"/>
      <c r="CT5" s="48" t="s">
        <v>3030</v>
      </c>
      <c r="CU5" s="50">
        <v>4.0</v>
      </c>
    </row>
    <row r="6">
      <c r="A6" s="47">
        <v>46093.61099436343</v>
      </c>
      <c r="B6" s="47">
        <v>46093.61609659722</v>
      </c>
      <c r="C6" s="48" t="s">
        <v>3031</v>
      </c>
      <c r="D6" s="48" t="s">
        <v>3008</v>
      </c>
      <c r="E6" s="48" t="s">
        <v>3009</v>
      </c>
      <c r="F6" s="48" t="s">
        <v>3017</v>
      </c>
      <c r="G6" s="49" t="s">
        <v>3032</v>
      </c>
      <c r="H6" s="48" t="s">
        <v>3033</v>
      </c>
      <c r="I6" s="50">
        <v>0.0</v>
      </c>
      <c r="J6" s="50">
        <v>0.0</v>
      </c>
      <c r="K6" s="50">
        <v>0.0</v>
      </c>
      <c r="L6" s="50">
        <v>1.0</v>
      </c>
      <c r="M6" s="50">
        <v>0.0</v>
      </c>
      <c r="N6" s="50">
        <v>0.0</v>
      </c>
      <c r="O6" s="50">
        <v>1.0</v>
      </c>
      <c r="P6" s="50">
        <v>0.0</v>
      </c>
      <c r="Q6" s="50">
        <v>0.0</v>
      </c>
      <c r="R6" s="48" t="s">
        <v>3034</v>
      </c>
      <c r="S6" s="50">
        <v>0.0</v>
      </c>
      <c r="T6" s="50">
        <v>0.0</v>
      </c>
      <c r="U6" s="50">
        <v>0.0</v>
      </c>
      <c r="V6" s="50">
        <v>0.0</v>
      </c>
      <c r="W6" s="50">
        <v>0.0</v>
      </c>
      <c r="X6" s="50">
        <v>0.0</v>
      </c>
      <c r="Y6" s="50">
        <v>1.0</v>
      </c>
      <c r="Z6" s="50">
        <v>0.0</v>
      </c>
      <c r="AA6" s="50">
        <v>0.0</v>
      </c>
      <c r="AB6" s="48" t="s">
        <v>3033</v>
      </c>
      <c r="AC6" s="50">
        <v>0.0</v>
      </c>
      <c r="AD6" s="50">
        <v>0.0</v>
      </c>
      <c r="AE6" s="50">
        <v>0.0</v>
      </c>
      <c r="AF6" s="50">
        <v>1.0</v>
      </c>
      <c r="AG6" s="50">
        <v>0.0</v>
      </c>
      <c r="AH6" s="50">
        <v>0.0</v>
      </c>
      <c r="AI6" s="50">
        <v>1.0</v>
      </c>
      <c r="AJ6" s="50">
        <v>0.0</v>
      </c>
      <c r="AK6" s="50">
        <v>0.0</v>
      </c>
      <c r="AL6" s="48"/>
      <c r="AM6" s="48"/>
      <c r="AN6" s="48"/>
      <c r="AO6" s="48"/>
      <c r="AP6" s="50">
        <v>4.0</v>
      </c>
      <c r="AQ6" s="48"/>
      <c r="AR6" s="48"/>
      <c r="AS6" s="50">
        <v>10.0</v>
      </c>
      <c r="AT6" s="48"/>
      <c r="AU6" s="48"/>
      <c r="AV6" s="48"/>
      <c r="AW6" s="48"/>
      <c r="AX6" s="48"/>
      <c r="AY6" s="48"/>
      <c r="AZ6" s="48"/>
      <c r="BA6" s="48"/>
      <c r="BB6" s="50">
        <v>5.0</v>
      </c>
      <c r="BC6" s="48"/>
      <c r="BD6" s="48"/>
      <c r="BE6" s="48"/>
      <c r="BF6" s="48"/>
      <c r="BG6" s="48"/>
      <c r="BH6" s="48"/>
      <c r="BI6" s="48"/>
      <c r="BJ6" s="48"/>
      <c r="BK6" s="48"/>
      <c r="BL6" s="48"/>
      <c r="BM6" s="48"/>
      <c r="BN6" s="48"/>
      <c r="BO6" s="48"/>
      <c r="BP6" s="50">
        <v>0.0</v>
      </c>
      <c r="BQ6" s="50">
        <v>0.0</v>
      </c>
      <c r="BR6" s="50">
        <v>0.0</v>
      </c>
      <c r="BS6" s="50">
        <v>4.0</v>
      </c>
      <c r="BT6" s="48"/>
      <c r="BU6" s="48"/>
      <c r="BV6" s="48"/>
      <c r="BW6" s="48"/>
      <c r="BX6" s="48"/>
      <c r="BY6" s="48"/>
      <c r="BZ6" s="48"/>
      <c r="CA6" s="48"/>
      <c r="CB6" s="50">
        <v>0.0</v>
      </c>
      <c r="CC6" s="50">
        <v>0.0</v>
      </c>
      <c r="CD6" s="50">
        <v>0.0</v>
      </c>
      <c r="CE6" s="50">
        <v>5.0</v>
      </c>
      <c r="CF6" s="48"/>
      <c r="CG6" s="48"/>
      <c r="CH6" s="48"/>
      <c r="CI6" s="48"/>
      <c r="CJ6" s="48"/>
      <c r="CK6" s="50">
        <v>6.94233705E8</v>
      </c>
      <c r="CL6" s="48" t="s">
        <v>3035</v>
      </c>
      <c r="CM6" s="47">
        <v>46093.28278935186</v>
      </c>
      <c r="CN6" s="48"/>
      <c r="CO6" s="48"/>
      <c r="CP6" s="48" t="s">
        <v>1954</v>
      </c>
      <c r="CQ6" s="48"/>
      <c r="CR6" s="48" t="s">
        <v>3014</v>
      </c>
      <c r="CS6" s="48"/>
      <c r="CT6" s="48" t="s">
        <v>3036</v>
      </c>
      <c r="CU6" s="50">
        <v>5.0</v>
      </c>
    </row>
    <row r="7">
      <c r="A7" s="47">
        <v>46093.61609677083</v>
      </c>
      <c r="B7" s="47">
        <v>46093.62071975695</v>
      </c>
      <c r="C7" s="48" t="s">
        <v>3037</v>
      </c>
      <c r="D7" s="48" t="s">
        <v>3008</v>
      </c>
      <c r="E7" s="48" t="s">
        <v>3009</v>
      </c>
      <c r="F7" s="48" t="s">
        <v>3038</v>
      </c>
      <c r="G7" s="49" t="s">
        <v>3039</v>
      </c>
      <c r="H7" s="48" t="s">
        <v>3040</v>
      </c>
      <c r="I7" s="50">
        <v>0.0</v>
      </c>
      <c r="J7" s="50">
        <v>0.0</v>
      </c>
      <c r="K7" s="50">
        <v>0.0</v>
      </c>
      <c r="L7" s="50">
        <v>1.0</v>
      </c>
      <c r="M7" s="50">
        <v>0.0</v>
      </c>
      <c r="N7" s="50">
        <v>0.0</v>
      </c>
      <c r="O7" s="50">
        <v>1.0</v>
      </c>
      <c r="P7" s="50">
        <v>1.0</v>
      </c>
      <c r="Q7" s="50">
        <v>0.0</v>
      </c>
      <c r="R7" s="48" t="s">
        <v>3012</v>
      </c>
      <c r="S7" s="50">
        <v>0.0</v>
      </c>
      <c r="T7" s="50">
        <v>0.0</v>
      </c>
      <c r="U7" s="50">
        <v>0.0</v>
      </c>
      <c r="V7" s="50">
        <v>1.0</v>
      </c>
      <c r="W7" s="50">
        <v>0.0</v>
      </c>
      <c r="X7" s="50">
        <v>0.0</v>
      </c>
      <c r="Y7" s="50">
        <v>0.0</v>
      </c>
      <c r="Z7" s="50">
        <v>0.0</v>
      </c>
      <c r="AA7" s="50">
        <v>0.0</v>
      </c>
      <c r="AB7" s="48" t="s">
        <v>3040</v>
      </c>
      <c r="AC7" s="50">
        <v>0.0</v>
      </c>
      <c r="AD7" s="50">
        <v>0.0</v>
      </c>
      <c r="AE7" s="50">
        <v>0.0</v>
      </c>
      <c r="AF7" s="50">
        <v>1.0</v>
      </c>
      <c r="AG7" s="50">
        <v>0.0</v>
      </c>
      <c r="AH7" s="50">
        <v>0.0</v>
      </c>
      <c r="AI7" s="50">
        <v>1.0</v>
      </c>
      <c r="AJ7" s="50">
        <v>1.0</v>
      </c>
      <c r="AK7" s="50">
        <v>0.0</v>
      </c>
      <c r="AL7" s="48"/>
      <c r="AM7" s="48"/>
      <c r="AN7" s="48"/>
      <c r="AO7" s="48"/>
      <c r="AP7" s="50">
        <v>6.0</v>
      </c>
      <c r="AQ7" s="48"/>
      <c r="AR7" s="48"/>
      <c r="AS7" s="50">
        <v>10.0</v>
      </c>
      <c r="AT7" s="50">
        <v>6.0</v>
      </c>
      <c r="AU7" s="48"/>
      <c r="AV7" s="48"/>
      <c r="AW7" s="48"/>
      <c r="AX7" s="48"/>
      <c r="AY7" s="50">
        <v>10.0</v>
      </c>
      <c r="AZ7" s="48"/>
      <c r="BA7" s="48"/>
      <c r="BB7" s="48"/>
      <c r="BC7" s="48"/>
      <c r="BD7" s="48"/>
      <c r="BE7" s="48"/>
      <c r="BF7" s="48"/>
      <c r="BG7" s="48"/>
      <c r="BH7" s="48"/>
      <c r="BI7" s="48"/>
      <c r="BJ7" s="48"/>
      <c r="BK7" s="48"/>
      <c r="BL7" s="48"/>
      <c r="BM7" s="48"/>
      <c r="BN7" s="48"/>
      <c r="BO7" s="48"/>
      <c r="BP7" s="50">
        <v>0.0</v>
      </c>
      <c r="BQ7" s="50">
        <v>0.0</v>
      </c>
      <c r="BR7" s="50">
        <v>4.0</v>
      </c>
      <c r="BS7" s="50">
        <v>0.0</v>
      </c>
      <c r="BT7" s="48"/>
      <c r="BU7" s="48"/>
      <c r="BV7" s="48"/>
      <c r="BW7" s="48"/>
      <c r="BX7" s="48"/>
      <c r="BY7" s="48"/>
      <c r="BZ7" s="48"/>
      <c r="CA7" s="48"/>
      <c r="CB7" s="50">
        <v>0.0</v>
      </c>
      <c r="CC7" s="50">
        <v>0.0</v>
      </c>
      <c r="CD7" s="50">
        <v>0.0</v>
      </c>
      <c r="CE7" s="50">
        <v>10.0</v>
      </c>
      <c r="CF7" s="50">
        <v>0.0</v>
      </c>
      <c r="CG7" s="50">
        <v>0.0</v>
      </c>
      <c r="CH7" s="50">
        <v>0.0</v>
      </c>
      <c r="CI7" s="50">
        <v>6.0</v>
      </c>
      <c r="CJ7" s="48"/>
      <c r="CK7" s="50">
        <v>6.94242127E8</v>
      </c>
      <c r="CL7" s="48" t="s">
        <v>3041</v>
      </c>
      <c r="CM7" s="47">
        <v>46093.28740740741</v>
      </c>
      <c r="CN7" s="48"/>
      <c r="CO7" s="48"/>
      <c r="CP7" s="48" t="s">
        <v>1954</v>
      </c>
      <c r="CQ7" s="48"/>
      <c r="CR7" s="48" t="s">
        <v>3014</v>
      </c>
      <c r="CS7" s="48"/>
      <c r="CT7" s="48" t="s">
        <v>3042</v>
      </c>
      <c r="CU7" s="50">
        <v>6.0</v>
      </c>
    </row>
    <row r="8">
      <c r="A8" s="47">
        <v>46093.62071994213</v>
      </c>
      <c r="B8" s="47">
        <v>46093.62755319444</v>
      </c>
      <c r="C8" s="48" t="s">
        <v>3043</v>
      </c>
      <c r="D8" s="48" t="s">
        <v>3008</v>
      </c>
      <c r="E8" s="48" t="s">
        <v>3009</v>
      </c>
      <c r="F8" s="48" t="s">
        <v>3044</v>
      </c>
      <c r="G8" s="49" t="s">
        <v>3045</v>
      </c>
      <c r="H8" s="48" t="s">
        <v>3033</v>
      </c>
      <c r="I8" s="50">
        <v>0.0</v>
      </c>
      <c r="J8" s="50">
        <v>0.0</v>
      </c>
      <c r="K8" s="50">
        <v>0.0</v>
      </c>
      <c r="L8" s="50">
        <v>1.0</v>
      </c>
      <c r="M8" s="50">
        <v>0.0</v>
      </c>
      <c r="N8" s="50">
        <v>0.0</v>
      </c>
      <c r="O8" s="50">
        <v>1.0</v>
      </c>
      <c r="P8" s="50">
        <v>0.0</v>
      </c>
      <c r="Q8" s="50">
        <v>0.0</v>
      </c>
      <c r="R8" s="48" t="s">
        <v>3033</v>
      </c>
      <c r="S8" s="50">
        <v>0.0</v>
      </c>
      <c r="T8" s="50">
        <v>0.0</v>
      </c>
      <c r="U8" s="50">
        <v>0.0</v>
      </c>
      <c r="V8" s="50">
        <v>1.0</v>
      </c>
      <c r="W8" s="50">
        <v>0.0</v>
      </c>
      <c r="X8" s="50">
        <v>0.0</v>
      </c>
      <c r="Y8" s="50">
        <v>1.0</v>
      </c>
      <c r="Z8" s="50">
        <v>0.0</v>
      </c>
      <c r="AA8" s="50">
        <v>0.0</v>
      </c>
      <c r="AB8" s="48" t="s">
        <v>3012</v>
      </c>
      <c r="AC8" s="50">
        <v>0.0</v>
      </c>
      <c r="AD8" s="50">
        <v>0.0</v>
      </c>
      <c r="AE8" s="50">
        <v>0.0</v>
      </c>
      <c r="AF8" s="50">
        <v>1.0</v>
      </c>
      <c r="AG8" s="50">
        <v>0.0</v>
      </c>
      <c r="AH8" s="50">
        <v>0.0</v>
      </c>
      <c r="AI8" s="50">
        <v>0.0</v>
      </c>
      <c r="AJ8" s="50">
        <v>0.0</v>
      </c>
      <c r="AK8" s="50">
        <v>0.0</v>
      </c>
      <c r="AL8" s="48"/>
      <c r="AM8" s="48"/>
      <c r="AN8" s="48"/>
      <c r="AO8" s="48"/>
      <c r="AP8" s="50">
        <v>9.0</v>
      </c>
      <c r="AQ8" s="48"/>
      <c r="AR8" s="48"/>
      <c r="AS8" s="50">
        <v>10.0</v>
      </c>
      <c r="AT8" s="48"/>
      <c r="AU8" s="48"/>
      <c r="AV8" s="48"/>
      <c r="AW8" s="48"/>
      <c r="AX8" s="48"/>
      <c r="AY8" s="50">
        <v>4.0</v>
      </c>
      <c r="AZ8" s="48"/>
      <c r="BA8" s="48"/>
      <c r="BB8" s="50">
        <v>10.0</v>
      </c>
      <c r="BC8" s="48"/>
      <c r="BD8" s="48"/>
      <c r="BE8" s="48"/>
      <c r="BF8" s="48"/>
      <c r="BG8" s="48"/>
      <c r="BH8" s="48"/>
      <c r="BI8" s="48"/>
      <c r="BJ8" s="48"/>
      <c r="BK8" s="48"/>
      <c r="BL8" s="48"/>
      <c r="BM8" s="48"/>
      <c r="BN8" s="48"/>
      <c r="BO8" s="48"/>
      <c r="BP8" s="50">
        <v>0.0</v>
      </c>
      <c r="BQ8" s="50">
        <v>0.0</v>
      </c>
      <c r="BR8" s="50">
        <v>0.0</v>
      </c>
      <c r="BS8" s="50">
        <v>5.0</v>
      </c>
      <c r="BT8" s="48"/>
      <c r="BU8" s="48"/>
      <c r="BV8" s="48"/>
      <c r="BW8" s="48"/>
      <c r="BX8" s="48"/>
      <c r="BY8" s="48"/>
      <c r="BZ8" s="48"/>
      <c r="CA8" s="48"/>
      <c r="CB8" s="48"/>
      <c r="CC8" s="48"/>
      <c r="CD8" s="48"/>
      <c r="CE8" s="48"/>
      <c r="CF8" s="48"/>
      <c r="CG8" s="48"/>
      <c r="CH8" s="48"/>
      <c r="CI8" s="48"/>
      <c r="CJ8" s="48"/>
      <c r="CK8" s="50">
        <v>6.94253936E8</v>
      </c>
      <c r="CL8" s="48" t="s">
        <v>3046</v>
      </c>
      <c r="CM8" s="47">
        <v>46093.29423611111</v>
      </c>
      <c r="CN8" s="48"/>
      <c r="CO8" s="48"/>
      <c r="CP8" s="48" t="s">
        <v>1954</v>
      </c>
      <c r="CQ8" s="48"/>
      <c r="CR8" s="48" t="s">
        <v>3014</v>
      </c>
      <c r="CS8" s="48"/>
      <c r="CT8" s="48" t="s">
        <v>3047</v>
      </c>
      <c r="CU8" s="50">
        <v>7.0</v>
      </c>
    </row>
    <row r="9">
      <c r="A9" s="47">
        <v>46093.62755336805</v>
      </c>
      <c r="B9" s="47">
        <v>46093.63085974537</v>
      </c>
      <c r="C9" s="48" t="s">
        <v>3048</v>
      </c>
      <c r="D9" s="48" t="s">
        <v>3008</v>
      </c>
      <c r="E9" s="48" t="s">
        <v>3009</v>
      </c>
      <c r="F9" s="48" t="s">
        <v>3010</v>
      </c>
      <c r="G9" s="49" t="s">
        <v>3049</v>
      </c>
      <c r="H9" s="48" t="s">
        <v>3028</v>
      </c>
      <c r="I9" s="50">
        <v>0.0</v>
      </c>
      <c r="J9" s="50">
        <v>0.0</v>
      </c>
      <c r="K9" s="50">
        <v>0.0</v>
      </c>
      <c r="L9" s="50">
        <v>1.0</v>
      </c>
      <c r="M9" s="50">
        <v>0.0</v>
      </c>
      <c r="N9" s="50">
        <v>1.0</v>
      </c>
      <c r="O9" s="50">
        <v>1.0</v>
      </c>
      <c r="P9" s="50">
        <v>0.0</v>
      </c>
      <c r="Q9" s="50">
        <v>0.0</v>
      </c>
      <c r="R9" s="48" t="s">
        <v>3050</v>
      </c>
      <c r="S9" s="50">
        <v>0.0</v>
      </c>
      <c r="T9" s="50">
        <v>0.0</v>
      </c>
      <c r="U9" s="50">
        <v>0.0</v>
      </c>
      <c r="V9" s="50">
        <v>0.0</v>
      </c>
      <c r="W9" s="50">
        <v>0.0</v>
      </c>
      <c r="X9" s="50">
        <v>1.0</v>
      </c>
      <c r="Y9" s="50">
        <v>1.0</v>
      </c>
      <c r="Z9" s="50">
        <v>0.0</v>
      </c>
      <c r="AA9" s="50">
        <v>0.0</v>
      </c>
      <c r="AB9" s="48" t="s">
        <v>3012</v>
      </c>
      <c r="AC9" s="50">
        <v>0.0</v>
      </c>
      <c r="AD9" s="50">
        <v>0.0</v>
      </c>
      <c r="AE9" s="50">
        <v>0.0</v>
      </c>
      <c r="AF9" s="50">
        <v>1.0</v>
      </c>
      <c r="AG9" s="50">
        <v>0.0</v>
      </c>
      <c r="AH9" s="50">
        <v>0.0</v>
      </c>
      <c r="AI9" s="50">
        <v>0.0</v>
      </c>
      <c r="AJ9" s="50">
        <v>0.0</v>
      </c>
      <c r="AK9" s="50">
        <v>0.0</v>
      </c>
      <c r="AL9" s="48"/>
      <c r="AM9" s="48"/>
      <c r="AN9" s="48"/>
      <c r="AO9" s="48"/>
      <c r="AP9" s="50">
        <v>8.0</v>
      </c>
      <c r="AQ9" s="48"/>
      <c r="AR9" s="50">
        <v>6.0</v>
      </c>
      <c r="AS9" s="50">
        <v>6.0</v>
      </c>
      <c r="AT9" s="48"/>
      <c r="AU9" s="48"/>
      <c r="AV9" s="48"/>
      <c r="AW9" s="48"/>
      <c r="AX9" s="48"/>
      <c r="AY9" s="48"/>
      <c r="AZ9" s="48"/>
      <c r="BA9" s="50">
        <v>6.0</v>
      </c>
      <c r="BB9" s="50">
        <v>6.0</v>
      </c>
      <c r="BC9" s="48"/>
      <c r="BD9" s="48"/>
      <c r="BE9" s="48"/>
      <c r="BF9" s="48"/>
      <c r="BG9" s="48"/>
      <c r="BH9" s="48"/>
      <c r="BI9" s="48"/>
      <c r="BJ9" s="48"/>
      <c r="BK9" s="48"/>
      <c r="BL9" s="48"/>
      <c r="BM9" s="48"/>
      <c r="BN9" s="48"/>
      <c r="BO9" s="48"/>
      <c r="BP9" s="50">
        <v>0.0</v>
      </c>
      <c r="BQ9" s="50">
        <v>0.0</v>
      </c>
      <c r="BR9" s="50">
        <v>0.0</v>
      </c>
      <c r="BS9" s="50">
        <v>8.0</v>
      </c>
      <c r="BT9" s="48"/>
      <c r="BU9" s="48"/>
      <c r="BV9" s="48"/>
      <c r="BW9" s="48"/>
      <c r="BX9" s="48"/>
      <c r="BY9" s="48"/>
      <c r="BZ9" s="48"/>
      <c r="CA9" s="48"/>
      <c r="CB9" s="48"/>
      <c r="CC9" s="48"/>
      <c r="CD9" s="48"/>
      <c r="CE9" s="48"/>
      <c r="CF9" s="48"/>
      <c r="CG9" s="48"/>
      <c r="CH9" s="48"/>
      <c r="CI9" s="48"/>
      <c r="CJ9" s="48"/>
      <c r="CK9" s="50">
        <v>6.94259612E8</v>
      </c>
      <c r="CL9" s="48" t="s">
        <v>3051</v>
      </c>
      <c r="CM9" s="47">
        <v>46093.29755787037</v>
      </c>
      <c r="CN9" s="48"/>
      <c r="CO9" s="48"/>
      <c r="CP9" s="48" t="s">
        <v>1954</v>
      </c>
      <c r="CQ9" s="48"/>
      <c r="CR9" s="48" t="s">
        <v>3014</v>
      </c>
      <c r="CS9" s="48"/>
      <c r="CT9" s="48" t="s">
        <v>3052</v>
      </c>
      <c r="CU9" s="50">
        <v>8.0</v>
      </c>
    </row>
    <row r="10">
      <c r="A10" s="47">
        <v>46093.63085987268</v>
      </c>
      <c r="B10" s="47">
        <v>46093.63365528936</v>
      </c>
      <c r="C10" s="48" t="s">
        <v>3053</v>
      </c>
      <c r="D10" s="48" t="s">
        <v>3008</v>
      </c>
      <c r="E10" s="48" t="s">
        <v>3009</v>
      </c>
      <c r="F10" s="48" t="s">
        <v>3010</v>
      </c>
      <c r="G10" s="49" t="s">
        <v>3054</v>
      </c>
      <c r="H10" s="48" t="s">
        <v>3012</v>
      </c>
      <c r="I10" s="50">
        <v>0.0</v>
      </c>
      <c r="J10" s="50">
        <v>0.0</v>
      </c>
      <c r="K10" s="50">
        <v>0.0</v>
      </c>
      <c r="L10" s="50">
        <v>1.0</v>
      </c>
      <c r="M10" s="50">
        <v>0.0</v>
      </c>
      <c r="N10" s="50">
        <v>0.0</v>
      </c>
      <c r="O10" s="50">
        <v>0.0</v>
      </c>
      <c r="P10" s="50">
        <v>0.0</v>
      </c>
      <c r="Q10" s="50">
        <v>0.0</v>
      </c>
      <c r="R10" s="48" t="s">
        <v>3012</v>
      </c>
      <c r="S10" s="50">
        <v>0.0</v>
      </c>
      <c r="T10" s="50">
        <v>0.0</v>
      </c>
      <c r="U10" s="50">
        <v>0.0</v>
      </c>
      <c r="V10" s="50">
        <v>1.0</v>
      </c>
      <c r="W10" s="50">
        <v>0.0</v>
      </c>
      <c r="X10" s="50">
        <v>0.0</v>
      </c>
      <c r="Y10" s="50">
        <v>0.0</v>
      </c>
      <c r="Z10" s="50">
        <v>0.0</v>
      </c>
      <c r="AA10" s="50">
        <v>0.0</v>
      </c>
      <c r="AB10" s="48" t="s">
        <v>3012</v>
      </c>
      <c r="AC10" s="50">
        <v>0.0</v>
      </c>
      <c r="AD10" s="50">
        <v>0.0</v>
      </c>
      <c r="AE10" s="50">
        <v>0.0</v>
      </c>
      <c r="AF10" s="50">
        <v>1.0</v>
      </c>
      <c r="AG10" s="50">
        <v>0.0</v>
      </c>
      <c r="AH10" s="50">
        <v>0.0</v>
      </c>
      <c r="AI10" s="50">
        <v>0.0</v>
      </c>
      <c r="AJ10" s="50">
        <v>0.0</v>
      </c>
      <c r="AK10" s="50">
        <v>0.0</v>
      </c>
      <c r="AL10" s="48"/>
      <c r="AM10" s="48"/>
      <c r="AN10" s="48"/>
      <c r="AO10" s="48"/>
      <c r="AP10" s="50">
        <v>6.0</v>
      </c>
      <c r="AQ10" s="48"/>
      <c r="AR10" s="48"/>
      <c r="AS10" s="48"/>
      <c r="AT10" s="48"/>
      <c r="AU10" s="48"/>
      <c r="AV10" s="48"/>
      <c r="AW10" s="48"/>
      <c r="AX10" s="48"/>
      <c r="AY10" s="50">
        <v>2.0</v>
      </c>
      <c r="AZ10" s="48"/>
      <c r="BA10" s="48"/>
      <c r="BB10" s="48"/>
      <c r="BC10" s="48"/>
      <c r="BD10" s="48"/>
      <c r="BE10" s="48"/>
      <c r="BF10" s="48"/>
      <c r="BG10" s="48"/>
      <c r="BH10" s="48"/>
      <c r="BI10" s="48"/>
      <c r="BJ10" s="48"/>
      <c r="BK10" s="48"/>
      <c r="BL10" s="48"/>
      <c r="BM10" s="48"/>
      <c r="BN10" s="48"/>
      <c r="BO10" s="48"/>
      <c r="BP10" s="50">
        <v>0.0</v>
      </c>
      <c r="BQ10" s="50">
        <v>0.0</v>
      </c>
      <c r="BR10" s="50">
        <v>0.0</v>
      </c>
      <c r="BS10" s="50">
        <v>4.0</v>
      </c>
      <c r="BT10" s="48"/>
      <c r="BU10" s="48"/>
      <c r="BV10" s="48"/>
      <c r="BW10" s="48"/>
      <c r="BX10" s="48"/>
      <c r="BY10" s="48"/>
      <c r="BZ10" s="48"/>
      <c r="CA10" s="48"/>
      <c r="CB10" s="48"/>
      <c r="CC10" s="48"/>
      <c r="CD10" s="48"/>
      <c r="CE10" s="48"/>
      <c r="CF10" s="48"/>
      <c r="CG10" s="48"/>
      <c r="CH10" s="48"/>
      <c r="CI10" s="48"/>
      <c r="CJ10" s="48"/>
      <c r="CK10" s="50">
        <v>6.94265474E8</v>
      </c>
      <c r="CL10" s="48" t="s">
        <v>3055</v>
      </c>
      <c r="CM10" s="47">
        <v>46093.30032407407</v>
      </c>
      <c r="CN10" s="48"/>
      <c r="CO10" s="48"/>
      <c r="CP10" s="48" t="s">
        <v>1954</v>
      </c>
      <c r="CQ10" s="48"/>
      <c r="CR10" s="48" t="s">
        <v>3014</v>
      </c>
      <c r="CS10" s="48"/>
      <c r="CT10" s="48" t="s">
        <v>3056</v>
      </c>
      <c r="CU10" s="50">
        <v>9.0</v>
      </c>
    </row>
    <row r="11">
      <c r="A11" s="47">
        <v>46093.63365541667</v>
      </c>
      <c r="B11" s="47">
        <v>46093.63785106481</v>
      </c>
      <c r="C11" s="48" t="s">
        <v>3057</v>
      </c>
      <c r="D11" s="48" t="s">
        <v>3008</v>
      </c>
      <c r="E11" s="48" t="s">
        <v>3009</v>
      </c>
      <c r="F11" s="48" t="s">
        <v>3044</v>
      </c>
      <c r="G11" s="49" t="s">
        <v>3058</v>
      </c>
      <c r="H11" s="48" t="s">
        <v>3040</v>
      </c>
      <c r="I11" s="50">
        <v>0.0</v>
      </c>
      <c r="J11" s="50">
        <v>0.0</v>
      </c>
      <c r="K11" s="50">
        <v>0.0</v>
      </c>
      <c r="L11" s="50">
        <v>1.0</v>
      </c>
      <c r="M11" s="50">
        <v>0.0</v>
      </c>
      <c r="N11" s="50">
        <v>0.0</v>
      </c>
      <c r="O11" s="50">
        <v>1.0</v>
      </c>
      <c r="P11" s="50">
        <v>1.0</v>
      </c>
      <c r="Q11" s="50">
        <v>0.0</v>
      </c>
      <c r="R11" s="48" t="s">
        <v>3040</v>
      </c>
      <c r="S11" s="50">
        <v>0.0</v>
      </c>
      <c r="T11" s="50">
        <v>0.0</v>
      </c>
      <c r="U11" s="50">
        <v>0.0</v>
      </c>
      <c r="V11" s="50">
        <v>1.0</v>
      </c>
      <c r="W11" s="50">
        <v>0.0</v>
      </c>
      <c r="X11" s="50">
        <v>0.0</v>
      </c>
      <c r="Y11" s="50">
        <v>1.0</v>
      </c>
      <c r="Z11" s="50">
        <v>1.0</v>
      </c>
      <c r="AA11" s="50">
        <v>0.0</v>
      </c>
      <c r="AB11" s="48" t="s">
        <v>3012</v>
      </c>
      <c r="AC11" s="50">
        <v>0.0</v>
      </c>
      <c r="AD11" s="50">
        <v>0.0</v>
      </c>
      <c r="AE11" s="50">
        <v>0.0</v>
      </c>
      <c r="AF11" s="50">
        <v>1.0</v>
      </c>
      <c r="AG11" s="50">
        <v>0.0</v>
      </c>
      <c r="AH11" s="50">
        <v>0.0</v>
      </c>
      <c r="AI11" s="50">
        <v>0.0</v>
      </c>
      <c r="AJ11" s="50">
        <v>0.0</v>
      </c>
      <c r="AK11" s="50">
        <v>0.0</v>
      </c>
      <c r="AL11" s="48"/>
      <c r="AM11" s="48"/>
      <c r="AN11" s="48"/>
      <c r="AO11" s="48"/>
      <c r="AP11" s="50">
        <v>6.0</v>
      </c>
      <c r="AQ11" s="48"/>
      <c r="AR11" s="48"/>
      <c r="AS11" s="50">
        <v>10.0</v>
      </c>
      <c r="AT11" s="50">
        <v>8.0</v>
      </c>
      <c r="AU11" s="48"/>
      <c r="AV11" s="48"/>
      <c r="AW11" s="48"/>
      <c r="AX11" s="48"/>
      <c r="AY11" s="50">
        <v>1.0</v>
      </c>
      <c r="AZ11" s="48"/>
      <c r="BA11" s="48"/>
      <c r="BB11" s="50">
        <v>10.0</v>
      </c>
      <c r="BC11" s="50">
        <v>8.0</v>
      </c>
      <c r="BD11" s="48"/>
      <c r="BE11" s="48"/>
      <c r="BF11" s="48"/>
      <c r="BG11" s="48"/>
      <c r="BH11" s="48"/>
      <c r="BI11" s="48"/>
      <c r="BJ11" s="48"/>
      <c r="BK11" s="48"/>
      <c r="BL11" s="48"/>
      <c r="BM11" s="48"/>
      <c r="BN11" s="48"/>
      <c r="BO11" s="48"/>
      <c r="BP11" s="50">
        <v>0.0</v>
      </c>
      <c r="BQ11" s="50">
        <v>0.0</v>
      </c>
      <c r="BR11" s="50">
        <v>0.0</v>
      </c>
      <c r="BS11" s="50">
        <v>5.0</v>
      </c>
      <c r="BT11" s="48"/>
      <c r="BU11" s="48"/>
      <c r="BV11" s="48"/>
      <c r="BW11" s="48"/>
      <c r="BX11" s="48"/>
      <c r="BY11" s="48"/>
      <c r="BZ11" s="48"/>
      <c r="CA11" s="48"/>
      <c r="CB11" s="48"/>
      <c r="CC11" s="48"/>
      <c r="CD11" s="48"/>
      <c r="CE11" s="48"/>
      <c r="CF11" s="48"/>
      <c r="CG11" s="48"/>
      <c r="CH11" s="48"/>
      <c r="CI11" s="48"/>
      <c r="CJ11" s="48"/>
      <c r="CK11" s="50">
        <v>6.94275325E8</v>
      </c>
      <c r="CL11" s="48" t="s">
        <v>3059</v>
      </c>
      <c r="CM11" s="47">
        <v>46093.30452546296</v>
      </c>
      <c r="CN11" s="48"/>
      <c r="CO11" s="48"/>
      <c r="CP11" s="48" t="s">
        <v>1954</v>
      </c>
      <c r="CQ11" s="48"/>
      <c r="CR11" s="48" t="s">
        <v>3014</v>
      </c>
      <c r="CS11" s="48"/>
      <c r="CT11" s="48" t="s">
        <v>3060</v>
      </c>
      <c r="CU11" s="50">
        <v>10.0</v>
      </c>
    </row>
    <row r="12">
      <c r="A12" s="47">
        <v>46093.6378512037</v>
      </c>
      <c r="B12" s="47">
        <v>46093.64291237268</v>
      </c>
      <c r="C12" s="48" t="s">
        <v>3061</v>
      </c>
      <c r="D12" s="48" t="s">
        <v>3008</v>
      </c>
      <c r="E12" s="48" t="s">
        <v>3009</v>
      </c>
      <c r="F12" s="48" t="s">
        <v>3044</v>
      </c>
      <c r="G12" s="49" t="s">
        <v>3062</v>
      </c>
      <c r="H12" s="48" t="s">
        <v>3012</v>
      </c>
      <c r="I12" s="50">
        <v>0.0</v>
      </c>
      <c r="J12" s="50">
        <v>0.0</v>
      </c>
      <c r="K12" s="50">
        <v>0.0</v>
      </c>
      <c r="L12" s="50">
        <v>1.0</v>
      </c>
      <c r="M12" s="50">
        <v>0.0</v>
      </c>
      <c r="N12" s="50">
        <v>0.0</v>
      </c>
      <c r="O12" s="50">
        <v>0.0</v>
      </c>
      <c r="P12" s="50">
        <v>0.0</v>
      </c>
      <c r="Q12" s="50">
        <v>0.0</v>
      </c>
      <c r="R12" s="48" t="s">
        <v>3012</v>
      </c>
      <c r="S12" s="50">
        <v>0.0</v>
      </c>
      <c r="T12" s="50">
        <v>0.0</v>
      </c>
      <c r="U12" s="50">
        <v>0.0</v>
      </c>
      <c r="V12" s="50">
        <v>1.0</v>
      </c>
      <c r="W12" s="50">
        <v>0.0</v>
      </c>
      <c r="X12" s="50">
        <v>0.0</v>
      </c>
      <c r="Y12" s="50">
        <v>0.0</v>
      </c>
      <c r="Z12" s="50">
        <v>0.0</v>
      </c>
      <c r="AA12" s="50">
        <v>0.0</v>
      </c>
      <c r="AB12" s="48" t="s">
        <v>3012</v>
      </c>
      <c r="AC12" s="50">
        <v>0.0</v>
      </c>
      <c r="AD12" s="50">
        <v>0.0</v>
      </c>
      <c r="AE12" s="50">
        <v>0.0</v>
      </c>
      <c r="AF12" s="50">
        <v>1.0</v>
      </c>
      <c r="AG12" s="50">
        <v>0.0</v>
      </c>
      <c r="AH12" s="50">
        <v>0.0</v>
      </c>
      <c r="AI12" s="50">
        <v>0.0</v>
      </c>
      <c r="AJ12" s="50">
        <v>0.0</v>
      </c>
      <c r="AK12" s="50">
        <v>0.0</v>
      </c>
      <c r="AL12" s="48"/>
      <c r="AM12" s="48"/>
      <c r="AN12" s="48"/>
      <c r="AO12" s="48"/>
      <c r="AP12" s="50">
        <v>2.0</v>
      </c>
      <c r="AQ12" s="48"/>
      <c r="AR12" s="48"/>
      <c r="AS12" s="48"/>
      <c r="AT12" s="48"/>
      <c r="AU12" s="48"/>
      <c r="AV12" s="48"/>
      <c r="AW12" s="48"/>
      <c r="AX12" s="48"/>
      <c r="AY12" s="50">
        <v>1.0</v>
      </c>
      <c r="AZ12" s="48"/>
      <c r="BA12" s="48"/>
      <c r="BB12" s="48"/>
      <c r="BC12" s="48"/>
      <c r="BD12" s="48"/>
      <c r="BE12" s="48"/>
      <c r="BF12" s="48"/>
      <c r="BG12" s="48"/>
      <c r="BH12" s="48"/>
      <c r="BI12" s="48"/>
      <c r="BJ12" s="48"/>
      <c r="BK12" s="48"/>
      <c r="BL12" s="48"/>
      <c r="BM12" s="48"/>
      <c r="BN12" s="48"/>
      <c r="BO12" s="48"/>
      <c r="BP12" s="50">
        <v>0.0</v>
      </c>
      <c r="BQ12" s="50">
        <v>0.0</v>
      </c>
      <c r="BR12" s="50">
        <v>0.0</v>
      </c>
      <c r="BS12" s="50">
        <v>1.0</v>
      </c>
      <c r="BT12" s="48"/>
      <c r="BU12" s="48"/>
      <c r="BV12" s="48"/>
      <c r="BW12" s="48"/>
      <c r="BX12" s="48"/>
      <c r="BY12" s="48"/>
      <c r="BZ12" s="48"/>
      <c r="CA12" s="48"/>
      <c r="CB12" s="48"/>
      <c r="CC12" s="48"/>
      <c r="CD12" s="48"/>
      <c r="CE12" s="48"/>
      <c r="CF12" s="48"/>
      <c r="CG12" s="48"/>
      <c r="CH12" s="48"/>
      <c r="CI12" s="48"/>
      <c r="CJ12" s="48"/>
      <c r="CK12" s="50">
        <v>6.94287122E8</v>
      </c>
      <c r="CL12" s="48" t="s">
        <v>3063</v>
      </c>
      <c r="CM12" s="47">
        <v>46093.30961805556</v>
      </c>
      <c r="CN12" s="48"/>
      <c r="CO12" s="48"/>
      <c r="CP12" s="48" t="s">
        <v>1954</v>
      </c>
      <c r="CQ12" s="48"/>
      <c r="CR12" s="48" t="s">
        <v>3014</v>
      </c>
      <c r="CS12" s="48"/>
      <c r="CT12" s="48" t="s">
        <v>3064</v>
      </c>
      <c r="CU12" s="50">
        <v>11.0</v>
      </c>
    </row>
    <row r="13">
      <c r="A13" s="47">
        <v>46093.64291260417</v>
      </c>
      <c r="B13" s="47">
        <v>46093.6533146412</v>
      </c>
      <c r="C13" s="48" t="s">
        <v>3065</v>
      </c>
      <c r="D13" s="48" t="s">
        <v>3008</v>
      </c>
      <c r="E13" s="48" t="s">
        <v>3009</v>
      </c>
      <c r="F13" s="48" t="s">
        <v>3010</v>
      </c>
      <c r="G13" s="49" t="s">
        <v>3066</v>
      </c>
      <c r="H13" s="48" t="s">
        <v>3067</v>
      </c>
      <c r="I13" s="50">
        <v>0.0</v>
      </c>
      <c r="J13" s="50">
        <v>0.0</v>
      </c>
      <c r="K13" s="50">
        <v>1.0</v>
      </c>
      <c r="L13" s="50">
        <v>1.0</v>
      </c>
      <c r="M13" s="50">
        <v>0.0</v>
      </c>
      <c r="N13" s="50">
        <v>0.0</v>
      </c>
      <c r="O13" s="50">
        <v>0.0</v>
      </c>
      <c r="P13" s="50">
        <v>0.0</v>
      </c>
      <c r="Q13" s="50">
        <v>0.0</v>
      </c>
      <c r="R13" s="48" t="s">
        <v>3012</v>
      </c>
      <c r="S13" s="50">
        <v>0.0</v>
      </c>
      <c r="T13" s="50">
        <v>0.0</v>
      </c>
      <c r="U13" s="50">
        <v>0.0</v>
      </c>
      <c r="V13" s="50">
        <v>1.0</v>
      </c>
      <c r="W13" s="50">
        <v>0.0</v>
      </c>
      <c r="X13" s="50">
        <v>0.0</v>
      </c>
      <c r="Y13" s="50">
        <v>0.0</v>
      </c>
      <c r="Z13" s="50">
        <v>0.0</v>
      </c>
      <c r="AA13" s="50">
        <v>0.0</v>
      </c>
      <c r="AB13" s="48" t="s">
        <v>3067</v>
      </c>
      <c r="AC13" s="50">
        <v>0.0</v>
      </c>
      <c r="AD13" s="50">
        <v>0.0</v>
      </c>
      <c r="AE13" s="50">
        <v>1.0</v>
      </c>
      <c r="AF13" s="50">
        <v>1.0</v>
      </c>
      <c r="AG13" s="50">
        <v>0.0</v>
      </c>
      <c r="AH13" s="50">
        <v>0.0</v>
      </c>
      <c r="AI13" s="50">
        <v>0.0</v>
      </c>
      <c r="AJ13" s="50">
        <v>0.0</v>
      </c>
      <c r="AK13" s="50">
        <v>0.0</v>
      </c>
      <c r="AL13" s="48"/>
      <c r="AM13" s="48"/>
      <c r="AN13" s="48"/>
      <c r="AO13" s="50">
        <v>1.0</v>
      </c>
      <c r="AP13" s="50">
        <v>16.0</v>
      </c>
      <c r="AQ13" s="48"/>
      <c r="AR13" s="48"/>
      <c r="AS13" s="48"/>
      <c r="AT13" s="48"/>
      <c r="AU13" s="48"/>
      <c r="AV13" s="48"/>
      <c r="AW13" s="48"/>
      <c r="AX13" s="48"/>
      <c r="AY13" s="50">
        <v>1.0</v>
      </c>
      <c r="AZ13" s="48"/>
      <c r="BA13" s="48"/>
      <c r="BB13" s="48"/>
      <c r="BC13" s="48"/>
      <c r="BD13" s="48"/>
      <c r="BE13" s="48"/>
      <c r="BF13" s="48"/>
      <c r="BG13" s="48"/>
      <c r="BH13" s="48"/>
      <c r="BI13" s="48"/>
      <c r="BJ13" s="48"/>
      <c r="BK13" s="48"/>
      <c r="BL13" s="50">
        <v>1.0</v>
      </c>
      <c r="BM13" s="50">
        <v>0.0</v>
      </c>
      <c r="BN13" s="50">
        <v>0.0</v>
      </c>
      <c r="BO13" s="50">
        <v>0.0</v>
      </c>
      <c r="BP13" s="50">
        <v>0.0</v>
      </c>
      <c r="BQ13" s="50">
        <v>0.0</v>
      </c>
      <c r="BR13" s="50">
        <v>0.0</v>
      </c>
      <c r="BS13" s="50">
        <v>15.0</v>
      </c>
      <c r="BT13" s="48"/>
      <c r="BU13" s="48"/>
      <c r="BV13" s="48"/>
      <c r="BW13" s="48"/>
      <c r="BX13" s="48"/>
      <c r="BY13" s="48"/>
      <c r="BZ13" s="48"/>
      <c r="CA13" s="48"/>
      <c r="CB13" s="48"/>
      <c r="CC13" s="48"/>
      <c r="CD13" s="48"/>
      <c r="CE13" s="48"/>
      <c r="CF13" s="48"/>
      <c r="CG13" s="48"/>
      <c r="CH13" s="48"/>
      <c r="CI13" s="48"/>
      <c r="CJ13" s="48"/>
      <c r="CK13" s="50">
        <v>6.94310777E8</v>
      </c>
      <c r="CL13" s="48" t="s">
        <v>3068</v>
      </c>
      <c r="CM13" s="47">
        <v>46093.32002314815</v>
      </c>
      <c r="CN13" s="48"/>
      <c r="CO13" s="48"/>
      <c r="CP13" s="48" t="s">
        <v>1954</v>
      </c>
      <c r="CQ13" s="48"/>
      <c r="CR13" s="48" t="s">
        <v>3014</v>
      </c>
      <c r="CS13" s="48"/>
      <c r="CT13" s="48" t="s">
        <v>3069</v>
      </c>
      <c r="CU13" s="50">
        <v>12.0</v>
      </c>
    </row>
    <row r="14">
      <c r="A14" s="47">
        <v>46093.65331490741</v>
      </c>
      <c r="B14" s="47">
        <v>46093.66413144676</v>
      </c>
      <c r="C14" s="48" t="s">
        <v>3070</v>
      </c>
      <c r="D14" s="48" t="s">
        <v>3008</v>
      </c>
      <c r="E14" s="48" t="s">
        <v>3009</v>
      </c>
      <c r="F14" s="48" t="s">
        <v>3017</v>
      </c>
      <c r="G14" s="49" t="s">
        <v>3071</v>
      </c>
      <c r="H14" s="48" t="s">
        <v>3012</v>
      </c>
      <c r="I14" s="50">
        <v>0.0</v>
      </c>
      <c r="J14" s="50">
        <v>0.0</v>
      </c>
      <c r="K14" s="50">
        <v>0.0</v>
      </c>
      <c r="L14" s="50">
        <v>1.0</v>
      </c>
      <c r="M14" s="50">
        <v>0.0</v>
      </c>
      <c r="N14" s="50">
        <v>0.0</v>
      </c>
      <c r="O14" s="50">
        <v>0.0</v>
      </c>
      <c r="P14" s="50">
        <v>0.0</v>
      </c>
      <c r="Q14" s="50">
        <v>0.0</v>
      </c>
      <c r="R14" s="48" t="s">
        <v>3012</v>
      </c>
      <c r="S14" s="50">
        <v>0.0</v>
      </c>
      <c r="T14" s="50">
        <v>0.0</v>
      </c>
      <c r="U14" s="50">
        <v>0.0</v>
      </c>
      <c r="V14" s="50">
        <v>1.0</v>
      </c>
      <c r="W14" s="50">
        <v>0.0</v>
      </c>
      <c r="X14" s="50">
        <v>0.0</v>
      </c>
      <c r="Y14" s="50">
        <v>0.0</v>
      </c>
      <c r="Z14" s="50">
        <v>0.0</v>
      </c>
      <c r="AA14" s="50">
        <v>0.0</v>
      </c>
      <c r="AB14" s="48" t="s">
        <v>3012</v>
      </c>
      <c r="AC14" s="50">
        <v>0.0</v>
      </c>
      <c r="AD14" s="50">
        <v>0.0</v>
      </c>
      <c r="AE14" s="50">
        <v>0.0</v>
      </c>
      <c r="AF14" s="50">
        <v>1.0</v>
      </c>
      <c r="AG14" s="50">
        <v>0.0</v>
      </c>
      <c r="AH14" s="50">
        <v>0.0</v>
      </c>
      <c r="AI14" s="50">
        <v>0.0</v>
      </c>
      <c r="AJ14" s="50">
        <v>0.0</v>
      </c>
      <c r="AK14" s="50">
        <v>0.0</v>
      </c>
      <c r="AL14" s="48"/>
      <c r="AM14" s="48"/>
      <c r="AN14" s="48"/>
      <c r="AO14" s="48"/>
      <c r="AP14" s="50">
        <v>12.0</v>
      </c>
      <c r="AQ14" s="48"/>
      <c r="AR14" s="48"/>
      <c r="AS14" s="48"/>
      <c r="AT14" s="48"/>
      <c r="AU14" s="48"/>
      <c r="AV14" s="48"/>
      <c r="AW14" s="48"/>
      <c r="AX14" s="48"/>
      <c r="AY14" s="50">
        <v>8.0</v>
      </c>
      <c r="AZ14" s="48"/>
      <c r="BA14" s="48"/>
      <c r="BB14" s="48"/>
      <c r="BC14" s="48"/>
      <c r="BD14" s="48"/>
      <c r="BE14" s="48"/>
      <c r="BF14" s="48"/>
      <c r="BG14" s="48"/>
      <c r="BH14" s="48"/>
      <c r="BI14" s="48"/>
      <c r="BJ14" s="48"/>
      <c r="BK14" s="48"/>
      <c r="BL14" s="48"/>
      <c r="BM14" s="48"/>
      <c r="BN14" s="48"/>
      <c r="BO14" s="48"/>
      <c r="BP14" s="50">
        <v>0.0</v>
      </c>
      <c r="BQ14" s="50">
        <v>0.0</v>
      </c>
      <c r="BR14" s="50">
        <v>0.0</v>
      </c>
      <c r="BS14" s="50">
        <v>4.0</v>
      </c>
      <c r="BT14" s="48"/>
      <c r="BU14" s="48"/>
      <c r="BV14" s="48"/>
      <c r="BW14" s="48"/>
      <c r="BX14" s="48"/>
      <c r="BY14" s="48"/>
      <c r="BZ14" s="48"/>
      <c r="CA14" s="48"/>
      <c r="CB14" s="48"/>
      <c r="CC14" s="48"/>
      <c r="CD14" s="48"/>
      <c r="CE14" s="48"/>
      <c r="CF14" s="48"/>
      <c r="CG14" s="48"/>
      <c r="CH14" s="48"/>
      <c r="CI14" s="48"/>
      <c r="CJ14" s="48"/>
      <c r="CK14" s="50">
        <v>6.94332428E8</v>
      </c>
      <c r="CL14" s="48" t="s">
        <v>3072</v>
      </c>
      <c r="CM14" s="47">
        <v>46093.33081018519</v>
      </c>
      <c r="CN14" s="48"/>
      <c r="CO14" s="48"/>
      <c r="CP14" s="48" t="s">
        <v>1954</v>
      </c>
      <c r="CQ14" s="48"/>
      <c r="CR14" s="48" t="s">
        <v>3014</v>
      </c>
      <c r="CS14" s="48"/>
      <c r="CT14" s="48" t="s">
        <v>3073</v>
      </c>
      <c r="CU14" s="50">
        <v>13.0</v>
      </c>
    </row>
    <row r="15">
      <c r="A15" s="47">
        <v>46093.66413159722</v>
      </c>
      <c r="B15" s="47">
        <v>46093.66628537037</v>
      </c>
      <c r="C15" s="48" t="s">
        <v>3074</v>
      </c>
      <c r="D15" s="48" t="s">
        <v>3008</v>
      </c>
      <c r="E15" s="48" t="s">
        <v>3009</v>
      </c>
      <c r="F15" s="48" t="s">
        <v>3017</v>
      </c>
      <c r="G15" s="49" t="s">
        <v>3075</v>
      </c>
      <c r="H15" s="48" t="s">
        <v>3076</v>
      </c>
      <c r="I15" s="50">
        <v>0.0</v>
      </c>
      <c r="J15" s="50">
        <v>0.0</v>
      </c>
      <c r="K15" s="50">
        <v>1.0</v>
      </c>
      <c r="L15" s="50">
        <v>1.0</v>
      </c>
      <c r="M15" s="50">
        <v>0.0</v>
      </c>
      <c r="N15" s="50">
        <v>0.0</v>
      </c>
      <c r="O15" s="50">
        <v>1.0</v>
      </c>
      <c r="P15" s="50">
        <v>0.0</v>
      </c>
      <c r="Q15" s="50">
        <v>0.0</v>
      </c>
      <c r="R15" s="48" t="s">
        <v>3076</v>
      </c>
      <c r="S15" s="50">
        <v>0.0</v>
      </c>
      <c r="T15" s="50">
        <v>0.0</v>
      </c>
      <c r="U15" s="50">
        <v>1.0</v>
      </c>
      <c r="V15" s="50">
        <v>1.0</v>
      </c>
      <c r="W15" s="50">
        <v>0.0</v>
      </c>
      <c r="X15" s="50">
        <v>0.0</v>
      </c>
      <c r="Y15" s="50">
        <v>1.0</v>
      </c>
      <c r="Z15" s="50">
        <v>0.0</v>
      </c>
      <c r="AA15" s="50">
        <v>0.0</v>
      </c>
      <c r="AB15" s="48" t="s">
        <v>3012</v>
      </c>
      <c r="AC15" s="50">
        <v>0.0</v>
      </c>
      <c r="AD15" s="50">
        <v>0.0</v>
      </c>
      <c r="AE15" s="50">
        <v>0.0</v>
      </c>
      <c r="AF15" s="50">
        <v>1.0</v>
      </c>
      <c r="AG15" s="50">
        <v>0.0</v>
      </c>
      <c r="AH15" s="50">
        <v>0.0</v>
      </c>
      <c r="AI15" s="50">
        <v>0.0</v>
      </c>
      <c r="AJ15" s="50">
        <v>0.0</v>
      </c>
      <c r="AK15" s="50">
        <v>0.0</v>
      </c>
      <c r="AL15" s="48"/>
      <c r="AM15" s="48"/>
      <c r="AN15" s="48"/>
      <c r="AO15" s="50">
        <v>1.0</v>
      </c>
      <c r="AP15" s="50">
        <v>3.0</v>
      </c>
      <c r="AQ15" s="48"/>
      <c r="AR15" s="48"/>
      <c r="AS15" s="50">
        <v>10.0</v>
      </c>
      <c r="AT15" s="48"/>
      <c r="AU15" s="48"/>
      <c r="AV15" s="48"/>
      <c r="AW15" s="48"/>
      <c r="AX15" s="50">
        <v>1.0</v>
      </c>
      <c r="AY15" s="50">
        <v>1.0</v>
      </c>
      <c r="AZ15" s="48"/>
      <c r="BA15" s="48"/>
      <c r="BB15" s="50">
        <v>10.0</v>
      </c>
      <c r="BC15" s="48"/>
      <c r="BD15" s="48"/>
      <c r="BE15" s="48"/>
      <c r="BF15" s="48"/>
      <c r="BG15" s="48"/>
      <c r="BH15" s="48"/>
      <c r="BI15" s="48"/>
      <c r="BJ15" s="48"/>
      <c r="BK15" s="48"/>
      <c r="BL15" s="48"/>
      <c r="BM15" s="48"/>
      <c r="BN15" s="48"/>
      <c r="BO15" s="48"/>
      <c r="BP15" s="50">
        <v>0.0</v>
      </c>
      <c r="BQ15" s="50">
        <v>0.0</v>
      </c>
      <c r="BR15" s="50">
        <v>0.0</v>
      </c>
      <c r="BS15" s="50">
        <v>2.0</v>
      </c>
      <c r="BT15" s="48"/>
      <c r="BU15" s="48"/>
      <c r="BV15" s="48"/>
      <c r="BW15" s="48"/>
      <c r="BX15" s="48"/>
      <c r="BY15" s="48"/>
      <c r="BZ15" s="48"/>
      <c r="CA15" s="48"/>
      <c r="CB15" s="48"/>
      <c r="CC15" s="48"/>
      <c r="CD15" s="48"/>
      <c r="CE15" s="48"/>
      <c r="CF15" s="48"/>
      <c r="CG15" s="48"/>
      <c r="CH15" s="48"/>
      <c r="CI15" s="48"/>
      <c r="CJ15" s="48"/>
      <c r="CK15" s="50">
        <v>6.9433786E8</v>
      </c>
      <c r="CL15" s="48" t="s">
        <v>3077</v>
      </c>
      <c r="CM15" s="47">
        <v>46093.33298611111</v>
      </c>
      <c r="CN15" s="48"/>
      <c r="CO15" s="48"/>
      <c r="CP15" s="48" t="s">
        <v>1954</v>
      </c>
      <c r="CQ15" s="48"/>
      <c r="CR15" s="48" t="s">
        <v>3014</v>
      </c>
      <c r="CS15" s="48"/>
      <c r="CT15" s="48" t="s">
        <v>3078</v>
      </c>
      <c r="CU15" s="50">
        <v>14.0</v>
      </c>
    </row>
    <row r="16">
      <c r="A16" s="47">
        <v>46093.66628549768</v>
      </c>
      <c r="B16" s="47">
        <v>46093.67315138889</v>
      </c>
      <c r="C16" s="48" t="s">
        <v>3079</v>
      </c>
      <c r="D16" s="48" t="s">
        <v>3008</v>
      </c>
      <c r="E16" s="48" t="s">
        <v>3009</v>
      </c>
      <c r="F16" s="48" t="s">
        <v>3017</v>
      </c>
      <c r="G16" s="49" t="s">
        <v>3080</v>
      </c>
      <c r="H16" s="48" t="s">
        <v>3076</v>
      </c>
      <c r="I16" s="50">
        <v>0.0</v>
      </c>
      <c r="J16" s="50">
        <v>0.0</v>
      </c>
      <c r="K16" s="50">
        <v>1.0</v>
      </c>
      <c r="L16" s="50">
        <v>1.0</v>
      </c>
      <c r="M16" s="50">
        <v>0.0</v>
      </c>
      <c r="N16" s="50">
        <v>0.0</v>
      </c>
      <c r="O16" s="50">
        <v>1.0</v>
      </c>
      <c r="P16" s="50">
        <v>0.0</v>
      </c>
      <c r="Q16" s="50">
        <v>0.0</v>
      </c>
      <c r="R16" s="48" t="s">
        <v>3076</v>
      </c>
      <c r="S16" s="50">
        <v>0.0</v>
      </c>
      <c r="T16" s="50">
        <v>0.0</v>
      </c>
      <c r="U16" s="50">
        <v>1.0</v>
      </c>
      <c r="V16" s="50">
        <v>1.0</v>
      </c>
      <c r="W16" s="50">
        <v>0.0</v>
      </c>
      <c r="X16" s="50">
        <v>0.0</v>
      </c>
      <c r="Y16" s="50">
        <v>1.0</v>
      </c>
      <c r="Z16" s="50">
        <v>0.0</v>
      </c>
      <c r="AA16" s="50">
        <v>0.0</v>
      </c>
      <c r="AB16" s="48" t="s">
        <v>3076</v>
      </c>
      <c r="AC16" s="50">
        <v>0.0</v>
      </c>
      <c r="AD16" s="50">
        <v>0.0</v>
      </c>
      <c r="AE16" s="50">
        <v>1.0</v>
      </c>
      <c r="AF16" s="50">
        <v>1.0</v>
      </c>
      <c r="AG16" s="50">
        <v>0.0</v>
      </c>
      <c r="AH16" s="50">
        <v>0.0</v>
      </c>
      <c r="AI16" s="50">
        <v>1.0</v>
      </c>
      <c r="AJ16" s="50">
        <v>0.0</v>
      </c>
      <c r="AK16" s="50">
        <v>0.0</v>
      </c>
      <c r="AL16" s="48"/>
      <c r="AM16" s="48"/>
      <c r="AN16" s="48"/>
      <c r="AO16" s="50">
        <v>4.0</v>
      </c>
      <c r="AP16" s="50">
        <v>4.0</v>
      </c>
      <c r="AQ16" s="48"/>
      <c r="AR16" s="48"/>
      <c r="AS16" s="50">
        <v>10.0</v>
      </c>
      <c r="AT16" s="48"/>
      <c r="AU16" s="48"/>
      <c r="AV16" s="48"/>
      <c r="AW16" s="48"/>
      <c r="AX16" s="50">
        <v>6.0</v>
      </c>
      <c r="AY16" s="50">
        <v>12.0</v>
      </c>
      <c r="AZ16" s="48"/>
      <c r="BA16" s="48"/>
      <c r="BB16" s="50">
        <v>7.0</v>
      </c>
      <c r="BC16" s="48"/>
      <c r="BD16" s="48"/>
      <c r="BE16" s="48"/>
      <c r="BF16" s="48"/>
      <c r="BG16" s="48"/>
      <c r="BH16" s="48"/>
      <c r="BI16" s="48"/>
      <c r="BJ16" s="48"/>
      <c r="BK16" s="48"/>
      <c r="BL16" s="50">
        <v>0.0</v>
      </c>
      <c r="BM16" s="50">
        <v>2.0</v>
      </c>
      <c r="BN16" s="50">
        <v>0.0</v>
      </c>
      <c r="BO16" s="50">
        <v>0.0</v>
      </c>
      <c r="BP16" s="50">
        <v>0.0</v>
      </c>
      <c r="BQ16" s="50">
        <v>0.0</v>
      </c>
      <c r="BR16" s="50">
        <v>8.0</v>
      </c>
      <c r="BS16" s="50">
        <v>0.0</v>
      </c>
      <c r="BT16" s="48"/>
      <c r="BU16" s="48"/>
      <c r="BV16" s="48"/>
      <c r="BW16" s="48"/>
      <c r="BX16" s="48"/>
      <c r="BY16" s="48"/>
      <c r="BZ16" s="48"/>
      <c r="CA16" s="48"/>
      <c r="CB16" s="50">
        <v>3.0</v>
      </c>
      <c r="CC16" s="50">
        <v>0.0</v>
      </c>
      <c r="CD16" s="50">
        <v>0.0</v>
      </c>
      <c r="CE16" s="50">
        <v>0.0</v>
      </c>
      <c r="CF16" s="48"/>
      <c r="CG16" s="48"/>
      <c r="CH16" s="48"/>
      <c r="CI16" s="48"/>
      <c r="CJ16" s="48"/>
      <c r="CK16" s="50">
        <v>6.9435319E8</v>
      </c>
      <c r="CL16" s="48" t="s">
        <v>3081</v>
      </c>
      <c r="CM16" s="47">
        <v>46093.33984953703</v>
      </c>
      <c r="CN16" s="48"/>
      <c r="CO16" s="48"/>
      <c r="CP16" s="48" t="s">
        <v>1954</v>
      </c>
      <c r="CQ16" s="48"/>
      <c r="CR16" s="48" t="s">
        <v>3014</v>
      </c>
      <c r="CS16" s="48"/>
      <c r="CT16" s="48" t="s">
        <v>3082</v>
      </c>
      <c r="CU16" s="50">
        <v>15.0</v>
      </c>
    </row>
    <row r="17">
      <c r="A17" s="47">
        <v>46093.67315153935</v>
      </c>
      <c r="B17" s="47">
        <v>46093.67514011574</v>
      </c>
      <c r="C17" s="48" t="s">
        <v>3083</v>
      </c>
      <c r="D17" s="48" t="s">
        <v>3008</v>
      </c>
      <c r="E17" s="48" t="s">
        <v>3009</v>
      </c>
      <c r="F17" s="48" t="s">
        <v>3017</v>
      </c>
      <c r="G17" s="49" t="s">
        <v>3084</v>
      </c>
      <c r="H17" s="48" t="s">
        <v>3012</v>
      </c>
      <c r="I17" s="50">
        <v>0.0</v>
      </c>
      <c r="J17" s="50">
        <v>0.0</v>
      </c>
      <c r="K17" s="50">
        <v>0.0</v>
      </c>
      <c r="L17" s="50">
        <v>1.0</v>
      </c>
      <c r="M17" s="50">
        <v>0.0</v>
      </c>
      <c r="N17" s="50">
        <v>0.0</v>
      </c>
      <c r="O17" s="50">
        <v>0.0</v>
      </c>
      <c r="P17" s="50">
        <v>0.0</v>
      </c>
      <c r="Q17" s="50">
        <v>0.0</v>
      </c>
      <c r="R17" s="48" t="s">
        <v>3012</v>
      </c>
      <c r="S17" s="50">
        <v>0.0</v>
      </c>
      <c r="T17" s="50">
        <v>0.0</v>
      </c>
      <c r="U17" s="50">
        <v>0.0</v>
      </c>
      <c r="V17" s="50">
        <v>1.0</v>
      </c>
      <c r="W17" s="50">
        <v>0.0</v>
      </c>
      <c r="X17" s="50">
        <v>0.0</v>
      </c>
      <c r="Y17" s="50">
        <v>0.0</v>
      </c>
      <c r="Z17" s="50">
        <v>0.0</v>
      </c>
      <c r="AA17" s="50">
        <v>0.0</v>
      </c>
      <c r="AB17" s="48" t="s">
        <v>999</v>
      </c>
      <c r="AC17" s="50">
        <v>0.0</v>
      </c>
      <c r="AD17" s="50">
        <v>0.0</v>
      </c>
      <c r="AE17" s="50">
        <v>0.0</v>
      </c>
      <c r="AF17" s="50">
        <v>0.0</v>
      </c>
      <c r="AG17" s="50">
        <v>0.0</v>
      </c>
      <c r="AH17" s="50">
        <v>0.0</v>
      </c>
      <c r="AI17" s="50">
        <v>0.0</v>
      </c>
      <c r="AJ17" s="50">
        <v>0.0</v>
      </c>
      <c r="AK17" s="50">
        <v>1.0</v>
      </c>
      <c r="AL17" s="48"/>
      <c r="AM17" s="48"/>
      <c r="AN17" s="48"/>
      <c r="AO17" s="48"/>
      <c r="AP17" s="50">
        <v>5.0</v>
      </c>
      <c r="AQ17" s="48"/>
      <c r="AR17" s="48"/>
      <c r="AS17" s="48"/>
      <c r="AT17" s="48"/>
      <c r="AU17" s="48"/>
      <c r="AV17" s="48"/>
      <c r="AW17" s="48"/>
      <c r="AX17" s="48"/>
      <c r="AY17" s="50">
        <v>5.0</v>
      </c>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50">
        <v>6.9435777E8</v>
      </c>
      <c r="CL17" s="48" t="s">
        <v>3085</v>
      </c>
      <c r="CM17" s="47">
        <v>46093.34181712963</v>
      </c>
      <c r="CN17" s="48"/>
      <c r="CO17" s="48"/>
      <c r="CP17" s="48" t="s">
        <v>1954</v>
      </c>
      <c r="CQ17" s="48"/>
      <c r="CR17" s="48" t="s">
        <v>3014</v>
      </c>
      <c r="CS17" s="48"/>
      <c r="CT17" s="48" t="s">
        <v>3086</v>
      </c>
      <c r="CU17" s="50">
        <v>16.0</v>
      </c>
    </row>
    <row r="18">
      <c r="A18" s="47">
        <v>46093.67514024305</v>
      </c>
      <c r="B18" s="47">
        <v>46093.67704202546</v>
      </c>
      <c r="C18" s="48" t="s">
        <v>3087</v>
      </c>
      <c r="D18" s="48" t="s">
        <v>3008</v>
      </c>
      <c r="E18" s="48" t="s">
        <v>3009</v>
      </c>
      <c r="F18" s="48" t="s">
        <v>3017</v>
      </c>
      <c r="G18" s="49" t="s">
        <v>3088</v>
      </c>
      <c r="H18" s="48" t="s">
        <v>3012</v>
      </c>
      <c r="I18" s="50">
        <v>0.0</v>
      </c>
      <c r="J18" s="50">
        <v>0.0</v>
      </c>
      <c r="K18" s="50">
        <v>0.0</v>
      </c>
      <c r="L18" s="50">
        <v>1.0</v>
      </c>
      <c r="M18" s="50">
        <v>0.0</v>
      </c>
      <c r="N18" s="50">
        <v>0.0</v>
      </c>
      <c r="O18" s="50">
        <v>0.0</v>
      </c>
      <c r="P18" s="50">
        <v>0.0</v>
      </c>
      <c r="Q18" s="50">
        <v>0.0</v>
      </c>
      <c r="R18" s="48" t="s">
        <v>3012</v>
      </c>
      <c r="S18" s="50">
        <v>0.0</v>
      </c>
      <c r="T18" s="50">
        <v>0.0</v>
      </c>
      <c r="U18" s="50">
        <v>0.0</v>
      </c>
      <c r="V18" s="50">
        <v>1.0</v>
      </c>
      <c r="W18" s="50">
        <v>0.0</v>
      </c>
      <c r="X18" s="50">
        <v>0.0</v>
      </c>
      <c r="Y18" s="50">
        <v>0.0</v>
      </c>
      <c r="Z18" s="50">
        <v>0.0</v>
      </c>
      <c r="AA18" s="50">
        <v>0.0</v>
      </c>
      <c r="AB18" s="48" t="s">
        <v>3012</v>
      </c>
      <c r="AC18" s="50">
        <v>0.0</v>
      </c>
      <c r="AD18" s="50">
        <v>0.0</v>
      </c>
      <c r="AE18" s="50">
        <v>0.0</v>
      </c>
      <c r="AF18" s="50">
        <v>1.0</v>
      </c>
      <c r="AG18" s="50">
        <v>0.0</v>
      </c>
      <c r="AH18" s="50">
        <v>0.0</v>
      </c>
      <c r="AI18" s="50">
        <v>0.0</v>
      </c>
      <c r="AJ18" s="50">
        <v>0.0</v>
      </c>
      <c r="AK18" s="50">
        <v>0.0</v>
      </c>
      <c r="AL18" s="48"/>
      <c r="AM18" s="48"/>
      <c r="AN18" s="48"/>
      <c r="AO18" s="48"/>
      <c r="AP18" s="50">
        <v>10.0</v>
      </c>
      <c r="AQ18" s="48"/>
      <c r="AR18" s="48"/>
      <c r="AS18" s="48"/>
      <c r="AT18" s="48"/>
      <c r="AU18" s="48"/>
      <c r="AV18" s="48"/>
      <c r="AW18" s="48"/>
      <c r="AX18" s="48"/>
      <c r="AY18" s="50">
        <v>1.0</v>
      </c>
      <c r="AZ18" s="48"/>
      <c r="BA18" s="48"/>
      <c r="BB18" s="48"/>
      <c r="BC18" s="48"/>
      <c r="BD18" s="48"/>
      <c r="BE18" s="48"/>
      <c r="BF18" s="48"/>
      <c r="BG18" s="48"/>
      <c r="BH18" s="48"/>
      <c r="BI18" s="48"/>
      <c r="BJ18" s="48"/>
      <c r="BK18" s="48"/>
      <c r="BL18" s="48"/>
      <c r="BM18" s="48"/>
      <c r="BN18" s="48"/>
      <c r="BO18" s="48"/>
      <c r="BP18" s="50">
        <v>4.0</v>
      </c>
      <c r="BQ18" s="50">
        <v>0.0</v>
      </c>
      <c r="BR18" s="50">
        <v>0.0</v>
      </c>
      <c r="BS18" s="50">
        <v>5.0</v>
      </c>
      <c r="BT18" s="48"/>
      <c r="BU18" s="48"/>
      <c r="BV18" s="48"/>
      <c r="BW18" s="48"/>
      <c r="BX18" s="48"/>
      <c r="BY18" s="48"/>
      <c r="BZ18" s="48"/>
      <c r="CA18" s="48"/>
      <c r="CB18" s="48"/>
      <c r="CC18" s="48"/>
      <c r="CD18" s="48"/>
      <c r="CE18" s="48"/>
      <c r="CF18" s="48"/>
      <c r="CG18" s="48"/>
      <c r="CH18" s="48"/>
      <c r="CI18" s="48"/>
      <c r="CJ18" s="48"/>
      <c r="CK18" s="50">
        <v>6.94362097E8</v>
      </c>
      <c r="CL18" s="48" t="s">
        <v>3089</v>
      </c>
      <c r="CM18" s="47">
        <v>46093.34371527778</v>
      </c>
      <c r="CN18" s="48"/>
      <c r="CO18" s="48"/>
      <c r="CP18" s="48" t="s">
        <v>1954</v>
      </c>
      <c r="CQ18" s="48"/>
      <c r="CR18" s="48" t="s">
        <v>3014</v>
      </c>
      <c r="CS18" s="48"/>
      <c r="CT18" s="48" t="s">
        <v>3090</v>
      </c>
      <c r="CU18" s="50">
        <v>17.0</v>
      </c>
    </row>
    <row r="19">
      <c r="A19" s="47">
        <v>46093.67704215278</v>
      </c>
      <c r="B19" s="47">
        <v>46093.68053085648</v>
      </c>
      <c r="C19" s="48" t="s">
        <v>3091</v>
      </c>
      <c r="D19" s="48" t="s">
        <v>3008</v>
      </c>
      <c r="E19" s="48" t="s">
        <v>3009</v>
      </c>
      <c r="F19" s="48" t="s">
        <v>3017</v>
      </c>
      <c r="G19" s="49" t="s">
        <v>3092</v>
      </c>
      <c r="H19" s="48" t="s">
        <v>3093</v>
      </c>
      <c r="I19" s="50">
        <v>0.0</v>
      </c>
      <c r="J19" s="50">
        <v>0.0</v>
      </c>
      <c r="K19" s="50">
        <v>1.0</v>
      </c>
      <c r="L19" s="50">
        <v>0.0</v>
      </c>
      <c r="M19" s="50">
        <v>0.0</v>
      </c>
      <c r="N19" s="50">
        <v>0.0</v>
      </c>
      <c r="O19" s="50">
        <v>0.0</v>
      </c>
      <c r="P19" s="50">
        <v>0.0</v>
      </c>
      <c r="Q19" s="50">
        <v>0.0</v>
      </c>
      <c r="R19" s="48" t="s">
        <v>3093</v>
      </c>
      <c r="S19" s="50">
        <v>0.0</v>
      </c>
      <c r="T19" s="50">
        <v>0.0</v>
      </c>
      <c r="U19" s="50">
        <v>1.0</v>
      </c>
      <c r="V19" s="50">
        <v>0.0</v>
      </c>
      <c r="W19" s="50">
        <v>0.0</v>
      </c>
      <c r="X19" s="50">
        <v>0.0</v>
      </c>
      <c r="Y19" s="50">
        <v>0.0</v>
      </c>
      <c r="Z19" s="50">
        <v>0.0</v>
      </c>
      <c r="AA19" s="50">
        <v>0.0</v>
      </c>
      <c r="AB19" s="48" t="s">
        <v>3093</v>
      </c>
      <c r="AC19" s="50">
        <v>0.0</v>
      </c>
      <c r="AD19" s="50">
        <v>0.0</v>
      </c>
      <c r="AE19" s="50">
        <v>1.0</v>
      </c>
      <c r="AF19" s="50">
        <v>0.0</v>
      </c>
      <c r="AG19" s="50">
        <v>0.0</v>
      </c>
      <c r="AH19" s="50">
        <v>0.0</v>
      </c>
      <c r="AI19" s="50">
        <v>0.0</v>
      </c>
      <c r="AJ19" s="50">
        <v>0.0</v>
      </c>
      <c r="AK19" s="50">
        <v>0.0</v>
      </c>
      <c r="AL19" s="48"/>
      <c r="AM19" s="48"/>
      <c r="AN19" s="48"/>
      <c r="AO19" s="50">
        <v>2.0</v>
      </c>
      <c r="AP19" s="48"/>
      <c r="AQ19" s="48"/>
      <c r="AR19" s="48"/>
      <c r="AS19" s="48"/>
      <c r="AT19" s="48"/>
      <c r="AU19" s="48"/>
      <c r="AV19" s="48"/>
      <c r="AW19" s="48"/>
      <c r="AX19" s="50">
        <v>1.0</v>
      </c>
      <c r="AY19" s="48"/>
      <c r="AZ19" s="48"/>
      <c r="BA19" s="48"/>
      <c r="BB19" s="48"/>
      <c r="BC19" s="48"/>
      <c r="BD19" s="48"/>
      <c r="BE19" s="48"/>
      <c r="BF19" s="48"/>
      <c r="BG19" s="48"/>
      <c r="BH19" s="48"/>
      <c r="BI19" s="48"/>
      <c r="BJ19" s="48"/>
      <c r="BK19" s="48"/>
      <c r="BL19" s="50">
        <v>1.0</v>
      </c>
      <c r="BM19" s="50">
        <v>0.0</v>
      </c>
      <c r="BN19" s="50">
        <v>0.0</v>
      </c>
      <c r="BO19" s="50">
        <v>0.0</v>
      </c>
      <c r="BP19" s="48"/>
      <c r="BQ19" s="48"/>
      <c r="BR19" s="48"/>
      <c r="BS19" s="48"/>
      <c r="BT19" s="48"/>
      <c r="BU19" s="48"/>
      <c r="BV19" s="48"/>
      <c r="BW19" s="48"/>
      <c r="BX19" s="48"/>
      <c r="BY19" s="48"/>
      <c r="BZ19" s="48"/>
      <c r="CA19" s="48"/>
      <c r="CB19" s="48"/>
      <c r="CC19" s="48"/>
      <c r="CD19" s="48"/>
      <c r="CE19" s="48"/>
      <c r="CF19" s="48"/>
      <c r="CG19" s="48"/>
      <c r="CH19" s="48"/>
      <c r="CI19" s="48"/>
      <c r="CJ19" s="48"/>
      <c r="CK19" s="50">
        <v>6.9436998E8</v>
      </c>
      <c r="CL19" s="48" t="s">
        <v>3094</v>
      </c>
      <c r="CM19" s="47">
        <v>46093.34719907407</v>
      </c>
      <c r="CN19" s="48"/>
      <c r="CO19" s="48"/>
      <c r="CP19" s="48" t="s">
        <v>1954</v>
      </c>
      <c r="CQ19" s="48"/>
      <c r="CR19" s="48" t="s">
        <v>3014</v>
      </c>
      <c r="CS19" s="48"/>
      <c r="CT19" s="48" t="s">
        <v>3095</v>
      </c>
      <c r="CU19" s="50">
        <v>18.0</v>
      </c>
    </row>
    <row r="20">
      <c r="A20" s="47">
        <v>46093.68053099537</v>
      </c>
      <c r="B20" s="47">
        <v>46093.68386306713</v>
      </c>
      <c r="C20" s="48" t="s">
        <v>3096</v>
      </c>
      <c r="D20" s="48" t="s">
        <v>3008</v>
      </c>
      <c r="E20" s="48" t="s">
        <v>3009</v>
      </c>
      <c r="F20" s="48" t="s">
        <v>3017</v>
      </c>
      <c r="G20" s="49" t="s">
        <v>3097</v>
      </c>
      <c r="H20" s="48" t="s">
        <v>3012</v>
      </c>
      <c r="I20" s="50">
        <v>0.0</v>
      </c>
      <c r="J20" s="50">
        <v>0.0</v>
      </c>
      <c r="K20" s="50">
        <v>0.0</v>
      </c>
      <c r="L20" s="50">
        <v>1.0</v>
      </c>
      <c r="M20" s="50">
        <v>0.0</v>
      </c>
      <c r="N20" s="50">
        <v>0.0</v>
      </c>
      <c r="O20" s="50">
        <v>0.0</v>
      </c>
      <c r="P20" s="50">
        <v>0.0</v>
      </c>
      <c r="Q20" s="50">
        <v>0.0</v>
      </c>
      <c r="R20" s="48" t="s">
        <v>3012</v>
      </c>
      <c r="S20" s="50">
        <v>0.0</v>
      </c>
      <c r="T20" s="50">
        <v>0.0</v>
      </c>
      <c r="U20" s="50">
        <v>0.0</v>
      </c>
      <c r="V20" s="50">
        <v>1.0</v>
      </c>
      <c r="W20" s="50">
        <v>0.0</v>
      </c>
      <c r="X20" s="50">
        <v>0.0</v>
      </c>
      <c r="Y20" s="50">
        <v>0.0</v>
      </c>
      <c r="Z20" s="50">
        <v>0.0</v>
      </c>
      <c r="AA20" s="50">
        <v>0.0</v>
      </c>
      <c r="AB20" s="48" t="s">
        <v>999</v>
      </c>
      <c r="AC20" s="50">
        <v>0.0</v>
      </c>
      <c r="AD20" s="50">
        <v>0.0</v>
      </c>
      <c r="AE20" s="50">
        <v>0.0</v>
      </c>
      <c r="AF20" s="50">
        <v>0.0</v>
      </c>
      <c r="AG20" s="50">
        <v>0.0</v>
      </c>
      <c r="AH20" s="50">
        <v>0.0</v>
      </c>
      <c r="AI20" s="50">
        <v>0.0</v>
      </c>
      <c r="AJ20" s="50">
        <v>0.0</v>
      </c>
      <c r="AK20" s="50">
        <v>1.0</v>
      </c>
      <c r="AL20" s="48"/>
      <c r="AM20" s="48"/>
      <c r="AN20" s="48"/>
      <c r="AO20" s="48"/>
      <c r="AP20" s="50">
        <v>1.0</v>
      </c>
      <c r="AQ20" s="48"/>
      <c r="AR20" s="48"/>
      <c r="AS20" s="48"/>
      <c r="AT20" s="48"/>
      <c r="AU20" s="48"/>
      <c r="AV20" s="48"/>
      <c r="AW20" s="48"/>
      <c r="AX20" s="48"/>
      <c r="AY20" s="50">
        <v>1.0</v>
      </c>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50">
        <v>6.94377643E8</v>
      </c>
      <c r="CL20" s="48" t="s">
        <v>3098</v>
      </c>
      <c r="CM20" s="47">
        <v>46093.35054398148</v>
      </c>
      <c r="CN20" s="48"/>
      <c r="CO20" s="48"/>
      <c r="CP20" s="48" t="s">
        <v>1954</v>
      </c>
      <c r="CQ20" s="48"/>
      <c r="CR20" s="48" t="s">
        <v>3014</v>
      </c>
      <c r="CS20" s="48"/>
      <c r="CT20" s="48" t="s">
        <v>3099</v>
      </c>
      <c r="CU20" s="50">
        <v>19.0</v>
      </c>
    </row>
    <row r="21">
      <c r="A21" s="47">
        <v>46093.68386326389</v>
      </c>
      <c r="B21" s="47">
        <v>46093.68669078704</v>
      </c>
      <c r="C21" s="48" t="s">
        <v>3100</v>
      </c>
      <c r="D21" s="48" t="s">
        <v>3008</v>
      </c>
      <c r="E21" s="48" t="s">
        <v>3009</v>
      </c>
      <c r="F21" s="48" t="s">
        <v>3044</v>
      </c>
      <c r="G21" s="49" t="s">
        <v>3101</v>
      </c>
      <c r="H21" s="48" t="s">
        <v>3012</v>
      </c>
      <c r="I21" s="50">
        <v>0.0</v>
      </c>
      <c r="J21" s="50">
        <v>0.0</v>
      </c>
      <c r="K21" s="50">
        <v>0.0</v>
      </c>
      <c r="L21" s="50">
        <v>1.0</v>
      </c>
      <c r="M21" s="50">
        <v>0.0</v>
      </c>
      <c r="N21" s="50">
        <v>0.0</v>
      </c>
      <c r="O21" s="50">
        <v>0.0</v>
      </c>
      <c r="P21" s="50">
        <v>0.0</v>
      </c>
      <c r="Q21" s="50">
        <v>0.0</v>
      </c>
      <c r="R21" s="48" t="s">
        <v>3012</v>
      </c>
      <c r="S21" s="50">
        <v>0.0</v>
      </c>
      <c r="T21" s="50">
        <v>0.0</v>
      </c>
      <c r="U21" s="50">
        <v>0.0</v>
      </c>
      <c r="V21" s="50">
        <v>1.0</v>
      </c>
      <c r="W21" s="50">
        <v>0.0</v>
      </c>
      <c r="X21" s="50">
        <v>0.0</v>
      </c>
      <c r="Y21" s="50">
        <v>0.0</v>
      </c>
      <c r="Z21" s="50">
        <v>0.0</v>
      </c>
      <c r="AA21" s="50">
        <v>0.0</v>
      </c>
      <c r="AB21" s="48" t="s">
        <v>999</v>
      </c>
      <c r="AC21" s="50">
        <v>0.0</v>
      </c>
      <c r="AD21" s="50">
        <v>0.0</v>
      </c>
      <c r="AE21" s="50">
        <v>0.0</v>
      </c>
      <c r="AF21" s="50">
        <v>0.0</v>
      </c>
      <c r="AG21" s="50">
        <v>0.0</v>
      </c>
      <c r="AH21" s="50">
        <v>0.0</v>
      </c>
      <c r="AI21" s="50">
        <v>0.0</v>
      </c>
      <c r="AJ21" s="50">
        <v>0.0</v>
      </c>
      <c r="AK21" s="50">
        <v>1.0</v>
      </c>
      <c r="AL21" s="48"/>
      <c r="AM21" s="48"/>
      <c r="AN21" s="48"/>
      <c r="AO21" s="48"/>
      <c r="AP21" s="50">
        <v>1.0</v>
      </c>
      <c r="AQ21" s="48"/>
      <c r="AR21" s="48"/>
      <c r="AS21" s="48"/>
      <c r="AT21" s="48"/>
      <c r="AU21" s="48"/>
      <c r="AV21" s="48"/>
      <c r="AW21" s="48"/>
      <c r="AX21" s="48"/>
      <c r="AY21" s="50">
        <v>1.0</v>
      </c>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50">
        <v>6.94383205E8</v>
      </c>
      <c r="CL21" s="48" t="s">
        <v>3102</v>
      </c>
      <c r="CM21" s="47">
        <v>46093.35336805556</v>
      </c>
      <c r="CN21" s="48"/>
      <c r="CO21" s="48"/>
      <c r="CP21" s="48" t="s">
        <v>1954</v>
      </c>
      <c r="CQ21" s="48"/>
      <c r="CR21" s="48" t="s">
        <v>3014</v>
      </c>
      <c r="CS21" s="48"/>
      <c r="CT21" s="48" t="s">
        <v>3103</v>
      </c>
      <c r="CU21" s="50">
        <v>20.0</v>
      </c>
    </row>
    <row r="22">
      <c r="A22" s="47">
        <v>46093.68669091435</v>
      </c>
      <c r="B22" s="47">
        <v>46093.69309496527</v>
      </c>
      <c r="C22" s="48" t="s">
        <v>3104</v>
      </c>
      <c r="D22" s="48" t="s">
        <v>3008</v>
      </c>
      <c r="E22" s="48" t="s">
        <v>3009</v>
      </c>
      <c r="F22" s="48" t="s">
        <v>3017</v>
      </c>
      <c r="G22" s="49" t="s">
        <v>3105</v>
      </c>
      <c r="H22" s="48" t="s">
        <v>3106</v>
      </c>
      <c r="I22" s="50">
        <v>1.0</v>
      </c>
      <c r="J22" s="50">
        <v>0.0</v>
      </c>
      <c r="K22" s="50">
        <v>0.0</v>
      </c>
      <c r="L22" s="50">
        <v>1.0</v>
      </c>
      <c r="M22" s="50">
        <v>1.0</v>
      </c>
      <c r="N22" s="50">
        <v>0.0</v>
      </c>
      <c r="O22" s="50">
        <v>1.0</v>
      </c>
      <c r="P22" s="50">
        <v>0.0</v>
      </c>
      <c r="Q22" s="50">
        <v>0.0</v>
      </c>
      <c r="R22" s="48" t="s">
        <v>3033</v>
      </c>
      <c r="S22" s="50">
        <v>0.0</v>
      </c>
      <c r="T22" s="50">
        <v>0.0</v>
      </c>
      <c r="U22" s="50">
        <v>0.0</v>
      </c>
      <c r="V22" s="50">
        <v>1.0</v>
      </c>
      <c r="W22" s="50">
        <v>0.0</v>
      </c>
      <c r="X22" s="50">
        <v>0.0</v>
      </c>
      <c r="Y22" s="50">
        <v>1.0</v>
      </c>
      <c r="Z22" s="50">
        <v>0.0</v>
      </c>
      <c r="AA22" s="50">
        <v>0.0</v>
      </c>
      <c r="AB22" s="48" t="s">
        <v>3106</v>
      </c>
      <c r="AC22" s="50">
        <v>1.0</v>
      </c>
      <c r="AD22" s="50">
        <v>0.0</v>
      </c>
      <c r="AE22" s="50">
        <v>0.0</v>
      </c>
      <c r="AF22" s="50">
        <v>1.0</v>
      </c>
      <c r="AG22" s="50">
        <v>1.0</v>
      </c>
      <c r="AH22" s="50">
        <v>0.0</v>
      </c>
      <c r="AI22" s="50">
        <v>1.0</v>
      </c>
      <c r="AJ22" s="50">
        <v>0.0</v>
      </c>
      <c r="AK22" s="50">
        <v>0.0</v>
      </c>
      <c r="AL22" s="48"/>
      <c r="AM22" s="50">
        <v>1.0</v>
      </c>
      <c r="AN22" s="48"/>
      <c r="AO22" s="48"/>
      <c r="AP22" s="50">
        <v>4.0</v>
      </c>
      <c r="AQ22" s="50">
        <v>2.0</v>
      </c>
      <c r="AR22" s="48"/>
      <c r="AS22" s="50">
        <v>50.0</v>
      </c>
      <c r="AT22" s="48"/>
      <c r="AU22" s="48"/>
      <c r="AV22" s="48"/>
      <c r="AW22" s="48"/>
      <c r="AX22" s="48"/>
      <c r="AY22" s="50">
        <v>2.0</v>
      </c>
      <c r="AZ22" s="48"/>
      <c r="BA22" s="48"/>
      <c r="BB22" s="50">
        <v>40.0</v>
      </c>
      <c r="BC22" s="48"/>
      <c r="BD22" s="50">
        <v>1.0</v>
      </c>
      <c r="BE22" s="50">
        <v>0.0</v>
      </c>
      <c r="BF22" s="50">
        <v>0.0</v>
      </c>
      <c r="BG22" s="50">
        <v>0.0</v>
      </c>
      <c r="BH22" s="48"/>
      <c r="BI22" s="48"/>
      <c r="BJ22" s="48"/>
      <c r="BK22" s="48"/>
      <c r="BL22" s="48"/>
      <c r="BM22" s="48"/>
      <c r="BN22" s="48"/>
      <c r="BO22" s="48"/>
      <c r="BP22" s="50">
        <v>2.0</v>
      </c>
      <c r="BQ22" s="50">
        <v>0.0</v>
      </c>
      <c r="BR22" s="50">
        <v>0.0</v>
      </c>
      <c r="BS22" s="50">
        <v>0.0</v>
      </c>
      <c r="BT22" s="50">
        <v>2.0</v>
      </c>
      <c r="BU22" s="50">
        <v>0.0</v>
      </c>
      <c r="BV22" s="50">
        <v>0.0</v>
      </c>
      <c r="BW22" s="50">
        <v>0.0</v>
      </c>
      <c r="BX22" s="48"/>
      <c r="BY22" s="48"/>
      <c r="BZ22" s="48"/>
      <c r="CA22" s="48"/>
      <c r="CB22" s="50">
        <v>6.0</v>
      </c>
      <c r="CC22" s="50">
        <v>0.0</v>
      </c>
      <c r="CD22" s="50">
        <v>0.0</v>
      </c>
      <c r="CE22" s="50">
        <v>4.0</v>
      </c>
      <c r="CF22" s="48"/>
      <c r="CG22" s="48"/>
      <c r="CH22" s="48"/>
      <c r="CI22" s="48"/>
      <c r="CJ22" s="48"/>
      <c r="CK22" s="50">
        <v>6.94395258E8</v>
      </c>
      <c r="CL22" s="48" t="s">
        <v>3107</v>
      </c>
      <c r="CM22" s="47">
        <v>46093.35976851852</v>
      </c>
      <c r="CN22" s="48"/>
      <c r="CO22" s="48"/>
      <c r="CP22" s="48" t="s">
        <v>1954</v>
      </c>
      <c r="CQ22" s="48"/>
      <c r="CR22" s="48" t="s">
        <v>3014</v>
      </c>
      <c r="CS22" s="48"/>
      <c r="CT22" s="48" t="s">
        <v>3108</v>
      </c>
      <c r="CU22" s="50">
        <v>21.0</v>
      </c>
    </row>
    <row r="23">
      <c r="A23" s="47">
        <v>46093.69309511574</v>
      </c>
      <c r="B23" s="47">
        <v>46093.69638890046</v>
      </c>
      <c r="C23" s="48" t="s">
        <v>3109</v>
      </c>
      <c r="D23" s="48" t="s">
        <v>3008</v>
      </c>
      <c r="E23" s="48" t="s">
        <v>3009</v>
      </c>
      <c r="F23" s="48" t="s">
        <v>3017</v>
      </c>
      <c r="G23" s="49" t="s">
        <v>3110</v>
      </c>
      <c r="H23" s="48" t="s">
        <v>3028</v>
      </c>
      <c r="I23" s="50">
        <v>0.0</v>
      </c>
      <c r="J23" s="50">
        <v>0.0</v>
      </c>
      <c r="K23" s="50">
        <v>0.0</v>
      </c>
      <c r="L23" s="50">
        <v>1.0</v>
      </c>
      <c r="M23" s="50">
        <v>0.0</v>
      </c>
      <c r="N23" s="50">
        <v>1.0</v>
      </c>
      <c r="O23" s="50">
        <v>1.0</v>
      </c>
      <c r="P23" s="50">
        <v>0.0</v>
      </c>
      <c r="Q23" s="50">
        <v>0.0</v>
      </c>
      <c r="R23" s="48" t="s">
        <v>3050</v>
      </c>
      <c r="S23" s="50">
        <v>0.0</v>
      </c>
      <c r="T23" s="50">
        <v>0.0</v>
      </c>
      <c r="U23" s="50">
        <v>0.0</v>
      </c>
      <c r="V23" s="50">
        <v>0.0</v>
      </c>
      <c r="W23" s="50">
        <v>0.0</v>
      </c>
      <c r="X23" s="50">
        <v>1.0</v>
      </c>
      <c r="Y23" s="50">
        <v>1.0</v>
      </c>
      <c r="Z23" s="50">
        <v>0.0</v>
      </c>
      <c r="AA23" s="50">
        <v>0.0</v>
      </c>
      <c r="AB23" s="48" t="s">
        <v>3111</v>
      </c>
      <c r="AC23" s="50">
        <v>0.0</v>
      </c>
      <c r="AD23" s="50">
        <v>0.0</v>
      </c>
      <c r="AE23" s="50">
        <v>0.0</v>
      </c>
      <c r="AF23" s="50">
        <v>1.0</v>
      </c>
      <c r="AG23" s="50">
        <v>0.0</v>
      </c>
      <c r="AH23" s="50">
        <v>1.0</v>
      </c>
      <c r="AI23" s="50">
        <v>0.0</v>
      </c>
      <c r="AJ23" s="50">
        <v>0.0</v>
      </c>
      <c r="AK23" s="50">
        <v>0.0</v>
      </c>
      <c r="AL23" s="48"/>
      <c r="AM23" s="48"/>
      <c r="AN23" s="48"/>
      <c r="AO23" s="48"/>
      <c r="AP23" s="50">
        <v>2.0</v>
      </c>
      <c r="AQ23" s="48"/>
      <c r="AR23" s="50">
        <v>20.0</v>
      </c>
      <c r="AS23" s="50">
        <v>10.0</v>
      </c>
      <c r="AT23" s="48"/>
      <c r="AU23" s="48"/>
      <c r="AV23" s="48"/>
      <c r="AW23" s="48"/>
      <c r="AX23" s="48"/>
      <c r="AY23" s="48"/>
      <c r="AZ23" s="48"/>
      <c r="BA23" s="50">
        <v>2.0</v>
      </c>
      <c r="BB23" s="50">
        <v>10.0</v>
      </c>
      <c r="BC23" s="48"/>
      <c r="BD23" s="48"/>
      <c r="BE23" s="48"/>
      <c r="BF23" s="48"/>
      <c r="BG23" s="48"/>
      <c r="BH23" s="48"/>
      <c r="BI23" s="48"/>
      <c r="BJ23" s="48"/>
      <c r="BK23" s="48"/>
      <c r="BL23" s="48"/>
      <c r="BM23" s="48"/>
      <c r="BN23" s="48"/>
      <c r="BO23" s="48"/>
      <c r="BP23" s="50">
        <v>0.0</v>
      </c>
      <c r="BQ23" s="50">
        <v>0.0</v>
      </c>
      <c r="BR23" s="50">
        <v>0.0</v>
      </c>
      <c r="BS23" s="50">
        <v>2.0</v>
      </c>
      <c r="BT23" s="48"/>
      <c r="BU23" s="48"/>
      <c r="BV23" s="48"/>
      <c r="BW23" s="48"/>
      <c r="BX23" s="50">
        <v>18.0</v>
      </c>
      <c r="BY23" s="50">
        <v>0.0</v>
      </c>
      <c r="BZ23" s="50">
        <v>0.0</v>
      </c>
      <c r="CA23" s="50">
        <v>0.0</v>
      </c>
      <c r="CB23" s="48"/>
      <c r="CC23" s="48"/>
      <c r="CD23" s="48"/>
      <c r="CE23" s="48"/>
      <c r="CF23" s="48"/>
      <c r="CG23" s="48"/>
      <c r="CH23" s="48"/>
      <c r="CI23" s="48"/>
      <c r="CJ23" s="48"/>
      <c r="CK23" s="50">
        <v>6.94401954E8</v>
      </c>
      <c r="CL23" s="48" t="s">
        <v>3112</v>
      </c>
      <c r="CM23" s="47">
        <v>46093.36306712963</v>
      </c>
      <c r="CN23" s="48"/>
      <c r="CO23" s="48"/>
      <c r="CP23" s="48" t="s">
        <v>1954</v>
      </c>
      <c r="CQ23" s="48"/>
      <c r="CR23" s="48" t="s">
        <v>3014</v>
      </c>
      <c r="CS23" s="48"/>
      <c r="CT23" s="48" t="s">
        <v>3113</v>
      </c>
      <c r="CU23" s="50">
        <v>22.0</v>
      </c>
    </row>
    <row r="24">
      <c r="A24" s="47">
        <v>46093.69638902778</v>
      </c>
      <c r="B24" s="47">
        <v>46093.69949921296</v>
      </c>
      <c r="C24" s="48" t="s">
        <v>3114</v>
      </c>
      <c r="D24" s="48" t="s">
        <v>3008</v>
      </c>
      <c r="E24" s="48" t="s">
        <v>3009</v>
      </c>
      <c r="F24" s="48" t="s">
        <v>3017</v>
      </c>
      <c r="G24" s="49" t="s">
        <v>3115</v>
      </c>
      <c r="H24" s="48" t="s">
        <v>3033</v>
      </c>
      <c r="I24" s="50">
        <v>0.0</v>
      </c>
      <c r="J24" s="50">
        <v>0.0</v>
      </c>
      <c r="K24" s="50">
        <v>0.0</v>
      </c>
      <c r="L24" s="50">
        <v>1.0</v>
      </c>
      <c r="M24" s="50">
        <v>0.0</v>
      </c>
      <c r="N24" s="50">
        <v>0.0</v>
      </c>
      <c r="O24" s="50">
        <v>1.0</v>
      </c>
      <c r="P24" s="50">
        <v>0.0</v>
      </c>
      <c r="Q24" s="50">
        <v>0.0</v>
      </c>
      <c r="R24" s="48" t="s">
        <v>3033</v>
      </c>
      <c r="S24" s="50">
        <v>0.0</v>
      </c>
      <c r="T24" s="50">
        <v>0.0</v>
      </c>
      <c r="U24" s="50">
        <v>0.0</v>
      </c>
      <c r="V24" s="50">
        <v>1.0</v>
      </c>
      <c r="W24" s="50">
        <v>0.0</v>
      </c>
      <c r="X24" s="50">
        <v>0.0</v>
      </c>
      <c r="Y24" s="50">
        <v>1.0</v>
      </c>
      <c r="Z24" s="50">
        <v>0.0</v>
      </c>
      <c r="AA24" s="50">
        <v>0.0</v>
      </c>
      <c r="AB24" s="48" t="s">
        <v>3033</v>
      </c>
      <c r="AC24" s="50">
        <v>0.0</v>
      </c>
      <c r="AD24" s="50">
        <v>0.0</v>
      </c>
      <c r="AE24" s="50">
        <v>0.0</v>
      </c>
      <c r="AF24" s="50">
        <v>1.0</v>
      </c>
      <c r="AG24" s="50">
        <v>0.0</v>
      </c>
      <c r="AH24" s="50">
        <v>0.0</v>
      </c>
      <c r="AI24" s="50">
        <v>1.0</v>
      </c>
      <c r="AJ24" s="50">
        <v>0.0</v>
      </c>
      <c r="AK24" s="50">
        <v>0.0</v>
      </c>
      <c r="AL24" s="48"/>
      <c r="AM24" s="48"/>
      <c r="AN24" s="48"/>
      <c r="AO24" s="48"/>
      <c r="AP24" s="50">
        <v>4.0</v>
      </c>
      <c r="AQ24" s="48"/>
      <c r="AR24" s="48"/>
      <c r="AS24" s="50">
        <v>6.0</v>
      </c>
      <c r="AT24" s="48"/>
      <c r="AU24" s="48"/>
      <c r="AV24" s="48"/>
      <c r="AW24" s="48"/>
      <c r="AX24" s="48"/>
      <c r="AY24" s="50">
        <v>1.0</v>
      </c>
      <c r="AZ24" s="48"/>
      <c r="BA24" s="48"/>
      <c r="BB24" s="50">
        <v>10.0</v>
      </c>
      <c r="BC24" s="48"/>
      <c r="BD24" s="48"/>
      <c r="BE24" s="48"/>
      <c r="BF24" s="48"/>
      <c r="BG24" s="48"/>
      <c r="BH24" s="48"/>
      <c r="BI24" s="48"/>
      <c r="BJ24" s="48"/>
      <c r="BK24" s="48"/>
      <c r="BL24" s="48"/>
      <c r="BM24" s="48"/>
      <c r="BN24" s="48"/>
      <c r="BO24" s="48"/>
      <c r="BP24" s="50">
        <v>2.0</v>
      </c>
      <c r="BQ24" s="50">
        <v>0.0</v>
      </c>
      <c r="BR24" s="50">
        <v>0.0</v>
      </c>
      <c r="BS24" s="50">
        <v>1.0</v>
      </c>
      <c r="BT24" s="48"/>
      <c r="BU24" s="48"/>
      <c r="BV24" s="48"/>
      <c r="BW24" s="48"/>
      <c r="BX24" s="48"/>
      <c r="BY24" s="48"/>
      <c r="BZ24" s="48"/>
      <c r="CA24" s="48"/>
      <c r="CB24" s="50">
        <v>0.0</v>
      </c>
      <c r="CC24" s="50">
        <v>0.0</v>
      </c>
      <c r="CD24" s="50">
        <v>4.0</v>
      </c>
      <c r="CE24" s="50">
        <v>0.0</v>
      </c>
      <c r="CF24" s="48"/>
      <c r="CG24" s="48"/>
      <c r="CH24" s="48"/>
      <c r="CI24" s="48"/>
      <c r="CJ24" s="48"/>
      <c r="CK24" s="50">
        <v>6.94408778E8</v>
      </c>
      <c r="CL24" s="48" t="s">
        <v>3116</v>
      </c>
      <c r="CM24" s="47">
        <v>46093.36619212963</v>
      </c>
      <c r="CN24" s="48"/>
      <c r="CO24" s="48"/>
      <c r="CP24" s="48" t="s">
        <v>1954</v>
      </c>
      <c r="CQ24" s="48"/>
      <c r="CR24" s="48" t="s">
        <v>3014</v>
      </c>
      <c r="CS24" s="48"/>
      <c r="CT24" s="48" t="s">
        <v>3117</v>
      </c>
      <c r="CU24" s="50">
        <v>23.0</v>
      </c>
    </row>
    <row r="25">
      <c r="A25" s="47">
        <v>46093.69949939815</v>
      </c>
      <c r="B25" s="47">
        <v>46093.70127541666</v>
      </c>
      <c r="C25" s="48" t="s">
        <v>3118</v>
      </c>
      <c r="D25" s="48" t="s">
        <v>3008</v>
      </c>
      <c r="E25" s="48" t="s">
        <v>3009</v>
      </c>
      <c r="F25" s="48" t="s">
        <v>3010</v>
      </c>
      <c r="G25" s="49" t="s">
        <v>3119</v>
      </c>
      <c r="H25" s="48" t="s">
        <v>3012</v>
      </c>
      <c r="I25" s="50">
        <v>0.0</v>
      </c>
      <c r="J25" s="50">
        <v>0.0</v>
      </c>
      <c r="K25" s="50">
        <v>0.0</v>
      </c>
      <c r="L25" s="50">
        <v>1.0</v>
      </c>
      <c r="M25" s="50">
        <v>0.0</v>
      </c>
      <c r="N25" s="50">
        <v>0.0</v>
      </c>
      <c r="O25" s="50">
        <v>0.0</v>
      </c>
      <c r="P25" s="50">
        <v>0.0</v>
      </c>
      <c r="Q25" s="50">
        <v>0.0</v>
      </c>
      <c r="R25" s="48" t="s">
        <v>3012</v>
      </c>
      <c r="S25" s="50">
        <v>0.0</v>
      </c>
      <c r="T25" s="50">
        <v>0.0</v>
      </c>
      <c r="U25" s="50">
        <v>0.0</v>
      </c>
      <c r="V25" s="50">
        <v>1.0</v>
      </c>
      <c r="W25" s="50">
        <v>0.0</v>
      </c>
      <c r="X25" s="50">
        <v>0.0</v>
      </c>
      <c r="Y25" s="50">
        <v>0.0</v>
      </c>
      <c r="Z25" s="50">
        <v>0.0</v>
      </c>
      <c r="AA25" s="50">
        <v>0.0</v>
      </c>
      <c r="AB25" s="48" t="s">
        <v>3012</v>
      </c>
      <c r="AC25" s="50">
        <v>0.0</v>
      </c>
      <c r="AD25" s="50">
        <v>0.0</v>
      </c>
      <c r="AE25" s="50">
        <v>0.0</v>
      </c>
      <c r="AF25" s="50">
        <v>1.0</v>
      </c>
      <c r="AG25" s="50">
        <v>0.0</v>
      </c>
      <c r="AH25" s="50">
        <v>0.0</v>
      </c>
      <c r="AI25" s="50">
        <v>0.0</v>
      </c>
      <c r="AJ25" s="50">
        <v>0.0</v>
      </c>
      <c r="AK25" s="50">
        <v>0.0</v>
      </c>
      <c r="AL25" s="48"/>
      <c r="AM25" s="48"/>
      <c r="AN25" s="48"/>
      <c r="AO25" s="48"/>
      <c r="AP25" s="50">
        <v>8.0</v>
      </c>
      <c r="AQ25" s="48"/>
      <c r="AR25" s="48"/>
      <c r="AS25" s="48"/>
      <c r="AT25" s="48"/>
      <c r="AU25" s="48"/>
      <c r="AV25" s="48"/>
      <c r="AW25" s="48"/>
      <c r="AX25" s="48"/>
      <c r="AY25" s="50">
        <v>3.0</v>
      </c>
      <c r="AZ25" s="48"/>
      <c r="BA25" s="48"/>
      <c r="BB25" s="48"/>
      <c r="BC25" s="48"/>
      <c r="BD25" s="48"/>
      <c r="BE25" s="48"/>
      <c r="BF25" s="48"/>
      <c r="BG25" s="48"/>
      <c r="BH25" s="48"/>
      <c r="BI25" s="48"/>
      <c r="BJ25" s="48"/>
      <c r="BK25" s="48"/>
      <c r="BL25" s="48"/>
      <c r="BM25" s="48"/>
      <c r="BN25" s="48"/>
      <c r="BO25" s="48"/>
      <c r="BP25" s="50">
        <v>3.0</v>
      </c>
      <c r="BQ25" s="50">
        <v>0.0</v>
      </c>
      <c r="BR25" s="50">
        <v>0.0</v>
      </c>
      <c r="BS25" s="50">
        <v>2.0</v>
      </c>
      <c r="BT25" s="48"/>
      <c r="BU25" s="48"/>
      <c r="BV25" s="48"/>
      <c r="BW25" s="48"/>
      <c r="BX25" s="48"/>
      <c r="BY25" s="48"/>
      <c r="BZ25" s="48"/>
      <c r="CA25" s="48"/>
      <c r="CB25" s="48"/>
      <c r="CC25" s="48"/>
      <c r="CD25" s="48"/>
      <c r="CE25" s="48"/>
      <c r="CF25" s="48"/>
      <c r="CG25" s="48"/>
      <c r="CH25" s="48"/>
      <c r="CI25" s="48"/>
      <c r="CJ25" s="48"/>
      <c r="CK25" s="50">
        <v>6.94412626E8</v>
      </c>
      <c r="CL25" s="48" t="s">
        <v>3120</v>
      </c>
      <c r="CM25" s="47">
        <v>46093.36795138889</v>
      </c>
      <c r="CN25" s="48"/>
      <c r="CO25" s="48"/>
      <c r="CP25" s="48" t="s">
        <v>1954</v>
      </c>
      <c r="CQ25" s="48"/>
      <c r="CR25" s="48" t="s">
        <v>3014</v>
      </c>
      <c r="CS25" s="48"/>
      <c r="CT25" s="48" t="s">
        <v>3121</v>
      </c>
      <c r="CU25" s="50">
        <v>24.0</v>
      </c>
    </row>
    <row r="26">
      <c r="A26" s="47">
        <v>46093.70127563657</v>
      </c>
      <c r="B26" s="47">
        <v>46093.70378732639</v>
      </c>
      <c r="C26" s="48" t="s">
        <v>3122</v>
      </c>
      <c r="D26" s="48" t="s">
        <v>3008</v>
      </c>
      <c r="E26" s="48" t="s">
        <v>3009</v>
      </c>
      <c r="F26" s="48" t="s">
        <v>3044</v>
      </c>
      <c r="G26" s="49" t="s">
        <v>3123</v>
      </c>
      <c r="H26" s="48" t="s">
        <v>3111</v>
      </c>
      <c r="I26" s="50">
        <v>0.0</v>
      </c>
      <c r="J26" s="50">
        <v>0.0</v>
      </c>
      <c r="K26" s="50">
        <v>0.0</v>
      </c>
      <c r="L26" s="50">
        <v>1.0</v>
      </c>
      <c r="M26" s="50">
        <v>0.0</v>
      </c>
      <c r="N26" s="50">
        <v>1.0</v>
      </c>
      <c r="O26" s="50">
        <v>0.0</v>
      </c>
      <c r="P26" s="50">
        <v>0.0</v>
      </c>
      <c r="Q26" s="50">
        <v>0.0</v>
      </c>
      <c r="R26" s="48" t="s">
        <v>3012</v>
      </c>
      <c r="S26" s="50">
        <v>0.0</v>
      </c>
      <c r="T26" s="50">
        <v>0.0</v>
      </c>
      <c r="U26" s="50">
        <v>0.0</v>
      </c>
      <c r="V26" s="50">
        <v>1.0</v>
      </c>
      <c r="W26" s="50">
        <v>0.0</v>
      </c>
      <c r="X26" s="50">
        <v>0.0</v>
      </c>
      <c r="Y26" s="50">
        <v>0.0</v>
      </c>
      <c r="Z26" s="50">
        <v>0.0</v>
      </c>
      <c r="AA26" s="50">
        <v>0.0</v>
      </c>
      <c r="AB26" s="48" t="s">
        <v>3111</v>
      </c>
      <c r="AC26" s="50">
        <v>0.0</v>
      </c>
      <c r="AD26" s="50">
        <v>0.0</v>
      </c>
      <c r="AE26" s="50">
        <v>0.0</v>
      </c>
      <c r="AF26" s="50">
        <v>1.0</v>
      </c>
      <c r="AG26" s="50">
        <v>0.0</v>
      </c>
      <c r="AH26" s="50">
        <v>1.0</v>
      </c>
      <c r="AI26" s="50">
        <v>0.0</v>
      </c>
      <c r="AJ26" s="50">
        <v>0.0</v>
      </c>
      <c r="AK26" s="50">
        <v>0.0</v>
      </c>
      <c r="AL26" s="48"/>
      <c r="AM26" s="48"/>
      <c r="AN26" s="48"/>
      <c r="AO26" s="48"/>
      <c r="AP26" s="50">
        <v>5.0</v>
      </c>
      <c r="AQ26" s="48"/>
      <c r="AR26" s="50">
        <v>3.0</v>
      </c>
      <c r="AS26" s="48"/>
      <c r="AT26" s="48"/>
      <c r="AU26" s="48"/>
      <c r="AV26" s="48"/>
      <c r="AW26" s="48"/>
      <c r="AX26" s="48"/>
      <c r="AY26" s="50">
        <v>2.0</v>
      </c>
      <c r="AZ26" s="48"/>
      <c r="BA26" s="48"/>
      <c r="BB26" s="48"/>
      <c r="BC26" s="48"/>
      <c r="BD26" s="48"/>
      <c r="BE26" s="48"/>
      <c r="BF26" s="48"/>
      <c r="BG26" s="48"/>
      <c r="BH26" s="48"/>
      <c r="BI26" s="48"/>
      <c r="BJ26" s="48"/>
      <c r="BK26" s="48"/>
      <c r="BL26" s="48"/>
      <c r="BM26" s="48"/>
      <c r="BN26" s="48"/>
      <c r="BO26" s="48"/>
      <c r="BP26" s="50">
        <v>1.0</v>
      </c>
      <c r="BQ26" s="50">
        <v>0.0</v>
      </c>
      <c r="BR26" s="50">
        <v>0.0</v>
      </c>
      <c r="BS26" s="50">
        <v>2.0</v>
      </c>
      <c r="BT26" s="48"/>
      <c r="BU26" s="48"/>
      <c r="BV26" s="48"/>
      <c r="BW26" s="48"/>
      <c r="BX26" s="50">
        <v>3.0</v>
      </c>
      <c r="BY26" s="50">
        <v>0.0</v>
      </c>
      <c r="BZ26" s="50">
        <v>0.0</v>
      </c>
      <c r="CA26" s="50">
        <v>0.0</v>
      </c>
      <c r="CB26" s="48"/>
      <c r="CC26" s="48"/>
      <c r="CD26" s="48"/>
      <c r="CE26" s="48"/>
      <c r="CF26" s="48"/>
      <c r="CG26" s="48"/>
      <c r="CH26" s="48"/>
      <c r="CI26" s="48"/>
      <c r="CJ26" s="48"/>
      <c r="CK26" s="50">
        <v>6.94417816E8</v>
      </c>
      <c r="CL26" s="48" t="s">
        <v>3124</v>
      </c>
      <c r="CM26" s="47">
        <v>46093.37046296296</v>
      </c>
      <c r="CN26" s="48"/>
      <c r="CO26" s="48"/>
      <c r="CP26" s="48" t="s">
        <v>1954</v>
      </c>
      <c r="CQ26" s="48"/>
      <c r="CR26" s="48" t="s">
        <v>3014</v>
      </c>
      <c r="CS26" s="48"/>
      <c r="CT26" s="48" t="s">
        <v>3125</v>
      </c>
      <c r="CU26" s="50">
        <v>25.0</v>
      </c>
    </row>
    <row r="27">
      <c r="A27" s="47">
        <v>46093.70378745371</v>
      </c>
      <c r="B27" s="47">
        <v>46093.70524070602</v>
      </c>
      <c r="C27" s="48" t="s">
        <v>3126</v>
      </c>
      <c r="D27" s="48" t="s">
        <v>3008</v>
      </c>
      <c r="E27" s="48" t="s">
        <v>3009</v>
      </c>
      <c r="F27" s="48" t="s">
        <v>3017</v>
      </c>
      <c r="G27" s="49" t="s">
        <v>3127</v>
      </c>
      <c r="H27" s="48" t="s">
        <v>3012</v>
      </c>
      <c r="I27" s="50">
        <v>0.0</v>
      </c>
      <c r="J27" s="50">
        <v>0.0</v>
      </c>
      <c r="K27" s="50">
        <v>0.0</v>
      </c>
      <c r="L27" s="50">
        <v>1.0</v>
      </c>
      <c r="M27" s="50">
        <v>0.0</v>
      </c>
      <c r="N27" s="50">
        <v>0.0</v>
      </c>
      <c r="O27" s="50">
        <v>0.0</v>
      </c>
      <c r="P27" s="50">
        <v>0.0</v>
      </c>
      <c r="Q27" s="50">
        <v>0.0</v>
      </c>
      <c r="R27" s="48" t="s">
        <v>3012</v>
      </c>
      <c r="S27" s="50">
        <v>0.0</v>
      </c>
      <c r="T27" s="50">
        <v>0.0</v>
      </c>
      <c r="U27" s="50">
        <v>0.0</v>
      </c>
      <c r="V27" s="50">
        <v>1.0</v>
      </c>
      <c r="W27" s="50">
        <v>0.0</v>
      </c>
      <c r="X27" s="50">
        <v>0.0</v>
      </c>
      <c r="Y27" s="50">
        <v>0.0</v>
      </c>
      <c r="Z27" s="50">
        <v>0.0</v>
      </c>
      <c r="AA27" s="50">
        <v>0.0</v>
      </c>
      <c r="AB27" s="48" t="s">
        <v>3012</v>
      </c>
      <c r="AC27" s="50">
        <v>0.0</v>
      </c>
      <c r="AD27" s="50">
        <v>0.0</v>
      </c>
      <c r="AE27" s="50">
        <v>0.0</v>
      </c>
      <c r="AF27" s="50">
        <v>1.0</v>
      </c>
      <c r="AG27" s="50">
        <v>0.0</v>
      </c>
      <c r="AH27" s="50">
        <v>0.0</v>
      </c>
      <c r="AI27" s="50">
        <v>0.0</v>
      </c>
      <c r="AJ27" s="50">
        <v>0.0</v>
      </c>
      <c r="AK27" s="50">
        <v>0.0</v>
      </c>
      <c r="AL27" s="48"/>
      <c r="AM27" s="48"/>
      <c r="AN27" s="48"/>
      <c r="AO27" s="48"/>
      <c r="AP27" s="50">
        <v>4.0</v>
      </c>
      <c r="AQ27" s="48"/>
      <c r="AR27" s="48"/>
      <c r="AS27" s="48"/>
      <c r="AT27" s="48"/>
      <c r="AU27" s="48"/>
      <c r="AV27" s="48"/>
      <c r="AW27" s="48"/>
      <c r="AX27" s="48"/>
      <c r="AY27" s="50">
        <v>1.0</v>
      </c>
      <c r="AZ27" s="48"/>
      <c r="BA27" s="48"/>
      <c r="BB27" s="48"/>
      <c r="BC27" s="48"/>
      <c r="BD27" s="48"/>
      <c r="BE27" s="48"/>
      <c r="BF27" s="48"/>
      <c r="BG27" s="48"/>
      <c r="BH27" s="48"/>
      <c r="BI27" s="48"/>
      <c r="BJ27" s="48"/>
      <c r="BK27" s="48"/>
      <c r="BL27" s="48"/>
      <c r="BM27" s="48"/>
      <c r="BN27" s="48"/>
      <c r="BO27" s="48"/>
      <c r="BP27" s="50">
        <v>1.0</v>
      </c>
      <c r="BQ27" s="50">
        <v>0.0</v>
      </c>
      <c r="BR27" s="50">
        <v>0.0</v>
      </c>
      <c r="BS27" s="50">
        <v>2.0</v>
      </c>
      <c r="BT27" s="48"/>
      <c r="BU27" s="48"/>
      <c r="BV27" s="48"/>
      <c r="BW27" s="48"/>
      <c r="BX27" s="48"/>
      <c r="BY27" s="48"/>
      <c r="BZ27" s="48"/>
      <c r="CA27" s="48"/>
      <c r="CB27" s="48"/>
      <c r="CC27" s="48"/>
      <c r="CD27" s="48"/>
      <c r="CE27" s="48"/>
      <c r="CF27" s="48"/>
      <c r="CG27" s="48"/>
      <c r="CH27" s="48"/>
      <c r="CI27" s="48"/>
      <c r="CJ27" s="48"/>
      <c r="CK27" s="50">
        <v>6.94420827E8</v>
      </c>
      <c r="CL27" s="48" t="s">
        <v>3128</v>
      </c>
      <c r="CM27" s="47">
        <v>46093.37190972222</v>
      </c>
      <c r="CN27" s="48"/>
      <c r="CO27" s="48"/>
      <c r="CP27" s="48" t="s">
        <v>1954</v>
      </c>
      <c r="CQ27" s="48"/>
      <c r="CR27" s="48" t="s">
        <v>3014</v>
      </c>
      <c r="CS27" s="48"/>
      <c r="CT27" s="48" t="s">
        <v>3129</v>
      </c>
      <c r="CU27" s="50">
        <v>26.0</v>
      </c>
    </row>
    <row r="28">
      <c r="A28" s="47">
        <v>46093.631395625</v>
      </c>
      <c r="B28" s="47">
        <v>46094.66297101852</v>
      </c>
      <c r="C28" s="48" t="s">
        <v>3130</v>
      </c>
      <c r="D28" s="48" t="s">
        <v>3131</v>
      </c>
      <c r="E28" s="48" t="s">
        <v>3132</v>
      </c>
      <c r="F28" s="48" t="s">
        <v>3133</v>
      </c>
      <c r="G28" s="49" t="s">
        <v>3134</v>
      </c>
      <c r="H28" s="48" t="s">
        <v>2948</v>
      </c>
      <c r="I28" s="50">
        <v>0.0</v>
      </c>
      <c r="J28" s="50">
        <v>1.0</v>
      </c>
      <c r="K28" s="50">
        <v>0.0</v>
      </c>
      <c r="L28" s="50">
        <v>0.0</v>
      </c>
      <c r="M28" s="50">
        <v>0.0</v>
      </c>
      <c r="N28" s="50">
        <v>0.0</v>
      </c>
      <c r="O28" s="50">
        <v>0.0</v>
      </c>
      <c r="P28" s="50">
        <v>0.0</v>
      </c>
      <c r="Q28" s="50">
        <v>0.0</v>
      </c>
      <c r="R28" s="48" t="s">
        <v>2948</v>
      </c>
      <c r="S28" s="50">
        <v>0.0</v>
      </c>
      <c r="T28" s="50">
        <v>1.0</v>
      </c>
      <c r="U28" s="50">
        <v>0.0</v>
      </c>
      <c r="V28" s="50">
        <v>0.0</v>
      </c>
      <c r="W28" s="50">
        <v>0.0</v>
      </c>
      <c r="X28" s="50">
        <v>0.0</v>
      </c>
      <c r="Y28" s="50">
        <v>0.0</v>
      </c>
      <c r="Z28" s="50">
        <v>0.0</v>
      </c>
      <c r="AA28" s="50">
        <v>0.0</v>
      </c>
      <c r="AB28" s="48" t="s">
        <v>999</v>
      </c>
      <c r="AC28" s="50">
        <v>0.0</v>
      </c>
      <c r="AD28" s="50">
        <v>0.0</v>
      </c>
      <c r="AE28" s="50">
        <v>0.0</v>
      </c>
      <c r="AF28" s="50">
        <v>0.0</v>
      </c>
      <c r="AG28" s="50">
        <v>0.0</v>
      </c>
      <c r="AH28" s="50">
        <v>0.0</v>
      </c>
      <c r="AI28" s="50">
        <v>0.0</v>
      </c>
      <c r="AJ28" s="50">
        <v>0.0</v>
      </c>
      <c r="AK28" s="50">
        <v>1.0</v>
      </c>
      <c r="AL28" s="48"/>
      <c r="AM28" s="48"/>
      <c r="AN28" s="50">
        <v>4.0</v>
      </c>
      <c r="AO28" s="48"/>
      <c r="AP28" s="48"/>
      <c r="AQ28" s="48"/>
      <c r="AR28" s="48"/>
      <c r="AS28" s="48"/>
      <c r="AT28" s="48"/>
      <c r="AU28" s="48"/>
      <c r="AV28" s="48"/>
      <c r="AW28" s="50">
        <v>4.0</v>
      </c>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50">
        <v>6.95625853E8</v>
      </c>
      <c r="CL28" s="48" t="s">
        <v>3135</v>
      </c>
      <c r="CM28" s="47">
        <v>46094.37131944444</v>
      </c>
      <c r="CN28" s="48"/>
      <c r="CO28" s="48"/>
      <c r="CP28" s="48" t="s">
        <v>1954</v>
      </c>
      <c r="CQ28" s="48"/>
      <c r="CR28" s="48" t="s">
        <v>3014</v>
      </c>
      <c r="CS28" s="48"/>
      <c r="CT28" s="48" t="s">
        <v>3136</v>
      </c>
      <c r="CU28" s="50">
        <v>27.0</v>
      </c>
    </row>
    <row r="29">
      <c r="A29" s="47">
        <v>46093.63479376157</v>
      </c>
      <c r="B29" s="47">
        <v>46094.66354157407</v>
      </c>
      <c r="C29" s="48" t="s">
        <v>3137</v>
      </c>
      <c r="D29" s="48" t="s">
        <v>3131</v>
      </c>
      <c r="E29" s="48" t="s">
        <v>3132</v>
      </c>
      <c r="F29" s="48" t="s">
        <v>3133</v>
      </c>
      <c r="G29" s="49" t="s">
        <v>3138</v>
      </c>
      <c r="H29" s="48" t="s">
        <v>2948</v>
      </c>
      <c r="I29" s="50">
        <v>0.0</v>
      </c>
      <c r="J29" s="50">
        <v>1.0</v>
      </c>
      <c r="K29" s="50">
        <v>0.0</v>
      </c>
      <c r="L29" s="50">
        <v>0.0</v>
      </c>
      <c r="M29" s="50">
        <v>0.0</v>
      </c>
      <c r="N29" s="50">
        <v>0.0</v>
      </c>
      <c r="O29" s="50">
        <v>0.0</v>
      </c>
      <c r="P29" s="50">
        <v>0.0</v>
      </c>
      <c r="Q29" s="50">
        <v>0.0</v>
      </c>
      <c r="R29" s="48" t="s">
        <v>2948</v>
      </c>
      <c r="S29" s="50">
        <v>0.0</v>
      </c>
      <c r="T29" s="50">
        <v>1.0</v>
      </c>
      <c r="U29" s="50">
        <v>0.0</v>
      </c>
      <c r="V29" s="50">
        <v>0.0</v>
      </c>
      <c r="W29" s="50">
        <v>0.0</v>
      </c>
      <c r="X29" s="50">
        <v>0.0</v>
      </c>
      <c r="Y29" s="50">
        <v>0.0</v>
      </c>
      <c r="Z29" s="50">
        <v>0.0</v>
      </c>
      <c r="AA29" s="50">
        <v>0.0</v>
      </c>
      <c r="AB29" s="48" t="s">
        <v>999</v>
      </c>
      <c r="AC29" s="50">
        <v>0.0</v>
      </c>
      <c r="AD29" s="50">
        <v>0.0</v>
      </c>
      <c r="AE29" s="50">
        <v>0.0</v>
      </c>
      <c r="AF29" s="50">
        <v>0.0</v>
      </c>
      <c r="AG29" s="50">
        <v>0.0</v>
      </c>
      <c r="AH29" s="50">
        <v>0.0</v>
      </c>
      <c r="AI29" s="50">
        <v>0.0</v>
      </c>
      <c r="AJ29" s="50">
        <v>0.0</v>
      </c>
      <c r="AK29" s="50">
        <v>1.0</v>
      </c>
      <c r="AL29" s="48"/>
      <c r="AM29" s="48"/>
      <c r="AN29" s="50">
        <v>7.0</v>
      </c>
      <c r="AO29" s="48"/>
      <c r="AP29" s="48"/>
      <c r="AQ29" s="48"/>
      <c r="AR29" s="48"/>
      <c r="AS29" s="48"/>
      <c r="AT29" s="48"/>
      <c r="AU29" s="48"/>
      <c r="AV29" s="48"/>
      <c r="AW29" s="50">
        <v>7.0</v>
      </c>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50">
        <v>6.95626534E8</v>
      </c>
      <c r="CL29" s="48" t="s">
        <v>3139</v>
      </c>
      <c r="CM29" s="47">
        <v>46094.371875</v>
      </c>
      <c r="CN29" s="48"/>
      <c r="CO29" s="48"/>
      <c r="CP29" s="48" t="s">
        <v>1954</v>
      </c>
      <c r="CQ29" s="48"/>
      <c r="CR29" s="48" t="s">
        <v>3014</v>
      </c>
      <c r="CS29" s="48"/>
      <c r="CT29" s="48" t="s">
        <v>3140</v>
      </c>
      <c r="CU29" s="50">
        <v>28.0</v>
      </c>
    </row>
    <row r="30">
      <c r="A30" s="47">
        <v>46093.63620033565</v>
      </c>
      <c r="B30" s="47">
        <v>46094.6636733912</v>
      </c>
      <c r="C30" s="48" t="s">
        <v>3141</v>
      </c>
      <c r="D30" s="48" t="s">
        <v>3131</v>
      </c>
      <c r="E30" s="48" t="s">
        <v>3142</v>
      </c>
      <c r="F30" s="48" t="s">
        <v>3133</v>
      </c>
      <c r="G30" s="49" t="s">
        <v>3143</v>
      </c>
      <c r="H30" s="48" t="s">
        <v>2948</v>
      </c>
      <c r="I30" s="50">
        <v>0.0</v>
      </c>
      <c r="J30" s="50">
        <v>1.0</v>
      </c>
      <c r="K30" s="50">
        <v>0.0</v>
      </c>
      <c r="L30" s="50">
        <v>0.0</v>
      </c>
      <c r="M30" s="50">
        <v>0.0</v>
      </c>
      <c r="N30" s="50">
        <v>0.0</v>
      </c>
      <c r="O30" s="50">
        <v>0.0</v>
      </c>
      <c r="P30" s="50">
        <v>0.0</v>
      </c>
      <c r="Q30" s="50">
        <v>0.0</v>
      </c>
      <c r="R30" s="48" t="s">
        <v>2948</v>
      </c>
      <c r="S30" s="50">
        <v>0.0</v>
      </c>
      <c r="T30" s="50">
        <v>1.0</v>
      </c>
      <c r="U30" s="50">
        <v>0.0</v>
      </c>
      <c r="V30" s="50">
        <v>0.0</v>
      </c>
      <c r="W30" s="50">
        <v>0.0</v>
      </c>
      <c r="X30" s="50">
        <v>0.0</v>
      </c>
      <c r="Y30" s="50">
        <v>0.0</v>
      </c>
      <c r="Z30" s="50">
        <v>0.0</v>
      </c>
      <c r="AA30" s="50">
        <v>0.0</v>
      </c>
      <c r="AB30" s="48" t="s">
        <v>999</v>
      </c>
      <c r="AC30" s="50">
        <v>0.0</v>
      </c>
      <c r="AD30" s="50">
        <v>0.0</v>
      </c>
      <c r="AE30" s="50">
        <v>0.0</v>
      </c>
      <c r="AF30" s="50">
        <v>0.0</v>
      </c>
      <c r="AG30" s="50">
        <v>0.0</v>
      </c>
      <c r="AH30" s="50">
        <v>0.0</v>
      </c>
      <c r="AI30" s="50">
        <v>0.0</v>
      </c>
      <c r="AJ30" s="50">
        <v>0.0</v>
      </c>
      <c r="AK30" s="50">
        <v>1.0</v>
      </c>
      <c r="AL30" s="48"/>
      <c r="AM30" s="48"/>
      <c r="AN30" s="50">
        <v>3.0</v>
      </c>
      <c r="AO30" s="48"/>
      <c r="AP30" s="48"/>
      <c r="AQ30" s="48"/>
      <c r="AR30" s="48"/>
      <c r="AS30" s="48"/>
      <c r="AT30" s="48"/>
      <c r="AU30" s="48"/>
      <c r="AV30" s="48"/>
      <c r="AW30" s="50">
        <v>3.0</v>
      </c>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50">
        <v>6.95626709E8</v>
      </c>
      <c r="CL30" s="48" t="s">
        <v>3144</v>
      </c>
      <c r="CM30" s="47">
        <v>46094.37201388889</v>
      </c>
      <c r="CN30" s="48"/>
      <c r="CO30" s="48"/>
      <c r="CP30" s="48" t="s">
        <v>1954</v>
      </c>
      <c r="CQ30" s="48"/>
      <c r="CR30" s="48" t="s">
        <v>3014</v>
      </c>
      <c r="CS30" s="48"/>
      <c r="CT30" s="48" t="s">
        <v>3145</v>
      </c>
      <c r="CU30" s="50">
        <v>29.0</v>
      </c>
    </row>
    <row r="31">
      <c r="A31" s="47">
        <v>46093.63786035879</v>
      </c>
      <c r="B31" s="47">
        <v>46094.66376251158</v>
      </c>
      <c r="C31" s="48" t="s">
        <v>3146</v>
      </c>
      <c r="D31" s="48" t="s">
        <v>3131</v>
      </c>
      <c r="E31" s="48" t="s">
        <v>3132</v>
      </c>
      <c r="F31" s="48" t="s">
        <v>3133</v>
      </c>
      <c r="G31" s="49" t="s">
        <v>3147</v>
      </c>
      <c r="H31" s="48" t="s">
        <v>2949</v>
      </c>
      <c r="I31" s="50">
        <v>1.0</v>
      </c>
      <c r="J31" s="50">
        <v>1.0</v>
      </c>
      <c r="K31" s="50">
        <v>0.0</v>
      </c>
      <c r="L31" s="50">
        <v>0.0</v>
      </c>
      <c r="M31" s="50">
        <v>0.0</v>
      </c>
      <c r="N31" s="50">
        <v>0.0</v>
      </c>
      <c r="O31" s="50">
        <v>0.0</v>
      </c>
      <c r="P31" s="50">
        <v>0.0</v>
      </c>
      <c r="Q31" s="50">
        <v>0.0</v>
      </c>
      <c r="R31" s="48" t="s">
        <v>2947</v>
      </c>
      <c r="S31" s="50">
        <v>1.0</v>
      </c>
      <c r="T31" s="50">
        <v>0.0</v>
      </c>
      <c r="U31" s="50">
        <v>0.0</v>
      </c>
      <c r="V31" s="50">
        <v>0.0</v>
      </c>
      <c r="W31" s="50">
        <v>0.0</v>
      </c>
      <c r="X31" s="50">
        <v>0.0</v>
      </c>
      <c r="Y31" s="50">
        <v>0.0</v>
      </c>
      <c r="Z31" s="50">
        <v>0.0</v>
      </c>
      <c r="AA31" s="50">
        <v>0.0</v>
      </c>
      <c r="AB31" s="48" t="s">
        <v>2948</v>
      </c>
      <c r="AC31" s="50">
        <v>0.0</v>
      </c>
      <c r="AD31" s="50">
        <v>1.0</v>
      </c>
      <c r="AE31" s="50">
        <v>0.0</v>
      </c>
      <c r="AF31" s="50">
        <v>0.0</v>
      </c>
      <c r="AG31" s="50">
        <v>0.0</v>
      </c>
      <c r="AH31" s="50">
        <v>0.0</v>
      </c>
      <c r="AI31" s="50">
        <v>0.0</v>
      </c>
      <c r="AJ31" s="50">
        <v>0.0</v>
      </c>
      <c r="AK31" s="50">
        <v>0.0</v>
      </c>
      <c r="AL31" s="48"/>
      <c r="AM31" s="50">
        <v>2.0</v>
      </c>
      <c r="AN31" s="50">
        <v>2.0</v>
      </c>
      <c r="AO31" s="48"/>
      <c r="AP31" s="48"/>
      <c r="AQ31" s="48"/>
      <c r="AR31" s="48"/>
      <c r="AS31" s="48"/>
      <c r="AT31" s="48"/>
      <c r="AU31" s="48"/>
      <c r="AV31" s="50">
        <v>2.0</v>
      </c>
      <c r="AW31" s="48"/>
      <c r="AX31" s="48"/>
      <c r="AY31" s="48"/>
      <c r="AZ31" s="48"/>
      <c r="BA31" s="48"/>
      <c r="BB31" s="48"/>
      <c r="BC31" s="48"/>
      <c r="BD31" s="48"/>
      <c r="BE31" s="48"/>
      <c r="BF31" s="48"/>
      <c r="BG31" s="48"/>
      <c r="BH31" s="50">
        <v>2.0</v>
      </c>
      <c r="BI31" s="50">
        <v>0.0</v>
      </c>
      <c r="BJ31" s="50">
        <v>0.0</v>
      </c>
      <c r="BK31" s="50">
        <v>0.0</v>
      </c>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50">
        <v>6.95626831E8</v>
      </c>
      <c r="CL31" s="48" t="s">
        <v>3148</v>
      </c>
      <c r="CM31" s="47">
        <v>46094.3720949074</v>
      </c>
      <c r="CN31" s="48"/>
      <c r="CO31" s="48"/>
      <c r="CP31" s="48" t="s">
        <v>1954</v>
      </c>
      <c r="CQ31" s="48"/>
      <c r="CR31" s="48" t="s">
        <v>3014</v>
      </c>
      <c r="CS31" s="48"/>
      <c r="CT31" s="48" t="s">
        <v>3149</v>
      </c>
      <c r="CU31" s="50">
        <v>30.0</v>
      </c>
    </row>
    <row r="32">
      <c r="A32" s="47">
        <v>46093.64226539352</v>
      </c>
      <c r="B32" s="47">
        <v>46094.66388951389</v>
      </c>
      <c r="C32" s="48" t="s">
        <v>3150</v>
      </c>
      <c r="D32" s="48" t="s">
        <v>3131</v>
      </c>
      <c r="E32" s="48" t="s">
        <v>3132</v>
      </c>
      <c r="F32" s="48" t="s">
        <v>3133</v>
      </c>
      <c r="G32" s="49" t="s">
        <v>3151</v>
      </c>
      <c r="H32" s="48" t="s">
        <v>2949</v>
      </c>
      <c r="I32" s="50">
        <v>1.0</v>
      </c>
      <c r="J32" s="50">
        <v>1.0</v>
      </c>
      <c r="K32" s="50">
        <v>0.0</v>
      </c>
      <c r="L32" s="50">
        <v>0.0</v>
      </c>
      <c r="M32" s="50">
        <v>0.0</v>
      </c>
      <c r="N32" s="50">
        <v>0.0</v>
      </c>
      <c r="O32" s="50">
        <v>0.0</v>
      </c>
      <c r="P32" s="50">
        <v>0.0</v>
      </c>
      <c r="Q32" s="50">
        <v>0.0</v>
      </c>
      <c r="R32" s="48" t="s">
        <v>2949</v>
      </c>
      <c r="S32" s="50">
        <v>1.0</v>
      </c>
      <c r="T32" s="50">
        <v>1.0</v>
      </c>
      <c r="U32" s="50">
        <v>0.0</v>
      </c>
      <c r="V32" s="50">
        <v>0.0</v>
      </c>
      <c r="W32" s="50">
        <v>0.0</v>
      </c>
      <c r="X32" s="50">
        <v>0.0</v>
      </c>
      <c r="Y32" s="50">
        <v>0.0</v>
      </c>
      <c r="Z32" s="50">
        <v>0.0</v>
      </c>
      <c r="AA32" s="50">
        <v>0.0</v>
      </c>
      <c r="AB32" s="48" t="s">
        <v>2947</v>
      </c>
      <c r="AC32" s="50">
        <v>1.0</v>
      </c>
      <c r="AD32" s="50">
        <v>0.0</v>
      </c>
      <c r="AE32" s="50">
        <v>0.0</v>
      </c>
      <c r="AF32" s="50">
        <v>0.0</v>
      </c>
      <c r="AG32" s="50">
        <v>0.0</v>
      </c>
      <c r="AH32" s="50">
        <v>0.0</v>
      </c>
      <c r="AI32" s="50">
        <v>0.0</v>
      </c>
      <c r="AJ32" s="50">
        <v>0.0</v>
      </c>
      <c r="AK32" s="50">
        <v>0.0</v>
      </c>
      <c r="AL32" s="48"/>
      <c r="AM32" s="50">
        <v>5.0</v>
      </c>
      <c r="AN32" s="50">
        <v>4.0</v>
      </c>
      <c r="AO32" s="48"/>
      <c r="AP32" s="48"/>
      <c r="AQ32" s="48"/>
      <c r="AR32" s="48"/>
      <c r="AS32" s="48"/>
      <c r="AT32" s="48"/>
      <c r="AU32" s="48"/>
      <c r="AV32" s="50">
        <v>1.0</v>
      </c>
      <c r="AW32" s="50">
        <v>4.0</v>
      </c>
      <c r="AX32" s="48"/>
      <c r="AY32" s="48"/>
      <c r="AZ32" s="48"/>
      <c r="BA32" s="48"/>
      <c r="BB32" s="48"/>
      <c r="BC32" s="48"/>
      <c r="BD32" s="50">
        <v>4.0</v>
      </c>
      <c r="BE32" s="50">
        <v>0.0</v>
      </c>
      <c r="BF32" s="50">
        <v>0.0</v>
      </c>
      <c r="BG32" s="50">
        <v>0.0</v>
      </c>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50">
        <v>6.95627023E8</v>
      </c>
      <c r="CL32" s="48" t="s">
        <v>3152</v>
      </c>
      <c r="CM32" s="47">
        <v>46094.3722337963</v>
      </c>
      <c r="CN32" s="48"/>
      <c r="CO32" s="48"/>
      <c r="CP32" s="48" t="s">
        <v>1954</v>
      </c>
      <c r="CQ32" s="48"/>
      <c r="CR32" s="48" t="s">
        <v>3014</v>
      </c>
      <c r="CS32" s="48"/>
      <c r="CT32" s="48" t="s">
        <v>3153</v>
      </c>
      <c r="CU32" s="50">
        <v>31.0</v>
      </c>
    </row>
    <row r="33">
      <c r="A33" s="47">
        <v>46093.64025722222</v>
      </c>
      <c r="B33" s="47">
        <v>46094.66406962963</v>
      </c>
      <c r="C33" s="48" t="s">
        <v>3154</v>
      </c>
      <c r="D33" s="48" t="s">
        <v>3131</v>
      </c>
      <c r="E33" s="48" t="s">
        <v>3132</v>
      </c>
      <c r="F33" s="48" t="s">
        <v>3133</v>
      </c>
      <c r="G33" s="49" t="s">
        <v>3155</v>
      </c>
      <c r="H33" s="48" t="s">
        <v>2948</v>
      </c>
      <c r="I33" s="50">
        <v>0.0</v>
      </c>
      <c r="J33" s="50">
        <v>1.0</v>
      </c>
      <c r="K33" s="50">
        <v>0.0</v>
      </c>
      <c r="L33" s="50">
        <v>0.0</v>
      </c>
      <c r="M33" s="50">
        <v>0.0</v>
      </c>
      <c r="N33" s="50">
        <v>0.0</v>
      </c>
      <c r="O33" s="50">
        <v>0.0</v>
      </c>
      <c r="P33" s="50">
        <v>0.0</v>
      </c>
      <c r="Q33" s="50">
        <v>0.0</v>
      </c>
      <c r="R33" s="48" t="s">
        <v>2949</v>
      </c>
      <c r="S33" s="50">
        <v>1.0</v>
      </c>
      <c r="T33" s="50">
        <v>1.0</v>
      </c>
      <c r="U33" s="50">
        <v>0.0</v>
      </c>
      <c r="V33" s="50">
        <v>0.0</v>
      </c>
      <c r="W33" s="50">
        <v>0.0</v>
      </c>
      <c r="X33" s="50">
        <v>0.0</v>
      </c>
      <c r="Y33" s="50">
        <v>0.0</v>
      </c>
      <c r="Z33" s="50">
        <v>0.0</v>
      </c>
      <c r="AA33" s="50">
        <v>0.0</v>
      </c>
      <c r="AB33" s="48" t="s">
        <v>2949</v>
      </c>
      <c r="AC33" s="50">
        <v>1.0</v>
      </c>
      <c r="AD33" s="50">
        <v>1.0</v>
      </c>
      <c r="AE33" s="50">
        <v>0.0</v>
      </c>
      <c r="AF33" s="50">
        <v>0.0</v>
      </c>
      <c r="AG33" s="50">
        <v>0.0</v>
      </c>
      <c r="AH33" s="50">
        <v>0.0</v>
      </c>
      <c r="AI33" s="50">
        <v>0.0</v>
      </c>
      <c r="AJ33" s="50">
        <v>0.0</v>
      </c>
      <c r="AK33" s="50">
        <v>0.0</v>
      </c>
      <c r="AL33" s="48"/>
      <c r="AM33" s="48"/>
      <c r="AN33" s="50">
        <v>2.0</v>
      </c>
      <c r="AO33" s="48"/>
      <c r="AP33" s="48"/>
      <c r="AQ33" s="48"/>
      <c r="AR33" s="48"/>
      <c r="AS33" s="48"/>
      <c r="AT33" s="48"/>
      <c r="AU33" s="48"/>
      <c r="AV33" s="50">
        <v>2.0</v>
      </c>
      <c r="AW33" s="50">
        <v>2.0</v>
      </c>
      <c r="AX33" s="48"/>
      <c r="AY33" s="48"/>
      <c r="AZ33" s="48"/>
      <c r="BA33" s="48"/>
      <c r="BB33" s="48"/>
      <c r="BC33" s="48"/>
      <c r="BD33" s="50">
        <v>0.0</v>
      </c>
      <c r="BE33" s="50">
        <v>0.0</v>
      </c>
      <c r="BF33" s="50">
        <v>2.0</v>
      </c>
      <c r="BG33" s="50">
        <v>0.0</v>
      </c>
      <c r="BH33" s="50">
        <v>0.0</v>
      </c>
      <c r="BI33" s="50">
        <v>0.0</v>
      </c>
      <c r="BJ33" s="50">
        <v>0.0</v>
      </c>
      <c r="BK33" s="50">
        <v>0.0</v>
      </c>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50">
        <v>6.95627399E8</v>
      </c>
      <c r="CL33" s="48" t="s">
        <v>3156</v>
      </c>
      <c r="CM33" s="47">
        <v>46094.37246527777</v>
      </c>
      <c r="CN33" s="48"/>
      <c r="CO33" s="48"/>
      <c r="CP33" s="48" t="s">
        <v>1954</v>
      </c>
      <c r="CQ33" s="48"/>
      <c r="CR33" s="48" t="s">
        <v>3014</v>
      </c>
      <c r="CS33" s="48"/>
      <c r="CT33" s="48" t="s">
        <v>3157</v>
      </c>
      <c r="CU33" s="50">
        <v>32.0</v>
      </c>
    </row>
    <row r="34">
      <c r="A34" s="47">
        <v>46093.64551711806</v>
      </c>
      <c r="B34" s="47">
        <v>46094.66431423611</v>
      </c>
      <c r="C34" s="48" t="s">
        <v>3158</v>
      </c>
      <c r="D34" s="48" t="s">
        <v>3131</v>
      </c>
      <c r="E34" s="48" t="s">
        <v>3132</v>
      </c>
      <c r="F34" s="48" t="s">
        <v>3133</v>
      </c>
      <c r="G34" s="49" t="s">
        <v>3159</v>
      </c>
      <c r="H34" s="48" t="s">
        <v>2948</v>
      </c>
      <c r="I34" s="50">
        <v>0.0</v>
      </c>
      <c r="J34" s="50">
        <v>1.0</v>
      </c>
      <c r="K34" s="50">
        <v>0.0</v>
      </c>
      <c r="L34" s="50">
        <v>0.0</v>
      </c>
      <c r="M34" s="50">
        <v>0.0</v>
      </c>
      <c r="N34" s="50">
        <v>0.0</v>
      </c>
      <c r="O34" s="50">
        <v>0.0</v>
      </c>
      <c r="P34" s="50">
        <v>0.0</v>
      </c>
      <c r="Q34" s="50">
        <v>0.0</v>
      </c>
      <c r="R34" s="48" t="s">
        <v>2949</v>
      </c>
      <c r="S34" s="50">
        <v>1.0</v>
      </c>
      <c r="T34" s="50">
        <v>1.0</v>
      </c>
      <c r="U34" s="50">
        <v>0.0</v>
      </c>
      <c r="V34" s="50">
        <v>0.0</v>
      </c>
      <c r="W34" s="50">
        <v>0.0</v>
      </c>
      <c r="X34" s="50">
        <v>0.0</v>
      </c>
      <c r="Y34" s="50">
        <v>0.0</v>
      </c>
      <c r="Z34" s="50">
        <v>0.0</v>
      </c>
      <c r="AA34" s="50">
        <v>0.0</v>
      </c>
      <c r="AB34" s="48" t="s">
        <v>2947</v>
      </c>
      <c r="AC34" s="50">
        <v>1.0</v>
      </c>
      <c r="AD34" s="50">
        <v>0.0</v>
      </c>
      <c r="AE34" s="50">
        <v>0.0</v>
      </c>
      <c r="AF34" s="50">
        <v>0.0</v>
      </c>
      <c r="AG34" s="50">
        <v>0.0</v>
      </c>
      <c r="AH34" s="50">
        <v>0.0</v>
      </c>
      <c r="AI34" s="50">
        <v>0.0</v>
      </c>
      <c r="AJ34" s="50">
        <v>0.0</v>
      </c>
      <c r="AK34" s="50">
        <v>0.0</v>
      </c>
      <c r="AL34" s="48"/>
      <c r="AM34" s="48"/>
      <c r="AN34" s="50">
        <v>3.0</v>
      </c>
      <c r="AO34" s="48"/>
      <c r="AP34" s="48"/>
      <c r="AQ34" s="48"/>
      <c r="AR34" s="48"/>
      <c r="AS34" s="48"/>
      <c r="AT34" s="48"/>
      <c r="AU34" s="48"/>
      <c r="AV34" s="50">
        <v>3.0</v>
      </c>
      <c r="AW34" s="50">
        <v>3.0</v>
      </c>
      <c r="AX34" s="48"/>
      <c r="AY34" s="48"/>
      <c r="AZ34" s="48"/>
      <c r="BA34" s="48"/>
      <c r="BB34" s="48"/>
      <c r="BC34" s="48"/>
      <c r="BD34" s="50">
        <v>0.0</v>
      </c>
      <c r="BE34" s="50">
        <v>0.0</v>
      </c>
      <c r="BF34" s="50">
        <v>3.0</v>
      </c>
      <c r="BG34" s="50">
        <v>0.0</v>
      </c>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50">
        <v>6.95627619E8</v>
      </c>
      <c r="CL34" s="48" t="s">
        <v>3160</v>
      </c>
      <c r="CM34" s="47">
        <v>46094.37265046296</v>
      </c>
      <c r="CN34" s="48"/>
      <c r="CO34" s="48"/>
      <c r="CP34" s="48" t="s">
        <v>1954</v>
      </c>
      <c r="CQ34" s="48"/>
      <c r="CR34" s="48" t="s">
        <v>3014</v>
      </c>
      <c r="CS34" s="48"/>
      <c r="CT34" s="48" t="s">
        <v>3161</v>
      </c>
      <c r="CU34" s="50">
        <v>33.0</v>
      </c>
    </row>
    <row r="35">
      <c r="A35" s="47">
        <v>46093.64784840278</v>
      </c>
      <c r="B35" s="47">
        <v>46094.66449577546</v>
      </c>
      <c r="C35" s="48" t="s">
        <v>3162</v>
      </c>
      <c r="D35" s="48" t="s">
        <v>3131</v>
      </c>
      <c r="E35" s="48" t="s">
        <v>3132</v>
      </c>
      <c r="F35" s="48" t="s">
        <v>3133</v>
      </c>
      <c r="G35" s="49" t="s">
        <v>3163</v>
      </c>
      <c r="H35" s="48" t="s">
        <v>2949</v>
      </c>
      <c r="I35" s="50">
        <v>1.0</v>
      </c>
      <c r="J35" s="50">
        <v>1.0</v>
      </c>
      <c r="K35" s="50">
        <v>0.0</v>
      </c>
      <c r="L35" s="50">
        <v>0.0</v>
      </c>
      <c r="M35" s="50">
        <v>0.0</v>
      </c>
      <c r="N35" s="50">
        <v>0.0</v>
      </c>
      <c r="O35" s="50">
        <v>0.0</v>
      </c>
      <c r="P35" s="50">
        <v>0.0</v>
      </c>
      <c r="Q35" s="50">
        <v>0.0</v>
      </c>
      <c r="R35" s="48" t="s">
        <v>2949</v>
      </c>
      <c r="S35" s="50">
        <v>1.0</v>
      </c>
      <c r="T35" s="50">
        <v>1.0</v>
      </c>
      <c r="U35" s="50">
        <v>0.0</v>
      </c>
      <c r="V35" s="50">
        <v>0.0</v>
      </c>
      <c r="W35" s="50">
        <v>0.0</v>
      </c>
      <c r="X35" s="50">
        <v>0.0</v>
      </c>
      <c r="Y35" s="50">
        <v>0.0</v>
      </c>
      <c r="Z35" s="50">
        <v>0.0</v>
      </c>
      <c r="AA35" s="50">
        <v>0.0</v>
      </c>
      <c r="AB35" s="48" t="s">
        <v>2949</v>
      </c>
      <c r="AC35" s="50">
        <v>1.0</v>
      </c>
      <c r="AD35" s="50">
        <v>1.0</v>
      </c>
      <c r="AE35" s="50">
        <v>0.0</v>
      </c>
      <c r="AF35" s="50">
        <v>0.0</v>
      </c>
      <c r="AG35" s="50">
        <v>0.0</v>
      </c>
      <c r="AH35" s="50">
        <v>0.0</v>
      </c>
      <c r="AI35" s="50">
        <v>0.0</v>
      </c>
      <c r="AJ35" s="50">
        <v>0.0</v>
      </c>
      <c r="AK35" s="50">
        <v>0.0</v>
      </c>
      <c r="AL35" s="48"/>
      <c r="AM35" s="50">
        <v>2.0</v>
      </c>
      <c r="AN35" s="50">
        <v>2.0</v>
      </c>
      <c r="AO35" s="48"/>
      <c r="AP35" s="48"/>
      <c r="AQ35" s="48"/>
      <c r="AR35" s="48"/>
      <c r="AS35" s="48"/>
      <c r="AT35" s="48"/>
      <c r="AU35" s="48"/>
      <c r="AV35" s="50">
        <v>3.0</v>
      </c>
      <c r="AW35" s="50">
        <v>1.0</v>
      </c>
      <c r="AX35" s="48"/>
      <c r="AY35" s="48"/>
      <c r="AZ35" s="48"/>
      <c r="BA35" s="48"/>
      <c r="BB35" s="48"/>
      <c r="BC35" s="48"/>
      <c r="BD35" s="50">
        <v>0.0</v>
      </c>
      <c r="BE35" s="50">
        <v>0.0</v>
      </c>
      <c r="BF35" s="50">
        <v>1.0</v>
      </c>
      <c r="BG35" s="50">
        <v>0.0</v>
      </c>
      <c r="BH35" s="50">
        <v>1.0</v>
      </c>
      <c r="BI35" s="50">
        <v>0.0</v>
      </c>
      <c r="BJ35" s="50">
        <v>0.0</v>
      </c>
      <c r="BK35" s="50">
        <v>0.0</v>
      </c>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50">
        <v>6.956278E8</v>
      </c>
      <c r="CL35" s="48" t="s">
        <v>3164</v>
      </c>
      <c r="CM35" s="47">
        <v>46094.37283564815</v>
      </c>
      <c r="CN35" s="48"/>
      <c r="CO35" s="48"/>
      <c r="CP35" s="48" t="s">
        <v>1954</v>
      </c>
      <c r="CQ35" s="48"/>
      <c r="CR35" s="48" t="s">
        <v>3014</v>
      </c>
      <c r="CS35" s="48"/>
      <c r="CT35" s="48" t="s">
        <v>3165</v>
      </c>
      <c r="CU35" s="50">
        <v>34.0</v>
      </c>
    </row>
    <row r="36">
      <c r="A36" s="47">
        <v>46093.65035868056</v>
      </c>
      <c r="B36" s="47">
        <v>46094.66458708333</v>
      </c>
      <c r="C36" s="48" t="s">
        <v>3166</v>
      </c>
      <c r="D36" s="48" t="s">
        <v>3131</v>
      </c>
      <c r="E36" s="48" t="s">
        <v>3132</v>
      </c>
      <c r="F36" s="48" t="s">
        <v>3167</v>
      </c>
      <c r="G36" s="49" t="s">
        <v>3168</v>
      </c>
      <c r="H36" s="48" t="s">
        <v>2949</v>
      </c>
      <c r="I36" s="50">
        <v>1.0</v>
      </c>
      <c r="J36" s="50">
        <v>1.0</v>
      </c>
      <c r="K36" s="50">
        <v>0.0</v>
      </c>
      <c r="L36" s="50">
        <v>0.0</v>
      </c>
      <c r="M36" s="50">
        <v>0.0</v>
      </c>
      <c r="N36" s="50">
        <v>0.0</v>
      </c>
      <c r="O36" s="50">
        <v>0.0</v>
      </c>
      <c r="P36" s="50">
        <v>0.0</v>
      </c>
      <c r="Q36" s="50">
        <v>0.0</v>
      </c>
      <c r="R36" s="48" t="s">
        <v>2949</v>
      </c>
      <c r="S36" s="50">
        <v>1.0</v>
      </c>
      <c r="T36" s="50">
        <v>1.0</v>
      </c>
      <c r="U36" s="50">
        <v>0.0</v>
      </c>
      <c r="V36" s="50">
        <v>0.0</v>
      </c>
      <c r="W36" s="50">
        <v>0.0</v>
      </c>
      <c r="X36" s="50">
        <v>0.0</v>
      </c>
      <c r="Y36" s="50">
        <v>0.0</v>
      </c>
      <c r="Z36" s="50">
        <v>0.0</v>
      </c>
      <c r="AA36" s="50">
        <v>0.0</v>
      </c>
      <c r="AB36" s="48" t="s">
        <v>2948</v>
      </c>
      <c r="AC36" s="50">
        <v>0.0</v>
      </c>
      <c r="AD36" s="50">
        <v>1.0</v>
      </c>
      <c r="AE36" s="50">
        <v>0.0</v>
      </c>
      <c r="AF36" s="50">
        <v>0.0</v>
      </c>
      <c r="AG36" s="50">
        <v>0.0</v>
      </c>
      <c r="AH36" s="50">
        <v>0.0</v>
      </c>
      <c r="AI36" s="50">
        <v>0.0</v>
      </c>
      <c r="AJ36" s="50">
        <v>0.0</v>
      </c>
      <c r="AK36" s="50">
        <v>0.0</v>
      </c>
      <c r="AL36" s="48"/>
      <c r="AM36" s="50">
        <v>4.0</v>
      </c>
      <c r="AN36" s="50">
        <v>5.0</v>
      </c>
      <c r="AO36" s="48"/>
      <c r="AP36" s="48"/>
      <c r="AQ36" s="48"/>
      <c r="AR36" s="48"/>
      <c r="AS36" s="48"/>
      <c r="AT36" s="48"/>
      <c r="AU36" s="48"/>
      <c r="AV36" s="50">
        <v>4.0</v>
      </c>
      <c r="AW36" s="50">
        <v>3.0</v>
      </c>
      <c r="AX36" s="48"/>
      <c r="AY36" s="48"/>
      <c r="AZ36" s="48"/>
      <c r="BA36" s="48"/>
      <c r="BB36" s="48"/>
      <c r="BC36" s="48"/>
      <c r="BD36" s="48"/>
      <c r="BE36" s="48"/>
      <c r="BF36" s="48"/>
      <c r="BG36" s="48"/>
      <c r="BH36" s="50">
        <v>2.0</v>
      </c>
      <c r="BI36" s="50">
        <v>0.0</v>
      </c>
      <c r="BJ36" s="50">
        <v>0.0</v>
      </c>
      <c r="BK36" s="50">
        <v>0.0</v>
      </c>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50">
        <v>6.95627898E8</v>
      </c>
      <c r="CL36" s="48" t="s">
        <v>3169</v>
      </c>
      <c r="CM36" s="47">
        <v>46094.37292824074</v>
      </c>
      <c r="CN36" s="48"/>
      <c r="CO36" s="48"/>
      <c r="CP36" s="48" t="s">
        <v>1954</v>
      </c>
      <c r="CQ36" s="48"/>
      <c r="CR36" s="48" t="s">
        <v>3014</v>
      </c>
      <c r="CS36" s="48"/>
      <c r="CT36" s="48" t="s">
        <v>3170</v>
      </c>
      <c r="CU36" s="50">
        <v>35.0</v>
      </c>
    </row>
    <row r="37">
      <c r="A37" s="47">
        <v>46093.65274881945</v>
      </c>
      <c r="B37" s="47">
        <v>46094.66476565972</v>
      </c>
      <c r="C37" s="48" t="s">
        <v>3171</v>
      </c>
      <c r="D37" s="48" t="s">
        <v>3131</v>
      </c>
      <c r="E37" s="48" t="s">
        <v>3132</v>
      </c>
      <c r="F37" s="48" t="s">
        <v>3167</v>
      </c>
      <c r="G37" s="49" t="s">
        <v>3172</v>
      </c>
      <c r="H37" s="48" t="s">
        <v>2949</v>
      </c>
      <c r="I37" s="50">
        <v>1.0</v>
      </c>
      <c r="J37" s="50">
        <v>1.0</v>
      </c>
      <c r="K37" s="50">
        <v>0.0</v>
      </c>
      <c r="L37" s="50">
        <v>0.0</v>
      </c>
      <c r="M37" s="50">
        <v>0.0</v>
      </c>
      <c r="N37" s="50">
        <v>0.0</v>
      </c>
      <c r="O37" s="50">
        <v>0.0</v>
      </c>
      <c r="P37" s="50">
        <v>0.0</v>
      </c>
      <c r="Q37" s="50">
        <v>0.0</v>
      </c>
      <c r="R37" s="48" t="s">
        <v>2949</v>
      </c>
      <c r="S37" s="50">
        <v>1.0</v>
      </c>
      <c r="T37" s="50">
        <v>1.0</v>
      </c>
      <c r="U37" s="50">
        <v>0.0</v>
      </c>
      <c r="V37" s="50">
        <v>0.0</v>
      </c>
      <c r="W37" s="50">
        <v>0.0</v>
      </c>
      <c r="X37" s="50">
        <v>0.0</v>
      </c>
      <c r="Y37" s="50">
        <v>0.0</v>
      </c>
      <c r="Z37" s="50">
        <v>0.0</v>
      </c>
      <c r="AA37" s="50">
        <v>0.0</v>
      </c>
      <c r="AB37" s="48" t="s">
        <v>999</v>
      </c>
      <c r="AC37" s="50">
        <v>0.0</v>
      </c>
      <c r="AD37" s="50">
        <v>0.0</v>
      </c>
      <c r="AE37" s="50">
        <v>0.0</v>
      </c>
      <c r="AF37" s="50">
        <v>0.0</v>
      </c>
      <c r="AG37" s="50">
        <v>0.0</v>
      </c>
      <c r="AH37" s="50">
        <v>0.0</v>
      </c>
      <c r="AI37" s="50">
        <v>0.0</v>
      </c>
      <c r="AJ37" s="50">
        <v>0.0</v>
      </c>
      <c r="AK37" s="50">
        <v>1.0</v>
      </c>
      <c r="AL37" s="48"/>
      <c r="AM37" s="50">
        <v>7.0</v>
      </c>
      <c r="AN37" s="50">
        <v>10.0</v>
      </c>
      <c r="AO37" s="48"/>
      <c r="AP37" s="48"/>
      <c r="AQ37" s="48"/>
      <c r="AR37" s="48"/>
      <c r="AS37" s="48"/>
      <c r="AT37" s="48"/>
      <c r="AU37" s="48"/>
      <c r="AV37" s="50">
        <v>7.0</v>
      </c>
      <c r="AW37" s="50">
        <v>10.0</v>
      </c>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50">
        <v>6.95628121E8</v>
      </c>
      <c r="CL37" s="48" t="s">
        <v>3173</v>
      </c>
      <c r="CM37" s="47">
        <v>46094.37310185185</v>
      </c>
      <c r="CN37" s="48"/>
      <c r="CO37" s="48"/>
      <c r="CP37" s="48" t="s">
        <v>1954</v>
      </c>
      <c r="CQ37" s="48"/>
      <c r="CR37" s="48" t="s">
        <v>3014</v>
      </c>
      <c r="CS37" s="48"/>
      <c r="CT37" s="48" t="s">
        <v>3174</v>
      </c>
      <c r="CU37" s="50">
        <v>36.0</v>
      </c>
    </row>
    <row r="38">
      <c r="A38" s="47">
        <v>46093.65435556713</v>
      </c>
      <c r="B38" s="47">
        <v>46094.66493982639</v>
      </c>
      <c r="C38" s="48" t="s">
        <v>3175</v>
      </c>
      <c r="D38" s="48" t="s">
        <v>3131</v>
      </c>
      <c r="E38" s="48" t="s">
        <v>3176</v>
      </c>
      <c r="F38" s="48" t="s">
        <v>3133</v>
      </c>
      <c r="G38" s="49" t="s">
        <v>3177</v>
      </c>
      <c r="H38" s="48" t="s">
        <v>2949</v>
      </c>
      <c r="I38" s="50">
        <v>1.0</v>
      </c>
      <c r="J38" s="50">
        <v>1.0</v>
      </c>
      <c r="K38" s="50">
        <v>0.0</v>
      </c>
      <c r="L38" s="50">
        <v>0.0</v>
      </c>
      <c r="M38" s="50">
        <v>0.0</v>
      </c>
      <c r="N38" s="50">
        <v>0.0</v>
      </c>
      <c r="O38" s="50">
        <v>0.0</v>
      </c>
      <c r="P38" s="50">
        <v>0.0</v>
      </c>
      <c r="Q38" s="50">
        <v>0.0</v>
      </c>
      <c r="R38" s="48" t="s">
        <v>2949</v>
      </c>
      <c r="S38" s="50">
        <v>1.0</v>
      </c>
      <c r="T38" s="50">
        <v>1.0</v>
      </c>
      <c r="U38" s="50">
        <v>0.0</v>
      </c>
      <c r="V38" s="50">
        <v>0.0</v>
      </c>
      <c r="W38" s="50">
        <v>0.0</v>
      </c>
      <c r="X38" s="50">
        <v>0.0</v>
      </c>
      <c r="Y38" s="50">
        <v>0.0</v>
      </c>
      <c r="Z38" s="50">
        <v>0.0</v>
      </c>
      <c r="AA38" s="50">
        <v>0.0</v>
      </c>
      <c r="AB38" s="48" t="s">
        <v>999</v>
      </c>
      <c r="AC38" s="50">
        <v>0.0</v>
      </c>
      <c r="AD38" s="50">
        <v>0.0</v>
      </c>
      <c r="AE38" s="50">
        <v>0.0</v>
      </c>
      <c r="AF38" s="50">
        <v>0.0</v>
      </c>
      <c r="AG38" s="50">
        <v>0.0</v>
      </c>
      <c r="AH38" s="50">
        <v>0.0</v>
      </c>
      <c r="AI38" s="50">
        <v>0.0</v>
      </c>
      <c r="AJ38" s="50">
        <v>0.0</v>
      </c>
      <c r="AK38" s="50">
        <v>1.0</v>
      </c>
      <c r="AL38" s="48"/>
      <c r="AM38" s="50">
        <v>2.0</v>
      </c>
      <c r="AN38" s="50">
        <v>3.0</v>
      </c>
      <c r="AO38" s="48"/>
      <c r="AP38" s="48"/>
      <c r="AQ38" s="48"/>
      <c r="AR38" s="48"/>
      <c r="AS38" s="48"/>
      <c r="AT38" s="48"/>
      <c r="AU38" s="48"/>
      <c r="AV38" s="50">
        <v>2.0</v>
      </c>
      <c r="AW38" s="50">
        <v>3.0</v>
      </c>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50">
        <v>6.95628377E8</v>
      </c>
      <c r="CL38" s="48" t="s">
        <v>3178</v>
      </c>
      <c r="CM38" s="47">
        <v>46094.37329861111</v>
      </c>
      <c r="CN38" s="48"/>
      <c r="CO38" s="48"/>
      <c r="CP38" s="48" t="s">
        <v>1954</v>
      </c>
      <c r="CQ38" s="48"/>
      <c r="CR38" s="48" t="s">
        <v>3014</v>
      </c>
      <c r="CS38" s="48"/>
      <c r="CT38" s="48" t="s">
        <v>3179</v>
      </c>
      <c r="CU38" s="50">
        <v>37.0</v>
      </c>
    </row>
    <row r="39">
      <c r="A39" s="47">
        <v>46093.65604414352</v>
      </c>
      <c r="B39" s="47">
        <v>46094.66505886574</v>
      </c>
      <c r="C39" s="48" t="s">
        <v>3180</v>
      </c>
      <c r="D39" s="48" t="s">
        <v>3131</v>
      </c>
      <c r="E39" s="48" t="s">
        <v>3132</v>
      </c>
      <c r="F39" s="48" t="s">
        <v>3133</v>
      </c>
      <c r="G39" s="49" t="s">
        <v>3181</v>
      </c>
      <c r="H39" s="48" t="s">
        <v>2948</v>
      </c>
      <c r="I39" s="50">
        <v>0.0</v>
      </c>
      <c r="J39" s="50">
        <v>1.0</v>
      </c>
      <c r="K39" s="50">
        <v>0.0</v>
      </c>
      <c r="L39" s="50">
        <v>0.0</v>
      </c>
      <c r="M39" s="50">
        <v>0.0</v>
      </c>
      <c r="N39" s="50">
        <v>0.0</v>
      </c>
      <c r="O39" s="50">
        <v>0.0</v>
      </c>
      <c r="P39" s="50">
        <v>0.0</v>
      </c>
      <c r="Q39" s="50">
        <v>0.0</v>
      </c>
      <c r="R39" s="48" t="s">
        <v>2948</v>
      </c>
      <c r="S39" s="50">
        <v>0.0</v>
      </c>
      <c r="T39" s="50">
        <v>1.0</v>
      </c>
      <c r="U39" s="50">
        <v>0.0</v>
      </c>
      <c r="V39" s="50">
        <v>0.0</v>
      </c>
      <c r="W39" s="50">
        <v>0.0</v>
      </c>
      <c r="X39" s="50">
        <v>0.0</v>
      </c>
      <c r="Y39" s="50">
        <v>0.0</v>
      </c>
      <c r="Z39" s="50">
        <v>0.0</v>
      </c>
      <c r="AA39" s="50">
        <v>0.0</v>
      </c>
      <c r="AB39" s="48" t="s">
        <v>999</v>
      </c>
      <c r="AC39" s="50">
        <v>0.0</v>
      </c>
      <c r="AD39" s="50">
        <v>0.0</v>
      </c>
      <c r="AE39" s="50">
        <v>0.0</v>
      </c>
      <c r="AF39" s="50">
        <v>0.0</v>
      </c>
      <c r="AG39" s="50">
        <v>0.0</v>
      </c>
      <c r="AH39" s="50">
        <v>0.0</v>
      </c>
      <c r="AI39" s="50">
        <v>0.0</v>
      </c>
      <c r="AJ39" s="50">
        <v>0.0</v>
      </c>
      <c r="AK39" s="50">
        <v>1.0</v>
      </c>
      <c r="AL39" s="48"/>
      <c r="AM39" s="48"/>
      <c r="AN39" s="50">
        <v>5.0</v>
      </c>
      <c r="AO39" s="48"/>
      <c r="AP39" s="48"/>
      <c r="AQ39" s="48"/>
      <c r="AR39" s="48"/>
      <c r="AS39" s="48"/>
      <c r="AT39" s="48"/>
      <c r="AU39" s="48"/>
      <c r="AV39" s="48"/>
      <c r="AW39" s="50">
        <v>5.0</v>
      </c>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50">
        <v>6.95628487E8</v>
      </c>
      <c r="CL39" s="48" t="s">
        <v>3182</v>
      </c>
      <c r="CM39" s="47">
        <v>46094.37339120371</v>
      </c>
      <c r="CN39" s="48"/>
      <c r="CO39" s="48"/>
      <c r="CP39" s="48" t="s">
        <v>1954</v>
      </c>
      <c r="CQ39" s="48"/>
      <c r="CR39" s="48" t="s">
        <v>3014</v>
      </c>
      <c r="CS39" s="48"/>
      <c r="CT39" s="48" t="s">
        <v>3183</v>
      </c>
      <c r="CU39" s="50">
        <v>38.0</v>
      </c>
    </row>
    <row r="40">
      <c r="A40" s="47">
        <v>46093.6572178588</v>
      </c>
      <c r="B40" s="47">
        <v>46094.66515306713</v>
      </c>
      <c r="C40" s="48" t="s">
        <v>3184</v>
      </c>
      <c r="D40" s="48" t="s">
        <v>3131</v>
      </c>
      <c r="E40" s="48" t="s">
        <v>3132</v>
      </c>
      <c r="F40" s="48" t="s">
        <v>3133</v>
      </c>
      <c r="G40" s="49" t="s">
        <v>3185</v>
      </c>
      <c r="H40" s="48" t="s">
        <v>2948</v>
      </c>
      <c r="I40" s="50">
        <v>0.0</v>
      </c>
      <c r="J40" s="50">
        <v>1.0</v>
      </c>
      <c r="K40" s="50">
        <v>0.0</v>
      </c>
      <c r="L40" s="50">
        <v>0.0</v>
      </c>
      <c r="M40" s="50">
        <v>0.0</v>
      </c>
      <c r="N40" s="50">
        <v>0.0</v>
      </c>
      <c r="O40" s="50">
        <v>0.0</v>
      </c>
      <c r="P40" s="50">
        <v>0.0</v>
      </c>
      <c r="Q40" s="50">
        <v>0.0</v>
      </c>
      <c r="R40" s="48" t="s">
        <v>2948</v>
      </c>
      <c r="S40" s="50">
        <v>0.0</v>
      </c>
      <c r="T40" s="50">
        <v>1.0</v>
      </c>
      <c r="U40" s="50">
        <v>0.0</v>
      </c>
      <c r="V40" s="50">
        <v>0.0</v>
      </c>
      <c r="W40" s="50">
        <v>0.0</v>
      </c>
      <c r="X40" s="50">
        <v>0.0</v>
      </c>
      <c r="Y40" s="50">
        <v>0.0</v>
      </c>
      <c r="Z40" s="50">
        <v>0.0</v>
      </c>
      <c r="AA40" s="50">
        <v>0.0</v>
      </c>
      <c r="AB40" s="48" t="s">
        <v>999</v>
      </c>
      <c r="AC40" s="50">
        <v>0.0</v>
      </c>
      <c r="AD40" s="50">
        <v>0.0</v>
      </c>
      <c r="AE40" s="50">
        <v>0.0</v>
      </c>
      <c r="AF40" s="50">
        <v>0.0</v>
      </c>
      <c r="AG40" s="50">
        <v>0.0</v>
      </c>
      <c r="AH40" s="50">
        <v>0.0</v>
      </c>
      <c r="AI40" s="50">
        <v>0.0</v>
      </c>
      <c r="AJ40" s="50">
        <v>0.0</v>
      </c>
      <c r="AK40" s="50">
        <v>1.0</v>
      </c>
      <c r="AL40" s="48"/>
      <c r="AM40" s="48"/>
      <c r="AN40" s="50">
        <v>4.0</v>
      </c>
      <c r="AO40" s="48"/>
      <c r="AP40" s="48"/>
      <c r="AQ40" s="48"/>
      <c r="AR40" s="48"/>
      <c r="AS40" s="48"/>
      <c r="AT40" s="48"/>
      <c r="AU40" s="48"/>
      <c r="AV40" s="48"/>
      <c r="AW40" s="50">
        <v>4.0</v>
      </c>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50">
        <v>6.95628639E8</v>
      </c>
      <c r="CL40" s="48" t="s">
        <v>3186</v>
      </c>
      <c r="CM40" s="47">
        <v>46094.37349537037</v>
      </c>
      <c r="CN40" s="48"/>
      <c r="CO40" s="48"/>
      <c r="CP40" s="48" t="s">
        <v>1954</v>
      </c>
      <c r="CQ40" s="48"/>
      <c r="CR40" s="48" t="s">
        <v>3014</v>
      </c>
      <c r="CS40" s="48"/>
      <c r="CT40" s="48" t="s">
        <v>3187</v>
      </c>
      <c r="CU40" s="50">
        <v>39.0</v>
      </c>
    </row>
    <row r="41">
      <c r="A41" s="47">
        <v>46093.65871121528</v>
      </c>
      <c r="B41" s="47">
        <v>46094.66526958333</v>
      </c>
      <c r="C41" s="48" t="s">
        <v>3188</v>
      </c>
      <c r="D41" s="48" t="s">
        <v>3131</v>
      </c>
      <c r="E41" s="48" t="s">
        <v>3132</v>
      </c>
      <c r="F41" s="48" t="s">
        <v>3133</v>
      </c>
      <c r="G41" s="49" t="s">
        <v>3189</v>
      </c>
      <c r="H41" s="48" t="s">
        <v>2948</v>
      </c>
      <c r="I41" s="50">
        <v>0.0</v>
      </c>
      <c r="J41" s="50">
        <v>1.0</v>
      </c>
      <c r="K41" s="50">
        <v>0.0</v>
      </c>
      <c r="L41" s="50">
        <v>0.0</v>
      </c>
      <c r="M41" s="50">
        <v>0.0</v>
      </c>
      <c r="N41" s="50">
        <v>0.0</v>
      </c>
      <c r="O41" s="50">
        <v>0.0</v>
      </c>
      <c r="P41" s="50">
        <v>0.0</v>
      </c>
      <c r="Q41" s="50">
        <v>0.0</v>
      </c>
      <c r="R41" s="48" t="s">
        <v>2948</v>
      </c>
      <c r="S41" s="50">
        <v>0.0</v>
      </c>
      <c r="T41" s="50">
        <v>1.0</v>
      </c>
      <c r="U41" s="50">
        <v>0.0</v>
      </c>
      <c r="V41" s="50">
        <v>0.0</v>
      </c>
      <c r="W41" s="50">
        <v>0.0</v>
      </c>
      <c r="X41" s="50">
        <v>0.0</v>
      </c>
      <c r="Y41" s="50">
        <v>0.0</v>
      </c>
      <c r="Z41" s="50">
        <v>0.0</v>
      </c>
      <c r="AA41" s="50">
        <v>0.0</v>
      </c>
      <c r="AB41" s="48" t="s">
        <v>999</v>
      </c>
      <c r="AC41" s="50">
        <v>0.0</v>
      </c>
      <c r="AD41" s="50">
        <v>0.0</v>
      </c>
      <c r="AE41" s="50">
        <v>0.0</v>
      </c>
      <c r="AF41" s="50">
        <v>0.0</v>
      </c>
      <c r="AG41" s="50">
        <v>0.0</v>
      </c>
      <c r="AH41" s="50">
        <v>0.0</v>
      </c>
      <c r="AI41" s="50">
        <v>0.0</v>
      </c>
      <c r="AJ41" s="50">
        <v>0.0</v>
      </c>
      <c r="AK41" s="50">
        <v>1.0</v>
      </c>
      <c r="AL41" s="48"/>
      <c r="AM41" s="48"/>
      <c r="AN41" s="50">
        <v>9.0</v>
      </c>
      <c r="AO41" s="48"/>
      <c r="AP41" s="48"/>
      <c r="AQ41" s="48"/>
      <c r="AR41" s="48"/>
      <c r="AS41" s="48"/>
      <c r="AT41" s="48"/>
      <c r="AU41" s="48"/>
      <c r="AV41" s="48"/>
      <c r="AW41" s="50">
        <v>9.0</v>
      </c>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50">
        <v>6.95628823E8</v>
      </c>
      <c r="CL41" s="48" t="s">
        <v>3190</v>
      </c>
      <c r="CM41" s="47">
        <v>46094.37361111111</v>
      </c>
      <c r="CN41" s="48"/>
      <c r="CO41" s="48"/>
      <c r="CP41" s="48" t="s">
        <v>1954</v>
      </c>
      <c r="CQ41" s="48"/>
      <c r="CR41" s="48" t="s">
        <v>3014</v>
      </c>
      <c r="CS41" s="48"/>
      <c r="CT41" s="48" t="s">
        <v>3191</v>
      </c>
      <c r="CU41" s="50">
        <v>40.0</v>
      </c>
    </row>
    <row r="42">
      <c r="A42" s="47">
        <v>46093.6621266088</v>
      </c>
      <c r="B42" s="47">
        <v>46094.66578979167</v>
      </c>
      <c r="C42" s="48" t="s">
        <v>3192</v>
      </c>
      <c r="D42" s="48" t="s">
        <v>3131</v>
      </c>
      <c r="E42" s="48" t="s">
        <v>3132</v>
      </c>
      <c r="F42" s="48" t="s">
        <v>3133</v>
      </c>
      <c r="G42" s="49" t="s">
        <v>3193</v>
      </c>
      <c r="H42" s="48" t="s">
        <v>2948</v>
      </c>
      <c r="I42" s="50">
        <v>0.0</v>
      </c>
      <c r="J42" s="50">
        <v>1.0</v>
      </c>
      <c r="K42" s="50">
        <v>0.0</v>
      </c>
      <c r="L42" s="50">
        <v>0.0</v>
      </c>
      <c r="M42" s="50">
        <v>0.0</v>
      </c>
      <c r="N42" s="50">
        <v>0.0</v>
      </c>
      <c r="O42" s="50">
        <v>0.0</v>
      </c>
      <c r="P42" s="50">
        <v>0.0</v>
      </c>
      <c r="Q42" s="50">
        <v>0.0</v>
      </c>
      <c r="R42" s="48" t="s">
        <v>2948</v>
      </c>
      <c r="S42" s="50">
        <v>0.0</v>
      </c>
      <c r="T42" s="50">
        <v>1.0</v>
      </c>
      <c r="U42" s="50">
        <v>0.0</v>
      </c>
      <c r="V42" s="50">
        <v>0.0</v>
      </c>
      <c r="W42" s="50">
        <v>0.0</v>
      </c>
      <c r="X42" s="50">
        <v>0.0</v>
      </c>
      <c r="Y42" s="50">
        <v>0.0</v>
      </c>
      <c r="Z42" s="50">
        <v>0.0</v>
      </c>
      <c r="AA42" s="50">
        <v>0.0</v>
      </c>
      <c r="AB42" s="48" t="s">
        <v>999</v>
      </c>
      <c r="AC42" s="50">
        <v>0.0</v>
      </c>
      <c r="AD42" s="50">
        <v>0.0</v>
      </c>
      <c r="AE42" s="50">
        <v>0.0</v>
      </c>
      <c r="AF42" s="50">
        <v>0.0</v>
      </c>
      <c r="AG42" s="50">
        <v>0.0</v>
      </c>
      <c r="AH42" s="50">
        <v>0.0</v>
      </c>
      <c r="AI42" s="50">
        <v>0.0</v>
      </c>
      <c r="AJ42" s="50">
        <v>0.0</v>
      </c>
      <c r="AK42" s="50">
        <v>1.0</v>
      </c>
      <c r="AL42" s="48"/>
      <c r="AM42" s="48"/>
      <c r="AN42" s="50">
        <v>2.0</v>
      </c>
      <c r="AO42" s="48"/>
      <c r="AP42" s="48"/>
      <c r="AQ42" s="48"/>
      <c r="AR42" s="48"/>
      <c r="AS42" s="48"/>
      <c r="AT42" s="48"/>
      <c r="AU42" s="48"/>
      <c r="AV42" s="48"/>
      <c r="AW42" s="50">
        <v>2.0</v>
      </c>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50">
        <v>6.95629534E8</v>
      </c>
      <c r="CL42" s="48" t="s">
        <v>3194</v>
      </c>
      <c r="CM42" s="47">
        <v>46094.37413194445</v>
      </c>
      <c r="CN42" s="48"/>
      <c r="CO42" s="48"/>
      <c r="CP42" s="48" t="s">
        <v>1954</v>
      </c>
      <c r="CQ42" s="48"/>
      <c r="CR42" s="48" t="s">
        <v>3014</v>
      </c>
      <c r="CS42" s="48"/>
      <c r="CT42" s="48" t="s">
        <v>3195</v>
      </c>
      <c r="CU42" s="50">
        <v>41.0</v>
      </c>
    </row>
    <row r="43">
      <c r="A43" s="47">
        <v>46093.66369671296</v>
      </c>
      <c r="B43" s="47">
        <v>46094.66587747685</v>
      </c>
      <c r="C43" s="48" t="s">
        <v>3196</v>
      </c>
      <c r="D43" s="48" t="s">
        <v>3131</v>
      </c>
      <c r="E43" s="48" t="s">
        <v>3176</v>
      </c>
      <c r="F43" s="48" t="s">
        <v>3133</v>
      </c>
      <c r="G43" s="49" t="s">
        <v>3197</v>
      </c>
      <c r="H43" s="48" t="s">
        <v>2949</v>
      </c>
      <c r="I43" s="50">
        <v>1.0</v>
      </c>
      <c r="J43" s="50">
        <v>1.0</v>
      </c>
      <c r="K43" s="50">
        <v>0.0</v>
      </c>
      <c r="L43" s="50">
        <v>0.0</v>
      </c>
      <c r="M43" s="50">
        <v>0.0</v>
      </c>
      <c r="N43" s="50">
        <v>0.0</v>
      </c>
      <c r="O43" s="50">
        <v>0.0</v>
      </c>
      <c r="P43" s="50">
        <v>0.0</v>
      </c>
      <c r="Q43" s="50">
        <v>0.0</v>
      </c>
      <c r="R43" s="48" t="s">
        <v>999</v>
      </c>
      <c r="S43" s="50">
        <v>0.0</v>
      </c>
      <c r="T43" s="50">
        <v>0.0</v>
      </c>
      <c r="U43" s="50">
        <v>0.0</v>
      </c>
      <c r="V43" s="50">
        <v>0.0</v>
      </c>
      <c r="W43" s="50">
        <v>0.0</v>
      </c>
      <c r="X43" s="50">
        <v>0.0</v>
      </c>
      <c r="Y43" s="50">
        <v>0.0</v>
      </c>
      <c r="Z43" s="50">
        <v>0.0</v>
      </c>
      <c r="AA43" s="50">
        <v>1.0</v>
      </c>
      <c r="AB43" s="48" t="s">
        <v>2949</v>
      </c>
      <c r="AC43" s="50">
        <v>1.0</v>
      </c>
      <c r="AD43" s="50">
        <v>1.0</v>
      </c>
      <c r="AE43" s="50">
        <v>0.0</v>
      </c>
      <c r="AF43" s="50">
        <v>0.0</v>
      </c>
      <c r="AG43" s="50">
        <v>0.0</v>
      </c>
      <c r="AH43" s="50">
        <v>0.0</v>
      </c>
      <c r="AI43" s="50">
        <v>0.0</v>
      </c>
      <c r="AJ43" s="50">
        <v>0.0</v>
      </c>
      <c r="AK43" s="50">
        <v>0.0</v>
      </c>
      <c r="AL43" s="48"/>
      <c r="AM43" s="50">
        <v>2.0</v>
      </c>
      <c r="AN43" s="50">
        <v>4.0</v>
      </c>
      <c r="AO43" s="48"/>
      <c r="AP43" s="48"/>
      <c r="AQ43" s="48"/>
      <c r="AR43" s="48"/>
      <c r="AS43" s="48"/>
      <c r="AT43" s="48"/>
      <c r="AU43" s="48"/>
      <c r="AV43" s="48"/>
      <c r="AW43" s="48"/>
      <c r="AX43" s="48"/>
      <c r="AY43" s="48"/>
      <c r="AZ43" s="48"/>
      <c r="BA43" s="48"/>
      <c r="BB43" s="48"/>
      <c r="BC43" s="48"/>
      <c r="BD43" s="50">
        <v>2.0</v>
      </c>
      <c r="BE43" s="50">
        <v>0.0</v>
      </c>
      <c r="BF43" s="50">
        <v>0.0</v>
      </c>
      <c r="BG43" s="50">
        <v>0.0</v>
      </c>
      <c r="BH43" s="50">
        <v>4.0</v>
      </c>
      <c r="BI43" s="50">
        <v>0.0</v>
      </c>
      <c r="BJ43" s="50">
        <v>0.0</v>
      </c>
      <c r="BK43" s="50">
        <v>0.0</v>
      </c>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50">
        <v>6.95629674E8</v>
      </c>
      <c r="CL43" s="48" t="s">
        <v>3198</v>
      </c>
      <c r="CM43" s="47">
        <v>46094.37421296296</v>
      </c>
      <c r="CN43" s="48"/>
      <c r="CO43" s="48"/>
      <c r="CP43" s="48" t="s">
        <v>1954</v>
      </c>
      <c r="CQ43" s="48"/>
      <c r="CR43" s="48" t="s">
        <v>3014</v>
      </c>
      <c r="CS43" s="48"/>
      <c r="CT43" s="48" t="s">
        <v>3199</v>
      </c>
      <c r="CU43" s="50">
        <v>42.0</v>
      </c>
    </row>
    <row r="44">
      <c r="A44" s="47">
        <v>46093.66649940972</v>
      </c>
      <c r="B44" s="47">
        <v>46094.66595986111</v>
      </c>
      <c r="C44" s="48" t="s">
        <v>3200</v>
      </c>
      <c r="D44" s="48" t="s">
        <v>3201</v>
      </c>
      <c r="E44" s="48" t="s">
        <v>3132</v>
      </c>
      <c r="F44" s="48" t="s">
        <v>3133</v>
      </c>
      <c r="G44" s="49" t="s">
        <v>3202</v>
      </c>
      <c r="H44" s="48" t="s">
        <v>2948</v>
      </c>
      <c r="I44" s="50">
        <v>0.0</v>
      </c>
      <c r="J44" s="50">
        <v>1.0</v>
      </c>
      <c r="K44" s="50">
        <v>0.0</v>
      </c>
      <c r="L44" s="50">
        <v>0.0</v>
      </c>
      <c r="M44" s="50">
        <v>0.0</v>
      </c>
      <c r="N44" s="50">
        <v>0.0</v>
      </c>
      <c r="O44" s="50">
        <v>0.0</v>
      </c>
      <c r="P44" s="50">
        <v>0.0</v>
      </c>
      <c r="Q44" s="50">
        <v>0.0</v>
      </c>
      <c r="R44" s="48" t="s">
        <v>2948</v>
      </c>
      <c r="S44" s="50">
        <v>0.0</v>
      </c>
      <c r="T44" s="50">
        <v>1.0</v>
      </c>
      <c r="U44" s="50">
        <v>0.0</v>
      </c>
      <c r="V44" s="50">
        <v>0.0</v>
      </c>
      <c r="W44" s="50">
        <v>0.0</v>
      </c>
      <c r="X44" s="50">
        <v>0.0</v>
      </c>
      <c r="Y44" s="50">
        <v>0.0</v>
      </c>
      <c r="Z44" s="50">
        <v>0.0</v>
      </c>
      <c r="AA44" s="50">
        <v>0.0</v>
      </c>
      <c r="AB44" s="48" t="s">
        <v>2948</v>
      </c>
      <c r="AC44" s="50">
        <v>0.0</v>
      </c>
      <c r="AD44" s="50">
        <v>1.0</v>
      </c>
      <c r="AE44" s="50">
        <v>0.0</v>
      </c>
      <c r="AF44" s="50">
        <v>0.0</v>
      </c>
      <c r="AG44" s="50">
        <v>0.0</v>
      </c>
      <c r="AH44" s="50">
        <v>0.0</v>
      </c>
      <c r="AI44" s="50">
        <v>0.0</v>
      </c>
      <c r="AJ44" s="50">
        <v>0.0</v>
      </c>
      <c r="AK44" s="50">
        <v>0.0</v>
      </c>
      <c r="AL44" s="48"/>
      <c r="AM44" s="48"/>
      <c r="AN44" s="50">
        <v>4.0</v>
      </c>
      <c r="AO44" s="48"/>
      <c r="AP44" s="48"/>
      <c r="AQ44" s="48"/>
      <c r="AR44" s="48"/>
      <c r="AS44" s="48"/>
      <c r="AT44" s="48"/>
      <c r="AU44" s="48"/>
      <c r="AV44" s="48"/>
      <c r="AW44" s="50">
        <v>2.0</v>
      </c>
      <c r="AX44" s="48"/>
      <c r="AY44" s="48"/>
      <c r="AZ44" s="48"/>
      <c r="BA44" s="48"/>
      <c r="BB44" s="48"/>
      <c r="BC44" s="48"/>
      <c r="BD44" s="48"/>
      <c r="BE44" s="48"/>
      <c r="BF44" s="48"/>
      <c r="BG44" s="48"/>
      <c r="BH44" s="50">
        <v>2.0</v>
      </c>
      <c r="BI44" s="50">
        <v>0.0</v>
      </c>
      <c r="BJ44" s="50">
        <v>0.0</v>
      </c>
      <c r="BK44" s="50">
        <v>0.0</v>
      </c>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50">
        <v>6.9562977E8</v>
      </c>
      <c r="CL44" s="48" t="s">
        <v>3203</v>
      </c>
      <c r="CM44" s="47">
        <v>46094.37429398148</v>
      </c>
      <c r="CN44" s="48"/>
      <c r="CO44" s="48"/>
      <c r="CP44" s="48" t="s">
        <v>1954</v>
      </c>
      <c r="CQ44" s="48"/>
      <c r="CR44" s="48" t="s">
        <v>3014</v>
      </c>
      <c r="CS44" s="48"/>
      <c r="CT44" s="48" t="s">
        <v>3204</v>
      </c>
      <c r="CU44" s="50">
        <v>43.0</v>
      </c>
    </row>
    <row r="45">
      <c r="A45" s="47">
        <v>46093.66802439815</v>
      </c>
      <c r="B45" s="47">
        <v>46094.66604553241</v>
      </c>
      <c r="C45" s="48" t="s">
        <v>3205</v>
      </c>
      <c r="D45" s="48" t="s">
        <v>3131</v>
      </c>
      <c r="E45" s="48" t="s">
        <v>3132</v>
      </c>
      <c r="F45" s="48" t="s">
        <v>3133</v>
      </c>
      <c r="G45" s="49" t="s">
        <v>3206</v>
      </c>
      <c r="H45" s="48" t="s">
        <v>2949</v>
      </c>
      <c r="I45" s="50">
        <v>1.0</v>
      </c>
      <c r="J45" s="50">
        <v>1.0</v>
      </c>
      <c r="K45" s="50">
        <v>0.0</v>
      </c>
      <c r="L45" s="50">
        <v>0.0</v>
      </c>
      <c r="M45" s="50">
        <v>0.0</v>
      </c>
      <c r="N45" s="50">
        <v>0.0</v>
      </c>
      <c r="O45" s="50">
        <v>0.0</v>
      </c>
      <c r="P45" s="50">
        <v>0.0</v>
      </c>
      <c r="Q45" s="50">
        <v>0.0</v>
      </c>
      <c r="R45" s="48" t="s">
        <v>2949</v>
      </c>
      <c r="S45" s="50">
        <v>1.0</v>
      </c>
      <c r="T45" s="50">
        <v>1.0</v>
      </c>
      <c r="U45" s="50">
        <v>0.0</v>
      </c>
      <c r="V45" s="50">
        <v>0.0</v>
      </c>
      <c r="W45" s="50">
        <v>0.0</v>
      </c>
      <c r="X45" s="50">
        <v>0.0</v>
      </c>
      <c r="Y45" s="50">
        <v>0.0</v>
      </c>
      <c r="Z45" s="50">
        <v>0.0</v>
      </c>
      <c r="AA45" s="50">
        <v>0.0</v>
      </c>
      <c r="AB45" s="48" t="s">
        <v>2949</v>
      </c>
      <c r="AC45" s="50">
        <v>1.0</v>
      </c>
      <c r="AD45" s="50">
        <v>1.0</v>
      </c>
      <c r="AE45" s="50">
        <v>0.0</v>
      </c>
      <c r="AF45" s="50">
        <v>0.0</v>
      </c>
      <c r="AG45" s="50">
        <v>0.0</v>
      </c>
      <c r="AH45" s="50">
        <v>0.0</v>
      </c>
      <c r="AI45" s="50">
        <v>0.0</v>
      </c>
      <c r="AJ45" s="50">
        <v>0.0</v>
      </c>
      <c r="AK45" s="50">
        <v>0.0</v>
      </c>
      <c r="AL45" s="48"/>
      <c r="AM45" s="50">
        <v>10.0</v>
      </c>
      <c r="AN45" s="50">
        <v>10.0</v>
      </c>
      <c r="AO45" s="48"/>
      <c r="AP45" s="48"/>
      <c r="AQ45" s="48"/>
      <c r="AR45" s="48"/>
      <c r="AS45" s="48"/>
      <c r="AT45" s="48"/>
      <c r="AU45" s="48"/>
      <c r="AV45" s="50">
        <v>8.0</v>
      </c>
      <c r="AW45" s="50">
        <v>7.0</v>
      </c>
      <c r="AX45" s="48"/>
      <c r="AY45" s="48"/>
      <c r="AZ45" s="48"/>
      <c r="BA45" s="48"/>
      <c r="BB45" s="48"/>
      <c r="BC45" s="48"/>
      <c r="BD45" s="50">
        <v>2.0</v>
      </c>
      <c r="BE45" s="50">
        <v>0.0</v>
      </c>
      <c r="BF45" s="50">
        <v>0.0</v>
      </c>
      <c r="BG45" s="50">
        <v>0.0</v>
      </c>
      <c r="BH45" s="50">
        <v>3.0</v>
      </c>
      <c r="BI45" s="50">
        <v>0.0</v>
      </c>
      <c r="BJ45" s="50">
        <v>0.0</v>
      </c>
      <c r="BK45" s="50">
        <v>0.0</v>
      </c>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50">
        <v>6.95629884E8</v>
      </c>
      <c r="CL45" s="48" t="s">
        <v>3207</v>
      </c>
      <c r="CM45" s="47">
        <v>46094.37438657408</v>
      </c>
      <c r="CN45" s="48"/>
      <c r="CO45" s="48"/>
      <c r="CP45" s="48" t="s">
        <v>1954</v>
      </c>
      <c r="CQ45" s="48"/>
      <c r="CR45" s="48" t="s">
        <v>3014</v>
      </c>
      <c r="CS45" s="48"/>
      <c r="CT45" s="48" t="s">
        <v>3208</v>
      </c>
      <c r="CU45" s="50">
        <v>44.0</v>
      </c>
    </row>
    <row r="46">
      <c r="A46" s="47">
        <v>46093.6704052662</v>
      </c>
      <c r="B46" s="47">
        <v>46094.66612123843</v>
      </c>
      <c r="C46" s="48" t="s">
        <v>3209</v>
      </c>
      <c r="D46" s="48" t="s">
        <v>3131</v>
      </c>
      <c r="E46" s="48" t="s">
        <v>3132</v>
      </c>
      <c r="F46" s="48" t="s">
        <v>3133</v>
      </c>
      <c r="G46" s="49" t="s">
        <v>3210</v>
      </c>
      <c r="H46" s="48" t="s">
        <v>2949</v>
      </c>
      <c r="I46" s="50">
        <v>1.0</v>
      </c>
      <c r="J46" s="50">
        <v>1.0</v>
      </c>
      <c r="K46" s="50">
        <v>0.0</v>
      </c>
      <c r="L46" s="50">
        <v>0.0</v>
      </c>
      <c r="M46" s="50">
        <v>0.0</v>
      </c>
      <c r="N46" s="50">
        <v>0.0</v>
      </c>
      <c r="O46" s="50">
        <v>0.0</v>
      </c>
      <c r="P46" s="50">
        <v>0.0</v>
      </c>
      <c r="Q46" s="50">
        <v>0.0</v>
      </c>
      <c r="R46" s="48" t="s">
        <v>2947</v>
      </c>
      <c r="S46" s="50">
        <v>1.0</v>
      </c>
      <c r="T46" s="50">
        <v>0.0</v>
      </c>
      <c r="U46" s="50">
        <v>0.0</v>
      </c>
      <c r="V46" s="50">
        <v>0.0</v>
      </c>
      <c r="W46" s="50">
        <v>0.0</v>
      </c>
      <c r="X46" s="50">
        <v>0.0</v>
      </c>
      <c r="Y46" s="50">
        <v>0.0</v>
      </c>
      <c r="Z46" s="50">
        <v>0.0</v>
      </c>
      <c r="AA46" s="50">
        <v>0.0</v>
      </c>
      <c r="AB46" s="48" t="s">
        <v>2948</v>
      </c>
      <c r="AC46" s="50">
        <v>0.0</v>
      </c>
      <c r="AD46" s="50">
        <v>1.0</v>
      </c>
      <c r="AE46" s="50">
        <v>0.0</v>
      </c>
      <c r="AF46" s="50">
        <v>0.0</v>
      </c>
      <c r="AG46" s="50">
        <v>0.0</v>
      </c>
      <c r="AH46" s="50">
        <v>0.0</v>
      </c>
      <c r="AI46" s="50">
        <v>0.0</v>
      </c>
      <c r="AJ46" s="50">
        <v>0.0</v>
      </c>
      <c r="AK46" s="50">
        <v>0.0</v>
      </c>
      <c r="AL46" s="48"/>
      <c r="AM46" s="50">
        <v>3.0</v>
      </c>
      <c r="AN46" s="50">
        <v>3.0</v>
      </c>
      <c r="AO46" s="48"/>
      <c r="AP46" s="48"/>
      <c r="AQ46" s="48"/>
      <c r="AR46" s="48"/>
      <c r="AS46" s="48"/>
      <c r="AT46" s="48"/>
      <c r="AU46" s="48"/>
      <c r="AV46" s="50">
        <v>3.0</v>
      </c>
      <c r="AW46" s="48"/>
      <c r="AX46" s="48"/>
      <c r="AY46" s="48"/>
      <c r="AZ46" s="48"/>
      <c r="BA46" s="48"/>
      <c r="BB46" s="48"/>
      <c r="BC46" s="48"/>
      <c r="BD46" s="48"/>
      <c r="BE46" s="48"/>
      <c r="BF46" s="48"/>
      <c r="BG46" s="48"/>
      <c r="BH46" s="50">
        <v>3.0</v>
      </c>
      <c r="BI46" s="50">
        <v>0.0</v>
      </c>
      <c r="BJ46" s="50">
        <v>0.0</v>
      </c>
      <c r="BK46" s="50">
        <v>0.0</v>
      </c>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50">
        <v>6.95629958E8</v>
      </c>
      <c r="CL46" s="48" t="s">
        <v>3211</v>
      </c>
      <c r="CM46" s="47">
        <v>46094.37445601852</v>
      </c>
      <c r="CN46" s="48"/>
      <c r="CO46" s="48"/>
      <c r="CP46" s="48" t="s">
        <v>1954</v>
      </c>
      <c r="CQ46" s="48"/>
      <c r="CR46" s="48" t="s">
        <v>3014</v>
      </c>
      <c r="CS46" s="48"/>
      <c r="CT46" s="48" t="s">
        <v>3212</v>
      </c>
      <c r="CU46" s="50">
        <v>45.0</v>
      </c>
    </row>
    <row r="47">
      <c r="A47" s="47">
        <v>46093.67267482639</v>
      </c>
      <c r="B47" s="47">
        <v>46094.66624043982</v>
      </c>
      <c r="C47" s="48" t="s">
        <v>3213</v>
      </c>
      <c r="D47" s="48" t="s">
        <v>3131</v>
      </c>
      <c r="E47" s="48" t="s">
        <v>3214</v>
      </c>
      <c r="F47" s="48" t="s">
        <v>3133</v>
      </c>
      <c r="G47" s="49" t="s">
        <v>3215</v>
      </c>
      <c r="H47" s="48" t="s">
        <v>2948</v>
      </c>
      <c r="I47" s="50">
        <v>0.0</v>
      </c>
      <c r="J47" s="50">
        <v>1.0</v>
      </c>
      <c r="K47" s="50">
        <v>0.0</v>
      </c>
      <c r="L47" s="50">
        <v>0.0</v>
      </c>
      <c r="M47" s="50">
        <v>0.0</v>
      </c>
      <c r="N47" s="50">
        <v>0.0</v>
      </c>
      <c r="O47" s="50">
        <v>0.0</v>
      </c>
      <c r="P47" s="50">
        <v>0.0</v>
      </c>
      <c r="Q47" s="50">
        <v>0.0</v>
      </c>
      <c r="R47" s="48" t="s">
        <v>2949</v>
      </c>
      <c r="S47" s="50">
        <v>1.0</v>
      </c>
      <c r="T47" s="50">
        <v>1.0</v>
      </c>
      <c r="U47" s="50">
        <v>0.0</v>
      </c>
      <c r="V47" s="50">
        <v>0.0</v>
      </c>
      <c r="W47" s="50">
        <v>0.0</v>
      </c>
      <c r="X47" s="50">
        <v>0.0</v>
      </c>
      <c r="Y47" s="50">
        <v>0.0</v>
      </c>
      <c r="Z47" s="50">
        <v>0.0</v>
      </c>
      <c r="AA47" s="50">
        <v>0.0</v>
      </c>
      <c r="AB47" s="48" t="s">
        <v>2947</v>
      </c>
      <c r="AC47" s="50">
        <v>1.0</v>
      </c>
      <c r="AD47" s="50">
        <v>0.0</v>
      </c>
      <c r="AE47" s="50">
        <v>0.0</v>
      </c>
      <c r="AF47" s="50">
        <v>0.0</v>
      </c>
      <c r="AG47" s="50">
        <v>0.0</v>
      </c>
      <c r="AH47" s="50">
        <v>0.0</v>
      </c>
      <c r="AI47" s="50">
        <v>0.0</v>
      </c>
      <c r="AJ47" s="50">
        <v>0.0</v>
      </c>
      <c r="AK47" s="50">
        <v>0.0</v>
      </c>
      <c r="AL47" s="48"/>
      <c r="AM47" s="48"/>
      <c r="AN47" s="50">
        <v>4.0</v>
      </c>
      <c r="AO47" s="48"/>
      <c r="AP47" s="48"/>
      <c r="AQ47" s="48"/>
      <c r="AR47" s="48"/>
      <c r="AS47" s="48"/>
      <c r="AT47" s="48"/>
      <c r="AU47" s="48"/>
      <c r="AV47" s="50">
        <v>1.0</v>
      </c>
      <c r="AW47" s="50">
        <v>4.0</v>
      </c>
      <c r="AX47" s="48"/>
      <c r="AY47" s="48"/>
      <c r="AZ47" s="48"/>
      <c r="BA47" s="48"/>
      <c r="BB47" s="48"/>
      <c r="BC47" s="48"/>
      <c r="BD47" s="50">
        <v>0.0</v>
      </c>
      <c r="BE47" s="50">
        <v>0.0</v>
      </c>
      <c r="BF47" s="50">
        <v>1.0</v>
      </c>
      <c r="BG47" s="50">
        <v>0.0</v>
      </c>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50">
        <v>6.95630095E8</v>
      </c>
      <c r="CL47" s="48" t="s">
        <v>3216</v>
      </c>
      <c r="CM47" s="47">
        <v>46094.37458333333</v>
      </c>
      <c r="CN47" s="48"/>
      <c r="CO47" s="48"/>
      <c r="CP47" s="48" t="s">
        <v>1954</v>
      </c>
      <c r="CQ47" s="48"/>
      <c r="CR47" s="48" t="s">
        <v>3014</v>
      </c>
      <c r="CS47" s="48"/>
      <c r="CT47" s="48" t="s">
        <v>3217</v>
      </c>
      <c r="CU47" s="50">
        <v>46.0</v>
      </c>
    </row>
    <row r="48">
      <c r="A48" s="47">
        <v>46093.6762000926</v>
      </c>
      <c r="B48" s="47">
        <v>46094.66637072917</v>
      </c>
      <c r="C48" s="48" t="s">
        <v>3218</v>
      </c>
      <c r="D48" s="48" t="s">
        <v>3131</v>
      </c>
      <c r="E48" s="48" t="s">
        <v>3176</v>
      </c>
      <c r="F48" s="48" t="s">
        <v>3133</v>
      </c>
      <c r="G48" s="49" t="s">
        <v>3219</v>
      </c>
      <c r="H48" s="48" t="s">
        <v>2948</v>
      </c>
      <c r="I48" s="50">
        <v>0.0</v>
      </c>
      <c r="J48" s="50">
        <v>1.0</v>
      </c>
      <c r="K48" s="50">
        <v>0.0</v>
      </c>
      <c r="L48" s="50">
        <v>0.0</v>
      </c>
      <c r="M48" s="50">
        <v>0.0</v>
      </c>
      <c r="N48" s="50">
        <v>0.0</v>
      </c>
      <c r="O48" s="50">
        <v>0.0</v>
      </c>
      <c r="P48" s="50">
        <v>0.0</v>
      </c>
      <c r="Q48" s="50">
        <v>0.0</v>
      </c>
      <c r="R48" s="48" t="s">
        <v>2947</v>
      </c>
      <c r="S48" s="50">
        <v>1.0</v>
      </c>
      <c r="T48" s="50">
        <v>0.0</v>
      </c>
      <c r="U48" s="50">
        <v>0.0</v>
      </c>
      <c r="V48" s="50">
        <v>0.0</v>
      </c>
      <c r="W48" s="50">
        <v>0.0</v>
      </c>
      <c r="X48" s="50">
        <v>0.0</v>
      </c>
      <c r="Y48" s="50">
        <v>0.0</v>
      </c>
      <c r="Z48" s="50">
        <v>0.0</v>
      </c>
      <c r="AA48" s="50">
        <v>0.0</v>
      </c>
      <c r="AB48" s="48" t="s">
        <v>2948</v>
      </c>
      <c r="AC48" s="50">
        <v>0.0</v>
      </c>
      <c r="AD48" s="50">
        <v>1.0</v>
      </c>
      <c r="AE48" s="50">
        <v>0.0</v>
      </c>
      <c r="AF48" s="50">
        <v>0.0</v>
      </c>
      <c r="AG48" s="50">
        <v>0.0</v>
      </c>
      <c r="AH48" s="50">
        <v>0.0</v>
      </c>
      <c r="AI48" s="50">
        <v>0.0</v>
      </c>
      <c r="AJ48" s="50">
        <v>0.0</v>
      </c>
      <c r="AK48" s="50">
        <v>0.0</v>
      </c>
      <c r="AL48" s="48"/>
      <c r="AM48" s="48"/>
      <c r="AN48" s="50">
        <v>4.0</v>
      </c>
      <c r="AO48" s="48"/>
      <c r="AP48" s="48"/>
      <c r="AQ48" s="48"/>
      <c r="AR48" s="48"/>
      <c r="AS48" s="48"/>
      <c r="AT48" s="48"/>
      <c r="AU48" s="48"/>
      <c r="AV48" s="50">
        <v>2.0</v>
      </c>
      <c r="AW48" s="48"/>
      <c r="AX48" s="48"/>
      <c r="AY48" s="48"/>
      <c r="AZ48" s="48"/>
      <c r="BA48" s="48"/>
      <c r="BB48" s="48"/>
      <c r="BC48" s="48"/>
      <c r="BD48" s="48"/>
      <c r="BE48" s="48"/>
      <c r="BF48" s="48"/>
      <c r="BG48" s="48"/>
      <c r="BH48" s="50">
        <v>4.0</v>
      </c>
      <c r="BI48" s="50">
        <v>0.0</v>
      </c>
      <c r="BJ48" s="50">
        <v>0.0</v>
      </c>
      <c r="BK48" s="50">
        <v>0.0</v>
      </c>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50">
        <v>6.95630243E8</v>
      </c>
      <c r="CL48" s="48" t="s">
        <v>3220</v>
      </c>
      <c r="CM48" s="47">
        <v>46094.37471064815</v>
      </c>
      <c r="CN48" s="48"/>
      <c r="CO48" s="48"/>
      <c r="CP48" s="48" t="s">
        <v>1954</v>
      </c>
      <c r="CQ48" s="48"/>
      <c r="CR48" s="48" t="s">
        <v>3014</v>
      </c>
      <c r="CS48" s="48"/>
      <c r="CT48" s="48" t="s">
        <v>3221</v>
      </c>
      <c r="CU48" s="50">
        <v>47.0</v>
      </c>
    </row>
    <row r="49">
      <c r="A49" s="47">
        <v>46093.67783422454</v>
      </c>
      <c r="B49" s="47">
        <v>46094.66652053241</v>
      </c>
      <c r="C49" s="48" t="s">
        <v>3222</v>
      </c>
      <c r="D49" s="48" t="s">
        <v>3131</v>
      </c>
      <c r="E49" s="48" t="s">
        <v>3132</v>
      </c>
      <c r="F49" s="48" t="s">
        <v>3223</v>
      </c>
      <c r="G49" s="49" t="s">
        <v>3224</v>
      </c>
      <c r="H49" s="48" t="s">
        <v>2948</v>
      </c>
      <c r="I49" s="50">
        <v>0.0</v>
      </c>
      <c r="J49" s="50">
        <v>1.0</v>
      </c>
      <c r="K49" s="50">
        <v>0.0</v>
      </c>
      <c r="L49" s="50">
        <v>0.0</v>
      </c>
      <c r="M49" s="50">
        <v>0.0</v>
      </c>
      <c r="N49" s="50">
        <v>0.0</v>
      </c>
      <c r="O49" s="50">
        <v>0.0</v>
      </c>
      <c r="P49" s="50">
        <v>0.0</v>
      </c>
      <c r="Q49" s="50">
        <v>0.0</v>
      </c>
      <c r="R49" s="48" t="s">
        <v>999</v>
      </c>
      <c r="S49" s="50">
        <v>0.0</v>
      </c>
      <c r="T49" s="50">
        <v>0.0</v>
      </c>
      <c r="U49" s="50">
        <v>0.0</v>
      </c>
      <c r="V49" s="50">
        <v>0.0</v>
      </c>
      <c r="W49" s="50">
        <v>0.0</v>
      </c>
      <c r="X49" s="50">
        <v>0.0</v>
      </c>
      <c r="Y49" s="50">
        <v>0.0</v>
      </c>
      <c r="Z49" s="50">
        <v>0.0</v>
      </c>
      <c r="AA49" s="50">
        <v>1.0</v>
      </c>
      <c r="AB49" s="48" t="s">
        <v>2948</v>
      </c>
      <c r="AC49" s="50">
        <v>0.0</v>
      </c>
      <c r="AD49" s="50">
        <v>1.0</v>
      </c>
      <c r="AE49" s="50">
        <v>0.0</v>
      </c>
      <c r="AF49" s="50">
        <v>0.0</v>
      </c>
      <c r="AG49" s="50">
        <v>0.0</v>
      </c>
      <c r="AH49" s="50">
        <v>0.0</v>
      </c>
      <c r="AI49" s="50">
        <v>0.0</v>
      </c>
      <c r="AJ49" s="50">
        <v>0.0</v>
      </c>
      <c r="AK49" s="50">
        <v>0.0</v>
      </c>
      <c r="AL49" s="48"/>
      <c r="AM49" s="48"/>
      <c r="AN49" s="50">
        <v>3.0</v>
      </c>
      <c r="AO49" s="48"/>
      <c r="AP49" s="48"/>
      <c r="AQ49" s="48"/>
      <c r="AR49" s="48"/>
      <c r="AS49" s="48"/>
      <c r="AT49" s="48"/>
      <c r="AU49" s="48"/>
      <c r="AV49" s="48"/>
      <c r="AW49" s="48"/>
      <c r="AX49" s="48"/>
      <c r="AY49" s="48"/>
      <c r="AZ49" s="48"/>
      <c r="BA49" s="48"/>
      <c r="BB49" s="48"/>
      <c r="BC49" s="48"/>
      <c r="BD49" s="48"/>
      <c r="BE49" s="48"/>
      <c r="BF49" s="48"/>
      <c r="BG49" s="48"/>
      <c r="BH49" s="50">
        <v>3.0</v>
      </c>
      <c r="BI49" s="50">
        <v>0.0</v>
      </c>
      <c r="BJ49" s="50">
        <v>0.0</v>
      </c>
      <c r="BK49" s="50">
        <v>0.0</v>
      </c>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50">
        <v>6.95630398E8</v>
      </c>
      <c r="CL49" s="48" t="s">
        <v>3225</v>
      </c>
      <c r="CM49" s="47">
        <v>46094.37486111111</v>
      </c>
      <c r="CN49" s="48"/>
      <c r="CO49" s="48"/>
      <c r="CP49" s="48" t="s">
        <v>1954</v>
      </c>
      <c r="CQ49" s="48"/>
      <c r="CR49" s="48" t="s">
        <v>3014</v>
      </c>
      <c r="CS49" s="48"/>
      <c r="CT49" s="48" t="s">
        <v>3226</v>
      </c>
      <c r="CU49" s="50">
        <v>48.0</v>
      </c>
    </row>
    <row r="50">
      <c r="A50" s="47">
        <v>46093.67916652778</v>
      </c>
      <c r="B50" s="47">
        <v>46094.6666774537</v>
      </c>
      <c r="C50" s="48" t="s">
        <v>3227</v>
      </c>
      <c r="D50" s="48" t="s">
        <v>3131</v>
      </c>
      <c r="E50" s="48" t="s">
        <v>3214</v>
      </c>
      <c r="F50" s="48" t="s">
        <v>3223</v>
      </c>
      <c r="G50" s="49" t="s">
        <v>3228</v>
      </c>
      <c r="H50" s="48" t="s">
        <v>2948</v>
      </c>
      <c r="I50" s="50">
        <v>0.0</v>
      </c>
      <c r="J50" s="50">
        <v>1.0</v>
      </c>
      <c r="K50" s="50">
        <v>0.0</v>
      </c>
      <c r="L50" s="50">
        <v>0.0</v>
      </c>
      <c r="M50" s="50">
        <v>0.0</v>
      </c>
      <c r="N50" s="50">
        <v>0.0</v>
      </c>
      <c r="O50" s="50">
        <v>0.0</v>
      </c>
      <c r="P50" s="50">
        <v>0.0</v>
      </c>
      <c r="Q50" s="50">
        <v>0.0</v>
      </c>
      <c r="R50" s="48" t="s">
        <v>2948</v>
      </c>
      <c r="S50" s="50">
        <v>0.0</v>
      </c>
      <c r="T50" s="50">
        <v>1.0</v>
      </c>
      <c r="U50" s="50">
        <v>0.0</v>
      </c>
      <c r="V50" s="50">
        <v>0.0</v>
      </c>
      <c r="W50" s="50">
        <v>0.0</v>
      </c>
      <c r="X50" s="50">
        <v>0.0</v>
      </c>
      <c r="Y50" s="50">
        <v>0.0</v>
      </c>
      <c r="Z50" s="50">
        <v>0.0</v>
      </c>
      <c r="AA50" s="50">
        <v>0.0</v>
      </c>
      <c r="AB50" s="48" t="s">
        <v>999</v>
      </c>
      <c r="AC50" s="50">
        <v>0.0</v>
      </c>
      <c r="AD50" s="50">
        <v>0.0</v>
      </c>
      <c r="AE50" s="50">
        <v>0.0</v>
      </c>
      <c r="AF50" s="50">
        <v>0.0</v>
      </c>
      <c r="AG50" s="50">
        <v>0.0</v>
      </c>
      <c r="AH50" s="50">
        <v>0.0</v>
      </c>
      <c r="AI50" s="50">
        <v>0.0</v>
      </c>
      <c r="AJ50" s="50">
        <v>0.0</v>
      </c>
      <c r="AK50" s="50">
        <v>1.0</v>
      </c>
      <c r="AL50" s="48"/>
      <c r="AM50" s="48"/>
      <c r="AN50" s="50">
        <v>58.0</v>
      </c>
      <c r="AO50" s="48"/>
      <c r="AP50" s="48"/>
      <c r="AQ50" s="48"/>
      <c r="AR50" s="48"/>
      <c r="AS50" s="48"/>
      <c r="AT50" s="48"/>
      <c r="AU50" s="48"/>
      <c r="AV50" s="48"/>
      <c r="AW50" s="50">
        <v>58.0</v>
      </c>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50">
        <v>6.95630565E8</v>
      </c>
      <c r="CL50" s="48" t="s">
        <v>3229</v>
      </c>
      <c r="CM50" s="47">
        <v>46094.37501157408</v>
      </c>
      <c r="CN50" s="48"/>
      <c r="CO50" s="48"/>
      <c r="CP50" s="48" t="s">
        <v>1954</v>
      </c>
      <c r="CQ50" s="48"/>
      <c r="CR50" s="48" t="s">
        <v>3014</v>
      </c>
      <c r="CS50" s="48"/>
      <c r="CT50" s="48" t="s">
        <v>3230</v>
      </c>
      <c r="CU50" s="50">
        <v>49.0</v>
      </c>
    </row>
    <row r="51">
      <c r="A51" s="47">
        <v>46093.68123371528</v>
      </c>
      <c r="B51" s="47">
        <v>46094.66679599537</v>
      </c>
      <c r="C51" s="48" t="s">
        <v>3231</v>
      </c>
      <c r="D51" s="48" t="s">
        <v>3131</v>
      </c>
      <c r="E51" s="48" t="s">
        <v>3132</v>
      </c>
      <c r="F51" s="48" t="s">
        <v>3223</v>
      </c>
      <c r="G51" s="49" t="s">
        <v>3232</v>
      </c>
      <c r="H51" s="48" t="s">
        <v>2948</v>
      </c>
      <c r="I51" s="50">
        <v>0.0</v>
      </c>
      <c r="J51" s="50">
        <v>1.0</v>
      </c>
      <c r="K51" s="50">
        <v>0.0</v>
      </c>
      <c r="L51" s="50">
        <v>0.0</v>
      </c>
      <c r="M51" s="50">
        <v>0.0</v>
      </c>
      <c r="N51" s="50">
        <v>0.0</v>
      </c>
      <c r="O51" s="50">
        <v>0.0</v>
      </c>
      <c r="P51" s="50">
        <v>0.0</v>
      </c>
      <c r="Q51" s="50">
        <v>0.0</v>
      </c>
      <c r="R51" s="48" t="s">
        <v>2948</v>
      </c>
      <c r="S51" s="50">
        <v>0.0</v>
      </c>
      <c r="T51" s="50">
        <v>1.0</v>
      </c>
      <c r="U51" s="50">
        <v>0.0</v>
      </c>
      <c r="V51" s="50">
        <v>0.0</v>
      </c>
      <c r="W51" s="50">
        <v>0.0</v>
      </c>
      <c r="X51" s="50">
        <v>0.0</v>
      </c>
      <c r="Y51" s="50">
        <v>0.0</v>
      </c>
      <c r="Z51" s="50">
        <v>0.0</v>
      </c>
      <c r="AA51" s="50">
        <v>0.0</v>
      </c>
      <c r="AB51" s="48" t="s">
        <v>999</v>
      </c>
      <c r="AC51" s="50">
        <v>0.0</v>
      </c>
      <c r="AD51" s="50">
        <v>0.0</v>
      </c>
      <c r="AE51" s="50">
        <v>0.0</v>
      </c>
      <c r="AF51" s="50">
        <v>0.0</v>
      </c>
      <c r="AG51" s="50">
        <v>0.0</v>
      </c>
      <c r="AH51" s="50">
        <v>0.0</v>
      </c>
      <c r="AI51" s="50">
        <v>0.0</v>
      </c>
      <c r="AJ51" s="50">
        <v>0.0</v>
      </c>
      <c r="AK51" s="50">
        <v>1.0</v>
      </c>
      <c r="AL51" s="48"/>
      <c r="AM51" s="48"/>
      <c r="AN51" s="50">
        <v>6.0</v>
      </c>
      <c r="AO51" s="48"/>
      <c r="AP51" s="48"/>
      <c r="AQ51" s="48"/>
      <c r="AR51" s="48"/>
      <c r="AS51" s="48"/>
      <c r="AT51" s="48"/>
      <c r="AU51" s="48"/>
      <c r="AV51" s="48"/>
      <c r="AW51" s="50">
        <v>6.0</v>
      </c>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50">
        <v>6.95630713E8</v>
      </c>
      <c r="CL51" s="48" t="s">
        <v>3233</v>
      </c>
      <c r="CM51" s="47">
        <v>46094.37513888889</v>
      </c>
      <c r="CN51" s="48"/>
      <c r="CO51" s="48"/>
      <c r="CP51" s="48" t="s">
        <v>1954</v>
      </c>
      <c r="CQ51" s="48"/>
      <c r="CR51" s="48" t="s">
        <v>3014</v>
      </c>
      <c r="CS51" s="48"/>
      <c r="CT51" s="48" t="s">
        <v>3234</v>
      </c>
      <c r="CU51" s="50">
        <v>50.0</v>
      </c>
    </row>
    <row r="52">
      <c r="A52" s="47">
        <v>46093.6826194676</v>
      </c>
      <c r="B52" s="47">
        <v>46094.66691760417</v>
      </c>
      <c r="C52" s="48" t="s">
        <v>3235</v>
      </c>
      <c r="D52" s="48" t="s">
        <v>3131</v>
      </c>
      <c r="E52" s="48" t="s">
        <v>3132</v>
      </c>
      <c r="F52" s="48" t="s">
        <v>3133</v>
      </c>
      <c r="G52" s="49" t="s">
        <v>3236</v>
      </c>
      <c r="H52" s="48" t="s">
        <v>2948</v>
      </c>
      <c r="I52" s="50">
        <v>0.0</v>
      </c>
      <c r="J52" s="50">
        <v>1.0</v>
      </c>
      <c r="K52" s="50">
        <v>0.0</v>
      </c>
      <c r="L52" s="50">
        <v>0.0</v>
      </c>
      <c r="M52" s="50">
        <v>0.0</v>
      </c>
      <c r="N52" s="50">
        <v>0.0</v>
      </c>
      <c r="O52" s="50">
        <v>0.0</v>
      </c>
      <c r="P52" s="50">
        <v>0.0</v>
      </c>
      <c r="Q52" s="50">
        <v>0.0</v>
      </c>
      <c r="R52" s="48" t="s">
        <v>2948</v>
      </c>
      <c r="S52" s="50">
        <v>0.0</v>
      </c>
      <c r="T52" s="50">
        <v>1.0</v>
      </c>
      <c r="U52" s="50">
        <v>0.0</v>
      </c>
      <c r="V52" s="50">
        <v>0.0</v>
      </c>
      <c r="W52" s="50">
        <v>0.0</v>
      </c>
      <c r="X52" s="50">
        <v>0.0</v>
      </c>
      <c r="Y52" s="50">
        <v>0.0</v>
      </c>
      <c r="Z52" s="50">
        <v>0.0</v>
      </c>
      <c r="AA52" s="50">
        <v>0.0</v>
      </c>
      <c r="AB52" s="48" t="s">
        <v>999</v>
      </c>
      <c r="AC52" s="50">
        <v>0.0</v>
      </c>
      <c r="AD52" s="50">
        <v>0.0</v>
      </c>
      <c r="AE52" s="50">
        <v>0.0</v>
      </c>
      <c r="AF52" s="50">
        <v>0.0</v>
      </c>
      <c r="AG52" s="50">
        <v>0.0</v>
      </c>
      <c r="AH52" s="50">
        <v>0.0</v>
      </c>
      <c r="AI52" s="50">
        <v>0.0</v>
      </c>
      <c r="AJ52" s="50">
        <v>0.0</v>
      </c>
      <c r="AK52" s="50">
        <v>1.0</v>
      </c>
      <c r="AL52" s="48"/>
      <c r="AM52" s="48"/>
      <c r="AN52" s="50">
        <v>3.0</v>
      </c>
      <c r="AO52" s="48"/>
      <c r="AP52" s="48"/>
      <c r="AQ52" s="48"/>
      <c r="AR52" s="48"/>
      <c r="AS52" s="48"/>
      <c r="AT52" s="48"/>
      <c r="AU52" s="48"/>
      <c r="AV52" s="48"/>
      <c r="AW52" s="50">
        <v>3.0</v>
      </c>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50">
        <v>6.95630878E8</v>
      </c>
      <c r="CL52" s="48" t="s">
        <v>3237</v>
      </c>
      <c r="CM52" s="47">
        <v>46094.37525462963</v>
      </c>
      <c r="CN52" s="48"/>
      <c r="CO52" s="48"/>
      <c r="CP52" s="48" t="s">
        <v>1954</v>
      </c>
      <c r="CQ52" s="48"/>
      <c r="CR52" s="48" t="s">
        <v>3014</v>
      </c>
      <c r="CS52" s="48"/>
      <c r="CT52" s="48" t="s">
        <v>3238</v>
      </c>
      <c r="CU52" s="50">
        <v>51.0</v>
      </c>
    </row>
    <row r="53">
      <c r="A53" s="47">
        <v>46093.68389524306</v>
      </c>
      <c r="B53" s="47">
        <v>46094.66705721064</v>
      </c>
      <c r="C53" s="48" t="s">
        <v>3239</v>
      </c>
      <c r="D53" s="48" t="s">
        <v>3131</v>
      </c>
      <c r="E53" s="48" t="s">
        <v>3132</v>
      </c>
      <c r="F53" s="48" t="s">
        <v>3133</v>
      </c>
      <c r="G53" s="49" t="s">
        <v>3240</v>
      </c>
      <c r="H53" s="48" t="s">
        <v>2948</v>
      </c>
      <c r="I53" s="50">
        <v>0.0</v>
      </c>
      <c r="J53" s="50">
        <v>1.0</v>
      </c>
      <c r="K53" s="50">
        <v>0.0</v>
      </c>
      <c r="L53" s="50">
        <v>0.0</v>
      </c>
      <c r="M53" s="50">
        <v>0.0</v>
      </c>
      <c r="N53" s="50">
        <v>0.0</v>
      </c>
      <c r="O53" s="50">
        <v>0.0</v>
      </c>
      <c r="P53" s="50">
        <v>0.0</v>
      </c>
      <c r="Q53" s="50">
        <v>0.0</v>
      </c>
      <c r="R53" s="48" t="s">
        <v>2949</v>
      </c>
      <c r="S53" s="50">
        <v>1.0</v>
      </c>
      <c r="T53" s="50">
        <v>1.0</v>
      </c>
      <c r="U53" s="50">
        <v>0.0</v>
      </c>
      <c r="V53" s="50">
        <v>0.0</v>
      </c>
      <c r="W53" s="50">
        <v>0.0</v>
      </c>
      <c r="X53" s="50">
        <v>0.0</v>
      </c>
      <c r="Y53" s="50">
        <v>0.0</v>
      </c>
      <c r="Z53" s="50">
        <v>0.0</v>
      </c>
      <c r="AA53" s="50">
        <v>0.0</v>
      </c>
      <c r="AB53" s="48" t="s">
        <v>2947</v>
      </c>
      <c r="AC53" s="50">
        <v>1.0</v>
      </c>
      <c r="AD53" s="50">
        <v>0.0</v>
      </c>
      <c r="AE53" s="50">
        <v>0.0</v>
      </c>
      <c r="AF53" s="50">
        <v>0.0</v>
      </c>
      <c r="AG53" s="50">
        <v>0.0</v>
      </c>
      <c r="AH53" s="50">
        <v>0.0</v>
      </c>
      <c r="AI53" s="50">
        <v>0.0</v>
      </c>
      <c r="AJ53" s="50">
        <v>0.0</v>
      </c>
      <c r="AK53" s="50">
        <v>0.0</v>
      </c>
      <c r="AL53" s="48"/>
      <c r="AM53" s="48"/>
      <c r="AN53" s="50">
        <v>4.0</v>
      </c>
      <c r="AO53" s="48"/>
      <c r="AP53" s="48"/>
      <c r="AQ53" s="48"/>
      <c r="AR53" s="48"/>
      <c r="AS53" s="48"/>
      <c r="AT53" s="48"/>
      <c r="AU53" s="48"/>
      <c r="AV53" s="50">
        <v>2.0</v>
      </c>
      <c r="AW53" s="50">
        <v>4.0</v>
      </c>
      <c r="AX53" s="48"/>
      <c r="AY53" s="48"/>
      <c r="AZ53" s="48"/>
      <c r="BA53" s="48"/>
      <c r="BB53" s="48"/>
      <c r="BC53" s="48"/>
      <c r="BD53" s="50">
        <v>0.0</v>
      </c>
      <c r="BE53" s="50">
        <v>0.0</v>
      </c>
      <c r="BF53" s="50">
        <v>2.0</v>
      </c>
      <c r="BG53" s="50">
        <v>0.0</v>
      </c>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50">
        <v>6.95631048E8</v>
      </c>
      <c r="CL53" s="48" t="s">
        <v>3241</v>
      </c>
      <c r="CM53" s="47">
        <v>46094.37539351852</v>
      </c>
      <c r="CN53" s="48"/>
      <c r="CO53" s="48"/>
      <c r="CP53" s="48" t="s">
        <v>1954</v>
      </c>
      <c r="CQ53" s="48"/>
      <c r="CR53" s="48" t="s">
        <v>3014</v>
      </c>
      <c r="CS53" s="48"/>
      <c r="CT53" s="48" t="s">
        <v>3242</v>
      </c>
      <c r="CU53" s="50">
        <v>52.0</v>
      </c>
    </row>
    <row r="54">
      <c r="A54" s="47">
        <v>46093.68555429398</v>
      </c>
      <c r="B54" s="47">
        <v>46094.66719737268</v>
      </c>
      <c r="C54" s="48" t="s">
        <v>3243</v>
      </c>
      <c r="D54" s="48" t="s">
        <v>3131</v>
      </c>
      <c r="E54" s="48" t="s">
        <v>3132</v>
      </c>
      <c r="F54" s="48" t="s">
        <v>3167</v>
      </c>
      <c r="G54" s="49" t="s">
        <v>3244</v>
      </c>
      <c r="H54" s="48" t="s">
        <v>2948</v>
      </c>
      <c r="I54" s="50">
        <v>0.0</v>
      </c>
      <c r="J54" s="50">
        <v>1.0</v>
      </c>
      <c r="K54" s="50">
        <v>0.0</v>
      </c>
      <c r="L54" s="50">
        <v>0.0</v>
      </c>
      <c r="M54" s="50">
        <v>0.0</v>
      </c>
      <c r="N54" s="50">
        <v>0.0</v>
      </c>
      <c r="O54" s="50">
        <v>0.0</v>
      </c>
      <c r="P54" s="50">
        <v>0.0</v>
      </c>
      <c r="Q54" s="50">
        <v>0.0</v>
      </c>
      <c r="R54" s="48" t="s">
        <v>2949</v>
      </c>
      <c r="S54" s="50">
        <v>1.0</v>
      </c>
      <c r="T54" s="50">
        <v>1.0</v>
      </c>
      <c r="U54" s="50">
        <v>0.0</v>
      </c>
      <c r="V54" s="50">
        <v>0.0</v>
      </c>
      <c r="W54" s="50">
        <v>0.0</v>
      </c>
      <c r="X54" s="50">
        <v>0.0</v>
      </c>
      <c r="Y54" s="50">
        <v>0.0</v>
      </c>
      <c r="Z54" s="50">
        <v>0.0</v>
      </c>
      <c r="AA54" s="50">
        <v>0.0</v>
      </c>
      <c r="AB54" s="48" t="s">
        <v>2947</v>
      </c>
      <c r="AC54" s="50">
        <v>1.0</v>
      </c>
      <c r="AD54" s="50">
        <v>0.0</v>
      </c>
      <c r="AE54" s="50">
        <v>0.0</v>
      </c>
      <c r="AF54" s="50">
        <v>0.0</v>
      </c>
      <c r="AG54" s="50">
        <v>0.0</v>
      </c>
      <c r="AH54" s="50">
        <v>0.0</v>
      </c>
      <c r="AI54" s="50">
        <v>0.0</v>
      </c>
      <c r="AJ54" s="50">
        <v>0.0</v>
      </c>
      <c r="AK54" s="50">
        <v>0.0</v>
      </c>
      <c r="AL54" s="48"/>
      <c r="AM54" s="48"/>
      <c r="AN54" s="50">
        <v>2.0</v>
      </c>
      <c r="AO54" s="48"/>
      <c r="AP54" s="48"/>
      <c r="AQ54" s="48"/>
      <c r="AR54" s="48"/>
      <c r="AS54" s="48"/>
      <c r="AT54" s="48"/>
      <c r="AU54" s="48"/>
      <c r="AV54" s="50">
        <v>1.0</v>
      </c>
      <c r="AW54" s="50">
        <v>2.0</v>
      </c>
      <c r="AX54" s="48"/>
      <c r="AY54" s="48"/>
      <c r="AZ54" s="48"/>
      <c r="BA54" s="48"/>
      <c r="BB54" s="48"/>
      <c r="BC54" s="48"/>
      <c r="BD54" s="50">
        <v>0.0</v>
      </c>
      <c r="BE54" s="50">
        <v>0.0</v>
      </c>
      <c r="BF54" s="50">
        <v>1.0</v>
      </c>
      <c r="BG54" s="50">
        <v>0.0</v>
      </c>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50">
        <v>6.95631247E8</v>
      </c>
      <c r="CL54" s="48" t="s">
        <v>3245</v>
      </c>
      <c r="CM54" s="47">
        <v>46094.37553240741</v>
      </c>
      <c r="CN54" s="48"/>
      <c r="CO54" s="48"/>
      <c r="CP54" s="48" t="s">
        <v>1954</v>
      </c>
      <c r="CQ54" s="48"/>
      <c r="CR54" s="48" t="s">
        <v>3014</v>
      </c>
      <c r="CS54" s="48"/>
      <c r="CT54" s="48" t="s">
        <v>3246</v>
      </c>
      <c r="CU54" s="50">
        <v>53.0</v>
      </c>
    </row>
    <row r="55">
      <c r="A55" s="47">
        <v>46093.68714121528</v>
      </c>
      <c r="B55" s="47">
        <v>46094.66732805556</v>
      </c>
      <c r="C55" s="48" t="s">
        <v>3247</v>
      </c>
      <c r="D55" s="48" t="s">
        <v>3131</v>
      </c>
      <c r="E55" s="48" t="s">
        <v>3132</v>
      </c>
      <c r="F55" s="48" t="s">
        <v>3167</v>
      </c>
      <c r="G55" s="49" t="s">
        <v>3248</v>
      </c>
      <c r="H55" s="48" t="s">
        <v>2948</v>
      </c>
      <c r="I55" s="50">
        <v>0.0</v>
      </c>
      <c r="J55" s="50">
        <v>1.0</v>
      </c>
      <c r="K55" s="50">
        <v>0.0</v>
      </c>
      <c r="L55" s="50">
        <v>0.0</v>
      </c>
      <c r="M55" s="50">
        <v>0.0</v>
      </c>
      <c r="N55" s="50">
        <v>0.0</v>
      </c>
      <c r="O55" s="50">
        <v>0.0</v>
      </c>
      <c r="P55" s="50">
        <v>0.0</v>
      </c>
      <c r="Q55" s="50">
        <v>0.0</v>
      </c>
      <c r="R55" s="48" t="s">
        <v>2949</v>
      </c>
      <c r="S55" s="50">
        <v>1.0</v>
      </c>
      <c r="T55" s="50">
        <v>1.0</v>
      </c>
      <c r="U55" s="50">
        <v>0.0</v>
      </c>
      <c r="V55" s="50">
        <v>0.0</v>
      </c>
      <c r="W55" s="50">
        <v>0.0</v>
      </c>
      <c r="X55" s="50">
        <v>0.0</v>
      </c>
      <c r="Y55" s="50">
        <v>0.0</v>
      </c>
      <c r="Z55" s="50">
        <v>0.0</v>
      </c>
      <c r="AA55" s="50">
        <v>0.0</v>
      </c>
      <c r="AB55" s="48" t="s">
        <v>2947</v>
      </c>
      <c r="AC55" s="50">
        <v>1.0</v>
      </c>
      <c r="AD55" s="50">
        <v>0.0</v>
      </c>
      <c r="AE55" s="50">
        <v>0.0</v>
      </c>
      <c r="AF55" s="50">
        <v>0.0</v>
      </c>
      <c r="AG55" s="50">
        <v>0.0</v>
      </c>
      <c r="AH55" s="50">
        <v>0.0</v>
      </c>
      <c r="AI55" s="50">
        <v>0.0</v>
      </c>
      <c r="AJ55" s="50">
        <v>0.0</v>
      </c>
      <c r="AK55" s="50">
        <v>0.0</v>
      </c>
      <c r="AL55" s="48"/>
      <c r="AM55" s="48"/>
      <c r="AN55" s="50">
        <v>5.0</v>
      </c>
      <c r="AO55" s="48"/>
      <c r="AP55" s="48"/>
      <c r="AQ55" s="48"/>
      <c r="AR55" s="48"/>
      <c r="AS55" s="48"/>
      <c r="AT55" s="48"/>
      <c r="AU55" s="48"/>
      <c r="AV55" s="50">
        <v>3.0</v>
      </c>
      <c r="AW55" s="50">
        <v>5.0</v>
      </c>
      <c r="AX55" s="48"/>
      <c r="AY55" s="48"/>
      <c r="AZ55" s="48"/>
      <c r="BA55" s="48"/>
      <c r="BB55" s="48"/>
      <c r="BC55" s="48"/>
      <c r="BD55" s="50">
        <v>0.0</v>
      </c>
      <c r="BE55" s="50">
        <v>0.0</v>
      </c>
      <c r="BF55" s="50">
        <v>3.0</v>
      </c>
      <c r="BG55" s="50">
        <v>0.0</v>
      </c>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50">
        <v>6.95631418E8</v>
      </c>
      <c r="CL55" s="48" t="s">
        <v>3249</v>
      </c>
      <c r="CM55" s="47">
        <v>46094.37567129629</v>
      </c>
      <c r="CN55" s="48"/>
      <c r="CO55" s="48"/>
      <c r="CP55" s="48" t="s">
        <v>1954</v>
      </c>
      <c r="CQ55" s="48"/>
      <c r="CR55" s="48" t="s">
        <v>3014</v>
      </c>
      <c r="CS55" s="48"/>
      <c r="CT55" s="48" t="s">
        <v>3250</v>
      </c>
      <c r="CU55" s="50">
        <v>54.0</v>
      </c>
    </row>
    <row r="56">
      <c r="A56" s="47">
        <v>46093.68888568287</v>
      </c>
      <c r="B56" s="47">
        <v>46094.66741598379</v>
      </c>
      <c r="C56" s="48" t="s">
        <v>3251</v>
      </c>
      <c r="D56" s="48" t="s">
        <v>3131</v>
      </c>
      <c r="E56" s="48" t="s">
        <v>3176</v>
      </c>
      <c r="F56" s="48" t="s">
        <v>3167</v>
      </c>
      <c r="G56" s="49" t="s">
        <v>3252</v>
      </c>
      <c r="H56" s="48" t="s">
        <v>2948</v>
      </c>
      <c r="I56" s="50">
        <v>0.0</v>
      </c>
      <c r="J56" s="50">
        <v>1.0</v>
      </c>
      <c r="K56" s="50">
        <v>0.0</v>
      </c>
      <c r="L56" s="50">
        <v>0.0</v>
      </c>
      <c r="M56" s="50">
        <v>0.0</v>
      </c>
      <c r="N56" s="50">
        <v>0.0</v>
      </c>
      <c r="O56" s="50">
        <v>0.0</v>
      </c>
      <c r="P56" s="50">
        <v>0.0</v>
      </c>
      <c r="Q56" s="50">
        <v>0.0</v>
      </c>
      <c r="R56" s="48" t="s">
        <v>2948</v>
      </c>
      <c r="S56" s="50">
        <v>0.0</v>
      </c>
      <c r="T56" s="50">
        <v>1.0</v>
      </c>
      <c r="U56" s="50">
        <v>0.0</v>
      </c>
      <c r="V56" s="50">
        <v>0.0</v>
      </c>
      <c r="W56" s="50">
        <v>0.0</v>
      </c>
      <c r="X56" s="50">
        <v>0.0</v>
      </c>
      <c r="Y56" s="50">
        <v>0.0</v>
      </c>
      <c r="Z56" s="50">
        <v>0.0</v>
      </c>
      <c r="AA56" s="50">
        <v>0.0</v>
      </c>
      <c r="AB56" s="48" t="s">
        <v>999</v>
      </c>
      <c r="AC56" s="50">
        <v>0.0</v>
      </c>
      <c r="AD56" s="50">
        <v>0.0</v>
      </c>
      <c r="AE56" s="50">
        <v>0.0</v>
      </c>
      <c r="AF56" s="50">
        <v>0.0</v>
      </c>
      <c r="AG56" s="50">
        <v>0.0</v>
      </c>
      <c r="AH56" s="50">
        <v>0.0</v>
      </c>
      <c r="AI56" s="50">
        <v>0.0</v>
      </c>
      <c r="AJ56" s="50">
        <v>0.0</v>
      </c>
      <c r="AK56" s="50">
        <v>1.0</v>
      </c>
      <c r="AL56" s="48"/>
      <c r="AM56" s="48"/>
      <c r="AN56" s="50">
        <v>3.0</v>
      </c>
      <c r="AO56" s="48"/>
      <c r="AP56" s="48"/>
      <c r="AQ56" s="48"/>
      <c r="AR56" s="48"/>
      <c r="AS56" s="48"/>
      <c r="AT56" s="48"/>
      <c r="AU56" s="48"/>
      <c r="AV56" s="48"/>
      <c r="AW56" s="50">
        <v>3.0</v>
      </c>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50">
        <v>6.95631532E8</v>
      </c>
      <c r="CL56" s="48" t="s">
        <v>3253</v>
      </c>
      <c r="CM56" s="47">
        <v>46094.37575231482</v>
      </c>
      <c r="CN56" s="48"/>
      <c r="CO56" s="48"/>
      <c r="CP56" s="48" t="s">
        <v>1954</v>
      </c>
      <c r="CQ56" s="48"/>
      <c r="CR56" s="48" t="s">
        <v>3014</v>
      </c>
      <c r="CS56" s="48"/>
      <c r="CT56" s="48" t="s">
        <v>3254</v>
      </c>
      <c r="CU56" s="50">
        <v>55.0</v>
      </c>
    </row>
    <row r="57">
      <c r="A57" s="47">
        <v>46093.6900767824</v>
      </c>
      <c r="B57" s="47">
        <v>46094.66749925926</v>
      </c>
      <c r="C57" s="48" t="s">
        <v>3255</v>
      </c>
      <c r="D57" s="48" t="s">
        <v>3131</v>
      </c>
      <c r="E57" s="48" t="s">
        <v>3132</v>
      </c>
      <c r="F57" s="48" t="s">
        <v>3167</v>
      </c>
      <c r="G57" s="49" t="s">
        <v>3256</v>
      </c>
      <c r="H57" s="48" t="s">
        <v>2949</v>
      </c>
      <c r="I57" s="50">
        <v>1.0</v>
      </c>
      <c r="J57" s="50">
        <v>1.0</v>
      </c>
      <c r="K57" s="50">
        <v>0.0</v>
      </c>
      <c r="L57" s="50">
        <v>0.0</v>
      </c>
      <c r="M57" s="50">
        <v>0.0</v>
      </c>
      <c r="N57" s="50">
        <v>0.0</v>
      </c>
      <c r="O57" s="50">
        <v>0.0</v>
      </c>
      <c r="P57" s="50">
        <v>0.0</v>
      </c>
      <c r="Q57" s="50">
        <v>0.0</v>
      </c>
      <c r="R57" s="48" t="s">
        <v>2949</v>
      </c>
      <c r="S57" s="50">
        <v>1.0</v>
      </c>
      <c r="T57" s="50">
        <v>1.0</v>
      </c>
      <c r="U57" s="50">
        <v>0.0</v>
      </c>
      <c r="V57" s="50">
        <v>0.0</v>
      </c>
      <c r="W57" s="50">
        <v>0.0</v>
      </c>
      <c r="X57" s="50">
        <v>0.0</v>
      </c>
      <c r="Y57" s="50">
        <v>0.0</v>
      </c>
      <c r="Z57" s="50">
        <v>0.0</v>
      </c>
      <c r="AA57" s="50">
        <v>0.0</v>
      </c>
      <c r="AB57" s="48" t="s">
        <v>999</v>
      </c>
      <c r="AC57" s="50">
        <v>0.0</v>
      </c>
      <c r="AD57" s="50">
        <v>0.0</v>
      </c>
      <c r="AE57" s="50">
        <v>0.0</v>
      </c>
      <c r="AF57" s="50">
        <v>0.0</v>
      </c>
      <c r="AG57" s="50">
        <v>0.0</v>
      </c>
      <c r="AH57" s="50">
        <v>0.0</v>
      </c>
      <c r="AI57" s="50">
        <v>0.0</v>
      </c>
      <c r="AJ57" s="50">
        <v>0.0</v>
      </c>
      <c r="AK57" s="50">
        <v>1.0</v>
      </c>
      <c r="AL57" s="48"/>
      <c r="AM57" s="50">
        <v>2.0</v>
      </c>
      <c r="AN57" s="50">
        <v>3.0</v>
      </c>
      <c r="AO57" s="48"/>
      <c r="AP57" s="48"/>
      <c r="AQ57" s="48"/>
      <c r="AR57" s="48"/>
      <c r="AS57" s="48"/>
      <c r="AT57" s="48"/>
      <c r="AU57" s="48"/>
      <c r="AV57" s="50">
        <v>2.0</v>
      </c>
      <c r="AW57" s="50">
        <v>3.0</v>
      </c>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50">
        <v>6.95631629E8</v>
      </c>
      <c r="CL57" s="48" t="s">
        <v>3257</v>
      </c>
      <c r="CM57" s="47">
        <v>46094.37583333333</v>
      </c>
      <c r="CN57" s="48"/>
      <c r="CO57" s="48"/>
      <c r="CP57" s="48" t="s">
        <v>1954</v>
      </c>
      <c r="CQ57" s="48"/>
      <c r="CR57" s="48" t="s">
        <v>3014</v>
      </c>
      <c r="CS57" s="48"/>
      <c r="CT57" s="48" t="s">
        <v>3258</v>
      </c>
      <c r="CU57" s="50">
        <v>56.0</v>
      </c>
    </row>
    <row r="58">
      <c r="A58" s="47">
        <v>46093.69142626158</v>
      </c>
      <c r="B58" s="47">
        <v>46094.66758026621</v>
      </c>
      <c r="C58" s="48" t="s">
        <v>3259</v>
      </c>
      <c r="D58" s="48" t="s">
        <v>3131</v>
      </c>
      <c r="E58" s="48" t="s">
        <v>3260</v>
      </c>
      <c r="F58" s="48" t="s">
        <v>3261</v>
      </c>
      <c r="G58" s="49" t="s">
        <v>3262</v>
      </c>
      <c r="H58" s="48" t="s">
        <v>2948</v>
      </c>
      <c r="I58" s="50">
        <v>0.0</v>
      </c>
      <c r="J58" s="50">
        <v>1.0</v>
      </c>
      <c r="K58" s="50">
        <v>0.0</v>
      </c>
      <c r="L58" s="50">
        <v>0.0</v>
      </c>
      <c r="M58" s="50">
        <v>0.0</v>
      </c>
      <c r="N58" s="50">
        <v>0.0</v>
      </c>
      <c r="O58" s="50">
        <v>0.0</v>
      </c>
      <c r="P58" s="50">
        <v>0.0</v>
      </c>
      <c r="Q58" s="50">
        <v>0.0</v>
      </c>
      <c r="R58" s="48" t="s">
        <v>999</v>
      </c>
      <c r="S58" s="50">
        <v>0.0</v>
      </c>
      <c r="T58" s="50">
        <v>0.0</v>
      </c>
      <c r="U58" s="50">
        <v>0.0</v>
      </c>
      <c r="V58" s="50">
        <v>0.0</v>
      </c>
      <c r="W58" s="50">
        <v>0.0</v>
      </c>
      <c r="X58" s="50">
        <v>0.0</v>
      </c>
      <c r="Y58" s="50">
        <v>0.0</v>
      </c>
      <c r="Z58" s="50">
        <v>0.0</v>
      </c>
      <c r="AA58" s="50">
        <v>1.0</v>
      </c>
      <c r="AB58" s="48" t="s">
        <v>2948</v>
      </c>
      <c r="AC58" s="50">
        <v>0.0</v>
      </c>
      <c r="AD58" s="50">
        <v>1.0</v>
      </c>
      <c r="AE58" s="50">
        <v>0.0</v>
      </c>
      <c r="AF58" s="50">
        <v>0.0</v>
      </c>
      <c r="AG58" s="50">
        <v>0.0</v>
      </c>
      <c r="AH58" s="50">
        <v>0.0</v>
      </c>
      <c r="AI58" s="50">
        <v>0.0</v>
      </c>
      <c r="AJ58" s="50">
        <v>0.0</v>
      </c>
      <c r="AK58" s="50">
        <v>0.0</v>
      </c>
      <c r="AL58" s="48"/>
      <c r="AM58" s="48"/>
      <c r="AN58" s="50">
        <v>3.0</v>
      </c>
      <c r="AO58" s="48"/>
      <c r="AP58" s="48"/>
      <c r="AQ58" s="48"/>
      <c r="AR58" s="48"/>
      <c r="AS58" s="48"/>
      <c r="AT58" s="48"/>
      <c r="AU58" s="48"/>
      <c r="AV58" s="48"/>
      <c r="AW58" s="48"/>
      <c r="AX58" s="48"/>
      <c r="AY58" s="48"/>
      <c r="AZ58" s="48"/>
      <c r="BA58" s="48"/>
      <c r="BB58" s="48"/>
      <c r="BC58" s="48"/>
      <c r="BD58" s="48"/>
      <c r="BE58" s="48"/>
      <c r="BF58" s="48"/>
      <c r="BG58" s="48"/>
      <c r="BH58" s="50">
        <v>3.0</v>
      </c>
      <c r="BI58" s="50">
        <v>0.0</v>
      </c>
      <c r="BJ58" s="50">
        <v>0.0</v>
      </c>
      <c r="BK58" s="50">
        <v>0.0</v>
      </c>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50">
        <v>6.95631718E8</v>
      </c>
      <c r="CL58" s="48" t="s">
        <v>3263</v>
      </c>
      <c r="CM58" s="47">
        <v>46094.37591435185</v>
      </c>
      <c r="CN58" s="48"/>
      <c r="CO58" s="48"/>
      <c r="CP58" s="48" t="s">
        <v>1954</v>
      </c>
      <c r="CQ58" s="48"/>
      <c r="CR58" s="48" t="s">
        <v>3014</v>
      </c>
      <c r="CS58" s="48"/>
      <c r="CT58" s="48" t="s">
        <v>3264</v>
      </c>
      <c r="CU58" s="50">
        <v>57.0</v>
      </c>
    </row>
    <row r="59">
      <c r="A59" s="47">
        <v>46093.6933815625</v>
      </c>
      <c r="B59" s="47">
        <v>46094.66782180555</v>
      </c>
      <c r="C59" s="48" t="s">
        <v>3265</v>
      </c>
      <c r="D59" s="48" t="s">
        <v>3131</v>
      </c>
      <c r="E59" s="48" t="s">
        <v>3260</v>
      </c>
      <c r="F59" s="48" t="s">
        <v>3261</v>
      </c>
      <c r="G59" s="49" t="s">
        <v>3266</v>
      </c>
      <c r="H59" s="48" t="s">
        <v>2949</v>
      </c>
      <c r="I59" s="50">
        <v>1.0</v>
      </c>
      <c r="J59" s="50">
        <v>1.0</v>
      </c>
      <c r="K59" s="50">
        <v>0.0</v>
      </c>
      <c r="L59" s="50">
        <v>0.0</v>
      </c>
      <c r="M59" s="50">
        <v>0.0</v>
      </c>
      <c r="N59" s="50">
        <v>0.0</v>
      </c>
      <c r="O59" s="50">
        <v>0.0</v>
      </c>
      <c r="P59" s="50">
        <v>0.0</v>
      </c>
      <c r="Q59" s="50">
        <v>0.0</v>
      </c>
      <c r="R59" s="48" t="s">
        <v>2949</v>
      </c>
      <c r="S59" s="50">
        <v>1.0</v>
      </c>
      <c r="T59" s="50">
        <v>1.0</v>
      </c>
      <c r="U59" s="50">
        <v>0.0</v>
      </c>
      <c r="V59" s="50">
        <v>0.0</v>
      </c>
      <c r="W59" s="50">
        <v>0.0</v>
      </c>
      <c r="X59" s="50">
        <v>0.0</v>
      </c>
      <c r="Y59" s="50">
        <v>0.0</v>
      </c>
      <c r="Z59" s="50">
        <v>0.0</v>
      </c>
      <c r="AA59" s="50">
        <v>0.0</v>
      </c>
      <c r="AB59" s="48" t="s">
        <v>999</v>
      </c>
      <c r="AC59" s="50">
        <v>0.0</v>
      </c>
      <c r="AD59" s="50">
        <v>0.0</v>
      </c>
      <c r="AE59" s="50">
        <v>0.0</v>
      </c>
      <c r="AF59" s="50">
        <v>0.0</v>
      </c>
      <c r="AG59" s="50">
        <v>0.0</v>
      </c>
      <c r="AH59" s="50">
        <v>0.0</v>
      </c>
      <c r="AI59" s="50">
        <v>0.0</v>
      </c>
      <c r="AJ59" s="50">
        <v>0.0</v>
      </c>
      <c r="AK59" s="50">
        <v>1.0</v>
      </c>
      <c r="AL59" s="48"/>
      <c r="AM59" s="50">
        <v>2.0</v>
      </c>
      <c r="AN59" s="50">
        <v>3.0</v>
      </c>
      <c r="AO59" s="48"/>
      <c r="AP59" s="48"/>
      <c r="AQ59" s="48"/>
      <c r="AR59" s="48"/>
      <c r="AS59" s="48"/>
      <c r="AT59" s="48"/>
      <c r="AU59" s="48"/>
      <c r="AV59" s="50">
        <v>2.0</v>
      </c>
      <c r="AW59" s="50">
        <v>3.0</v>
      </c>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50">
        <v>6.95632027E8</v>
      </c>
      <c r="CL59" s="48" t="s">
        <v>3267</v>
      </c>
      <c r="CM59" s="47">
        <v>46094.37615740741</v>
      </c>
      <c r="CN59" s="48"/>
      <c r="CO59" s="48"/>
      <c r="CP59" s="48" t="s">
        <v>1954</v>
      </c>
      <c r="CQ59" s="48"/>
      <c r="CR59" s="48" t="s">
        <v>3014</v>
      </c>
      <c r="CS59" s="48"/>
      <c r="CT59" s="48" t="s">
        <v>3268</v>
      </c>
      <c r="CU59" s="50">
        <v>58.0</v>
      </c>
    </row>
    <row r="60">
      <c r="A60" s="47">
        <v>46093.69582898148</v>
      </c>
      <c r="B60" s="47">
        <v>46094.66789728009</v>
      </c>
      <c r="C60" s="48" t="s">
        <v>3269</v>
      </c>
      <c r="D60" s="48" t="s">
        <v>3131</v>
      </c>
      <c r="E60" s="48" t="s">
        <v>3260</v>
      </c>
      <c r="F60" s="48" t="s">
        <v>3261</v>
      </c>
      <c r="G60" s="49" t="s">
        <v>3270</v>
      </c>
      <c r="H60" s="48" t="s">
        <v>2948</v>
      </c>
      <c r="I60" s="50">
        <v>0.0</v>
      </c>
      <c r="J60" s="50">
        <v>1.0</v>
      </c>
      <c r="K60" s="50">
        <v>0.0</v>
      </c>
      <c r="L60" s="50">
        <v>0.0</v>
      </c>
      <c r="M60" s="50">
        <v>0.0</v>
      </c>
      <c r="N60" s="50">
        <v>0.0</v>
      </c>
      <c r="O60" s="50">
        <v>0.0</v>
      </c>
      <c r="P60" s="50">
        <v>0.0</v>
      </c>
      <c r="Q60" s="50">
        <v>0.0</v>
      </c>
      <c r="R60" s="48" t="s">
        <v>2948</v>
      </c>
      <c r="S60" s="50">
        <v>0.0</v>
      </c>
      <c r="T60" s="50">
        <v>1.0</v>
      </c>
      <c r="U60" s="50">
        <v>0.0</v>
      </c>
      <c r="V60" s="50">
        <v>0.0</v>
      </c>
      <c r="W60" s="50">
        <v>0.0</v>
      </c>
      <c r="X60" s="50">
        <v>0.0</v>
      </c>
      <c r="Y60" s="50">
        <v>0.0</v>
      </c>
      <c r="Z60" s="50">
        <v>0.0</v>
      </c>
      <c r="AA60" s="50">
        <v>0.0</v>
      </c>
      <c r="AB60" s="48" t="s">
        <v>2948</v>
      </c>
      <c r="AC60" s="50">
        <v>0.0</v>
      </c>
      <c r="AD60" s="50">
        <v>1.0</v>
      </c>
      <c r="AE60" s="50">
        <v>0.0</v>
      </c>
      <c r="AF60" s="50">
        <v>0.0</v>
      </c>
      <c r="AG60" s="50">
        <v>0.0</v>
      </c>
      <c r="AH60" s="50">
        <v>0.0</v>
      </c>
      <c r="AI60" s="50">
        <v>0.0</v>
      </c>
      <c r="AJ60" s="50">
        <v>0.0</v>
      </c>
      <c r="AK60" s="50">
        <v>0.0</v>
      </c>
      <c r="AL60" s="48"/>
      <c r="AM60" s="48"/>
      <c r="AN60" s="50">
        <v>7.0</v>
      </c>
      <c r="AO60" s="48"/>
      <c r="AP60" s="48"/>
      <c r="AQ60" s="48"/>
      <c r="AR60" s="48"/>
      <c r="AS60" s="48"/>
      <c r="AT60" s="48"/>
      <c r="AU60" s="48"/>
      <c r="AV60" s="48"/>
      <c r="AW60" s="50">
        <v>2.0</v>
      </c>
      <c r="AX60" s="48"/>
      <c r="AY60" s="48"/>
      <c r="AZ60" s="48"/>
      <c r="BA60" s="48"/>
      <c r="BB60" s="48"/>
      <c r="BC60" s="48"/>
      <c r="BD60" s="48"/>
      <c r="BE60" s="48"/>
      <c r="BF60" s="48"/>
      <c r="BG60" s="48"/>
      <c r="BH60" s="50">
        <v>5.0</v>
      </c>
      <c r="BI60" s="50">
        <v>0.0</v>
      </c>
      <c r="BJ60" s="50">
        <v>0.0</v>
      </c>
      <c r="BK60" s="50">
        <v>0.0</v>
      </c>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50">
        <v>6.95632126E8</v>
      </c>
      <c r="CL60" s="48" t="s">
        <v>3271</v>
      </c>
      <c r="CM60" s="47">
        <v>46094.37623842592</v>
      </c>
      <c r="CN60" s="48"/>
      <c r="CO60" s="48"/>
      <c r="CP60" s="48" t="s">
        <v>1954</v>
      </c>
      <c r="CQ60" s="48"/>
      <c r="CR60" s="48" t="s">
        <v>3014</v>
      </c>
      <c r="CS60" s="48"/>
      <c r="CT60" s="48" t="s">
        <v>3272</v>
      </c>
      <c r="CU60" s="50">
        <v>59.0</v>
      </c>
    </row>
    <row r="61">
      <c r="A61" s="47">
        <v>46093.69714178241</v>
      </c>
      <c r="B61" s="47">
        <v>46094.6679850463</v>
      </c>
      <c r="C61" s="48" t="s">
        <v>3273</v>
      </c>
      <c r="D61" s="48" t="s">
        <v>3131</v>
      </c>
      <c r="E61" s="48" t="s">
        <v>3260</v>
      </c>
      <c r="F61" s="48" t="s">
        <v>3274</v>
      </c>
      <c r="G61" s="49" t="s">
        <v>3275</v>
      </c>
      <c r="H61" s="48" t="s">
        <v>2948</v>
      </c>
      <c r="I61" s="50">
        <v>0.0</v>
      </c>
      <c r="J61" s="50">
        <v>1.0</v>
      </c>
      <c r="K61" s="50">
        <v>0.0</v>
      </c>
      <c r="L61" s="50">
        <v>0.0</v>
      </c>
      <c r="M61" s="50">
        <v>0.0</v>
      </c>
      <c r="N61" s="50">
        <v>0.0</v>
      </c>
      <c r="O61" s="50">
        <v>0.0</v>
      </c>
      <c r="P61" s="50">
        <v>0.0</v>
      </c>
      <c r="Q61" s="50">
        <v>0.0</v>
      </c>
      <c r="R61" s="48" t="s">
        <v>999</v>
      </c>
      <c r="S61" s="50">
        <v>0.0</v>
      </c>
      <c r="T61" s="50">
        <v>0.0</v>
      </c>
      <c r="U61" s="50">
        <v>0.0</v>
      </c>
      <c r="V61" s="50">
        <v>0.0</v>
      </c>
      <c r="W61" s="50">
        <v>0.0</v>
      </c>
      <c r="X61" s="50">
        <v>0.0</v>
      </c>
      <c r="Y61" s="50">
        <v>0.0</v>
      </c>
      <c r="Z61" s="50">
        <v>0.0</v>
      </c>
      <c r="AA61" s="50">
        <v>1.0</v>
      </c>
      <c r="AB61" s="48" t="s">
        <v>2948</v>
      </c>
      <c r="AC61" s="50">
        <v>0.0</v>
      </c>
      <c r="AD61" s="50">
        <v>1.0</v>
      </c>
      <c r="AE61" s="50">
        <v>0.0</v>
      </c>
      <c r="AF61" s="50">
        <v>0.0</v>
      </c>
      <c r="AG61" s="50">
        <v>0.0</v>
      </c>
      <c r="AH61" s="50">
        <v>0.0</v>
      </c>
      <c r="AI61" s="50">
        <v>0.0</v>
      </c>
      <c r="AJ61" s="50">
        <v>0.0</v>
      </c>
      <c r="AK61" s="50">
        <v>0.0</v>
      </c>
      <c r="AL61" s="48"/>
      <c r="AM61" s="48"/>
      <c r="AN61" s="50">
        <v>8.0</v>
      </c>
      <c r="AO61" s="48"/>
      <c r="AP61" s="48"/>
      <c r="AQ61" s="48"/>
      <c r="AR61" s="48"/>
      <c r="AS61" s="48"/>
      <c r="AT61" s="48"/>
      <c r="AU61" s="48"/>
      <c r="AV61" s="48"/>
      <c r="AW61" s="48"/>
      <c r="AX61" s="48"/>
      <c r="AY61" s="48"/>
      <c r="AZ61" s="48"/>
      <c r="BA61" s="48"/>
      <c r="BB61" s="48"/>
      <c r="BC61" s="48"/>
      <c r="BD61" s="48"/>
      <c r="BE61" s="48"/>
      <c r="BF61" s="48"/>
      <c r="BG61" s="48"/>
      <c r="BH61" s="50">
        <v>8.0</v>
      </c>
      <c r="BI61" s="50">
        <v>0.0</v>
      </c>
      <c r="BJ61" s="50">
        <v>0.0</v>
      </c>
      <c r="BK61" s="50">
        <v>0.0</v>
      </c>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50">
        <v>6.95632263E8</v>
      </c>
      <c r="CL61" s="48" t="s">
        <v>3276</v>
      </c>
      <c r="CM61" s="47">
        <v>46094.37631944445</v>
      </c>
      <c r="CN61" s="48"/>
      <c r="CO61" s="48"/>
      <c r="CP61" s="48" t="s">
        <v>1954</v>
      </c>
      <c r="CQ61" s="48"/>
      <c r="CR61" s="48" t="s">
        <v>3014</v>
      </c>
      <c r="CS61" s="48"/>
      <c r="CT61" s="48" t="s">
        <v>3277</v>
      </c>
      <c r="CU61" s="50">
        <v>60.0</v>
      </c>
    </row>
    <row r="62">
      <c r="A62" s="47">
        <v>46093.69835951389</v>
      </c>
      <c r="B62" s="47">
        <v>46094.66805658565</v>
      </c>
      <c r="C62" s="48" t="s">
        <v>3278</v>
      </c>
      <c r="D62" s="48" t="s">
        <v>3131</v>
      </c>
      <c r="E62" s="48" t="s">
        <v>3260</v>
      </c>
      <c r="F62" s="48" t="s">
        <v>3133</v>
      </c>
      <c r="G62" s="49" t="s">
        <v>3279</v>
      </c>
      <c r="H62" s="48" t="s">
        <v>2948</v>
      </c>
      <c r="I62" s="50">
        <v>0.0</v>
      </c>
      <c r="J62" s="50">
        <v>1.0</v>
      </c>
      <c r="K62" s="50">
        <v>0.0</v>
      </c>
      <c r="L62" s="50">
        <v>0.0</v>
      </c>
      <c r="M62" s="50">
        <v>0.0</v>
      </c>
      <c r="N62" s="50">
        <v>0.0</v>
      </c>
      <c r="O62" s="50">
        <v>0.0</v>
      </c>
      <c r="P62" s="50">
        <v>0.0</v>
      </c>
      <c r="Q62" s="50">
        <v>0.0</v>
      </c>
      <c r="R62" s="48" t="s">
        <v>999</v>
      </c>
      <c r="S62" s="50">
        <v>0.0</v>
      </c>
      <c r="T62" s="50">
        <v>0.0</v>
      </c>
      <c r="U62" s="50">
        <v>0.0</v>
      </c>
      <c r="V62" s="50">
        <v>0.0</v>
      </c>
      <c r="W62" s="50">
        <v>0.0</v>
      </c>
      <c r="X62" s="50">
        <v>0.0</v>
      </c>
      <c r="Y62" s="50">
        <v>0.0</v>
      </c>
      <c r="Z62" s="50">
        <v>0.0</v>
      </c>
      <c r="AA62" s="50">
        <v>1.0</v>
      </c>
      <c r="AB62" s="48" t="s">
        <v>2948</v>
      </c>
      <c r="AC62" s="50">
        <v>0.0</v>
      </c>
      <c r="AD62" s="50">
        <v>1.0</v>
      </c>
      <c r="AE62" s="50">
        <v>0.0</v>
      </c>
      <c r="AF62" s="50">
        <v>0.0</v>
      </c>
      <c r="AG62" s="50">
        <v>0.0</v>
      </c>
      <c r="AH62" s="50">
        <v>0.0</v>
      </c>
      <c r="AI62" s="50">
        <v>0.0</v>
      </c>
      <c r="AJ62" s="50">
        <v>0.0</v>
      </c>
      <c r="AK62" s="50">
        <v>0.0</v>
      </c>
      <c r="AL62" s="48"/>
      <c r="AM62" s="48"/>
      <c r="AN62" s="50">
        <v>15.0</v>
      </c>
      <c r="AO62" s="48"/>
      <c r="AP62" s="48"/>
      <c r="AQ62" s="48"/>
      <c r="AR62" s="48"/>
      <c r="AS62" s="48"/>
      <c r="AT62" s="48"/>
      <c r="AU62" s="48"/>
      <c r="AV62" s="48"/>
      <c r="AW62" s="48"/>
      <c r="AX62" s="48"/>
      <c r="AY62" s="48"/>
      <c r="AZ62" s="48"/>
      <c r="BA62" s="48"/>
      <c r="BB62" s="48"/>
      <c r="BC62" s="48"/>
      <c r="BD62" s="48"/>
      <c r="BE62" s="48"/>
      <c r="BF62" s="48"/>
      <c r="BG62" s="48"/>
      <c r="BH62" s="50">
        <v>15.0</v>
      </c>
      <c r="BI62" s="50">
        <v>0.0</v>
      </c>
      <c r="BJ62" s="50">
        <v>0.0</v>
      </c>
      <c r="BK62" s="50">
        <v>0.0</v>
      </c>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50">
        <v>6.95632356E8</v>
      </c>
      <c r="CL62" s="48" t="s">
        <v>3280</v>
      </c>
      <c r="CM62" s="47">
        <v>46094.37638888889</v>
      </c>
      <c r="CN62" s="48"/>
      <c r="CO62" s="48"/>
      <c r="CP62" s="48" t="s">
        <v>1954</v>
      </c>
      <c r="CQ62" s="48"/>
      <c r="CR62" s="48" t="s">
        <v>3014</v>
      </c>
      <c r="CS62" s="48"/>
      <c r="CT62" s="48" t="s">
        <v>3281</v>
      </c>
      <c r="CU62" s="50">
        <v>61.0</v>
      </c>
    </row>
    <row r="63">
      <c r="A63" s="47">
        <v>46093.70016013889</v>
      </c>
      <c r="B63" s="47">
        <v>46094.66818429398</v>
      </c>
      <c r="C63" s="48" t="s">
        <v>3282</v>
      </c>
      <c r="D63" s="48" t="s">
        <v>3131</v>
      </c>
      <c r="E63" s="48" t="s">
        <v>3260</v>
      </c>
      <c r="F63" s="48" t="s">
        <v>3133</v>
      </c>
      <c r="G63" s="49" t="s">
        <v>3283</v>
      </c>
      <c r="H63" s="48" t="s">
        <v>2948</v>
      </c>
      <c r="I63" s="50">
        <v>0.0</v>
      </c>
      <c r="J63" s="50">
        <v>1.0</v>
      </c>
      <c r="K63" s="50">
        <v>0.0</v>
      </c>
      <c r="L63" s="50">
        <v>0.0</v>
      </c>
      <c r="M63" s="50">
        <v>0.0</v>
      </c>
      <c r="N63" s="50">
        <v>0.0</v>
      </c>
      <c r="O63" s="50">
        <v>0.0</v>
      </c>
      <c r="P63" s="50">
        <v>0.0</v>
      </c>
      <c r="Q63" s="50">
        <v>0.0</v>
      </c>
      <c r="R63" s="48" t="s">
        <v>2948</v>
      </c>
      <c r="S63" s="50">
        <v>0.0</v>
      </c>
      <c r="T63" s="50">
        <v>1.0</v>
      </c>
      <c r="U63" s="50">
        <v>0.0</v>
      </c>
      <c r="V63" s="50">
        <v>0.0</v>
      </c>
      <c r="W63" s="50">
        <v>0.0</v>
      </c>
      <c r="X63" s="50">
        <v>0.0</v>
      </c>
      <c r="Y63" s="50">
        <v>0.0</v>
      </c>
      <c r="Z63" s="50">
        <v>0.0</v>
      </c>
      <c r="AA63" s="50">
        <v>0.0</v>
      </c>
      <c r="AB63" s="48" t="s">
        <v>999</v>
      </c>
      <c r="AC63" s="50">
        <v>0.0</v>
      </c>
      <c r="AD63" s="50">
        <v>0.0</v>
      </c>
      <c r="AE63" s="50">
        <v>0.0</v>
      </c>
      <c r="AF63" s="50">
        <v>0.0</v>
      </c>
      <c r="AG63" s="50">
        <v>0.0</v>
      </c>
      <c r="AH63" s="50">
        <v>0.0</v>
      </c>
      <c r="AI63" s="50">
        <v>0.0</v>
      </c>
      <c r="AJ63" s="50">
        <v>0.0</v>
      </c>
      <c r="AK63" s="50">
        <v>1.0</v>
      </c>
      <c r="AL63" s="48"/>
      <c r="AM63" s="48"/>
      <c r="AN63" s="50">
        <v>5.0</v>
      </c>
      <c r="AO63" s="48"/>
      <c r="AP63" s="48"/>
      <c r="AQ63" s="48"/>
      <c r="AR63" s="48"/>
      <c r="AS63" s="48"/>
      <c r="AT63" s="48"/>
      <c r="AU63" s="48"/>
      <c r="AV63" s="48"/>
      <c r="AW63" s="50">
        <v>5.0</v>
      </c>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50">
        <v>6.95632499E8</v>
      </c>
      <c r="CL63" s="48" t="s">
        <v>3284</v>
      </c>
      <c r="CM63" s="47">
        <v>46094.3765162037</v>
      </c>
      <c r="CN63" s="48"/>
      <c r="CO63" s="48"/>
      <c r="CP63" s="48" t="s">
        <v>1954</v>
      </c>
      <c r="CQ63" s="48"/>
      <c r="CR63" s="48" t="s">
        <v>3014</v>
      </c>
      <c r="CS63" s="48"/>
      <c r="CT63" s="48" t="s">
        <v>3285</v>
      </c>
      <c r="CU63" s="50">
        <v>62.0</v>
      </c>
    </row>
    <row r="64">
      <c r="A64" s="47">
        <v>46093.70142028936</v>
      </c>
      <c r="B64" s="47">
        <v>46094.66831120371</v>
      </c>
      <c r="C64" s="48" t="s">
        <v>3286</v>
      </c>
      <c r="D64" s="48" t="s">
        <v>3131</v>
      </c>
      <c r="E64" s="48" t="s">
        <v>3132</v>
      </c>
      <c r="F64" s="48" t="s">
        <v>3287</v>
      </c>
      <c r="G64" s="49" t="s">
        <v>3288</v>
      </c>
      <c r="H64" s="48" t="s">
        <v>2948</v>
      </c>
      <c r="I64" s="50">
        <v>0.0</v>
      </c>
      <c r="J64" s="50">
        <v>1.0</v>
      </c>
      <c r="K64" s="50">
        <v>0.0</v>
      </c>
      <c r="L64" s="50">
        <v>0.0</v>
      </c>
      <c r="M64" s="50">
        <v>0.0</v>
      </c>
      <c r="N64" s="50">
        <v>0.0</v>
      </c>
      <c r="O64" s="50">
        <v>0.0</v>
      </c>
      <c r="P64" s="50">
        <v>0.0</v>
      </c>
      <c r="Q64" s="50">
        <v>0.0</v>
      </c>
      <c r="R64" s="48" t="s">
        <v>2948</v>
      </c>
      <c r="S64" s="50">
        <v>0.0</v>
      </c>
      <c r="T64" s="50">
        <v>1.0</v>
      </c>
      <c r="U64" s="50">
        <v>0.0</v>
      </c>
      <c r="V64" s="50">
        <v>0.0</v>
      </c>
      <c r="W64" s="50">
        <v>0.0</v>
      </c>
      <c r="X64" s="50">
        <v>0.0</v>
      </c>
      <c r="Y64" s="50">
        <v>0.0</v>
      </c>
      <c r="Z64" s="50">
        <v>0.0</v>
      </c>
      <c r="AA64" s="50">
        <v>0.0</v>
      </c>
      <c r="AB64" s="48" t="s">
        <v>999</v>
      </c>
      <c r="AC64" s="50">
        <v>0.0</v>
      </c>
      <c r="AD64" s="50">
        <v>0.0</v>
      </c>
      <c r="AE64" s="50">
        <v>0.0</v>
      </c>
      <c r="AF64" s="50">
        <v>0.0</v>
      </c>
      <c r="AG64" s="50">
        <v>0.0</v>
      </c>
      <c r="AH64" s="50">
        <v>0.0</v>
      </c>
      <c r="AI64" s="50">
        <v>0.0</v>
      </c>
      <c r="AJ64" s="50">
        <v>0.0</v>
      </c>
      <c r="AK64" s="50">
        <v>1.0</v>
      </c>
      <c r="AL64" s="48"/>
      <c r="AM64" s="48"/>
      <c r="AN64" s="50">
        <v>3.0</v>
      </c>
      <c r="AO64" s="48"/>
      <c r="AP64" s="48"/>
      <c r="AQ64" s="48"/>
      <c r="AR64" s="48"/>
      <c r="AS64" s="48"/>
      <c r="AT64" s="48"/>
      <c r="AU64" s="48"/>
      <c r="AV64" s="48"/>
      <c r="AW64" s="50">
        <v>3.0</v>
      </c>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50">
        <v>6.95632645E8</v>
      </c>
      <c r="CL64" s="48" t="s">
        <v>3289</v>
      </c>
      <c r="CM64" s="47">
        <v>46094.37665509259</v>
      </c>
      <c r="CN64" s="48"/>
      <c r="CO64" s="48"/>
      <c r="CP64" s="48" t="s">
        <v>1954</v>
      </c>
      <c r="CQ64" s="48"/>
      <c r="CR64" s="48" t="s">
        <v>3014</v>
      </c>
      <c r="CS64" s="48"/>
      <c r="CT64" s="48" t="s">
        <v>3290</v>
      </c>
      <c r="CU64" s="50">
        <v>63.0</v>
      </c>
    </row>
    <row r="65">
      <c r="A65" s="47">
        <v>46093.70349712963</v>
      </c>
      <c r="B65" s="47">
        <v>46094.66840496528</v>
      </c>
      <c r="C65" s="48" t="s">
        <v>3291</v>
      </c>
      <c r="D65" s="48" t="s">
        <v>3131</v>
      </c>
      <c r="E65" s="48" t="s">
        <v>3132</v>
      </c>
      <c r="F65" s="48" t="s">
        <v>3223</v>
      </c>
      <c r="G65" s="49" t="s">
        <v>3292</v>
      </c>
      <c r="H65" s="48" t="s">
        <v>2948</v>
      </c>
      <c r="I65" s="50">
        <v>0.0</v>
      </c>
      <c r="J65" s="50">
        <v>1.0</v>
      </c>
      <c r="K65" s="50">
        <v>0.0</v>
      </c>
      <c r="L65" s="50">
        <v>0.0</v>
      </c>
      <c r="M65" s="50">
        <v>0.0</v>
      </c>
      <c r="N65" s="50">
        <v>0.0</v>
      </c>
      <c r="O65" s="50">
        <v>0.0</v>
      </c>
      <c r="P65" s="50">
        <v>0.0</v>
      </c>
      <c r="Q65" s="50">
        <v>0.0</v>
      </c>
      <c r="R65" s="48" t="s">
        <v>2948</v>
      </c>
      <c r="S65" s="50">
        <v>0.0</v>
      </c>
      <c r="T65" s="50">
        <v>1.0</v>
      </c>
      <c r="U65" s="50">
        <v>0.0</v>
      </c>
      <c r="V65" s="50">
        <v>0.0</v>
      </c>
      <c r="W65" s="50">
        <v>0.0</v>
      </c>
      <c r="X65" s="50">
        <v>0.0</v>
      </c>
      <c r="Y65" s="50">
        <v>0.0</v>
      </c>
      <c r="Z65" s="50">
        <v>0.0</v>
      </c>
      <c r="AA65" s="50">
        <v>0.0</v>
      </c>
      <c r="AB65" s="48" t="s">
        <v>999</v>
      </c>
      <c r="AC65" s="50">
        <v>0.0</v>
      </c>
      <c r="AD65" s="50">
        <v>0.0</v>
      </c>
      <c r="AE65" s="50">
        <v>0.0</v>
      </c>
      <c r="AF65" s="50">
        <v>0.0</v>
      </c>
      <c r="AG65" s="50">
        <v>0.0</v>
      </c>
      <c r="AH65" s="50">
        <v>0.0</v>
      </c>
      <c r="AI65" s="50">
        <v>0.0</v>
      </c>
      <c r="AJ65" s="50">
        <v>0.0</v>
      </c>
      <c r="AK65" s="50">
        <v>1.0</v>
      </c>
      <c r="AL65" s="48"/>
      <c r="AM65" s="48"/>
      <c r="AN65" s="50">
        <v>4.0</v>
      </c>
      <c r="AO65" s="48"/>
      <c r="AP65" s="48"/>
      <c r="AQ65" s="48"/>
      <c r="AR65" s="48"/>
      <c r="AS65" s="48"/>
      <c r="AT65" s="48"/>
      <c r="AU65" s="48"/>
      <c r="AV65" s="48"/>
      <c r="AW65" s="50">
        <v>4.0</v>
      </c>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50">
        <v>6.9563276E8</v>
      </c>
      <c r="CL65" s="48" t="s">
        <v>3293</v>
      </c>
      <c r="CM65" s="47">
        <v>46094.37673611111</v>
      </c>
      <c r="CN65" s="48"/>
      <c r="CO65" s="48"/>
      <c r="CP65" s="48" t="s">
        <v>1954</v>
      </c>
      <c r="CQ65" s="48"/>
      <c r="CR65" s="48" t="s">
        <v>3014</v>
      </c>
      <c r="CS65" s="48"/>
      <c r="CT65" s="48" t="s">
        <v>3294</v>
      </c>
      <c r="CU65" s="50">
        <v>64.0</v>
      </c>
    </row>
    <row r="66">
      <c r="A66" s="47">
        <v>46093.70499706019</v>
      </c>
      <c r="B66" s="47">
        <v>46094.66853905092</v>
      </c>
      <c r="C66" s="48" t="s">
        <v>3295</v>
      </c>
      <c r="D66" s="48" t="s">
        <v>3131</v>
      </c>
      <c r="E66" s="48" t="s">
        <v>3260</v>
      </c>
      <c r="F66" s="48" t="s">
        <v>3261</v>
      </c>
      <c r="G66" s="49" t="s">
        <v>3296</v>
      </c>
      <c r="H66" s="48" t="s">
        <v>2948</v>
      </c>
      <c r="I66" s="50">
        <v>0.0</v>
      </c>
      <c r="J66" s="50">
        <v>1.0</v>
      </c>
      <c r="K66" s="50">
        <v>0.0</v>
      </c>
      <c r="L66" s="50">
        <v>0.0</v>
      </c>
      <c r="M66" s="50">
        <v>0.0</v>
      </c>
      <c r="N66" s="50">
        <v>0.0</v>
      </c>
      <c r="O66" s="50">
        <v>0.0</v>
      </c>
      <c r="P66" s="50">
        <v>0.0</v>
      </c>
      <c r="Q66" s="50">
        <v>0.0</v>
      </c>
      <c r="R66" s="48" t="s">
        <v>2948</v>
      </c>
      <c r="S66" s="50">
        <v>0.0</v>
      </c>
      <c r="T66" s="50">
        <v>1.0</v>
      </c>
      <c r="U66" s="50">
        <v>0.0</v>
      </c>
      <c r="V66" s="50">
        <v>0.0</v>
      </c>
      <c r="W66" s="50">
        <v>0.0</v>
      </c>
      <c r="X66" s="50">
        <v>0.0</v>
      </c>
      <c r="Y66" s="50">
        <v>0.0</v>
      </c>
      <c r="Z66" s="50">
        <v>0.0</v>
      </c>
      <c r="AA66" s="50">
        <v>0.0</v>
      </c>
      <c r="AB66" s="48" t="s">
        <v>2948</v>
      </c>
      <c r="AC66" s="50">
        <v>0.0</v>
      </c>
      <c r="AD66" s="50">
        <v>1.0</v>
      </c>
      <c r="AE66" s="50">
        <v>0.0</v>
      </c>
      <c r="AF66" s="50">
        <v>0.0</v>
      </c>
      <c r="AG66" s="50">
        <v>0.0</v>
      </c>
      <c r="AH66" s="50">
        <v>0.0</v>
      </c>
      <c r="AI66" s="50">
        <v>0.0</v>
      </c>
      <c r="AJ66" s="50">
        <v>0.0</v>
      </c>
      <c r="AK66" s="50">
        <v>0.0</v>
      </c>
      <c r="AL66" s="48"/>
      <c r="AM66" s="48"/>
      <c r="AN66" s="50">
        <v>10.0</v>
      </c>
      <c r="AO66" s="48"/>
      <c r="AP66" s="48"/>
      <c r="AQ66" s="48"/>
      <c r="AR66" s="48"/>
      <c r="AS66" s="48"/>
      <c r="AT66" s="48"/>
      <c r="AU66" s="48"/>
      <c r="AV66" s="48"/>
      <c r="AW66" s="50">
        <v>6.0</v>
      </c>
      <c r="AX66" s="48"/>
      <c r="AY66" s="48"/>
      <c r="AZ66" s="48"/>
      <c r="BA66" s="48"/>
      <c r="BB66" s="48"/>
      <c r="BC66" s="48"/>
      <c r="BD66" s="48"/>
      <c r="BE66" s="48"/>
      <c r="BF66" s="48"/>
      <c r="BG66" s="48"/>
      <c r="BH66" s="50">
        <v>4.0</v>
      </c>
      <c r="BI66" s="50">
        <v>0.0</v>
      </c>
      <c r="BJ66" s="50">
        <v>0.0</v>
      </c>
      <c r="BK66" s="50">
        <v>0.0</v>
      </c>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50">
        <v>6.95632957E8</v>
      </c>
      <c r="CL66" s="48" t="s">
        <v>3297</v>
      </c>
      <c r="CM66" s="47">
        <v>46094.376875</v>
      </c>
      <c r="CN66" s="48"/>
      <c r="CO66" s="48"/>
      <c r="CP66" s="48" t="s">
        <v>1954</v>
      </c>
      <c r="CQ66" s="48"/>
      <c r="CR66" s="48" t="s">
        <v>3014</v>
      </c>
      <c r="CS66" s="48"/>
      <c r="CT66" s="48" t="s">
        <v>3298</v>
      </c>
      <c r="CU66" s="50">
        <v>65.0</v>
      </c>
    </row>
    <row r="67">
      <c r="A67" s="47">
        <v>46093.70690859954</v>
      </c>
      <c r="B67" s="47">
        <v>46094.66868018518</v>
      </c>
      <c r="C67" s="48" t="s">
        <v>3299</v>
      </c>
      <c r="D67" s="48" t="s">
        <v>3131</v>
      </c>
      <c r="E67" s="48" t="s">
        <v>3300</v>
      </c>
      <c r="F67" s="48" t="s">
        <v>3261</v>
      </c>
      <c r="G67" s="49" t="s">
        <v>3301</v>
      </c>
      <c r="H67" s="48" t="s">
        <v>2948</v>
      </c>
      <c r="I67" s="50">
        <v>0.0</v>
      </c>
      <c r="J67" s="50">
        <v>1.0</v>
      </c>
      <c r="K67" s="50">
        <v>0.0</v>
      </c>
      <c r="L67" s="50">
        <v>0.0</v>
      </c>
      <c r="M67" s="50">
        <v>0.0</v>
      </c>
      <c r="N67" s="50">
        <v>0.0</v>
      </c>
      <c r="O67" s="50">
        <v>0.0</v>
      </c>
      <c r="P67" s="50">
        <v>0.0</v>
      </c>
      <c r="Q67" s="50">
        <v>0.0</v>
      </c>
      <c r="R67" s="48" t="s">
        <v>2948</v>
      </c>
      <c r="S67" s="50">
        <v>0.0</v>
      </c>
      <c r="T67" s="50">
        <v>1.0</v>
      </c>
      <c r="U67" s="50">
        <v>0.0</v>
      </c>
      <c r="V67" s="50">
        <v>0.0</v>
      </c>
      <c r="W67" s="50">
        <v>0.0</v>
      </c>
      <c r="X67" s="50">
        <v>0.0</v>
      </c>
      <c r="Y67" s="50">
        <v>0.0</v>
      </c>
      <c r="Z67" s="50">
        <v>0.0</v>
      </c>
      <c r="AA67" s="50">
        <v>0.0</v>
      </c>
      <c r="AB67" s="48" t="s">
        <v>999</v>
      </c>
      <c r="AC67" s="50">
        <v>0.0</v>
      </c>
      <c r="AD67" s="50">
        <v>0.0</v>
      </c>
      <c r="AE67" s="50">
        <v>0.0</v>
      </c>
      <c r="AF67" s="50">
        <v>0.0</v>
      </c>
      <c r="AG67" s="50">
        <v>0.0</v>
      </c>
      <c r="AH67" s="50">
        <v>0.0</v>
      </c>
      <c r="AI67" s="50">
        <v>0.0</v>
      </c>
      <c r="AJ67" s="50">
        <v>0.0</v>
      </c>
      <c r="AK67" s="50">
        <v>1.0</v>
      </c>
      <c r="AL67" s="48"/>
      <c r="AM67" s="48"/>
      <c r="AN67" s="50">
        <v>11.0</v>
      </c>
      <c r="AO67" s="48"/>
      <c r="AP67" s="48"/>
      <c r="AQ67" s="48"/>
      <c r="AR67" s="48"/>
      <c r="AS67" s="48"/>
      <c r="AT67" s="48"/>
      <c r="AU67" s="48"/>
      <c r="AV67" s="48"/>
      <c r="AW67" s="50">
        <v>11.0</v>
      </c>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50">
        <v>6.95633151E8</v>
      </c>
      <c r="CL67" s="48" t="s">
        <v>3302</v>
      </c>
      <c r="CM67" s="47">
        <v>46094.37701388889</v>
      </c>
      <c r="CN67" s="48"/>
      <c r="CO67" s="48"/>
      <c r="CP67" s="48" t="s">
        <v>1954</v>
      </c>
      <c r="CQ67" s="48"/>
      <c r="CR67" s="48" t="s">
        <v>3014</v>
      </c>
      <c r="CS67" s="48"/>
      <c r="CT67" s="48" t="s">
        <v>3303</v>
      </c>
      <c r="CU67" s="50">
        <v>66.0</v>
      </c>
    </row>
    <row r="68">
      <c r="A68" s="47">
        <v>46093.70842922453</v>
      </c>
      <c r="B68" s="47">
        <v>46094.66881063658</v>
      </c>
      <c r="C68" s="48" t="s">
        <v>3304</v>
      </c>
      <c r="D68" s="48" t="s">
        <v>3131</v>
      </c>
      <c r="E68" s="48" t="s">
        <v>3260</v>
      </c>
      <c r="F68" s="48" t="s">
        <v>3261</v>
      </c>
      <c r="G68" s="49" t="s">
        <v>3305</v>
      </c>
      <c r="H68" s="48" t="s">
        <v>2949</v>
      </c>
      <c r="I68" s="50">
        <v>1.0</v>
      </c>
      <c r="J68" s="50">
        <v>1.0</v>
      </c>
      <c r="K68" s="50">
        <v>0.0</v>
      </c>
      <c r="L68" s="50">
        <v>0.0</v>
      </c>
      <c r="M68" s="50">
        <v>0.0</v>
      </c>
      <c r="N68" s="50">
        <v>0.0</v>
      </c>
      <c r="O68" s="50">
        <v>0.0</v>
      </c>
      <c r="P68" s="50">
        <v>0.0</v>
      </c>
      <c r="Q68" s="50">
        <v>0.0</v>
      </c>
      <c r="R68" s="48" t="s">
        <v>2949</v>
      </c>
      <c r="S68" s="50">
        <v>1.0</v>
      </c>
      <c r="T68" s="50">
        <v>1.0</v>
      </c>
      <c r="U68" s="50">
        <v>0.0</v>
      </c>
      <c r="V68" s="50">
        <v>0.0</v>
      </c>
      <c r="W68" s="50">
        <v>0.0</v>
      </c>
      <c r="X68" s="50">
        <v>0.0</v>
      </c>
      <c r="Y68" s="50">
        <v>0.0</v>
      </c>
      <c r="Z68" s="50">
        <v>0.0</v>
      </c>
      <c r="AA68" s="50">
        <v>0.0</v>
      </c>
      <c r="AB68" s="48" t="s">
        <v>999</v>
      </c>
      <c r="AC68" s="50">
        <v>0.0</v>
      </c>
      <c r="AD68" s="50">
        <v>0.0</v>
      </c>
      <c r="AE68" s="50">
        <v>0.0</v>
      </c>
      <c r="AF68" s="50">
        <v>0.0</v>
      </c>
      <c r="AG68" s="50">
        <v>0.0</v>
      </c>
      <c r="AH68" s="50">
        <v>0.0</v>
      </c>
      <c r="AI68" s="50">
        <v>0.0</v>
      </c>
      <c r="AJ68" s="50">
        <v>0.0</v>
      </c>
      <c r="AK68" s="50">
        <v>1.0</v>
      </c>
      <c r="AL68" s="48"/>
      <c r="AM68" s="50">
        <v>5.0</v>
      </c>
      <c r="AN68" s="50">
        <v>15.0</v>
      </c>
      <c r="AO68" s="48"/>
      <c r="AP68" s="48"/>
      <c r="AQ68" s="48"/>
      <c r="AR68" s="48"/>
      <c r="AS68" s="48"/>
      <c r="AT68" s="48"/>
      <c r="AU68" s="48"/>
      <c r="AV68" s="50">
        <v>5.0</v>
      </c>
      <c r="AW68" s="50">
        <v>15.0</v>
      </c>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50">
        <v>6.95633282E8</v>
      </c>
      <c r="CL68" s="48" t="s">
        <v>3306</v>
      </c>
      <c r="CM68" s="47">
        <v>46094.37715277778</v>
      </c>
      <c r="CN68" s="48"/>
      <c r="CO68" s="48"/>
      <c r="CP68" s="48" t="s">
        <v>1954</v>
      </c>
      <c r="CQ68" s="48"/>
      <c r="CR68" s="48" t="s">
        <v>3014</v>
      </c>
      <c r="CS68" s="48"/>
      <c r="CT68" s="48" t="s">
        <v>3307</v>
      </c>
      <c r="CU68" s="50">
        <v>67.0</v>
      </c>
    </row>
    <row r="69">
      <c r="A69" s="47">
        <v>46093.7103937963</v>
      </c>
      <c r="B69" s="47">
        <v>46094.66890605324</v>
      </c>
      <c r="C69" s="48" t="s">
        <v>3308</v>
      </c>
      <c r="D69" s="48" t="s">
        <v>3131</v>
      </c>
      <c r="E69" s="48" t="s">
        <v>3260</v>
      </c>
      <c r="F69" s="48" t="s">
        <v>3261</v>
      </c>
      <c r="G69" s="49" t="s">
        <v>3309</v>
      </c>
      <c r="H69" s="48" t="s">
        <v>2948</v>
      </c>
      <c r="I69" s="50">
        <v>0.0</v>
      </c>
      <c r="J69" s="50">
        <v>1.0</v>
      </c>
      <c r="K69" s="50">
        <v>0.0</v>
      </c>
      <c r="L69" s="50">
        <v>0.0</v>
      </c>
      <c r="M69" s="50">
        <v>0.0</v>
      </c>
      <c r="N69" s="50">
        <v>0.0</v>
      </c>
      <c r="O69" s="50">
        <v>0.0</v>
      </c>
      <c r="P69" s="50">
        <v>0.0</v>
      </c>
      <c r="Q69" s="50">
        <v>0.0</v>
      </c>
      <c r="R69" s="48" t="s">
        <v>2949</v>
      </c>
      <c r="S69" s="50">
        <v>1.0</v>
      </c>
      <c r="T69" s="50">
        <v>1.0</v>
      </c>
      <c r="U69" s="50">
        <v>0.0</v>
      </c>
      <c r="V69" s="50">
        <v>0.0</v>
      </c>
      <c r="W69" s="50">
        <v>0.0</v>
      </c>
      <c r="X69" s="50">
        <v>0.0</v>
      </c>
      <c r="Y69" s="50">
        <v>0.0</v>
      </c>
      <c r="Z69" s="50">
        <v>0.0</v>
      </c>
      <c r="AA69" s="50">
        <v>0.0</v>
      </c>
      <c r="AB69" s="48" t="s">
        <v>2947</v>
      </c>
      <c r="AC69" s="50">
        <v>1.0</v>
      </c>
      <c r="AD69" s="50">
        <v>0.0</v>
      </c>
      <c r="AE69" s="50">
        <v>0.0</v>
      </c>
      <c r="AF69" s="50">
        <v>0.0</v>
      </c>
      <c r="AG69" s="50">
        <v>0.0</v>
      </c>
      <c r="AH69" s="50">
        <v>0.0</v>
      </c>
      <c r="AI69" s="50">
        <v>0.0</v>
      </c>
      <c r="AJ69" s="50">
        <v>0.0</v>
      </c>
      <c r="AK69" s="50">
        <v>0.0</v>
      </c>
      <c r="AL69" s="48"/>
      <c r="AM69" s="48"/>
      <c r="AN69" s="50">
        <v>3.0</v>
      </c>
      <c r="AO69" s="48"/>
      <c r="AP69" s="48"/>
      <c r="AQ69" s="48"/>
      <c r="AR69" s="48"/>
      <c r="AS69" s="48"/>
      <c r="AT69" s="48"/>
      <c r="AU69" s="48"/>
      <c r="AV69" s="50">
        <v>2.0</v>
      </c>
      <c r="AW69" s="50">
        <v>3.0</v>
      </c>
      <c r="AX69" s="48"/>
      <c r="AY69" s="48"/>
      <c r="AZ69" s="48"/>
      <c r="BA69" s="48"/>
      <c r="BB69" s="48"/>
      <c r="BC69" s="48"/>
      <c r="BD69" s="50">
        <v>0.0</v>
      </c>
      <c r="BE69" s="50">
        <v>0.0</v>
      </c>
      <c r="BF69" s="50">
        <v>2.0</v>
      </c>
      <c r="BG69" s="50">
        <v>0.0</v>
      </c>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50">
        <v>6.95633399E8</v>
      </c>
      <c r="CL69" s="48" t="s">
        <v>3310</v>
      </c>
      <c r="CM69" s="47">
        <v>46094.37724537037</v>
      </c>
      <c r="CN69" s="48"/>
      <c r="CO69" s="48"/>
      <c r="CP69" s="48" t="s">
        <v>1954</v>
      </c>
      <c r="CQ69" s="48"/>
      <c r="CR69" s="48" t="s">
        <v>3014</v>
      </c>
      <c r="CS69" s="48"/>
      <c r="CT69" s="48" t="s">
        <v>3311</v>
      </c>
      <c r="CU69" s="50">
        <v>68.0</v>
      </c>
    </row>
    <row r="70">
      <c r="A70" s="47">
        <v>46093.71232873842</v>
      </c>
      <c r="B70" s="47">
        <v>46094.66905175926</v>
      </c>
      <c r="C70" s="48" t="s">
        <v>3312</v>
      </c>
      <c r="D70" s="48" t="s">
        <v>3131</v>
      </c>
      <c r="E70" s="48" t="s">
        <v>3260</v>
      </c>
      <c r="F70" s="48" t="s">
        <v>3261</v>
      </c>
      <c r="G70" s="49" t="s">
        <v>3313</v>
      </c>
      <c r="H70" s="48" t="s">
        <v>2949</v>
      </c>
      <c r="I70" s="50">
        <v>1.0</v>
      </c>
      <c r="J70" s="50">
        <v>1.0</v>
      </c>
      <c r="K70" s="50">
        <v>0.0</v>
      </c>
      <c r="L70" s="50">
        <v>0.0</v>
      </c>
      <c r="M70" s="50">
        <v>0.0</v>
      </c>
      <c r="N70" s="50">
        <v>0.0</v>
      </c>
      <c r="O70" s="50">
        <v>0.0</v>
      </c>
      <c r="P70" s="50">
        <v>0.0</v>
      </c>
      <c r="Q70" s="50">
        <v>0.0</v>
      </c>
      <c r="R70" s="48" t="s">
        <v>2949</v>
      </c>
      <c r="S70" s="50">
        <v>1.0</v>
      </c>
      <c r="T70" s="50">
        <v>1.0</v>
      </c>
      <c r="U70" s="50">
        <v>0.0</v>
      </c>
      <c r="V70" s="50">
        <v>0.0</v>
      </c>
      <c r="W70" s="50">
        <v>0.0</v>
      </c>
      <c r="X70" s="50">
        <v>0.0</v>
      </c>
      <c r="Y70" s="50">
        <v>0.0</v>
      </c>
      <c r="Z70" s="50">
        <v>0.0</v>
      </c>
      <c r="AA70" s="50">
        <v>0.0</v>
      </c>
      <c r="AB70" s="48" t="s">
        <v>999</v>
      </c>
      <c r="AC70" s="50">
        <v>0.0</v>
      </c>
      <c r="AD70" s="50">
        <v>0.0</v>
      </c>
      <c r="AE70" s="50">
        <v>0.0</v>
      </c>
      <c r="AF70" s="50">
        <v>0.0</v>
      </c>
      <c r="AG70" s="50">
        <v>0.0</v>
      </c>
      <c r="AH70" s="50">
        <v>0.0</v>
      </c>
      <c r="AI70" s="50">
        <v>0.0</v>
      </c>
      <c r="AJ70" s="50">
        <v>0.0</v>
      </c>
      <c r="AK70" s="50">
        <v>1.0</v>
      </c>
      <c r="AL70" s="48"/>
      <c r="AM70" s="50">
        <v>5.0</v>
      </c>
      <c r="AN70" s="50">
        <v>6.0</v>
      </c>
      <c r="AO70" s="48"/>
      <c r="AP70" s="48"/>
      <c r="AQ70" s="48"/>
      <c r="AR70" s="48"/>
      <c r="AS70" s="48"/>
      <c r="AT70" s="48"/>
      <c r="AU70" s="48"/>
      <c r="AV70" s="50">
        <v>5.0</v>
      </c>
      <c r="AW70" s="50">
        <v>6.0</v>
      </c>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50">
        <v>6.95633613E8</v>
      </c>
      <c r="CL70" s="48" t="s">
        <v>3314</v>
      </c>
      <c r="CM70" s="47">
        <v>46094.37738425926</v>
      </c>
      <c r="CN70" s="48"/>
      <c r="CO70" s="48"/>
      <c r="CP70" s="48" t="s">
        <v>1954</v>
      </c>
      <c r="CQ70" s="48"/>
      <c r="CR70" s="48" t="s">
        <v>3014</v>
      </c>
      <c r="CS70" s="48"/>
      <c r="CT70" s="48" t="s">
        <v>3315</v>
      </c>
      <c r="CU70" s="50">
        <v>69.0</v>
      </c>
    </row>
    <row r="71">
      <c r="A71" s="47">
        <v>46093.71387064815</v>
      </c>
      <c r="B71" s="47">
        <v>46094.6691682176</v>
      </c>
      <c r="C71" s="48" t="s">
        <v>3316</v>
      </c>
      <c r="D71" s="48" t="s">
        <v>3131</v>
      </c>
      <c r="E71" s="48" t="s">
        <v>3260</v>
      </c>
      <c r="F71" s="48" t="s">
        <v>3261</v>
      </c>
      <c r="G71" s="49" t="s">
        <v>3317</v>
      </c>
      <c r="H71" s="48" t="s">
        <v>2949</v>
      </c>
      <c r="I71" s="50">
        <v>1.0</v>
      </c>
      <c r="J71" s="50">
        <v>1.0</v>
      </c>
      <c r="K71" s="50">
        <v>0.0</v>
      </c>
      <c r="L71" s="50">
        <v>0.0</v>
      </c>
      <c r="M71" s="50">
        <v>0.0</v>
      </c>
      <c r="N71" s="50">
        <v>0.0</v>
      </c>
      <c r="O71" s="50">
        <v>0.0</v>
      </c>
      <c r="P71" s="50">
        <v>0.0</v>
      </c>
      <c r="Q71" s="50">
        <v>0.0</v>
      </c>
      <c r="R71" s="48" t="s">
        <v>2949</v>
      </c>
      <c r="S71" s="50">
        <v>1.0</v>
      </c>
      <c r="T71" s="50">
        <v>1.0</v>
      </c>
      <c r="U71" s="50">
        <v>0.0</v>
      </c>
      <c r="V71" s="50">
        <v>0.0</v>
      </c>
      <c r="W71" s="50">
        <v>0.0</v>
      </c>
      <c r="X71" s="50">
        <v>0.0</v>
      </c>
      <c r="Y71" s="50">
        <v>0.0</v>
      </c>
      <c r="Z71" s="50">
        <v>0.0</v>
      </c>
      <c r="AA71" s="50">
        <v>0.0</v>
      </c>
      <c r="AB71" s="48" t="s">
        <v>999</v>
      </c>
      <c r="AC71" s="50">
        <v>0.0</v>
      </c>
      <c r="AD71" s="50">
        <v>0.0</v>
      </c>
      <c r="AE71" s="50">
        <v>0.0</v>
      </c>
      <c r="AF71" s="50">
        <v>0.0</v>
      </c>
      <c r="AG71" s="50">
        <v>0.0</v>
      </c>
      <c r="AH71" s="50">
        <v>0.0</v>
      </c>
      <c r="AI71" s="50">
        <v>0.0</v>
      </c>
      <c r="AJ71" s="50">
        <v>0.0</v>
      </c>
      <c r="AK71" s="50">
        <v>1.0</v>
      </c>
      <c r="AL71" s="48"/>
      <c r="AM71" s="50">
        <v>3.0</v>
      </c>
      <c r="AN71" s="50">
        <v>4.0</v>
      </c>
      <c r="AO71" s="48"/>
      <c r="AP71" s="48"/>
      <c r="AQ71" s="48"/>
      <c r="AR71" s="48"/>
      <c r="AS71" s="48"/>
      <c r="AT71" s="48"/>
      <c r="AU71" s="48"/>
      <c r="AV71" s="50">
        <v>3.0</v>
      </c>
      <c r="AW71" s="50">
        <v>4.0</v>
      </c>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50">
        <v>6.95633752E8</v>
      </c>
      <c r="CL71" s="48" t="s">
        <v>3318</v>
      </c>
      <c r="CM71" s="47">
        <v>46094.3775</v>
      </c>
      <c r="CN71" s="48"/>
      <c r="CO71" s="48"/>
      <c r="CP71" s="48" t="s">
        <v>1954</v>
      </c>
      <c r="CQ71" s="48"/>
      <c r="CR71" s="48" t="s">
        <v>3014</v>
      </c>
      <c r="CS71" s="48"/>
      <c r="CT71" s="48" t="s">
        <v>3319</v>
      </c>
      <c r="CU71" s="50">
        <v>70.0</v>
      </c>
    </row>
    <row r="72">
      <c r="A72" s="47">
        <v>46093.71514880787</v>
      </c>
      <c r="B72" s="47">
        <v>46094.66937453704</v>
      </c>
      <c r="C72" s="48" t="s">
        <v>3320</v>
      </c>
      <c r="D72" s="48" t="s">
        <v>3131</v>
      </c>
      <c r="E72" s="48" t="s">
        <v>3260</v>
      </c>
      <c r="F72" s="48" t="s">
        <v>3261</v>
      </c>
      <c r="G72" s="49" t="s">
        <v>3321</v>
      </c>
      <c r="H72" s="48" t="s">
        <v>2948</v>
      </c>
      <c r="I72" s="50">
        <v>0.0</v>
      </c>
      <c r="J72" s="50">
        <v>1.0</v>
      </c>
      <c r="K72" s="50">
        <v>0.0</v>
      </c>
      <c r="L72" s="50">
        <v>0.0</v>
      </c>
      <c r="M72" s="50">
        <v>0.0</v>
      </c>
      <c r="N72" s="50">
        <v>0.0</v>
      </c>
      <c r="O72" s="50">
        <v>0.0</v>
      </c>
      <c r="P72" s="50">
        <v>0.0</v>
      </c>
      <c r="Q72" s="50">
        <v>0.0</v>
      </c>
      <c r="R72" s="48" t="s">
        <v>2948</v>
      </c>
      <c r="S72" s="50">
        <v>0.0</v>
      </c>
      <c r="T72" s="50">
        <v>1.0</v>
      </c>
      <c r="U72" s="50">
        <v>0.0</v>
      </c>
      <c r="V72" s="50">
        <v>0.0</v>
      </c>
      <c r="W72" s="50">
        <v>0.0</v>
      </c>
      <c r="X72" s="50">
        <v>0.0</v>
      </c>
      <c r="Y72" s="50">
        <v>0.0</v>
      </c>
      <c r="Z72" s="50">
        <v>0.0</v>
      </c>
      <c r="AA72" s="50">
        <v>0.0</v>
      </c>
      <c r="AB72" s="48" t="s">
        <v>999</v>
      </c>
      <c r="AC72" s="50">
        <v>0.0</v>
      </c>
      <c r="AD72" s="50">
        <v>0.0</v>
      </c>
      <c r="AE72" s="50">
        <v>0.0</v>
      </c>
      <c r="AF72" s="50">
        <v>0.0</v>
      </c>
      <c r="AG72" s="50">
        <v>0.0</v>
      </c>
      <c r="AH72" s="50">
        <v>0.0</v>
      </c>
      <c r="AI72" s="50">
        <v>0.0</v>
      </c>
      <c r="AJ72" s="50">
        <v>0.0</v>
      </c>
      <c r="AK72" s="50">
        <v>1.0</v>
      </c>
      <c r="AL72" s="48"/>
      <c r="AM72" s="48"/>
      <c r="AN72" s="50">
        <v>3.0</v>
      </c>
      <c r="AO72" s="48"/>
      <c r="AP72" s="48"/>
      <c r="AQ72" s="48"/>
      <c r="AR72" s="48"/>
      <c r="AS72" s="48"/>
      <c r="AT72" s="48"/>
      <c r="AU72" s="48"/>
      <c r="AV72" s="48"/>
      <c r="AW72" s="50">
        <v>3.0</v>
      </c>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50">
        <v>6.95633984E8</v>
      </c>
      <c r="CL72" s="48" t="s">
        <v>3322</v>
      </c>
      <c r="CM72" s="47">
        <v>46094.37770833333</v>
      </c>
      <c r="CN72" s="48"/>
      <c r="CO72" s="48"/>
      <c r="CP72" s="48" t="s">
        <v>1954</v>
      </c>
      <c r="CQ72" s="48"/>
      <c r="CR72" s="48" t="s">
        <v>3014</v>
      </c>
      <c r="CS72" s="48"/>
      <c r="CT72" s="48" t="s">
        <v>3323</v>
      </c>
      <c r="CU72" s="50">
        <v>71.0</v>
      </c>
    </row>
    <row r="73">
      <c r="A73" s="47">
        <v>46093.71609223379</v>
      </c>
      <c r="B73" s="47">
        <v>46094.66954444444</v>
      </c>
      <c r="C73" s="48" t="s">
        <v>3324</v>
      </c>
      <c r="D73" s="48" t="s">
        <v>3131</v>
      </c>
      <c r="E73" s="48" t="s">
        <v>3260</v>
      </c>
      <c r="F73" s="48" t="s">
        <v>3261</v>
      </c>
      <c r="G73" s="49" t="s">
        <v>3325</v>
      </c>
      <c r="H73" s="48" t="s">
        <v>2948</v>
      </c>
      <c r="I73" s="50">
        <v>0.0</v>
      </c>
      <c r="J73" s="50">
        <v>1.0</v>
      </c>
      <c r="K73" s="50">
        <v>0.0</v>
      </c>
      <c r="L73" s="50">
        <v>0.0</v>
      </c>
      <c r="M73" s="50">
        <v>0.0</v>
      </c>
      <c r="N73" s="50">
        <v>0.0</v>
      </c>
      <c r="O73" s="50">
        <v>0.0</v>
      </c>
      <c r="P73" s="50">
        <v>0.0</v>
      </c>
      <c r="Q73" s="50">
        <v>0.0</v>
      </c>
      <c r="R73" s="48" t="s">
        <v>2948</v>
      </c>
      <c r="S73" s="50">
        <v>0.0</v>
      </c>
      <c r="T73" s="50">
        <v>1.0</v>
      </c>
      <c r="U73" s="50">
        <v>0.0</v>
      </c>
      <c r="V73" s="50">
        <v>0.0</v>
      </c>
      <c r="W73" s="50">
        <v>0.0</v>
      </c>
      <c r="X73" s="50">
        <v>0.0</v>
      </c>
      <c r="Y73" s="50">
        <v>0.0</v>
      </c>
      <c r="Z73" s="50">
        <v>0.0</v>
      </c>
      <c r="AA73" s="50">
        <v>0.0</v>
      </c>
      <c r="AB73" s="48" t="s">
        <v>2948</v>
      </c>
      <c r="AC73" s="50">
        <v>0.0</v>
      </c>
      <c r="AD73" s="50">
        <v>1.0</v>
      </c>
      <c r="AE73" s="50">
        <v>0.0</v>
      </c>
      <c r="AF73" s="50">
        <v>0.0</v>
      </c>
      <c r="AG73" s="50">
        <v>0.0</v>
      </c>
      <c r="AH73" s="50">
        <v>0.0</v>
      </c>
      <c r="AI73" s="50">
        <v>0.0</v>
      </c>
      <c r="AJ73" s="50">
        <v>0.0</v>
      </c>
      <c r="AK73" s="50">
        <v>0.0</v>
      </c>
      <c r="AL73" s="48"/>
      <c r="AM73" s="48"/>
      <c r="AN73" s="50">
        <v>15.0</v>
      </c>
      <c r="AO73" s="48"/>
      <c r="AP73" s="48"/>
      <c r="AQ73" s="48"/>
      <c r="AR73" s="48"/>
      <c r="AS73" s="48"/>
      <c r="AT73" s="48"/>
      <c r="AU73" s="48"/>
      <c r="AV73" s="48"/>
      <c r="AW73" s="50">
        <v>3.0</v>
      </c>
      <c r="AX73" s="48"/>
      <c r="AY73" s="48"/>
      <c r="AZ73" s="48"/>
      <c r="BA73" s="48"/>
      <c r="BB73" s="48"/>
      <c r="BC73" s="48"/>
      <c r="BD73" s="48"/>
      <c r="BE73" s="48"/>
      <c r="BF73" s="48"/>
      <c r="BG73" s="48"/>
      <c r="BH73" s="50">
        <v>12.0</v>
      </c>
      <c r="BI73" s="50">
        <v>0.0</v>
      </c>
      <c r="BJ73" s="50">
        <v>0.0</v>
      </c>
      <c r="BK73" s="50">
        <v>0.0</v>
      </c>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50">
        <v>6.95634177E8</v>
      </c>
      <c r="CL73" s="48" t="s">
        <v>3326</v>
      </c>
      <c r="CM73" s="47">
        <v>46094.37788194444</v>
      </c>
      <c r="CN73" s="48"/>
      <c r="CO73" s="48"/>
      <c r="CP73" s="48" t="s">
        <v>1954</v>
      </c>
      <c r="CQ73" s="48"/>
      <c r="CR73" s="48" t="s">
        <v>3014</v>
      </c>
      <c r="CS73" s="48"/>
      <c r="CT73" s="48" t="s">
        <v>3327</v>
      </c>
      <c r="CU73" s="50">
        <v>72.0</v>
      </c>
    </row>
    <row r="74">
      <c r="A74" s="47">
        <v>46093.71777366898</v>
      </c>
      <c r="B74" s="47">
        <v>46094.66965732639</v>
      </c>
      <c r="C74" s="48" t="s">
        <v>3328</v>
      </c>
      <c r="D74" s="48" t="s">
        <v>3131</v>
      </c>
      <c r="E74" s="48" t="s">
        <v>3260</v>
      </c>
      <c r="F74" s="48" t="s">
        <v>3261</v>
      </c>
      <c r="G74" s="49" t="s">
        <v>3329</v>
      </c>
      <c r="H74" s="48" t="s">
        <v>2948</v>
      </c>
      <c r="I74" s="50">
        <v>0.0</v>
      </c>
      <c r="J74" s="50">
        <v>1.0</v>
      </c>
      <c r="K74" s="50">
        <v>0.0</v>
      </c>
      <c r="L74" s="50">
        <v>0.0</v>
      </c>
      <c r="M74" s="50">
        <v>0.0</v>
      </c>
      <c r="N74" s="50">
        <v>0.0</v>
      </c>
      <c r="O74" s="50">
        <v>0.0</v>
      </c>
      <c r="P74" s="50">
        <v>0.0</v>
      </c>
      <c r="Q74" s="50">
        <v>0.0</v>
      </c>
      <c r="R74" s="48" t="s">
        <v>2948</v>
      </c>
      <c r="S74" s="50">
        <v>0.0</v>
      </c>
      <c r="T74" s="50">
        <v>1.0</v>
      </c>
      <c r="U74" s="50">
        <v>0.0</v>
      </c>
      <c r="V74" s="50">
        <v>0.0</v>
      </c>
      <c r="W74" s="50">
        <v>0.0</v>
      </c>
      <c r="X74" s="50">
        <v>0.0</v>
      </c>
      <c r="Y74" s="50">
        <v>0.0</v>
      </c>
      <c r="Z74" s="50">
        <v>0.0</v>
      </c>
      <c r="AA74" s="50">
        <v>0.0</v>
      </c>
      <c r="AB74" s="48" t="s">
        <v>999</v>
      </c>
      <c r="AC74" s="50">
        <v>0.0</v>
      </c>
      <c r="AD74" s="50">
        <v>0.0</v>
      </c>
      <c r="AE74" s="50">
        <v>0.0</v>
      </c>
      <c r="AF74" s="50">
        <v>0.0</v>
      </c>
      <c r="AG74" s="50">
        <v>0.0</v>
      </c>
      <c r="AH74" s="50">
        <v>0.0</v>
      </c>
      <c r="AI74" s="50">
        <v>0.0</v>
      </c>
      <c r="AJ74" s="50">
        <v>0.0</v>
      </c>
      <c r="AK74" s="50">
        <v>1.0</v>
      </c>
      <c r="AL74" s="48"/>
      <c r="AM74" s="48"/>
      <c r="AN74" s="50">
        <v>6.0</v>
      </c>
      <c r="AO74" s="48"/>
      <c r="AP74" s="48"/>
      <c r="AQ74" s="48"/>
      <c r="AR74" s="48"/>
      <c r="AS74" s="48"/>
      <c r="AT74" s="48"/>
      <c r="AU74" s="48"/>
      <c r="AV74" s="48"/>
      <c r="AW74" s="50">
        <v>6.0</v>
      </c>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50">
        <v>6.95634311E8</v>
      </c>
      <c r="CL74" s="48" t="s">
        <v>3330</v>
      </c>
      <c r="CM74" s="47">
        <v>46094.37799768519</v>
      </c>
      <c r="CN74" s="48"/>
      <c r="CO74" s="48"/>
      <c r="CP74" s="48" t="s">
        <v>1954</v>
      </c>
      <c r="CQ74" s="48"/>
      <c r="CR74" s="48" t="s">
        <v>3014</v>
      </c>
      <c r="CS74" s="48"/>
      <c r="CT74" s="48" t="s">
        <v>3331</v>
      </c>
      <c r="CU74" s="50">
        <v>73.0</v>
      </c>
    </row>
    <row r="75">
      <c r="A75" s="47">
        <v>46094.86256796296</v>
      </c>
      <c r="B75" s="47">
        <v>46094.87096023148</v>
      </c>
      <c r="C75" s="48" t="s">
        <v>3332</v>
      </c>
      <c r="D75" s="48" t="s">
        <v>3201</v>
      </c>
      <c r="E75" s="48" t="s">
        <v>3333</v>
      </c>
      <c r="F75" s="48" t="s">
        <v>3334</v>
      </c>
      <c r="G75" s="49" t="s">
        <v>3335</v>
      </c>
      <c r="H75" s="48" t="s">
        <v>2948</v>
      </c>
      <c r="I75" s="50">
        <v>0.0</v>
      </c>
      <c r="J75" s="50">
        <v>1.0</v>
      </c>
      <c r="K75" s="50">
        <v>0.0</v>
      </c>
      <c r="L75" s="50">
        <v>0.0</v>
      </c>
      <c r="M75" s="50">
        <v>0.0</v>
      </c>
      <c r="N75" s="50">
        <v>0.0</v>
      </c>
      <c r="O75" s="50">
        <v>0.0</v>
      </c>
      <c r="P75" s="50">
        <v>0.0</v>
      </c>
      <c r="Q75" s="50">
        <v>0.0</v>
      </c>
      <c r="R75" s="48" t="s">
        <v>3336</v>
      </c>
      <c r="S75" s="50">
        <v>1.0</v>
      </c>
      <c r="T75" s="50">
        <v>0.0</v>
      </c>
      <c r="U75" s="50">
        <v>0.0</v>
      </c>
      <c r="V75" s="50">
        <v>0.0</v>
      </c>
      <c r="W75" s="50">
        <v>0.0</v>
      </c>
      <c r="X75" s="50">
        <v>1.0</v>
      </c>
      <c r="Y75" s="50">
        <v>0.0</v>
      </c>
      <c r="Z75" s="50">
        <v>0.0</v>
      </c>
      <c r="AA75" s="50">
        <v>0.0</v>
      </c>
      <c r="AB75" s="48" t="s">
        <v>3336</v>
      </c>
      <c r="AC75" s="50">
        <v>1.0</v>
      </c>
      <c r="AD75" s="50">
        <v>0.0</v>
      </c>
      <c r="AE75" s="50">
        <v>0.0</v>
      </c>
      <c r="AF75" s="50">
        <v>0.0</v>
      </c>
      <c r="AG75" s="50">
        <v>0.0</v>
      </c>
      <c r="AH75" s="50">
        <v>1.0</v>
      </c>
      <c r="AI75" s="50">
        <v>0.0</v>
      </c>
      <c r="AJ75" s="50">
        <v>0.0</v>
      </c>
      <c r="AK75" s="50">
        <v>0.0</v>
      </c>
      <c r="AL75" s="48"/>
      <c r="AM75" s="48"/>
      <c r="AN75" s="50">
        <v>2.0</v>
      </c>
      <c r="AO75" s="48"/>
      <c r="AP75" s="48"/>
      <c r="AQ75" s="48"/>
      <c r="AR75" s="48"/>
      <c r="AS75" s="48"/>
      <c r="AT75" s="48"/>
      <c r="AU75" s="48"/>
      <c r="AV75" s="50">
        <v>1.0</v>
      </c>
      <c r="AW75" s="48"/>
      <c r="AX75" s="48"/>
      <c r="AY75" s="48"/>
      <c r="AZ75" s="48"/>
      <c r="BA75" s="50">
        <v>8.0</v>
      </c>
      <c r="BB75" s="48"/>
      <c r="BC75" s="48"/>
      <c r="BD75" s="50">
        <v>1.0</v>
      </c>
      <c r="BE75" s="50">
        <v>1.0</v>
      </c>
      <c r="BF75" s="50">
        <v>0.0</v>
      </c>
      <c r="BG75" s="50">
        <v>0.0</v>
      </c>
      <c r="BH75" s="48"/>
      <c r="BI75" s="48"/>
      <c r="BJ75" s="48"/>
      <c r="BK75" s="48"/>
      <c r="BL75" s="48"/>
      <c r="BM75" s="48"/>
      <c r="BN75" s="48"/>
      <c r="BO75" s="48"/>
      <c r="BP75" s="48"/>
      <c r="BQ75" s="48"/>
      <c r="BR75" s="48"/>
      <c r="BS75" s="48"/>
      <c r="BT75" s="48"/>
      <c r="BU75" s="48"/>
      <c r="BV75" s="48"/>
      <c r="BW75" s="48"/>
      <c r="BX75" s="50">
        <v>4.0</v>
      </c>
      <c r="BY75" s="50">
        <v>0.0</v>
      </c>
      <c r="BZ75" s="50">
        <v>6.0</v>
      </c>
      <c r="CA75" s="50">
        <v>2.0</v>
      </c>
      <c r="CB75" s="48"/>
      <c r="CC75" s="48"/>
      <c r="CD75" s="48"/>
      <c r="CE75" s="48"/>
      <c r="CF75" s="48"/>
      <c r="CG75" s="48"/>
      <c r="CH75" s="48"/>
      <c r="CI75" s="48"/>
      <c r="CJ75" s="48"/>
      <c r="CK75" s="50">
        <v>6.95891092E8</v>
      </c>
      <c r="CL75" s="48" t="s">
        <v>3337</v>
      </c>
      <c r="CM75" s="47">
        <v>46094.57931712963</v>
      </c>
      <c r="CN75" s="48"/>
      <c r="CO75" s="48"/>
      <c r="CP75" s="48" t="s">
        <v>1954</v>
      </c>
      <c r="CQ75" s="48"/>
      <c r="CR75" s="48" t="s">
        <v>3014</v>
      </c>
      <c r="CS75" s="48"/>
      <c r="CT75" s="48" t="s">
        <v>3338</v>
      </c>
      <c r="CU75" s="50">
        <v>74.0</v>
      </c>
    </row>
    <row r="76">
      <c r="A76" s="47">
        <v>46094.87096085648</v>
      </c>
      <c r="B76" s="47">
        <v>46094.87537788194</v>
      </c>
      <c r="C76" s="48" t="s">
        <v>3339</v>
      </c>
      <c r="D76" s="48" t="s">
        <v>3201</v>
      </c>
      <c r="E76" s="48" t="s">
        <v>3333</v>
      </c>
      <c r="F76" s="48" t="s">
        <v>3340</v>
      </c>
      <c r="G76" s="49" t="s">
        <v>3341</v>
      </c>
      <c r="H76" s="48" t="s">
        <v>2947</v>
      </c>
      <c r="I76" s="50">
        <v>1.0</v>
      </c>
      <c r="J76" s="50">
        <v>0.0</v>
      </c>
      <c r="K76" s="50">
        <v>0.0</v>
      </c>
      <c r="L76" s="50">
        <v>0.0</v>
      </c>
      <c r="M76" s="50">
        <v>0.0</v>
      </c>
      <c r="N76" s="50">
        <v>0.0</v>
      </c>
      <c r="O76" s="50">
        <v>0.0</v>
      </c>
      <c r="P76" s="50">
        <v>0.0</v>
      </c>
      <c r="Q76" s="50">
        <v>0.0</v>
      </c>
      <c r="R76" s="48" t="s">
        <v>2947</v>
      </c>
      <c r="S76" s="50">
        <v>1.0</v>
      </c>
      <c r="T76" s="50">
        <v>0.0</v>
      </c>
      <c r="U76" s="50">
        <v>0.0</v>
      </c>
      <c r="V76" s="50">
        <v>0.0</v>
      </c>
      <c r="W76" s="50">
        <v>0.0</v>
      </c>
      <c r="X76" s="50">
        <v>0.0</v>
      </c>
      <c r="Y76" s="50">
        <v>0.0</v>
      </c>
      <c r="Z76" s="50">
        <v>0.0</v>
      </c>
      <c r="AA76" s="50">
        <v>0.0</v>
      </c>
      <c r="AB76" s="48" t="s">
        <v>999</v>
      </c>
      <c r="AC76" s="50">
        <v>0.0</v>
      </c>
      <c r="AD76" s="50">
        <v>0.0</v>
      </c>
      <c r="AE76" s="50">
        <v>0.0</v>
      </c>
      <c r="AF76" s="50">
        <v>0.0</v>
      </c>
      <c r="AG76" s="50">
        <v>0.0</v>
      </c>
      <c r="AH76" s="50">
        <v>0.0</v>
      </c>
      <c r="AI76" s="50">
        <v>0.0</v>
      </c>
      <c r="AJ76" s="50">
        <v>0.0</v>
      </c>
      <c r="AK76" s="50">
        <v>1.0</v>
      </c>
      <c r="AL76" s="48"/>
      <c r="AM76" s="50">
        <v>7.0</v>
      </c>
      <c r="AN76" s="48"/>
      <c r="AO76" s="48"/>
      <c r="AP76" s="48"/>
      <c r="AQ76" s="48"/>
      <c r="AR76" s="48"/>
      <c r="AS76" s="48"/>
      <c r="AT76" s="48"/>
      <c r="AU76" s="48"/>
      <c r="AV76" s="50">
        <v>2.0</v>
      </c>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50">
        <v>6.95897549E8</v>
      </c>
      <c r="CL76" s="48" t="s">
        <v>3342</v>
      </c>
      <c r="CM76" s="47">
        <v>46094.58371527777</v>
      </c>
      <c r="CN76" s="48"/>
      <c r="CO76" s="48"/>
      <c r="CP76" s="48" t="s">
        <v>1954</v>
      </c>
      <c r="CQ76" s="48"/>
      <c r="CR76" s="48" t="s">
        <v>3014</v>
      </c>
      <c r="CS76" s="48"/>
      <c r="CT76" s="48" t="s">
        <v>3343</v>
      </c>
      <c r="CU76" s="50">
        <v>75.0</v>
      </c>
    </row>
    <row r="77">
      <c r="A77" s="47">
        <v>46094.87537821759</v>
      </c>
      <c r="B77" s="47">
        <v>46094.87805831018</v>
      </c>
      <c r="C77" s="48" t="s">
        <v>3344</v>
      </c>
      <c r="D77" s="48" t="s">
        <v>3201</v>
      </c>
      <c r="E77" s="48" t="s">
        <v>3333</v>
      </c>
      <c r="F77" s="48" t="s">
        <v>3334</v>
      </c>
      <c r="G77" s="49" t="s">
        <v>3345</v>
      </c>
      <c r="H77" s="48" t="s">
        <v>2947</v>
      </c>
      <c r="I77" s="50">
        <v>1.0</v>
      </c>
      <c r="J77" s="50">
        <v>0.0</v>
      </c>
      <c r="K77" s="50">
        <v>0.0</v>
      </c>
      <c r="L77" s="50">
        <v>0.0</v>
      </c>
      <c r="M77" s="50">
        <v>0.0</v>
      </c>
      <c r="N77" s="50">
        <v>0.0</v>
      </c>
      <c r="O77" s="50">
        <v>0.0</v>
      </c>
      <c r="P77" s="50">
        <v>0.0</v>
      </c>
      <c r="Q77" s="50">
        <v>0.0</v>
      </c>
      <c r="R77" s="48" t="s">
        <v>2947</v>
      </c>
      <c r="S77" s="50">
        <v>1.0</v>
      </c>
      <c r="T77" s="50">
        <v>0.0</v>
      </c>
      <c r="U77" s="50">
        <v>0.0</v>
      </c>
      <c r="V77" s="50">
        <v>0.0</v>
      </c>
      <c r="W77" s="50">
        <v>0.0</v>
      </c>
      <c r="X77" s="50">
        <v>0.0</v>
      </c>
      <c r="Y77" s="50">
        <v>0.0</v>
      </c>
      <c r="Z77" s="50">
        <v>0.0</v>
      </c>
      <c r="AA77" s="50">
        <v>0.0</v>
      </c>
      <c r="AB77" s="48" t="s">
        <v>2947</v>
      </c>
      <c r="AC77" s="50">
        <v>1.0</v>
      </c>
      <c r="AD77" s="50">
        <v>0.0</v>
      </c>
      <c r="AE77" s="50">
        <v>0.0</v>
      </c>
      <c r="AF77" s="50">
        <v>0.0</v>
      </c>
      <c r="AG77" s="50">
        <v>0.0</v>
      </c>
      <c r="AH77" s="50">
        <v>0.0</v>
      </c>
      <c r="AI77" s="50">
        <v>0.0</v>
      </c>
      <c r="AJ77" s="50">
        <v>0.0</v>
      </c>
      <c r="AK77" s="50">
        <v>0.0</v>
      </c>
      <c r="AL77" s="48"/>
      <c r="AM77" s="50">
        <v>2.0</v>
      </c>
      <c r="AN77" s="48"/>
      <c r="AO77" s="48"/>
      <c r="AP77" s="48"/>
      <c r="AQ77" s="48"/>
      <c r="AR77" s="48"/>
      <c r="AS77" s="48"/>
      <c r="AT77" s="48"/>
      <c r="AU77" s="48"/>
      <c r="AV77" s="50">
        <v>5.0</v>
      </c>
      <c r="AW77" s="48"/>
      <c r="AX77" s="48"/>
      <c r="AY77" s="48"/>
      <c r="AZ77" s="48"/>
      <c r="BA77" s="48"/>
      <c r="BB77" s="48"/>
      <c r="BC77" s="48"/>
      <c r="BD77" s="50">
        <v>1.0</v>
      </c>
      <c r="BE77" s="50">
        <v>0.0</v>
      </c>
      <c r="BF77" s="50">
        <v>0.0</v>
      </c>
      <c r="BG77" s="50">
        <v>0.0</v>
      </c>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50">
        <v>6.95901317E8</v>
      </c>
      <c r="CL77" s="48" t="s">
        <v>3346</v>
      </c>
      <c r="CM77" s="47">
        <v>46094.58638888889</v>
      </c>
      <c r="CN77" s="48"/>
      <c r="CO77" s="48"/>
      <c r="CP77" s="48" t="s">
        <v>1954</v>
      </c>
      <c r="CQ77" s="48"/>
      <c r="CR77" s="48" t="s">
        <v>3014</v>
      </c>
      <c r="CS77" s="48"/>
      <c r="CT77" s="48" t="s">
        <v>3347</v>
      </c>
      <c r="CU77" s="50">
        <v>76.0</v>
      </c>
    </row>
    <row r="78">
      <c r="A78" s="47">
        <v>46094.87805863426</v>
      </c>
      <c r="B78" s="47">
        <v>46094.8801660301</v>
      </c>
      <c r="C78" s="48" t="s">
        <v>3348</v>
      </c>
      <c r="D78" s="48" t="s">
        <v>3201</v>
      </c>
      <c r="E78" s="48" t="s">
        <v>3333</v>
      </c>
      <c r="F78" s="48" t="s">
        <v>3349</v>
      </c>
      <c r="G78" s="49" t="s">
        <v>3350</v>
      </c>
      <c r="H78" s="48" t="s">
        <v>2947</v>
      </c>
      <c r="I78" s="50">
        <v>1.0</v>
      </c>
      <c r="J78" s="50">
        <v>0.0</v>
      </c>
      <c r="K78" s="50">
        <v>0.0</v>
      </c>
      <c r="L78" s="50">
        <v>0.0</v>
      </c>
      <c r="M78" s="50">
        <v>0.0</v>
      </c>
      <c r="N78" s="50">
        <v>0.0</v>
      </c>
      <c r="O78" s="50">
        <v>0.0</v>
      </c>
      <c r="P78" s="50">
        <v>0.0</v>
      </c>
      <c r="Q78" s="50">
        <v>0.0</v>
      </c>
      <c r="R78" s="48" t="s">
        <v>2947</v>
      </c>
      <c r="S78" s="50">
        <v>1.0</v>
      </c>
      <c r="T78" s="50">
        <v>0.0</v>
      </c>
      <c r="U78" s="50">
        <v>0.0</v>
      </c>
      <c r="V78" s="50">
        <v>0.0</v>
      </c>
      <c r="W78" s="50">
        <v>0.0</v>
      </c>
      <c r="X78" s="50">
        <v>0.0</v>
      </c>
      <c r="Y78" s="50">
        <v>0.0</v>
      </c>
      <c r="Z78" s="50">
        <v>0.0</v>
      </c>
      <c r="AA78" s="50">
        <v>0.0</v>
      </c>
      <c r="AB78" s="48" t="s">
        <v>999</v>
      </c>
      <c r="AC78" s="50">
        <v>0.0</v>
      </c>
      <c r="AD78" s="50">
        <v>0.0</v>
      </c>
      <c r="AE78" s="50">
        <v>0.0</v>
      </c>
      <c r="AF78" s="50">
        <v>0.0</v>
      </c>
      <c r="AG78" s="50">
        <v>0.0</v>
      </c>
      <c r="AH78" s="50">
        <v>0.0</v>
      </c>
      <c r="AI78" s="50">
        <v>0.0</v>
      </c>
      <c r="AJ78" s="50">
        <v>0.0</v>
      </c>
      <c r="AK78" s="50">
        <v>1.0</v>
      </c>
      <c r="AL78" s="48"/>
      <c r="AM78" s="50">
        <v>5.0</v>
      </c>
      <c r="AN78" s="48"/>
      <c r="AO78" s="48"/>
      <c r="AP78" s="48"/>
      <c r="AQ78" s="48"/>
      <c r="AR78" s="48"/>
      <c r="AS78" s="48"/>
      <c r="AT78" s="48"/>
      <c r="AU78" s="48"/>
      <c r="AV78" s="50">
        <v>4.0</v>
      </c>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t="s">
        <v>3351</v>
      </c>
      <c r="CK78" s="50">
        <v>6.95904735E8</v>
      </c>
      <c r="CL78" s="48" t="s">
        <v>3352</v>
      </c>
      <c r="CM78" s="47">
        <v>46094.58849537037</v>
      </c>
      <c r="CN78" s="48"/>
      <c r="CO78" s="48"/>
      <c r="CP78" s="48" t="s">
        <v>1954</v>
      </c>
      <c r="CQ78" s="48"/>
      <c r="CR78" s="48" t="s">
        <v>3014</v>
      </c>
      <c r="CS78" s="48"/>
      <c r="CT78" s="48" t="s">
        <v>3353</v>
      </c>
      <c r="CU78" s="50">
        <v>77.0</v>
      </c>
    </row>
    <row r="79">
      <c r="A79" s="47">
        <v>46094.88016635417</v>
      </c>
      <c r="B79" s="47">
        <v>46094.88337519676</v>
      </c>
      <c r="C79" s="48" t="s">
        <v>3354</v>
      </c>
      <c r="D79" s="48" t="s">
        <v>3201</v>
      </c>
      <c r="E79" s="48" t="s">
        <v>3333</v>
      </c>
      <c r="F79" s="48" t="s">
        <v>3349</v>
      </c>
      <c r="G79" s="49" t="s">
        <v>3355</v>
      </c>
      <c r="H79" s="48" t="s">
        <v>2947</v>
      </c>
      <c r="I79" s="50">
        <v>1.0</v>
      </c>
      <c r="J79" s="50">
        <v>0.0</v>
      </c>
      <c r="K79" s="50">
        <v>0.0</v>
      </c>
      <c r="L79" s="50">
        <v>0.0</v>
      </c>
      <c r="M79" s="50">
        <v>0.0</v>
      </c>
      <c r="N79" s="50">
        <v>0.0</v>
      </c>
      <c r="O79" s="50">
        <v>0.0</v>
      </c>
      <c r="P79" s="50">
        <v>0.0</v>
      </c>
      <c r="Q79" s="50">
        <v>0.0</v>
      </c>
      <c r="R79" s="48" t="s">
        <v>3336</v>
      </c>
      <c r="S79" s="50">
        <v>1.0</v>
      </c>
      <c r="T79" s="50">
        <v>0.0</v>
      </c>
      <c r="U79" s="50">
        <v>0.0</v>
      </c>
      <c r="V79" s="50">
        <v>0.0</v>
      </c>
      <c r="W79" s="50">
        <v>0.0</v>
      </c>
      <c r="X79" s="50">
        <v>1.0</v>
      </c>
      <c r="Y79" s="50">
        <v>0.0</v>
      </c>
      <c r="Z79" s="50">
        <v>0.0</v>
      </c>
      <c r="AA79" s="50">
        <v>0.0</v>
      </c>
      <c r="AB79" s="48" t="s">
        <v>3336</v>
      </c>
      <c r="AC79" s="50">
        <v>1.0</v>
      </c>
      <c r="AD79" s="50">
        <v>0.0</v>
      </c>
      <c r="AE79" s="50">
        <v>0.0</v>
      </c>
      <c r="AF79" s="50">
        <v>0.0</v>
      </c>
      <c r="AG79" s="50">
        <v>0.0</v>
      </c>
      <c r="AH79" s="50">
        <v>1.0</v>
      </c>
      <c r="AI79" s="50">
        <v>0.0</v>
      </c>
      <c r="AJ79" s="50">
        <v>0.0</v>
      </c>
      <c r="AK79" s="50">
        <v>0.0</v>
      </c>
      <c r="AL79" s="48"/>
      <c r="AM79" s="50">
        <v>3.0</v>
      </c>
      <c r="AN79" s="48"/>
      <c r="AO79" s="48"/>
      <c r="AP79" s="48"/>
      <c r="AQ79" s="48"/>
      <c r="AR79" s="48"/>
      <c r="AS79" s="48"/>
      <c r="AT79" s="48"/>
      <c r="AU79" s="48"/>
      <c r="AV79" s="50">
        <v>2.0</v>
      </c>
      <c r="AW79" s="48"/>
      <c r="AX79" s="48"/>
      <c r="AY79" s="48"/>
      <c r="AZ79" s="48"/>
      <c r="BA79" s="50">
        <v>4.0</v>
      </c>
      <c r="BB79" s="48"/>
      <c r="BC79" s="48"/>
      <c r="BD79" s="50">
        <v>0.0</v>
      </c>
      <c r="BE79" s="50">
        <v>1.0</v>
      </c>
      <c r="BF79" s="50">
        <v>1.0</v>
      </c>
      <c r="BG79" s="50">
        <v>0.0</v>
      </c>
      <c r="BH79" s="48"/>
      <c r="BI79" s="48"/>
      <c r="BJ79" s="48"/>
      <c r="BK79" s="48"/>
      <c r="BL79" s="48"/>
      <c r="BM79" s="48"/>
      <c r="BN79" s="48"/>
      <c r="BO79" s="48"/>
      <c r="BP79" s="48"/>
      <c r="BQ79" s="48"/>
      <c r="BR79" s="48"/>
      <c r="BS79" s="48"/>
      <c r="BT79" s="48"/>
      <c r="BU79" s="48"/>
      <c r="BV79" s="48"/>
      <c r="BW79" s="48"/>
      <c r="BX79" s="50">
        <v>0.0</v>
      </c>
      <c r="BY79" s="50">
        <v>0.0</v>
      </c>
      <c r="BZ79" s="50">
        <v>2.0</v>
      </c>
      <c r="CA79" s="50">
        <v>0.0</v>
      </c>
      <c r="CB79" s="48"/>
      <c r="CC79" s="48"/>
      <c r="CD79" s="48"/>
      <c r="CE79" s="48"/>
      <c r="CF79" s="48"/>
      <c r="CG79" s="48"/>
      <c r="CH79" s="48"/>
      <c r="CI79" s="48"/>
      <c r="CJ79" s="48"/>
      <c r="CK79" s="50">
        <v>6.95909327E8</v>
      </c>
      <c r="CL79" s="48" t="s">
        <v>3356</v>
      </c>
      <c r="CM79" s="47">
        <v>46094.59173611111</v>
      </c>
      <c r="CN79" s="48"/>
      <c r="CO79" s="48"/>
      <c r="CP79" s="48" t="s">
        <v>1954</v>
      </c>
      <c r="CQ79" s="48"/>
      <c r="CR79" s="48" t="s">
        <v>3014</v>
      </c>
      <c r="CS79" s="48"/>
      <c r="CT79" s="48" t="s">
        <v>3357</v>
      </c>
      <c r="CU79" s="50">
        <v>78.0</v>
      </c>
    </row>
    <row r="80">
      <c r="A80" s="47">
        <v>46094.88337555555</v>
      </c>
      <c r="B80" s="47">
        <v>46094.88649498842</v>
      </c>
      <c r="C80" s="48" t="s">
        <v>3358</v>
      </c>
      <c r="D80" s="48" t="s">
        <v>3201</v>
      </c>
      <c r="E80" s="48" t="s">
        <v>3333</v>
      </c>
      <c r="F80" s="48" t="s">
        <v>3349</v>
      </c>
      <c r="G80" s="49" t="s">
        <v>3359</v>
      </c>
      <c r="H80" s="48" t="s">
        <v>2947</v>
      </c>
      <c r="I80" s="50">
        <v>1.0</v>
      </c>
      <c r="J80" s="50">
        <v>0.0</v>
      </c>
      <c r="K80" s="50">
        <v>0.0</v>
      </c>
      <c r="L80" s="50">
        <v>0.0</v>
      </c>
      <c r="M80" s="50">
        <v>0.0</v>
      </c>
      <c r="N80" s="50">
        <v>0.0</v>
      </c>
      <c r="O80" s="50">
        <v>0.0</v>
      </c>
      <c r="P80" s="50">
        <v>0.0</v>
      </c>
      <c r="Q80" s="50">
        <v>0.0</v>
      </c>
      <c r="R80" s="48" t="s">
        <v>999</v>
      </c>
      <c r="S80" s="50">
        <v>0.0</v>
      </c>
      <c r="T80" s="50">
        <v>0.0</v>
      </c>
      <c r="U80" s="50">
        <v>0.0</v>
      </c>
      <c r="V80" s="50">
        <v>0.0</v>
      </c>
      <c r="W80" s="50">
        <v>0.0</v>
      </c>
      <c r="X80" s="50">
        <v>0.0</v>
      </c>
      <c r="Y80" s="50">
        <v>0.0</v>
      </c>
      <c r="Z80" s="50">
        <v>0.0</v>
      </c>
      <c r="AA80" s="50">
        <v>1.0</v>
      </c>
      <c r="AB80" s="48" t="s">
        <v>999</v>
      </c>
      <c r="AC80" s="50">
        <v>0.0</v>
      </c>
      <c r="AD80" s="50">
        <v>0.0</v>
      </c>
      <c r="AE80" s="50">
        <v>0.0</v>
      </c>
      <c r="AF80" s="50">
        <v>0.0</v>
      </c>
      <c r="AG80" s="50">
        <v>0.0</v>
      </c>
      <c r="AH80" s="50">
        <v>0.0</v>
      </c>
      <c r="AI80" s="50">
        <v>0.0</v>
      </c>
      <c r="AJ80" s="50">
        <v>0.0</v>
      </c>
      <c r="AK80" s="50">
        <v>1.0</v>
      </c>
      <c r="AL80" s="48"/>
      <c r="AM80" s="50">
        <v>4.0</v>
      </c>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t="s">
        <v>3360</v>
      </c>
      <c r="CK80" s="50">
        <v>6.95913749E8</v>
      </c>
      <c r="CL80" s="48" t="s">
        <v>3361</v>
      </c>
      <c r="CM80" s="47">
        <v>46094.59486111111</v>
      </c>
      <c r="CN80" s="48"/>
      <c r="CO80" s="48"/>
      <c r="CP80" s="48" t="s">
        <v>1954</v>
      </c>
      <c r="CQ80" s="48"/>
      <c r="CR80" s="48" t="s">
        <v>3014</v>
      </c>
      <c r="CS80" s="48"/>
      <c r="CT80" s="48" t="s">
        <v>3362</v>
      </c>
      <c r="CU80" s="50">
        <v>79.0</v>
      </c>
    </row>
    <row r="81">
      <c r="A81" s="47">
        <v>46094.88649557871</v>
      </c>
      <c r="B81" s="47">
        <v>46094.88840033565</v>
      </c>
      <c r="C81" s="48" t="s">
        <v>3363</v>
      </c>
      <c r="D81" s="48" t="s">
        <v>3201</v>
      </c>
      <c r="E81" s="48" t="s">
        <v>3333</v>
      </c>
      <c r="F81" s="48" t="s">
        <v>3349</v>
      </c>
      <c r="G81" s="49" t="s">
        <v>3364</v>
      </c>
      <c r="H81" s="48" t="s">
        <v>2948</v>
      </c>
      <c r="I81" s="50">
        <v>0.0</v>
      </c>
      <c r="J81" s="50">
        <v>1.0</v>
      </c>
      <c r="K81" s="50">
        <v>0.0</v>
      </c>
      <c r="L81" s="50">
        <v>0.0</v>
      </c>
      <c r="M81" s="50">
        <v>0.0</v>
      </c>
      <c r="N81" s="50">
        <v>0.0</v>
      </c>
      <c r="O81" s="50">
        <v>0.0</v>
      </c>
      <c r="P81" s="50">
        <v>0.0</v>
      </c>
      <c r="Q81" s="50">
        <v>0.0</v>
      </c>
      <c r="R81" s="48" t="s">
        <v>2948</v>
      </c>
      <c r="S81" s="50">
        <v>0.0</v>
      </c>
      <c r="T81" s="50">
        <v>1.0</v>
      </c>
      <c r="U81" s="50">
        <v>0.0</v>
      </c>
      <c r="V81" s="50">
        <v>0.0</v>
      </c>
      <c r="W81" s="50">
        <v>0.0</v>
      </c>
      <c r="X81" s="50">
        <v>0.0</v>
      </c>
      <c r="Y81" s="50">
        <v>0.0</v>
      </c>
      <c r="Z81" s="50">
        <v>0.0</v>
      </c>
      <c r="AA81" s="50">
        <v>0.0</v>
      </c>
      <c r="AB81" s="48" t="s">
        <v>2948</v>
      </c>
      <c r="AC81" s="50">
        <v>0.0</v>
      </c>
      <c r="AD81" s="50">
        <v>1.0</v>
      </c>
      <c r="AE81" s="50">
        <v>0.0</v>
      </c>
      <c r="AF81" s="50">
        <v>0.0</v>
      </c>
      <c r="AG81" s="50">
        <v>0.0</v>
      </c>
      <c r="AH81" s="50">
        <v>0.0</v>
      </c>
      <c r="AI81" s="50">
        <v>0.0</v>
      </c>
      <c r="AJ81" s="50">
        <v>0.0</v>
      </c>
      <c r="AK81" s="50">
        <v>0.0</v>
      </c>
      <c r="AL81" s="48"/>
      <c r="AM81" s="48"/>
      <c r="AN81" s="50">
        <v>4.0</v>
      </c>
      <c r="AO81" s="48"/>
      <c r="AP81" s="48"/>
      <c r="AQ81" s="48"/>
      <c r="AR81" s="48"/>
      <c r="AS81" s="48"/>
      <c r="AT81" s="48"/>
      <c r="AU81" s="48"/>
      <c r="AV81" s="48"/>
      <c r="AW81" s="50">
        <v>3.0</v>
      </c>
      <c r="AX81" s="48"/>
      <c r="AY81" s="48"/>
      <c r="AZ81" s="48"/>
      <c r="BA81" s="48"/>
      <c r="BB81" s="48"/>
      <c r="BC81" s="48"/>
      <c r="BD81" s="48"/>
      <c r="BE81" s="48"/>
      <c r="BF81" s="48"/>
      <c r="BG81" s="48"/>
      <c r="BH81" s="50">
        <v>0.0</v>
      </c>
      <c r="BI81" s="50">
        <v>0.0</v>
      </c>
      <c r="BJ81" s="50">
        <v>1.0</v>
      </c>
      <c r="BK81" s="50">
        <v>0.0</v>
      </c>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50">
        <v>6.95916702E8</v>
      </c>
      <c r="CL81" s="48" t="s">
        <v>3365</v>
      </c>
      <c r="CM81" s="47">
        <v>46094.59673611111</v>
      </c>
      <c r="CN81" s="48"/>
      <c r="CO81" s="48"/>
      <c r="CP81" s="48" t="s">
        <v>1954</v>
      </c>
      <c r="CQ81" s="48"/>
      <c r="CR81" s="48" t="s">
        <v>3014</v>
      </c>
      <c r="CS81" s="48"/>
      <c r="CT81" s="48" t="s">
        <v>3366</v>
      </c>
      <c r="CU81" s="50">
        <v>80.0</v>
      </c>
    </row>
    <row r="82">
      <c r="A82" s="47">
        <v>46094.88840072916</v>
      </c>
      <c r="B82" s="47">
        <v>46094.89127961805</v>
      </c>
      <c r="C82" s="48" t="s">
        <v>3367</v>
      </c>
      <c r="D82" s="48" t="s">
        <v>3201</v>
      </c>
      <c r="E82" s="48" t="s">
        <v>3333</v>
      </c>
      <c r="F82" s="48" t="s">
        <v>3349</v>
      </c>
      <c r="G82" s="49" t="s">
        <v>3368</v>
      </c>
      <c r="H82" s="48" t="s">
        <v>2947</v>
      </c>
      <c r="I82" s="50">
        <v>1.0</v>
      </c>
      <c r="J82" s="50">
        <v>0.0</v>
      </c>
      <c r="K82" s="50">
        <v>0.0</v>
      </c>
      <c r="L82" s="50">
        <v>0.0</v>
      </c>
      <c r="M82" s="50">
        <v>0.0</v>
      </c>
      <c r="N82" s="50">
        <v>0.0</v>
      </c>
      <c r="O82" s="50">
        <v>0.0</v>
      </c>
      <c r="P82" s="50">
        <v>0.0</v>
      </c>
      <c r="Q82" s="50">
        <v>0.0</v>
      </c>
      <c r="R82" s="48" t="s">
        <v>3369</v>
      </c>
      <c r="S82" s="50">
        <v>1.0</v>
      </c>
      <c r="T82" s="50">
        <v>0.0</v>
      </c>
      <c r="U82" s="50">
        <v>0.0</v>
      </c>
      <c r="V82" s="50">
        <v>0.0</v>
      </c>
      <c r="W82" s="50">
        <v>0.0</v>
      </c>
      <c r="X82" s="50">
        <v>0.0</v>
      </c>
      <c r="Y82" s="50">
        <v>1.0</v>
      </c>
      <c r="Z82" s="50">
        <v>0.0</v>
      </c>
      <c r="AA82" s="50">
        <v>0.0</v>
      </c>
      <c r="AB82" s="48" t="s">
        <v>3369</v>
      </c>
      <c r="AC82" s="50">
        <v>1.0</v>
      </c>
      <c r="AD82" s="50">
        <v>0.0</v>
      </c>
      <c r="AE82" s="50">
        <v>0.0</v>
      </c>
      <c r="AF82" s="50">
        <v>0.0</v>
      </c>
      <c r="AG82" s="50">
        <v>0.0</v>
      </c>
      <c r="AH82" s="50">
        <v>0.0</v>
      </c>
      <c r="AI82" s="50">
        <v>1.0</v>
      </c>
      <c r="AJ82" s="50">
        <v>0.0</v>
      </c>
      <c r="AK82" s="50">
        <v>0.0</v>
      </c>
      <c r="AL82" s="48"/>
      <c r="AM82" s="50">
        <v>3.0</v>
      </c>
      <c r="AN82" s="48"/>
      <c r="AO82" s="48"/>
      <c r="AP82" s="48"/>
      <c r="AQ82" s="48"/>
      <c r="AR82" s="48"/>
      <c r="AS82" s="48"/>
      <c r="AT82" s="48"/>
      <c r="AU82" s="48"/>
      <c r="AV82" s="50">
        <v>2.0</v>
      </c>
      <c r="AW82" s="48"/>
      <c r="AX82" s="48"/>
      <c r="AY82" s="48"/>
      <c r="AZ82" s="48"/>
      <c r="BA82" s="48"/>
      <c r="BB82" s="50">
        <v>10.0</v>
      </c>
      <c r="BC82" s="48"/>
      <c r="BD82" s="50">
        <v>0.0</v>
      </c>
      <c r="BE82" s="50">
        <v>1.0</v>
      </c>
      <c r="BF82" s="50">
        <v>0.0</v>
      </c>
      <c r="BG82" s="50">
        <v>0.0</v>
      </c>
      <c r="BH82" s="48"/>
      <c r="BI82" s="48"/>
      <c r="BJ82" s="48"/>
      <c r="BK82" s="48"/>
      <c r="BL82" s="48"/>
      <c r="BM82" s="48"/>
      <c r="BN82" s="48"/>
      <c r="BO82" s="48"/>
      <c r="BP82" s="48"/>
      <c r="BQ82" s="48"/>
      <c r="BR82" s="48"/>
      <c r="BS82" s="48"/>
      <c r="BT82" s="48"/>
      <c r="BU82" s="48"/>
      <c r="BV82" s="48"/>
      <c r="BW82" s="48"/>
      <c r="BX82" s="48"/>
      <c r="BY82" s="48"/>
      <c r="BZ82" s="48"/>
      <c r="CA82" s="48"/>
      <c r="CB82" s="50">
        <v>3.0</v>
      </c>
      <c r="CC82" s="50">
        <v>0.0</v>
      </c>
      <c r="CD82" s="50">
        <v>5.0</v>
      </c>
      <c r="CE82" s="50">
        <v>0.0</v>
      </c>
      <c r="CF82" s="48"/>
      <c r="CG82" s="48"/>
      <c r="CH82" s="48"/>
      <c r="CI82" s="48"/>
      <c r="CJ82" s="48"/>
      <c r="CK82" s="50">
        <v>6.9592061E8</v>
      </c>
      <c r="CL82" s="48" t="s">
        <v>3370</v>
      </c>
      <c r="CM82" s="47">
        <v>46094.59960648148</v>
      </c>
      <c r="CN82" s="48"/>
      <c r="CO82" s="48"/>
      <c r="CP82" s="48" t="s">
        <v>1954</v>
      </c>
      <c r="CQ82" s="48"/>
      <c r="CR82" s="48" t="s">
        <v>3014</v>
      </c>
      <c r="CS82" s="48"/>
      <c r="CT82" s="48" t="s">
        <v>3371</v>
      </c>
      <c r="CU82" s="50">
        <v>81.0</v>
      </c>
    </row>
    <row r="83">
      <c r="A83" s="47">
        <v>46094.89127998843</v>
      </c>
      <c r="B83" s="47">
        <v>46094.89322335648</v>
      </c>
      <c r="C83" s="48" t="s">
        <v>3372</v>
      </c>
      <c r="D83" s="48" t="s">
        <v>3201</v>
      </c>
      <c r="E83" s="48" t="s">
        <v>3333</v>
      </c>
      <c r="F83" s="48" t="s">
        <v>3349</v>
      </c>
      <c r="G83" s="49" t="s">
        <v>3373</v>
      </c>
      <c r="H83" s="48" t="s">
        <v>2947</v>
      </c>
      <c r="I83" s="50">
        <v>1.0</v>
      </c>
      <c r="J83" s="50">
        <v>0.0</v>
      </c>
      <c r="K83" s="50">
        <v>0.0</v>
      </c>
      <c r="L83" s="50">
        <v>0.0</v>
      </c>
      <c r="M83" s="50">
        <v>0.0</v>
      </c>
      <c r="N83" s="50">
        <v>0.0</v>
      </c>
      <c r="O83" s="50">
        <v>0.0</v>
      </c>
      <c r="P83" s="50">
        <v>0.0</v>
      </c>
      <c r="Q83" s="50">
        <v>0.0</v>
      </c>
      <c r="R83" s="48" t="s">
        <v>2947</v>
      </c>
      <c r="S83" s="50">
        <v>1.0</v>
      </c>
      <c r="T83" s="50">
        <v>0.0</v>
      </c>
      <c r="U83" s="50">
        <v>0.0</v>
      </c>
      <c r="V83" s="50">
        <v>0.0</v>
      </c>
      <c r="W83" s="50">
        <v>0.0</v>
      </c>
      <c r="X83" s="50">
        <v>0.0</v>
      </c>
      <c r="Y83" s="50">
        <v>0.0</v>
      </c>
      <c r="Z83" s="50">
        <v>0.0</v>
      </c>
      <c r="AA83" s="50">
        <v>0.0</v>
      </c>
      <c r="AB83" s="48" t="s">
        <v>999</v>
      </c>
      <c r="AC83" s="50">
        <v>0.0</v>
      </c>
      <c r="AD83" s="50">
        <v>0.0</v>
      </c>
      <c r="AE83" s="50">
        <v>0.0</v>
      </c>
      <c r="AF83" s="50">
        <v>0.0</v>
      </c>
      <c r="AG83" s="50">
        <v>0.0</v>
      </c>
      <c r="AH83" s="50">
        <v>0.0</v>
      </c>
      <c r="AI83" s="50">
        <v>0.0</v>
      </c>
      <c r="AJ83" s="50">
        <v>0.0</v>
      </c>
      <c r="AK83" s="50">
        <v>1.0</v>
      </c>
      <c r="AL83" s="48"/>
      <c r="AM83" s="50">
        <v>5.0</v>
      </c>
      <c r="AN83" s="48"/>
      <c r="AO83" s="48"/>
      <c r="AP83" s="48"/>
      <c r="AQ83" s="48"/>
      <c r="AR83" s="48"/>
      <c r="AS83" s="48"/>
      <c r="AT83" s="48"/>
      <c r="AU83" s="48"/>
      <c r="AV83" s="50">
        <v>2.0</v>
      </c>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50">
        <v>6.95923275E8</v>
      </c>
      <c r="CL83" s="48" t="s">
        <v>3374</v>
      </c>
      <c r="CM83" s="47">
        <v>46094.60155092592</v>
      </c>
      <c r="CN83" s="48"/>
      <c r="CO83" s="48"/>
      <c r="CP83" s="48" t="s">
        <v>1954</v>
      </c>
      <c r="CQ83" s="48"/>
      <c r="CR83" s="48" t="s">
        <v>3014</v>
      </c>
      <c r="CS83" s="48"/>
      <c r="CT83" s="48" t="s">
        <v>3375</v>
      </c>
      <c r="CU83" s="50">
        <v>82.0</v>
      </c>
    </row>
    <row r="84">
      <c r="A84" s="47">
        <v>46094.89322376157</v>
      </c>
      <c r="B84" s="47">
        <v>46094.89564321759</v>
      </c>
      <c r="C84" s="48" t="s">
        <v>3376</v>
      </c>
      <c r="D84" s="48" t="s">
        <v>3201</v>
      </c>
      <c r="E84" s="48" t="s">
        <v>3333</v>
      </c>
      <c r="F84" s="48" t="s">
        <v>3349</v>
      </c>
      <c r="G84" s="49" t="s">
        <v>3377</v>
      </c>
      <c r="H84" s="48" t="s">
        <v>2948</v>
      </c>
      <c r="I84" s="50">
        <v>0.0</v>
      </c>
      <c r="J84" s="50">
        <v>1.0</v>
      </c>
      <c r="K84" s="50">
        <v>0.0</v>
      </c>
      <c r="L84" s="50">
        <v>0.0</v>
      </c>
      <c r="M84" s="50">
        <v>0.0</v>
      </c>
      <c r="N84" s="50">
        <v>0.0</v>
      </c>
      <c r="O84" s="50">
        <v>0.0</v>
      </c>
      <c r="P84" s="50">
        <v>0.0</v>
      </c>
      <c r="Q84" s="50">
        <v>0.0</v>
      </c>
      <c r="R84" s="48" t="s">
        <v>2948</v>
      </c>
      <c r="S84" s="50">
        <v>0.0</v>
      </c>
      <c r="T84" s="50">
        <v>1.0</v>
      </c>
      <c r="U84" s="50">
        <v>0.0</v>
      </c>
      <c r="V84" s="50">
        <v>0.0</v>
      </c>
      <c r="W84" s="50">
        <v>0.0</v>
      </c>
      <c r="X84" s="50">
        <v>0.0</v>
      </c>
      <c r="Y84" s="50">
        <v>0.0</v>
      </c>
      <c r="Z84" s="50">
        <v>0.0</v>
      </c>
      <c r="AA84" s="50">
        <v>0.0</v>
      </c>
      <c r="AB84" s="48" t="s">
        <v>2948</v>
      </c>
      <c r="AC84" s="50">
        <v>0.0</v>
      </c>
      <c r="AD84" s="50">
        <v>1.0</v>
      </c>
      <c r="AE84" s="50">
        <v>0.0</v>
      </c>
      <c r="AF84" s="50">
        <v>0.0</v>
      </c>
      <c r="AG84" s="50">
        <v>0.0</v>
      </c>
      <c r="AH84" s="50">
        <v>0.0</v>
      </c>
      <c r="AI84" s="50">
        <v>0.0</v>
      </c>
      <c r="AJ84" s="50">
        <v>0.0</v>
      </c>
      <c r="AK84" s="50">
        <v>0.0</v>
      </c>
      <c r="AL84" s="48"/>
      <c r="AM84" s="48"/>
      <c r="AN84" s="50">
        <v>4.0</v>
      </c>
      <c r="AO84" s="48"/>
      <c r="AP84" s="48"/>
      <c r="AQ84" s="48"/>
      <c r="AR84" s="48"/>
      <c r="AS84" s="48"/>
      <c r="AT84" s="48"/>
      <c r="AU84" s="48"/>
      <c r="AV84" s="48"/>
      <c r="AW84" s="50">
        <v>3.0</v>
      </c>
      <c r="AX84" s="48"/>
      <c r="AY84" s="48"/>
      <c r="AZ84" s="48"/>
      <c r="BA84" s="48"/>
      <c r="BB84" s="48"/>
      <c r="BC84" s="48"/>
      <c r="BD84" s="48"/>
      <c r="BE84" s="48"/>
      <c r="BF84" s="48"/>
      <c r="BG84" s="48"/>
      <c r="BH84" s="50">
        <v>0.0</v>
      </c>
      <c r="BI84" s="50">
        <v>0.0</v>
      </c>
      <c r="BJ84" s="50">
        <v>1.0</v>
      </c>
      <c r="BK84" s="50">
        <v>0.0</v>
      </c>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50">
        <v>6.95926407E8</v>
      </c>
      <c r="CL84" s="48" t="s">
        <v>3378</v>
      </c>
      <c r="CM84" s="47">
        <v>46094.60396990741</v>
      </c>
      <c r="CN84" s="48"/>
      <c r="CO84" s="48"/>
      <c r="CP84" s="48" t="s">
        <v>1954</v>
      </c>
      <c r="CQ84" s="48"/>
      <c r="CR84" s="48" t="s">
        <v>3014</v>
      </c>
      <c r="CS84" s="48"/>
      <c r="CT84" s="48" t="s">
        <v>3379</v>
      </c>
      <c r="CU84" s="50">
        <v>83.0</v>
      </c>
    </row>
    <row r="85">
      <c r="A85" s="47">
        <v>46094.89564363426</v>
      </c>
      <c r="B85" s="47">
        <v>46094.89743488426</v>
      </c>
      <c r="C85" s="48" t="s">
        <v>3380</v>
      </c>
      <c r="D85" s="48" t="s">
        <v>3201</v>
      </c>
      <c r="E85" s="48" t="s">
        <v>3333</v>
      </c>
      <c r="F85" s="48" t="s">
        <v>3349</v>
      </c>
      <c r="G85" s="49" t="s">
        <v>3381</v>
      </c>
      <c r="H85" s="48" t="s">
        <v>2948</v>
      </c>
      <c r="I85" s="50">
        <v>0.0</v>
      </c>
      <c r="J85" s="50">
        <v>1.0</v>
      </c>
      <c r="K85" s="50">
        <v>0.0</v>
      </c>
      <c r="L85" s="50">
        <v>0.0</v>
      </c>
      <c r="M85" s="50">
        <v>0.0</v>
      </c>
      <c r="N85" s="50">
        <v>0.0</v>
      </c>
      <c r="O85" s="50">
        <v>0.0</v>
      </c>
      <c r="P85" s="50">
        <v>0.0</v>
      </c>
      <c r="Q85" s="50">
        <v>0.0</v>
      </c>
      <c r="R85" s="48" t="s">
        <v>2948</v>
      </c>
      <c r="S85" s="50">
        <v>0.0</v>
      </c>
      <c r="T85" s="50">
        <v>1.0</v>
      </c>
      <c r="U85" s="50">
        <v>0.0</v>
      </c>
      <c r="V85" s="50">
        <v>0.0</v>
      </c>
      <c r="W85" s="50">
        <v>0.0</v>
      </c>
      <c r="X85" s="50">
        <v>0.0</v>
      </c>
      <c r="Y85" s="50">
        <v>0.0</v>
      </c>
      <c r="Z85" s="50">
        <v>0.0</v>
      </c>
      <c r="AA85" s="50">
        <v>0.0</v>
      </c>
      <c r="AB85" s="48" t="s">
        <v>2948</v>
      </c>
      <c r="AC85" s="50">
        <v>0.0</v>
      </c>
      <c r="AD85" s="50">
        <v>1.0</v>
      </c>
      <c r="AE85" s="50">
        <v>0.0</v>
      </c>
      <c r="AF85" s="50">
        <v>0.0</v>
      </c>
      <c r="AG85" s="50">
        <v>0.0</v>
      </c>
      <c r="AH85" s="50">
        <v>0.0</v>
      </c>
      <c r="AI85" s="50">
        <v>0.0</v>
      </c>
      <c r="AJ85" s="50">
        <v>0.0</v>
      </c>
      <c r="AK85" s="50">
        <v>0.0</v>
      </c>
      <c r="AL85" s="48"/>
      <c r="AM85" s="48"/>
      <c r="AN85" s="50">
        <v>9.0</v>
      </c>
      <c r="AO85" s="48"/>
      <c r="AP85" s="48"/>
      <c r="AQ85" s="48"/>
      <c r="AR85" s="48"/>
      <c r="AS85" s="48"/>
      <c r="AT85" s="48"/>
      <c r="AU85" s="48"/>
      <c r="AV85" s="48"/>
      <c r="AW85" s="50">
        <v>10.0</v>
      </c>
      <c r="AX85" s="48"/>
      <c r="AY85" s="48"/>
      <c r="AZ85" s="48"/>
      <c r="BA85" s="48"/>
      <c r="BB85" s="48"/>
      <c r="BC85" s="48"/>
      <c r="BD85" s="48"/>
      <c r="BE85" s="48"/>
      <c r="BF85" s="48"/>
      <c r="BG85" s="48"/>
      <c r="BH85" s="50">
        <v>1.0</v>
      </c>
      <c r="BI85" s="50">
        <v>0.0</v>
      </c>
      <c r="BJ85" s="50">
        <v>1.0</v>
      </c>
      <c r="BK85" s="50">
        <v>0.0</v>
      </c>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50">
        <v>6.95928821E8</v>
      </c>
      <c r="CL85" s="48" t="s">
        <v>3382</v>
      </c>
      <c r="CM85" s="47">
        <v>46094.60576388889</v>
      </c>
      <c r="CN85" s="48"/>
      <c r="CO85" s="48"/>
      <c r="CP85" s="48" t="s">
        <v>1954</v>
      </c>
      <c r="CQ85" s="48"/>
      <c r="CR85" s="48" t="s">
        <v>3014</v>
      </c>
      <c r="CS85" s="48"/>
      <c r="CT85" s="48" t="s">
        <v>3383</v>
      </c>
      <c r="CU85" s="50">
        <v>84.0</v>
      </c>
    </row>
    <row r="86">
      <c r="A86" s="47">
        <v>46094.89743530093</v>
      </c>
      <c r="B86" s="47">
        <v>46094.89867427084</v>
      </c>
      <c r="C86" s="48" t="s">
        <v>3384</v>
      </c>
      <c r="D86" s="48" t="s">
        <v>3201</v>
      </c>
      <c r="E86" s="48" t="s">
        <v>3333</v>
      </c>
      <c r="F86" s="48" t="s">
        <v>3349</v>
      </c>
      <c r="G86" s="49" t="s">
        <v>3385</v>
      </c>
      <c r="H86" s="48" t="s">
        <v>2948</v>
      </c>
      <c r="I86" s="50">
        <v>0.0</v>
      </c>
      <c r="J86" s="50">
        <v>1.0</v>
      </c>
      <c r="K86" s="50">
        <v>0.0</v>
      </c>
      <c r="L86" s="50">
        <v>0.0</v>
      </c>
      <c r="M86" s="50">
        <v>0.0</v>
      </c>
      <c r="N86" s="50">
        <v>0.0</v>
      </c>
      <c r="O86" s="50">
        <v>0.0</v>
      </c>
      <c r="P86" s="50">
        <v>0.0</v>
      </c>
      <c r="Q86" s="50">
        <v>0.0</v>
      </c>
      <c r="R86" s="48" t="s">
        <v>2948</v>
      </c>
      <c r="S86" s="50">
        <v>0.0</v>
      </c>
      <c r="T86" s="50">
        <v>1.0</v>
      </c>
      <c r="U86" s="50">
        <v>0.0</v>
      </c>
      <c r="V86" s="50">
        <v>0.0</v>
      </c>
      <c r="W86" s="50">
        <v>0.0</v>
      </c>
      <c r="X86" s="50">
        <v>0.0</v>
      </c>
      <c r="Y86" s="50">
        <v>0.0</v>
      </c>
      <c r="Z86" s="50">
        <v>0.0</v>
      </c>
      <c r="AA86" s="50">
        <v>0.0</v>
      </c>
      <c r="AB86" s="48" t="s">
        <v>2948</v>
      </c>
      <c r="AC86" s="50">
        <v>0.0</v>
      </c>
      <c r="AD86" s="50">
        <v>1.0</v>
      </c>
      <c r="AE86" s="50">
        <v>0.0</v>
      </c>
      <c r="AF86" s="50">
        <v>0.0</v>
      </c>
      <c r="AG86" s="50">
        <v>0.0</v>
      </c>
      <c r="AH86" s="50">
        <v>0.0</v>
      </c>
      <c r="AI86" s="50">
        <v>0.0</v>
      </c>
      <c r="AJ86" s="50">
        <v>0.0</v>
      </c>
      <c r="AK86" s="50">
        <v>0.0</v>
      </c>
      <c r="AL86" s="48"/>
      <c r="AM86" s="48"/>
      <c r="AN86" s="50">
        <v>4.0</v>
      </c>
      <c r="AO86" s="48"/>
      <c r="AP86" s="48"/>
      <c r="AQ86" s="48"/>
      <c r="AR86" s="48"/>
      <c r="AS86" s="48"/>
      <c r="AT86" s="48"/>
      <c r="AU86" s="48"/>
      <c r="AV86" s="48"/>
      <c r="AW86" s="50">
        <v>7.0</v>
      </c>
      <c r="AX86" s="48"/>
      <c r="AY86" s="48"/>
      <c r="AZ86" s="48"/>
      <c r="BA86" s="48"/>
      <c r="BB86" s="48"/>
      <c r="BC86" s="48"/>
      <c r="BD86" s="48"/>
      <c r="BE86" s="48"/>
      <c r="BF86" s="48"/>
      <c r="BG86" s="48"/>
      <c r="BH86" s="50">
        <v>0.0</v>
      </c>
      <c r="BI86" s="50">
        <v>0.0</v>
      </c>
      <c r="BJ86" s="50">
        <v>2.0</v>
      </c>
      <c r="BK86" s="50">
        <v>0.0</v>
      </c>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50">
        <v>6.95930294E8</v>
      </c>
      <c r="CL86" s="48" t="s">
        <v>3386</v>
      </c>
      <c r="CM86" s="47">
        <v>46094.60701388889</v>
      </c>
      <c r="CN86" s="48"/>
      <c r="CO86" s="48"/>
      <c r="CP86" s="48" t="s">
        <v>1954</v>
      </c>
      <c r="CQ86" s="48"/>
      <c r="CR86" s="48" t="s">
        <v>3014</v>
      </c>
      <c r="CS86" s="48"/>
      <c r="CT86" s="48" t="s">
        <v>3387</v>
      </c>
      <c r="CU86" s="50">
        <v>85.0</v>
      </c>
    </row>
    <row r="87">
      <c r="A87" s="47">
        <v>46094.8986747338</v>
      </c>
      <c r="B87" s="47">
        <v>46094.90045893518</v>
      </c>
      <c r="C87" s="48" t="s">
        <v>3388</v>
      </c>
      <c r="D87" s="48" t="s">
        <v>3201</v>
      </c>
      <c r="E87" s="48" t="s">
        <v>3333</v>
      </c>
      <c r="F87" s="48" t="s">
        <v>3389</v>
      </c>
      <c r="G87" s="49" t="s">
        <v>3390</v>
      </c>
      <c r="H87" s="48" t="s">
        <v>999</v>
      </c>
      <c r="I87" s="50">
        <v>0.0</v>
      </c>
      <c r="J87" s="50">
        <v>0.0</v>
      </c>
      <c r="K87" s="50">
        <v>0.0</v>
      </c>
      <c r="L87" s="50">
        <v>0.0</v>
      </c>
      <c r="M87" s="50">
        <v>0.0</v>
      </c>
      <c r="N87" s="50">
        <v>0.0</v>
      </c>
      <c r="O87" s="50">
        <v>0.0</v>
      </c>
      <c r="P87" s="50">
        <v>0.0</v>
      </c>
      <c r="Q87" s="50">
        <v>1.0</v>
      </c>
      <c r="R87" s="48" t="s">
        <v>999</v>
      </c>
      <c r="S87" s="50">
        <v>0.0</v>
      </c>
      <c r="T87" s="50">
        <v>0.0</v>
      </c>
      <c r="U87" s="50">
        <v>0.0</v>
      </c>
      <c r="V87" s="50">
        <v>0.0</v>
      </c>
      <c r="W87" s="50">
        <v>0.0</v>
      </c>
      <c r="X87" s="50">
        <v>0.0</v>
      </c>
      <c r="Y87" s="50">
        <v>0.0</v>
      </c>
      <c r="Z87" s="50">
        <v>0.0</v>
      </c>
      <c r="AA87" s="50">
        <v>1.0</v>
      </c>
      <c r="AB87" s="48" t="s">
        <v>999</v>
      </c>
      <c r="AC87" s="50">
        <v>0.0</v>
      </c>
      <c r="AD87" s="50">
        <v>0.0</v>
      </c>
      <c r="AE87" s="50">
        <v>0.0</v>
      </c>
      <c r="AF87" s="50">
        <v>0.0</v>
      </c>
      <c r="AG87" s="50">
        <v>0.0</v>
      </c>
      <c r="AH87" s="50">
        <v>0.0</v>
      </c>
      <c r="AI87" s="50">
        <v>0.0</v>
      </c>
      <c r="AJ87" s="50">
        <v>0.0</v>
      </c>
      <c r="AK87" s="50">
        <v>1.0</v>
      </c>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t="s">
        <v>3391</v>
      </c>
      <c r="CK87" s="50">
        <v>6.95932821E8</v>
      </c>
      <c r="CL87" s="48" t="s">
        <v>3392</v>
      </c>
      <c r="CM87" s="47">
        <v>46094.6087962963</v>
      </c>
      <c r="CN87" s="48"/>
      <c r="CO87" s="48"/>
      <c r="CP87" s="48" t="s">
        <v>1954</v>
      </c>
      <c r="CQ87" s="48"/>
      <c r="CR87" s="48" t="s">
        <v>3014</v>
      </c>
      <c r="CS87" s="48"/>
      <c r="CT87" s="48" t="s">
        <v>3393</v>
      </c>
      <c r="CU87" s="50">
        <v>86.0</v>
      </c>
    </row>
    <row r="88">
      <c r="A88" s="47">
        <v>46094.90045938658</v>
      </c>
      <c r="B88" s="47">
        <v>46094.90319953704</v>
      </c>
      <c r="C88" s="48" t="s">
        <v>3394</v>
      </c>
      <c r="D88" s="48" t="s">
        <v>3201</v>
      </c>
      <c r="E88" s="48" t="s">
        <v>3333</v>
      </c>
      <c r="F88" s="48" t="s">
        <v>3340</v>
      </c>
      <c r="G88" s="49" t="s">
        <v>3395</v>
      </c>
      <c r="H88" s="48" t="s">
        <v>999</v>
      </c>
      <c r="I88" s="50">
        <v>0.0</v>
      </c>
      <c r="J88" s="50">
        <v>0.0</v>
      </c>
      <c r="K88" s="50">
        <v>0.0</v>
      </c>
      <c r="L88" s="50">
        <v>0.0</v>
      </c>
      <c r="M88" s="50">
        <v>0.0</v>
      </c>
      <c r="N88" s="50">
        <v>0.0</v>
      </c>
      <c r="O88" s="50">
        <v>0.0</v>
      </c>
      <c r="P88" s="50">
        <v>0.0</v>
      </c>
      <c r="Q88" s="50">
        <v>1.0</v>
      </c>
      <c r="R88" s="48" t="s">
        <v>999</v>
      </c>
      <c r="S88" s="50">
        <v>0.0</v>
      </c>
      <c r="T88" s="50">
        <v>0.0</v>
      </c>
      <c r="U88" s="50">
        <v>0.0</v>
      </c>
      <c r="V88" s="50">
        <v>0.0</v>
      </c>
      <c r="W88" s="50">
        <v>0.0</v>
      </c>
      <c r="X88" s="50">
        <v>0.0</v>
      </c>
      <c r="Y88" s="50">
        <v>0.0</v>
      </c>
      <c r="Z88" s="50">
        <v>0.0</v>
      </c>
      <c r="AA88" s="50">
        <v>1.0</v>
      </c>
      <c r="AB88" s="48" t="s">
        <v>999</v>
      </c>
      <c r="AC88" s="50">
        <v>0.0</v>
      </c>
      <c r="AD88" s="50">
        <v>0.0</v>
      </c>
      <c r="AE88" s="50">
        <v>0.0</v>
      </c>
      <c r="AF88" s="50">
        <v>0.0</v>
      </c>
      <c r="AG88" s="50">
        <v>0.0</v>
      </c>
      <c r="AH88" s="50">
        <v>0.0</v>
      </c>
      <c r="AI88" s="50">
        <v>0.0</v>
      </c>
      <c r="AJ88" s="50">
        <v>0.0</v>
      </c>
      <c r="AK88" s="50">
        <v>1.0</v>
      </c>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t="s">
        <v>3396</v>
      </c>
      <c r="CK88" s="50">
        <v>6.95936283E8</v>
      </c>
      <c r="CL88" s="48" t="s">
        <v>3397</v>
      </c>
      <c r="CM88" s="47">
        <v>46094.61152777778</v>
      </c>
      <c r="CN88" s="48"/>
      <c r="CO88" s="48"/>
      <c r="CP88" s="48" t="s">
        <v>1954</v>
      </c>
      <c r="CQ88" s="48"/>
      <c r="CR88" s="48" t="s">
        <v>3014</v>
      </c>
      <c r="CS88" s="48"/>
      <c r="CT88" s="48" t="s">
        <v>3398</v>
      </c>
      <c r="CU88" s="50">
        <v>87.0</v>
      </c>
    </row>
    <row r="89">
      <c r="A89" s="47">
        <v>46094.9031999537</v>
      </c>
      <c r="B89" s="47">
        <v>46094.90542046296</v>
      </c>
      <c r="C89" s="48" t="s">
        <v>3399</v>
      </c>
      <c r="D89" s="48" t="s">
        <v>3201</v>
      </c>
      <c r="E89" s="48" t="s">
        <v>3333</v>
      </c>
      <c r="F89" s="48" t="s">
        <v>3349</v>
      </c>
      <c r="G89" s="49" t="s">
        <v>3400</v>
      </c>
      <c r="H89" s="48" t="s">
        <v>2947</v>
      </c>
      <c r="I89" s="50">
        <v>1.0</v>
      </c>
      <c r="J89" s="50">
        <v>0.0</v>
      </c>
      <c r="K89" s="50">
        <v>0.0</v>
      </c>
      <c r="L89" s="50">
        <v>0.0</v>
      </c>
      <c r="M89" s="50">
        <v>0.0</v>
      </c>
      <c r="N89" s="50">
        <v>0.0</v>
      </c>
      <c r="O89" s="50">
        <v>0.0</v>
      </c>
      <c r="P89" s="50">
        <v>0.0</v>
      </c>
      <c r="Q89" s="50">
        <v>0.0</v>
      </c>
      <c r="R89" s="48" t="s">
        <v>2947</v>
      </c>
      <c r="S89" s="50">
        <v>1.0</v>
      </c>
      <c r="T89" s="50">
        <v>0.0</v>
      </c>
      <c r="U89" s="50">
        <v>0.0</v>
      </c>
      <c r="V89" s="50">
        <v>0.0</v>
      </c>
      <c r="W89" s="50">
        <v>0.0</v>
      </c>
      <c r="X89" s="50">
        <v>0.0</v>
      </c>
      <c r="Y89" s="50">
        <v>0.0</v>
      </c>
      <c r="Z89" s="50">
        <v>0.0</v>
      </c>
      <c r="AA89" s="50">
        <v>0.0</v>
      </c>
      <c r="AB89" s="48" t="s">
        <v>2947</v>
      </c>
      <c r="AC89" s="50">
        <v>1.0</v>
      </c>
      <c r="AD89" s="50">
        <v>0.0</v>
      </c>
      <c r="AE89" s="50">
        <v>0.0</v>
      </c>
      <c r="AF89" s="50">
        <v>0.0</v>
      </c>
      <c r="AG89" s="50">
        <v>0.0</v>
      </c>
      <c r="AH89" s="50">
        <v>0.0</v>
      </c>
      <c r="AI89" s="50">
        <v>0.0</v>
      </c>
      <c r="AJ89" s="50">
        <v>0.0</v>
      </c>
      <c r="AK89" s="50">
        <v>0.0</v>
      </c>
      <c r="AL89" s="48"/>
      <c r="AM89" s="50">
        <v>3.0</v>
      </c>
      <c r="AN89" s="48"/>
      <c r="AO89" s="48"/>
      <c r="AP89" s="48"/>
      <c r="AQ89" s="48"/>
      <c r="AR89" s="48"/>
      <c r="AS89" s="48"/>
      <c r="AT89" s="48"/>
      <c r="AU89" s="48"/>
      <c r="AV89" s="50">
        <v>5.0</v>
      </c>
      <c r="AW89" s="48"/>
      <c r="AX89" s="48"/>
      <c r="AY89" s="48"/>
      <c r="AZ89" s="48"/>
      <c r="BA89" s="48"/>
      <c r="BB89" s="48"/>
      <c r="BC89" s="48"/>
      <c r="BD89" s="50">
        <v>1.0</v>
      </c>
      <c r="BE89" s="50">
        <v>0.0</v>
      </c>
      <c r="BF89" s="50">
        <v>1.0</v>
      </c>
      <c r="BG89" s="50">
        <v>0.0</v>
      </c>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50">
        <v>6.95938924E8</v>
      </c>
      <c r="CL89" s="48" t="s">
        <v>3401</v>
      </c>
      <c r="CM89" s="47">
        <v>46094.61375</v>
      </c>
      <c r="CN89" s="48"/>
      <c r="CO89" s="48"/>
      <c r="CP89" s="48" t="s">
        <v>1954</v>
      </c>
      <c r="CQ89" s="48"/>
      <c r="CR89" s="48" t="s">
        <v>3014</v>
      </c>
      <c r="CS89" s="48"/>
      <c r="CT89" s="48" t="s">
        <v>3402</v>
      </c>
      <c r="CU89" s="50">
        <v>88.0</v>
      </c>
    </row>
    <row r="90">
      <c r="A90" s="47">
        <v>46094.90542089121</v>
      </c>
      <c r="B90" s="47">
        <v>46094.90720278935</v>
      </c>
      <c r="C90" s="48" t="s">
        <v>3403</v>
      </c>
      <c r="D90" s="48" t="s">
        <v>3201</v>
      </c>
      <c r="E90" s="48" t="s">
        <v>3333</v>
      </c>
      <c r="F90" s="48" t="s">
        <v>3349</v>
      </c>
      <c r="G90" s="49" t="s">
        <v>3404</v>
      </c>
      <c r="H90" s="48" t="s">
        <v>2947</v>
      </c>
      <c r="I90" s="50">
        <v>1.0</v>
      </c>
      <c r="J90" s="50">
        <v>0.0</v>
      </c>
      <c r="K90" s="50">
        <v>0.0</v>
      </c>
      <c r="L90" s="50">
        <v>0.0</v>
      </c>
      <c r="M90" s="50">
        <v>0.0</v>
      </c>
      <c r="N90" s="50">
        <v>0.0</v>
      </c>
      <c r="O90" s="50">
        <v>0.0</v>
      </c>
      <c r="P90" s="50">
        <v>0.0</v>
      </c>
      <c r="Q90" s="50">
        <v>0.0</v>
      </c>
      <c r="R90" s="48" t="s">
        <v>2947</v>
      </c>
      <c r="S90" s="50">
        <v>1.0</v>
      </c>
      <c r="T90" s="50">
        <v>0.0</v>
      </c>
      <c r="U90" s="50">
        <v>0.0</v>
      </c>
      <c r="V90" s="50">
        <v>0.0</v>
      </c>
      <c r="W90" s="50">
        <v>0.0</v>
      </c>
      <c r="X90" s="50">
        <v>0.0</v>
      </c>
      <c r="Y90" s="50">
        <v>0.0</v>
      </c>
      <c r="Z90" s="50">
        <v>0.0</v>
      </c>
      <c r="AA90" s="50">
        <v>0.0</v>
      </c>
      <c r="AB90" s="48" t="s">
        <v>2947</v>
      </c>
      <c r="AC90" s="50">
        <v>1.0</v>
      </c>
      <c r="AD90" s="50">
        <v>0.0</v>
      </c>
      <c r="AE90" s="50">
        <v>0.0</v>
      </c>
      <c r="AF90" s="50">
        <v>0.0</v>
      </c>
      <c r="AG90" s="50">
        <v>0.0</v>
      </c>
      <c r="AH90" s="50">
        <v>0.0</v>
      </c>
      <c r="AI90" s="50">
        <v>0.0</v>
      </c>
      <c r="AJ90" s="50">
        <v>0.0</v>
      </c>
      <c r="AK90" s="50">
        <v>0.0</v>
      </c>
      <c r="AL90" s="48"/>
      <c r="AM90" s="50">
        <v>5.0</v>
      </c>
      <c r="AN90" s="48"/>
      <c r="AO90" s="48"/>
      <c r="AP90" s="48"/>
      <c r="AQ90" s="48"/>
      <c r="AR90" s="48"/>
      <c r="AS90" s="48"/>
      <c r="AT90" s="48"/>
      <c r="AU90" s="48"/>
      <c r="AV90" s="50">
        <v>4.0</v>
      </c>
      <c r="AW90" s="48"/>
      <c r="AX90" s="48"/>
      <c r="AY90" s="48"/>
      <c r="AZ90" s="48"/>
      <c r="BA90" s="48"/>
      <c r="BB90" s="48"/>
      <c r="BC90" s="48"/>
      <c r="BD90" s="50">
        <v>0.0</v>
      </c>
      <c r="BE90" s="50">
        <v>0.0</v>
      </c>
      <c r="BF90" s="50">
        <v>1.0</v>
      </c>
      <c r="BG90" s="50">
        <v>0.0</v>
      </c>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50">
        <v>6.95941403E8</v>
      </c>
      <c r="CL90" s="48" t="s">
        <v>3405</v>
      </c>
      <c r="CM90" s="47">
        <v>46094.61553240741</v>
      </c>
      <c r="CN90" s="48"/>
      <c r="CO90" s="48"/>
      <c r="CP90" s="48" t="s">
        <v>1954</v>
      </c>
      <c r="CQ90" s="48"/>
      <c r="CR90" s="48" t="s">
        <v>3014</v>
      </c>
      <c r="CS90" s="48"/>
      <c r="CT90" s="48" t="s">
        <v>3406</v>
      </c>
      <c r="CU90" s="50">
        <v>89.0</v>
      </c>
    </row>
    <row r="91">
      <c r="A91" s="47">
        <v>46094.90720325232</v>
      </c>
      <c r="B91" s="47">
        <v>46094.91086619213</v>
      </c>
      <c r="C91" s="48" t="s">
        <v>3407</v>
      </c>
      <c r="D91" s="48" t="s">
        <v>3201</v>
      </c>
      <c r="E91" s="48" t="s">
        <v>3333</v>
      </c>
      <c r="F91" s="48" t="s">
        <v>3333</v>
      </c>
      <c r="G91" s="49" t="s">
        <v>3408</v>
      </c>
      <c r="H91" s="48" t="s">
        <v>999</v>
      </c>
      <c r="I91" s="50">
        <v>0.0</v>
      </c>
      <c r="J91" s="50">
        <v>0.0</v>
      </c>
      <c r="K91" s="50">
        <v>0.0</v>
      </c>
      <c r="L91" s="50">
        <v>0.0</v>
      </c>
      <c r="M91" s="50">
        <v>0.0</v>
      </c>
      <c r="N91" s="50">
        <v>0.0</v>
      </c>
      <c r="O91" s="50">
        <v>0.0</v>
      </c>
      <c r="P91" s="50">
        <v>0.0</v>
      </c>
      <c r="Q91" s="50">
        <v>1.0</v>
      </c>
      <c r="R91" s="48" t="s">
        <v>3409</v>
      </c>
      <c r="S91" s="50">
        <v>0.0</v>
      </c>
      <c r="T91" s="50">
        <v>0.0</v>
      </c>
      <c r="U91" s="50">
        <v>0.0</v>
      </c>
      <c r="V91" s="50">
        <v>0.0</v>
      </c>
      <c r="W91" s="50">
        <v>1.0</v>
      </c>
      <c r="X91" s="50">
        <v>0.0</v>
      </c>
      <c r="Y91" s="50">
        <v>0.0</v>
      </c>
      <c r="Z91" s="50">
        <v>0.0</v>
      </c>
      <c r="AA91" s="50">
        <v>0.0</v>
      </c>
      <c r="AB91" s="48" t="s">
        <v>999</v>
      </c>
      <c r="AC91" s="50">
        <v>0.0</v>
      </c>
      <c r="AD91" s="50">
        <v>0.0</v>
      </c>
      <c r="AE91" s="50">
        <v>0.0</v>
      </c>
      <c r="AF91" s="50">
        <v>0.0</v>
      </c>
      <c r="AG91" s="50">
        <v>0.0</v>
      </c>
      <c r="AH91" s="50">
        <v>0.0</v>
      </c>
      <c r="AI91" s="50">
        <v>0.0</v>
      </c>
      <c r="AJ91" s="50">
        <v>0.0</v>
      </c>
      <c r="AK91" s="50">
        <v>1.0</v>
      </c>
      <c r="AL91" s="48"/>
      <c r="AM91" s="48"/>
      <c r="AN91" s="48"/>
      <c r="AO91" s="48"/>
      <c r="AP91" s="48"/>
      <c r="AQ91" s="48"/>
      <c r="AR91" s="48"/>
      <c r="AS91" s="48"/>
      <c r="AT91" s="48"/>
      <c r="AU91" s="48"/>
      <c r="AV91" s="48"/>
      <c r="AW91" s="48"/>
      <c r="AX91" s="48"/>
      <c r="AY91" s="48"/>
      <c r="AZ91" s="50">
        <v>3.0</v>
      </c>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50">
        <v>6.95946251E8</v>
      </c>
      <c r="CL91" s="48" t="s">
        <v>3410</v>
      </c>
      <c r="CM91" s="47">
        <v>46094.61921296296</v>
      </c>
      <c r="CN91" s="48"/>
      <c r="CO91" s="48"/>
      <c r="CP91" s="48" t="s">
        <v>1954</v>
      </c>
      <c r="CQ91" s="48"/>
      <c r="CR91" s="48" t="s">
        <v>3014</v>
      </c>
      <c r="CS91" s="48"/>
      <c r="CT91" s="48" t="s">
        <v>3411</v>
      </c>
      <c r="CU91" s="50">
        <v>90.0</v>
      </c>
    </row>
    <row r="92">
      <c r="A92" s="47">
        <v>46094.91086665509</v>
      </c>
      <c r="B92" s="47">
        <v>46094.91233209491</v>
      </c>
      <c r="C92" s="48" t="s">
        <v>3412</v>
      </c>
      <c r="D92" s="48" t="s">
        <v>3201</v>
      </c>
      <c r="E92" s="48" t="s">
        <v>3333</v>
      </c>
      <c r="F92" s="48" t="s">
        <v>3334</v>
      </c>
      <c r="G92" s="49" t="s">
        <v>3413</v>
      </c>
      <c r="H92" s="48" t="s">
        <v>2947</v>
      </c>
      <c r="I92" s="50">
        <v>1.0</v>
      </c>
      <c r="J92" s="50">
        <v>0.0</v>
      </c>
      <c r="K92" s="50">
        <v>0.0</v>
      </c>
      <c r="L92" s="50">
        <v>0.0</v>
      </c>
      <c r="M92" s="50">
        <v>0.0</v>
      </c>
      <c r="N92" s="50">
        <v>0.0</v>
      </c>
      <c r="O92" s="50">
        <v>0.0</v>
      </c>
      <c r="P92" s="50">
        <v>0.0</v>
      </c>
      <c r="Q92" s="50">
        <v>0.0</v>
      </c>
      <c r="R92" s="48" t="s">
        <v>2947</v>
      </c>
      <c r="S92" s="50">
        <v>1.0</v>
      </c>
      <c r="T92" s="50">
        <v>0.0</v>
      </c>
      <c r="U92" s="50">
        <v>0.0</v>
      </c>
      <c r="V92" s="50">
        <v>0.0</v>
      </c>
      <c r="W92" s="50">
        <v>0.0</v>
      </c>
      <c r="X92" s="50">
        <v>0.0</v>
      </c>
      <c r="Y92" s="50">
        <v>0.0</v>
      </c>
      <c r="Z92" s="50">
        <v>0.0</v>
      </c>
      <c r="AA92" s="50">
        <v>0.0</v>
      </c>
      <c r="AB92" s="48" t="s">
        <v>2947</v>
      </c>
      <c r="AC92" s="50">
        <v>1.0</v>
      </c>
      <c r="AD92" s="50">
        <v>0.0</v>
      </c>
      <c r="AE92" s="50">
        <v>0.0</v>
      </c>
      <c r="AF92" s="50">
        <v>0.0</v>
      </c>
      <c r="AG92" s="50">
        <v>0.0</v>
      </c>
      <c r="AH92" s="50">
        <v>0.0</v>
      </c>
      <c r="AI92" s="50">
        <v>0.0</v>
      </c>
      <c r="AJ92" s="50">
        <v>0.0</v>
      </c>
      <c r="AK92" s="50">
        <v>0.0</v>
      </c>
      <c r="AL92" s="48"/>
      <c r="AM92" s="50">
        <v>4.0</v>
      </c>
      <c r="AN92" s="48"/>
      <c r="AO92" s="48"/>
      <c r="AP92" s="48"/>
      <c r="AQ92" s="48"/>
      <c r="AR92" s="48"/>
      <c r="AS92" s="48"/>
      <c r="AT92" s="48"/>
      <c r="AU92" s="48"/>
      <c r="AV92" s="50">
        <v>4.0</v>
      </c>
      <c r="AW92" s="48"/>
      <c r="AX92" s="48"/>
      <c r="AY92" s="48"/>
      <c r="AZ92" s="48"/>
      <c r="BA92" s="48"/>
      <c r="BB92" s="48"/>
      <c r="BC92" s="48"/>
      <c r="BD92" s="50">
        <v>1.0</v>
      </c>
      <c r="BE92" s="50">
        <v>0.0</v>
      </c>
      <c r="BF92" s="50">
        <v>1.0</v>
      </c>
      <c r="BG92" s="50">
        <v>0.0</v>
      </c>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50">
        <v>6.95947871E8</v>
      </c>
      <c r="CL92" s="48" t="s">
        <v>3414</v>
      </c>
      <c r="CM92" s="47">
        <v>46094.6206712963</v>
      </c>
      <c r="CN92" s="48"/>
      <c r="CO92" s="48"/>
      <c r="CP92" s="48" t="s">
        <v>1954</v>
      </c>
      <c r="CQ92" s="48"/>
      <c r="CR92" s="48" t="s">
        <v>3014</v>
      </c>
      <c r="CS92" s="48"/>
      <c r="CT92" s="48" t="s">
        <v>3415</v>
      </c>
      <c r="CU92" s="50">
        <v>91.0</v>
      </c>
    </row>
    <row r="93">
      <c r="A93" s="47">
        <v>46094.91233258102</v>
      </c>
      <c r="B93" s="47">
        <v>46094.91358180556</v>
      </c>
      <c r="C93" s="48" t="s">
        <v>3416</v>
      </c>
      <c r="D93" s="48" t="s">
        <v>3201</v>
      </c>
      <c r="E93" s="48" t="s">
        <v>3333</v>
      </c>
      <c r="F93" s="48" t="s">
        <v>3334</v>
      </c>
      <c r="G93" s="49" t="s">
        <v>3417</v>
      </c>
      <c r="H93" s="48" t="s">
        <v>2947</v>
      </c>
      <c r="I93" s="50">
        <v>1.0</v>
      </c>
      <c r="J93" s="50">
        <v>0.0</v>
      </c>
      <c r="K93" s="50">
        <v>0.0</v>
      </c>
      <c r="L93" s="50">
        <v>0.0</v>
      </c>
      <c r="M93" s="50">
        <v>0.0</v>
      </c>
      <c r="N93" s="50">
        <v>0.0</v>
      </c>
      <c r="O93" s="50">
        <v>0.0</v>
      </c>
      <c r="P93" s="50">
        <v>0.0</v>
      </c>
      <c r="Q93" s="50">
        <v>0.0</v>
      </c>
      <c r="R93" s="48" t="s">
        <v>2947</v>
      </c>
      <c r="S93" s="50">
        <v>1.0</v>
      </c>
      <c r="T93" s="50">
        <v>0.0</v>
      </c>
      <c r="U93" s="50">
        <v>0.0</v>
      </c>
      <c r="V93" s="50">
        <v>0.0</v>
      </c>
      <c r="W93" s="50">
        <v>0.0</v>
      </c>
      <c r="X93" s="50">
        <v>0.0</v>
      </c>
      <c r="Y93" s="50">
        <v>0.0</v>
      </c>
      <c r="Z93" s="50">
        <v>0.0</v>
      </c>
      <c r="AA93" s="50">
        <v>0.0</v>
      </c>
      <c r="AB93" s="48" t="s">
        <v>2947</v>
      </c>
      <c r="AC93" s="50">
        <v>1.0</v>
      </c>
      <c r="AD93" s="50">
        <v>0.0</v>
      </c>
      <c r="AE93" s="50">
        <v>0.0</v>
      </c>
      <c r="AF93" s="50">
        <v>0.0</v>
      </c>
      <c r="AG93" s="50">
        <v>0.0</v>
      </c>
      <c r="AH93" s="50">
        <v>0.0</v>
      </c>
      <c r="AI93" s="50">
        <v>0.0</v>
      </c>
      <c r="AJ93" s="50">
        <v>0.0</v>
      </c>
      <c r="AK93" s="50">
        <v>0.0</v>
      </c>
      <c r="AL93" s="48"/>
      <c r="AM93" s="50">
        <v>3.0</v>
      </c>
      <c r="AN93" s="48"/>
      <c r="AO93" s="48"/>
      <c r="AP93" s="48"/>
      <c r="AQ93" s="48"/>
      <c r="AR93" s="48"/>
      <c r="AS93" s="48"/>
      <c r="AT93" s="48"/>
      <c r="AU93" s="48"/>
      <c r="AV93" s="50">
        <v>1.0</v>
      </c>
      <c r="AW93" s="48"/>
      <c r="AX93" s="48"/>
      <c r="AY93" s="48"/>
      <c r="AZ93" s="48"/>
      <c r="BA93" s="48"/>
      <c r="BB93" s="48"/>
      <c r="BC93" s="48"/>
      <c r="BD93" s="50">
        <v>1.0</v>
      </c>
      <c r="BE93" s="50">
        <v>0.0</v>
      </c>
      <c r="BF93" s="50">
        <v>0.0</v>
      </c>
      <c r="BG93" s="50">
        <v>0.0</v>
      </c>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50">
        <v>6.95949454E8</v>
      </c>
      <c r="CL93" s="48" t="s">
        <v>3418</v>
      </c>
      <c r="CM93" s="47">
        <v>46094.6219212963</v>
      </c>
      <c r="CN93" s="48"/>
      <c r="CO93" s="48"/>
      <c r="CP93" s="48" t="s">
        <v>1954</v>
      </c>
      <c r="CQ93" s="48"/>
      <c r="CR93" s="48" t="s">
        <v>3014</v>
      </c>
      <c r="CS93" s="48"/>
      <c r="CT93" s="48" t="s">
        <v>3419</v>
      </c>
      <c r="CU93" s="50">
        <v>92.0</v>
      </c>
    </row>
    <row r="94">
      <c r="A94" s="47">
        <v>46094.91358226852</v>
      </c>
      <c r="B94" s="47">
        <v>46094.91633824074</v>
      </c>
      <c r="C94" s="48" t="s">
        <v>3420</v>
      </c>
      <c r="D94" s="48" t="s">
        <v>3201</v>
      </c>
      <c r="E94" s="48" t="s">
        <v>3333</v>
      </c>
      <c r="F94" s="48" t="s">
        <v>3334</v>
      </c>
      <c r="G94" s="49" t="s">
        <v>3421</v>
      </c>
      <c r="H94" s="48" t="s">
        <v>2947</v>
      </c>
      <c r="I94" s="50">
        <v>1.0</v>
      </c>
      <c r="J94" s="50">
        <v>0.0</v>
      </c>
      <c r="K94" s="50">
        <v>0.0</v>
      </c>
      <c r="L94" s="50">
        <v>0.0</v>
      </c>
      <c r="M94" s="50">
        <v>0.0</v>
      </c>
      <c r="N94" s="50">
        <v>0.0</v>
      </c>
      <c r="O94" s="50">
        <v>0.0</v>
      </c>
      <c r="P94" s="50">
        <v>0.0</v>
      </c>
      <c r="Q94" s="50">
        <v>0.0</v>
      </c>
      <c r="R94" s="48" t="s">
        <v>2947</v>
      </c>
      <c r="S94" s="50">
        <v>1.0</v>
      </c>
      <c r="T94" s="50">
        <v>0.0</v>
      </c>
      <c r="U94" s="50">
        <v>0.0</v>
      </c>
      <c r="V94" s="50">
        <v>0.0</v>
      </c>
      <c r="W94" s="50">
        <v>0.0</v>
      </c>
      <c r="X94" s="50">
        <v>0.0</v>
      </c>
      <c r="Y94" s="50">
        <v>0.0</v>
      </c>
      <c r="Z94" s="50">
        <v>0.0</v>
      </c>
      <c r="AA94" s="50">
        <v>0.0</v>
      </c>
      <c r="AB94" s="48" t="s">
        <v>2947</v>
      </c>
      <c r="AC94" s="50">
        <v>1.0</v>
      </c>
      <c r="AD94" s="50">
        <v>0.0</v>
      </c>
      <c r="AE94" s="50">
        <v>0.0</v>
      </c>
      <c r="AF94" s="50">
        <v>0.0</v>
      </c>
      <c r="AG94" s="50">
        <v>0.0</v>
      </c>
      <c r="AH94" s="50">
        <v>0.0</v>
      </c>
      <c r="AI94" s="50">
        <v>0.0</v>
      </c>
      <c r="AJ94" s="50">
        <v>0.0</v>
      </c>
      <c r="AK94" s="50">
        <v>0.0</v>
      </c>
      <c r="AL94" s="48"/>
      <c r="AM94" s="50">
        <v>4.0</v>
      </c>
      <c r="AN94" s="48"/>
      <c r="AO94" s="48"/>
      <c r="AP94" s="48"/>
      <c r="AQ94" s="48"/>
      <c r="AR94" s="48"/>
      <c r="AS94" s="48"/>
      <c r="AT94" s="48"/>
      <c r="AU94" s="48"/>
      <c r="AV94" s="50">
        <v>3.0</v>
      </c>
      <c r="AW94" s="48"/>
      <c r="AX94" s="48"/>
      <c r="AY94" s="48"/>
      <c r="AZ94" s="48"/>
      <c r="BA94" s="48"/>
      <c r="BB94" s="48"/>
      <c r="BC94" s="48"/>
      <c r="BD94" s="50">
        <v>1.0</v>
      </c>
      <c r="BE94" s="50">
        <v>0.0</v>
      </c>
      <c r="BF94" s="50">
        <v>1.0</v>
      </c>
      <c r="BG94" s="50">
        <v>0.0</v>
      </c>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50">
        <v>6.95952643E8</v>
      </c>
      <c r="CL94" s="48" t="s">
        <v>3422</v>
      </c>
      <c r="CM94" s="47">
        <v>46094.62467592592</v>
      </c>
      <c r="CN94" s="48"/>
      <c r="CO94" s="48"/>
      <c r="CP94" s="48" t="s">
        <v>1954</v>
      </c>
      <c r="CQ94" s="48"/>
      <c r="CR94" s="48" t="s">
        <v>3014</v>
      </c>
      <c r="CS94" s="48"/>
      <c r="CT94" s="48" t="s">
        <v>3423</v>
      </c>
      <c r="CU94" s="50">
        <v>93.0</v>
      </c>
    </row>
    <row r="95">
      <c r="A95" s="47">
        <v>46094.91633868055</v>
      </c>
      <c r="B95" s="47">
        <v>46094.9188028125</v>
      </c>
      <c r="C95" s="48" t="s">
        <v>3424</v>
      </c>
      <c r="D95" s="48" t="s">
        <v>3201</v>
      </c>
      <c r="E95" s="48" t="s">
        <v>3333</v>
      </c>
      <c r="F95" s="48" t="s">
        <v>3334</v>
      </c>
      <c r="G95" s="49" t="s">
        <v>3425</v>
      </c>
      <c r="H95" s="48" t="s">
        <v>2947</v>
      </c>
      <c r="I95" s="50">
        <v>1.0</v>
      </c>
      <c r="J95" s="50">
        <v>0.0</v>
      </c>
      <c r="K95" s="50">
        <v>0.0</v>
      </c>
      <c r="L95" s="50">
        <v>0.0</v>
      </c>
      <c r="M95" s="50">
        <v>0.0</v>
      </c>
      <c r="N95" s="50">
        <v>0.0</v>
      </c>
      <c r="O95" s="50">
        <v>0.0</v>
      </c>
      <c r="P95" s="50">
        <v>0.0</v>
      </c>
      <c r="Q95" s="50">
        <v>0.0</v>
      </c>
      <c r="R95" s="48" t="s">
        <v>999</v>
      </c>
      <c r="S95" s="50">
        <v>0.0</v>
      </c>
      <c r="T95" s="50">
        <v>0.0</v>
      </c>
      <c r="U95" s="50">
        <v>0.0</v>
      </c>
      <c r="V95" s="50">
        <v>0.0</v>
      </c>
      <c r="W95" s="50">
        <v>0.0</v>
      </c>
      <c r="X95" s="50">
        <v>0.0</v>
      </c>
      <c r="Y95" s="50">
        <v>0.0</v>
      </c>
      <c r="Z95" s="50">
        <v>0.0</v>
      </c>
      <c r="AA95" s="50">
        <v>1.0</v>
      </c>
      <c r="AB95" s="48" t="s">
        <v>999</v>
      </c>
      <c r="AC95" s="50">
        <v>0.0</v>
      </c>
      <c r="AD95" s="50">
        <v>0.0</v>
      </c>
      <c r="AE95" s="50">
        <v>0.0</v>
      </c>
      <c r="AF95" s="50">
        <v>0.0</v>
      </c>
      <c r="AG95" s="50">
        <v>0.0</v>
      </c>
      <c r="AH95" s="50">
        <v>0.0</v>
      </c>
      <c r="AI95" s="50">
        <v>0.0</v>
      </c>
      <c r="AJ95" s="50">
        <v>0.0</v>
      </c>
      <c r="AK95" s="50">
        <v>1.0</v>
      </c>
      <c r="AL95" s="48"/>
      <c r="AM95" s="50">
        <v>5.0</v>
      </c>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t="s">
        <v>3426</v>
      </c>
      <c r="CK95" s="50">
        <v>6.95956079E8</v>
      </c>
      <c r="CL95" s="48" t="s">
        <v>3427</v>
      </c>
      <c r="CM95" s="47">
        <v>46094.6271412037</v>
      </c>
      <c r="CN95" s="48"/>
      <c r="CO95" s="48"/>
      <c r="CP95" s="48" t="s">
        <v>1954</v>
      </c>
      <c r="CQ95" s="48"/>
      <c r="CR95" s="48" t="s">
        <v>3014</v>
      </c>
      <c r="CS95" s="48"/>
      <c r="CT95" s="48" t="s">
        <v>3428</v>
      </c>
      <c r="CU95" s="50">
        <v>94.0</v>
      </c>
    </row>
    <row r="96">
      <c r="A96" s="47">
        <v>46094.9188037037</v>
      </c>
      <c r="B96" s="47">
        <v>46094.92009074074</v>
      </c>
      <c r="C96" s="48" t="s">
        <v>3429</v>
      </c>
      <c r="D96" s="48" t="s">
        <v>3201</v>
      </c>
      <c r="E96" s="48" t="s">
        <v>3333</v>
      </c>
      <c r="F96" s="48" t="s">
        <v>3334</v>
      </c>
      <c r="G96" s="49" t="s">
        <v>3430</v>
      </c>
      <c r="H96" s="48" t="s">
        <v>2947</v>
      </c>
      <c r="I96" s="50">
        <v>1.0</v>
      </c>
      <c r="J96" s="50">
        <v>0.0</v>
      </c>
      <c r="K96" s="50">
        <v>0.0</v>
      </c>
      <c r="L96" s="50">
        <v>0.0</v>
      </c>
      <c r="M96" s="50">
        <v>0.0</v>
      </c>
      <c r="N96" s="50">
        <v>0.0</v>
      </c>
      <c r="O96" s="50">
        <v>0.0</v>
      </c>
      <c r="P96" s="50">
        <v>0.0</v>
      </c>
      <c r="Q96" s="50">
        <v>0.0</v>
      </c>
      <c r="R96" s="48" t="s">
        <v>2947</v>
      </c>
      <c r="S96" s="50">
        <v>1.0</v>
      </c>
      <c r="T96" s="50">
        <v>0.0</v>
      </c>
      <c r="U96" s="50">
        <v>0.0</v>
      </c>
      <c r="V96" s="50">
        <v>0.0</v>
      </c>
      <c r="W96" s="50">
        <v>0.0</v>
      </c>
      <c r="X96" s="50">
        <v>0.0</v>
      </c>
      <c r="Y96" s="50">
        <v>0.0</v>
      </c>
      <c r="Z96" s="50">
        <v>0.0</v>
      </c>
      <c r="AA96" s="50">
        <v>0.0</v>
      </c>
      <c r="AB96" s="48" t="s">
        <v>2947</v>
      </c>
      <c r="AC96" s="50">
        <v>1.0</v>
      </c>
      <c r="AD96" s="50">
        <v>0.0</v>
      </c>
      <c r="AE96" s="50">
        <v>0.0</v>
      </c>
      <c r="AF96" s="50">
        <v>0.0</v>
      </c>
      <c r="AG96" s="50">
        <v>0.0</v>
      </c>
      <c r="AH96" s="50">
        <v>0.0</v>
      </c>
      <c r="AI96" s="50">
        <v>0.0</v>
      </c>
      <c r="AJ96" s="50">
        <v>0.0</v>
      </c>
      <c r="AK96" s="50">
        <v>0.0</v>
      </c>
      <c r="AL96" s="48"/>
      <c r="AM96" s="50">
        <v>3.0</v>
      </c>
      <c r="AN96" s="48"/>
      <c r="AO96" s="48"/>
      <c r="AP96" s="48"/>
      <c r="AQ96" s="48"/>
      <c r="AR96" s="48"/>
      <c r="AS96" s="48"/>
      <c r="AT96" s="48"/>
      <c r="AU96" s="48"/>
      <c r="AV96" s="50">
        <v>7.0</v>
      </c>
      <c r="AW96" s="48"/>
      <c r="AX96" s="48"/>
      <c r="AY96" s="48"/>
      <c r="AZ96" s="48"/>
      <c r="BA96" s="48"/>
      <c r="BB96" s="48"/>
      <c r="BC96" s="48"/>
      <c r="BD96" s="50">
        <v>0.0</v>
      </c>
      <c r="BE96" s="50">
        <v>2.0</v>
      </c>
      <c r="BF96" s="50">
        <v>0.0</v>
      </c>
      <c r="BG96" s="50">
        <v>0.0</v>
      </c>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50">
        <v>6.95957602E8</v>
      </c>
      <c r="CL96" s="48" t="s">
        <v>3431</v>
      </c>
      <c r="CM96" s="47">
        <v>46094.62842592593</v>
      </c>
      <c r="CN96" s="48"/>
      <c r="CO96" s="48"/>
      <c r="CP96" s="48" t="s">
        <v>1954</v>
      </c>
      <c r="CQ96" s="48"/>
      <c r="CR96" s="48" t="s">
        <v>3014</v>
      </c>
      <c r="CS96" s="48"/>
      <c r="CT96" s="48" t="s">
        <v>3432</v>
      </c>
      <c r="CU96" s="50">
        <v>95.0</v>
      </c>
    </row>
    <row r="97">
      <c r="A97" s="47">
        <v>46094.92009133102</v>
      </c>
      <c r="B97" s="47">
        <v>46094.9220484375</v>
      </c>
      <c r="C97" s="48" t="s">
        <v>3433</v>
      </c>
      <c r="D97" s="48" t="s">
        <v>3201</v>
      </c>
      <c r="E97" s="48" t="s">
        <v>3333</v>
      </c>
      <c r="F97" s="48" t="s">
        <v>3389</v>
      </c>
      <c r="G97" s="49" t="s">
        <v>3434</v>
      </c>
      <c r="H97" s="48" t="s">
        <v>2947</v>
      </c>
      <c r="I97" s="50">
        <v>1.0</v>
      </c>
      <c r="J97" s="50">
        <v>0.0</v>
      </c>
      <c r="K97" s="50">
        <v>0.0</v>
      </c>
      <c r="L97" s="50">
        <v>0.0</v>
      </c>
      <c r="M97" s="50">
        <v>0.0</v>
      </c>
      <c r="N97" s="50">
        <v>0.0</v>
      </c>
      <c r="O97" s="50">
        <v>0.0</v>
      </c>
      <c r="P97" s="50">
        <v>0.0</v>
      </c>
      <c r="Q97" s="50">
        <v>0.0</v>
      </c>
      <c r="R97" s="48" t="s">
        <v>2947</v>
      </c>
      <c r="S97" s="50">
        <v>1.0</v>
      </c>
      <c r="T97" s="50">
        <v>0.0</v>
      </c>
      <c r="U97" s="50">
        <v>0.0</v>
      </c>
      <c r="V97" s="50">
        <v>0.0</v>
      </c>
      <c r="W97" s="50">
        <v>0.0</v>
      </c>
      <c r="X97" s="50">
        <v>0.0</v>
      </c>
      <c r="Y97" s="50">
        <v>0.0</v>
      </c>
      <c r="Z97" s="50">
        <v>0.0</v>
      </c>
      <c r="AA97" s="50">
        <v>0.0</v>
      </c>
      <c r="AB97" s="48" t="s">
        <v>999</v>
      </c>
      <c r="AC97" s="50">
        <v>0.0</v>
      </c>
      <c r="AD97" s="50">
        <v>0.0</v>
      </c>
      <c r="AE97" s="50">
        <v>0.0</v>
      </c>
      <c r="AF97" s="50">
        <v>0.0</v>
      </c>
      <c r="AG97" s="50">
        <v>0.0</v>
      </c>
      <c r="AH97" s="50">
        <v>0.0</v>
      </c>
      <c r="AI97" s="50">
        <v>0.0</v>
      </c>
      <c r="AJ97" s="50">
        <v>0.0</v>
      </c>
      <c r="AK97" s="50">
        <v>1.0</v>
      </c>
      <c r="AL97" s="48"/>
      <c r="AM97" s="50">
        <v>2.0</v>
      </c>
      <c r="AN97" s="48"/>
      <c r="AO97" s="48"/>
      <c r="AP97" s="48"/>
      <c r="AQ97" s="48"/>
      <c r="AR97" s="48"/>
      <c r="AS97" s="48"/>
      <c r="AT97" s="48"/>
      <c r="AU97" s="48"/>
      <c r="AV97" s="50">
        <v>2.0</v>
      </c>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50">
        <v>6.9596053E8</v>
      </c>
      <c r="CL97" s="48" t="s">
        <v>3435</v>
      </c>
      <c r="CM97" s="47">
        <v>46094.63038194444</v>
      </c>
      <c r="CN97" s="48"/>
      <c r="CO97" s="48"/>
      <c r="CP97" s="48" t="s">
        <v>1954</v>
      </c>
      <c r="CQ97" s="48"/>
      <c r="CR97" s="48" t="s">
        <v>3014</v>
      </c>
      <c r="CS97" s="48"/>
      <c r="CT97" s="48" t="s">
        <v>3436</v>
      </c>
      <c r="CU97" s="50">
        <v>96.0</v>
      </c>
    </row>
    <row r="98">
      <c r="A98" s="47">
        <v>46094.92204947917</v>
      </c>
      <c r="B98" s="47">
        <v>46094.92364128472</v>
      </c>
      <c r="C98" s="48" t="s">
        <v>3437</v>
      </c>
      <c r="D98" s="48" t="s">
        <v>3201</v>
      </c>
      <c r="E98" s="48" t="s">
        <v>3333</v>
      </c>
      <c r="F98" s="48" t="s">
        <v>3334</v>
      </c>
      <c r="G98" s="49" t="s">
        <v>3438</v>
      </c>
      <c r="H98" s="48" t="s">
        <v>2947</v>
      </c>
      <c r="I98" s="50">
        <v>1.0</v>
      </c>
      <c r="J98" s="50">
        <v>0.0</v>
      </c>
      <c r="K98" s="50">
        <v>0.0</v>
      </c>
      <c r="L98" s="50">
        <v>0.0</v>
      </c>
      <c r="M98" s="50">
        <v>0.0</v>
      </c>
      <c r="N98" s="50">
        <v>0.0</v>
      </c>
      <c r="O98" s="50">
        <v>0.0</v>
      </c>
      <c r="P98" s="50">
        <v>0.0</v>
      </c>
      <c r="Q98" s="50">
        <v>0.0</v>
      </c>
      <c r="R98" s="48" t="s">
        <v>2948</v>
      </c>
      <c r="S98" s="50">
        <v>0.0</v>
      </c>
      <c r="T98" s="50">
        <v>1.0</v>
      </c>
      <c r="U98" s="50">
        <v>0.0</v>
      </c>
      <c r="V98" s="50">
        <v>0.0</v>
      </c>
      <c r="W98" s="50">
        <v>0.0</v>
      </c>
      <c r="X98" s="50">
        <v>0.0</v>
      </c>
      <c r="Y98" s="50">
        <v>0.0</v>
      </c>
      <c r="Z98" s="50">
        <v>0.0</v>
      </c>
      <c r="AA98" s="50">
        <v>0.0</v>
      </c>
      <c r="AB98" s="48" t="s">
        <v>2948</v>
      </c>
      <c r="AC98" s="50">
        <v>0.0</v>
      </c>
      <c r="AD98" s="50">
        <v>1.0</v>
      </c>
      <c r="AE98" s="50">
        <v>0.0</v>
      </c>
      <c r="AF98" s="50">
        <v>0.0</v>
      </c>
      <c r="AG98" s="50">
        <v>0.0</v>
      </c>
      <c r="AH98" s="50">
        <v>0.0</v>
      </c>
      <c r="AI98" s="50">
        <v>0.0</v>
      </c>
      <c r="AJ98" s="50">
        <v>0.0</v>
      </c>
      <c r="AK98" s="50">
        <v>0.0</v>
      </c>
      <c r="AL98" s="48"/>
      <c r="AM98" s="50">
        <v>3.0</v>
      </c>
      <c r="AN98" s="48"/>
      <c r="AO98" s="48"/>
      <c r="AP98" s="48"/>
      <c r="AQ98" s="48"/>
      <c r="AR98" s="48"/>
      <c r="AS98" s="48"/>
      <c r="AT98" s="48"/>
      <c r="AU98" s="48"/>
      <c r="AV98" s="48"/>
      <c r="AW98" s="50">
        <v>6.0</v>
      </c>
      <c r="AX98" s="48"/>
      <c r="AY98" s="48"/>
      <c r="AZ98" s="48"/>
      <c r="BA98" s="48"/>
      <c r="BB98" s="48"/>
      <c r="BC98" s="48"/>
      <c r="BD98" s="48"/>
      <c r="BE98" s="48"/>
      <c r="BF98" s="48"/>
      <c r="BG98" s="48"/>
      <c r="BH98" s="50">
        <v>1.0</v>
      </c>
      <c r="BI98" s="50">
        <v>0.0</v>
      </c>
      <c r="BJ98" s="50">
        <v>1.0</v>
      </c>
      <c r="BK98" s="50">
        <v>0.0</v>
      </c>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50">
        <v>6.9596285E8</v>
      </c>
      <c r="CL98" s="48" t="s">
        <v>3439</v>
      </c>
      <c r="CM98" s="47">
        <v>46094.63197916667</v>
      </c>
      <c r="CN98" s="48"/>
      <c r="CO98" s="48"/>
      <c r="CP98" s="48" t="s">
        <v>1954</v>
      </c>
      <c r="CQ98" s="48"/>
      <c r="CR98" s="48" t="s">
        <v>3014</v>
      </c>
      <c r="CS98" s="48"/>
      <c r="CT98" s="48" t="s">
        <v>3440</v>
      </c>
      <c r="CU98" s="50">
        <v>97.0</v>
      </c>
    </row>
    <row r="99">
      <c r="A99" s="47">
        <v>46094.92364188658</v>
      </c>
      <c r="B99" s="47">
        <v>46094.92510418982</v>
      </c>
      <c r="C99" s="48" t="s">
        <v>3441</v>
      </c>
      <c r="D99" s="48" t="s">
        <v>3201</v>
      </c>
      <c r="E99" s="48" t="s">
        <v>3333</v>
      </c>
      <c r="F99" s="48" t="s">
        <v>3349</v>
      </c>
      <c r="G99" s="49" t="s">
        <v>3442</v>
      </c>
      <c r="H99" s="48" t="s">
        <v>2947</v>
      </c>
      <c r="I99" s="50">
        <v>1.0</v>
      </c>
      <c r="J99" s="50">
        <v>0.0</v>
      </c>
      <c r="K99" s="50">
        <v>0.0</v>
      </c>
      <c r="L99" s="50">
        <v>0.0</v>
      </c>
      <c r="M99" s="50">
        <v>0.0</v>
      </c>
      <c r="N99" s="50">
        <v>0.0</v>
      </c>
      <c r="O99" s="50">
        <v>0.0</v>
      </c>
      <c r="P99" s="50">
        <v>0.0</v>
      </c>
      <c r="Q99" s="50">
        <v>0.0</v>
      </c>
      <c r="R99" s="48" t="s">
        <v>2947</v>
      </c>
      <c r="S99" s="50">
        <v>1.0</v>
      </c>
      <c r="T99" s="50">
        <v>0.0</v>
      </c>
      <c r="U99" s="50">
        <v>0.0</v>
      </c>
      <c r="V99" s="50">
        <v>0.0</v>
      </c>
      <c r="W99" s="50">
        <v>0.0</v>
      </c>
      <c r="X99" s="50">
        <v>0.0</v>
      </c>
      <c r="Y99" s="50">
        <v>0.0</v>
      </c>
      <c r="Z99" s="50">
        <v>0.0</v>
      </c>
      <c r="AA99" s="50">
        <v>0.0</v>
      </c>
      <c r="AB99" s="48" t="s">
        <v>999</v>
      </c>
      <c r="AC99" s="50">
        <v>0.0</v>
      </c>
      <c r="AD99" s="50">
        <v>0.0</v>
      </c>
      <c r="AE99" s="50">
        <v>0.0</v>
      </c>
      <c r="AF99" s="50">
        <v>0.0</v>
      </c>
      <c r="AG99" s="50">
        <v>0.0</v>
      </c>
      <c r="AH99" s="50">
        <v>0.0</v>
      </c>
      <c r="AI99" s="50">
        <v>0.0</v>
      </c>
      <c r="AJ99" s="50">
        <v>0.0</v>
      </c>
      <c r="AK99" s="50">
        <v>1.0</v>
      </c>
      <c r="AL99" s="48"/>
      <c r="AM99" s="50">
        <v>3.0</v>
      </c>
      <c r="AN99" s="48"/>
      <c r="AO99" s="48"/>
      <c r="AP99" s="48"/>
      <c r="AQ99" s="48"/>
      <c r="AR99" s="48"/>
      <c r="AS99" s="48"/>
      <c r="AT99" s="48"/>
      <c r="AU99" s="48"/>
      <c r="AV99" s="50">
        <v>2.0</v>
      </c>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50">
        <v>6.95964861E8</v>
      </c>
      <c r="CL99" s="48" t="s">
        <v>3443</v>
      </c>
      <c r="CM99" s="47">
        <v>46094.63347222222</v>
      </c>
      <c r="CN99" s="48"/>
      <c r="CO99" s="48"/>
      <c r="CP99" s="48" t="s">
        <v>1954</v>
      </c>
      <c r="CQ99" s="48"/>
      <c r="CR99" s="48" t="s">
        <v>3014</v>
      </c>
      <c r="CS99" s="48"/>
      <c r="CT99" s="48" t="s">
        <v>3444</v>
      </c>
      <c r="CU99" s="50">
        <v>98.0</v>
      </c>
    </row>
    <row r="100">
      <c r="A100" s="47">
        <v>46094.9251047338</v>
      </c>
      <c r="B100" s="47">
        <v>46094.92870221065</v>
      </c>
      <c r="C100" s="48" t="s">
        <v>3445</v>
      </c>
      <c r="D100" s="48" t="s">
        <v>3201</v>
      </c>
      <c r="E100" s="48" t="s">
        <v>3333</v>
      </c>
      <c r="F100" s="48" t="s">
        <v>3334</v>
      </c>
      <c r="G100" s="49" t="s">
        <v>3446</v>
      </c>
      <c r="H100" s="48" t="s">
        <v>2947</v>
      </c>
      <c r="I100" s="50">
        <v>1.0</v>
      </c>
      <c r="J100" s="50">
        <v>0.0</v>
      </c>
      <c r="K100" s="50">
        <v>0.0</v>
      </c>
      <c r="L100" s="50">
        <v>0.0</v>
      </c>
      <c r="M100" s="50">
        <v>0.0</v>
      </c>
      <c r="N100" s="50">
        <v>0.0</v>
      </c>
      <c r="O100" s="50">
        <v>0.0</v>
      </c>
      <c r="P100" s="50">
        <v>0.0</v>
      </c>
      <c r="Q100" s="50">
        <v>0.0</v>
      </c>
      <c r="R100" s="48" t="s">
        <v>999</v>
      </c>
      <c r="S100" s="50">
        <v>0.0</v>
      </c>
      <c r="T100" s="50">
        <v>0.0</v>
      </c>
      <c r="U100" s="50">
        <v>0.0</v>
      </c>
      <c r="V100" s="50">
        <v>0.0</v>
      </c>
      <c r="W100" s="50">
        <v>0.0</v>
      </c>
      <c r="X100" s="50">
        <v>0.0</v>
      </c>
      <c r="Y100" s="50">
        <v>0.0</v>
      </c>
      <c r="Z100" s="50">
        <v>0.0</v>
      </c>
      <c r="AA100" s="50">
        <v>1.0</v>
      </c>
      <c r="AB100" s="48" t="s">
        <v>999</v>
      </c>
      <c r="AC100" s="50">
        <v>0.0</v>
      </c>
      <c r="AD100" s="50">
        <v>0.0</v>
      </c>
      <c r="AE100" s="50">
        <v>0.0</v>
      </c>
      <c r="AF100" s="50">
        <v>0.0</v>
      </c>
      <c r="AG100" s="50">
        <v>0.0</v>
      </c>
      <c r="AH100" s="50">
        <v>0.0</v>
      </c>
      <c r="AI100" s="50">
        <v>0.0</v>
      </c>
      <c r="AJ100" s="50">
        <v>0.0</v>
      </c>
      <c r="AK100" s="50">
        <v>1.0</v>
      </c>
      <c r="AL100" s="48"/>
      <c r="AM100" s="50">
        <v>4.0</v>
      </c>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t="s">
        <v>3447</v>
      </c>
      <c r="CK100" s="50">
        <v>6.95969881E8</v>
      </c>
      <c r="CL100" s="48" t="s">
        <v>3448</v>
      </c>
      <c r="CM100" s="47">
        <v>46094.63707175926</v>
      </c>
      <c r="CN100" s="48"/>
      <c r="CO100" s="48"/>
      <c r="CP100" s="48" t="s">
        <v>1954</v>
      </c>
      <c r="CQ100" s="48"/>
      <c r="CR100" s="48" t="s">
        <v>3014</v>
      </c>
      <c r="CS100" s="48"/>
      <c r="CT100" s="48" t="s">
        <v>3449</v>
      </c>
      <c r="CU100" s="50">
        <v>99.0</v>
      </c>
    </row>
    <row r="101">
      <c r="A101" s="47">
        <v>46094.92870287037</v>
      </c>
      <c r="B101" s="47">
        <v>46094.9303302662</v>
      </c>
      <c r="C101" s="48" t="s">
        <v>3450</v>
      </c>
      <c r="D101" s="48" t="s">
        <v>3201</v>
      </c>
      <c r="E101" s="48" t="s">
        <v>3333</v>
      </c>
      <c r="F101" s="48" t="s">
        <v>3334</v>
      </c>
      <c r="G101" s="49" t="s">
        <v>3451</v>
      </c>
      <c r="H101" s="48" t="s">
        <v>2948</v>
      </c>
      <c r="I101" s="50">
        <v>0.0</v>
      </c>
      <c r="J101" s="50">
        <v>1.0</v>
      </c>
      <c r="K101" s="50">
        <v>0.0</v>
      </c>
      <c r="L101" s="50">
        <v>0.0</v>
      </c>
      <c r="M101" s="50">
        <v>0.0</v>
      </c>
      <c r="N101" s="50">
        <v>0.0</v>
      </c>
      <c r="O101" s="50">
        <v>0.0</v>
      </c>
      <c r="P101" s="50">
        <v>0.0</v>
      </c>
      <c r="Q101" s="50">
        <v>0.0</v>
      </c>
      <c r="R101" s="48" t="s">
        <v>2948</v>
      </c>
      <c r="S101" s="50">
        <v>0.0</v>
      </c>
      <c r="T101" s="50">
        <v>1.0</v>
      </c>
      <c r="U101" s="50">
        <v>0.0</v>
      </c>
      <c r="V101" s="50">
        <v>0.0</v>
      </c>
      <c r="W101" s="50">
        <v>0.0</v>
      </c>
      <c r="X101" s="50">
        <v>0.0</v>
      </c>
      <c r="Y101" s="50">
        <v>0.0</v>
      </c>
      <c r="Z101" s="50">
        <v>0.0</v>
      </c>
      <c r="AA101" s="50">
        <v>0.0</v>
      </c>
      <c r="AB101" s="48" t="s">
        <v>2948</v>
      </c>
      <c r="AC101" s="50">
        <v>0.0</v>
      </c>
      <c r="AD101" s="50">
        <v>1.0</v>
      </c>
      <c r="AE101" s="50">
        <v>0.0</v>
      </c>
      <c r="AF101" s="50">
        <v>0.0</v>
      </c>
      <c r="AG101" s="50">
        <v>0.0</v>
      </c>
      <c r="AH101" s="50">
        <v>0.0</v>
      </c>
      <c r="AI101" s="50">
        <v>0.0</v>
      </c>
      <c r="AJ101" s="50">
        <v>0.0</v>
      </c>
      <c r="AK101" s="50">
        <v>0.0</v>
      </c>
      <c r="AL101" s="48"/>
      <c r="AM101" s="48"/>
      <c r="AN101" s="50">
        <v>4.0</v>
      </c>
      <c r="AO101" s="48"/>
      <c r="AP101" s="48"/>
      <c r="AQ101" s="48"/>
      <c r="AR101" s="48"/>
      <c r="AS101" s="48"/>
      <c r="AT101" s="48"/>
      <c r="AU101" s="48"/>
      <c r="AV101" s="48"/>
      <c r="AW101" s="50">
        <v>7.0</v>
      </c>
      <c r="AX101" s="48"/>
      <c r="AY101" s="48"/>
      <c r="AZ101" s="48"/>
      <c r="BA101" s="48"/>
      <c r="BB101" s="48"/>
      <c r="BC101" s="48"/>
      <c r="BD101" s="48"/>
      <c r="BE101" s="48"/>
      <c r="BF101" s="48"/>
      <c r="BG101" s="48"/>
      <c r="BH101" s="50">
        <v>0.0</v>
      </c>
      <c r="BI101" s="50">
        <v>0.0</v>
      </c>
      <c r="BJ101" s="50">
        <v>2.0</v>
      </c>
      <c r="BK101" s="50">
        <v>0.0</v>
      </c>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50">
        <v>6.9597245E8</v>
      </c>
      <c r="CL101" s="48" t="s">
        <v>3452</v>
      </c>
      <c r="CM101" s="47">
        <v>46094.63866898148</v>
      </c>
      <c r="CN101" s="48"/>
      <c r="CO101" s="48"/>
      <c r="CP101" s="48" t="s">
        <v>1954</v>
      </c>
      <c r="CQ101" s="48"/>
      <c r="CR101" s="48" t="s">
        <v>3014</v>
      </c>
      <c r="CS101" s="48"/>
      <c r="CT101" s="48" t="s">
        <v>3453</v>
      </c>
      <c r="CU101" s="50">
        <v>100.0</v>
      </c>
    </row>
    <row r="102">
      <c r="A102" s="47">
        <v>46094.93033086805</v>
      </c>
      <c r="B102" s="47">
        <v>46094.93177489583</v>
      </c>
      <c r="C102" s="48" t="s">
        <v>3454</v>
      </c>
      <c r="D102" s="48" t="s">
        <v>3201</v>
      </c>
      <c r="E102" s="48" t="s">
        <v>3333</v>
      </c>
      <c r="F102" s="48" t="s">
        <v>3334</v>
      </c>
      <c r="G102" s="49" t="s">
        <v>3455</v>
      </c>
      <c r="H102" s="48" t="s">
        <v>2948</v>
      </c>
      <c r="I102" s="50">
        <v>0.0</v>
      </c>
      <c r="J102" s="50">
        <v>1.0</v>
      </c>
      <c r="K102" s="50">
        <v>0.0</v>
      </c>
      <c r="L102" s="50">
        <v>0.0</v>
      </c>
      <c r="M102" s="50">
        <v>0.0</v>
      </c>
      <c r="N102" s="50">
        <v>0.0</v>
      </c>
      <c r="O102" s="50">
        <v>0.0</v>
      </c>
      <c r="P102" s="50">
        <v>0.0</v>
      </c>
      <c r="Q102" s="50">
        <v>0.0</v>
      </c>
      <c r="R102" s="48" t="s">
        <v>2948</v>
      </c>
      <c r="S102" s="50">
        <v>0.0</v>
      </c>
      <c r="T102" s="50">
        <v>1.0</v>
      </c>
      <c r="U102" s="50">
        <v>0.0</v>
      </c>
      <c r="V102" s="50">
        <v>0.0</v>
      </c>
      <c r="W102" s="50">
        <v>0.0</v>
      </c>
      <c r="X102" s="50">
        <v>0.0</v>
      </c>
      <c r="Y102" s="50">
        <v>0.0</v>
      </c>
      <c r="Z102" s="50">
        <v>0.0</v>
      </c>
      <c r="AA102" s="50">
        <v>0.0</v>
      </c>
      <c r="AB102" s="48" t="s">
        <v>2948</v>
      </c>
      <c r="AC102" s="50">
        <v>0.0</v>
      </c>
      <c r="AD102" s="50">
        <v>1.0</v>
      </c>
      <c r="AE102" s="50">
        <v>0.0</v>
      </c>
      <c r="AF102" s="50">
        <v>0.0</v>
      </c>
      <c r="AG102" s="50">
        <v>0.0</v>
      </c>
      <c r="AH102" s="50">
        <v>0.0</v>
      </c>
      <c r="AI102" s="50">
        <v>0.0</v>
      </c>
      <c r="AJ102" s="50">
        <v>0.0</v>
      </c>
      <c r="AK102" s="50">
        <v>0.0</v>
      </c>
      <c r="AL102" s="48"/>
      <c r="AM102" s="48"/>
      <c r="AN102" s="50">
        <v>4.0</v>
      </c>
      <c r="AO102" s="48"/>
      <c r="AP102" s="48"/>
      <c r="AQ102" s="48"/>
      <c r="AR102" s="48"/>
      <c r="AS102" s="48"/>
      <c r="AT102" s="48"/>
      <c r="AU102" s="48"/>
      <c r="AV102" s="48"/>
      <c r="AW102" s="50">
        <v>4.0</v>
      </c>
      <c r="AX102" s="48"/>
      <c r="AY102" s="48"/>
      <c r="AZ102" s="48"/>
      <c r="BA102" s="48"/>
      <c r="BB102" s="48"/>
      <c r="BC102" s="48"/>
      <c r="BD102" s="48"/>
      <c r="BE102" s="48"/>
      <c r="BF102" s="48"/>
      <c r="BG102" s="48"/>
      <c r="BH102" s="50">
        <v>0.0</v>
      </c>
      <c r="BI102" s="50">
        <v>0.0</v>
      </c>
      <c r="BJ102" s="50">
        <v>1.0</v>
      </c>
      <c r="BK102" s="50">
        <v>0.0</v>
      </c>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50">
        <v>6.95974762E8</v>
      </c>
      <c r="CL102" s="48" t="s">
        <v>3456</v>
      </c>
      <c r="CM102" s="47">
        <v>46094.64011574074</v>
      </c>
      <c r="CN102" s="48"/>
      <c r="CO102" s="48"/>
      <c r="CP102" s="48" t="s">
        <v>1954</v>
      </c>
      <c r="CQ102" s="48"/>
      <c r="CR102" s="48" t="s">
        <v>3014</v>
      </c>
      <c r="CS102" s="48"/>
      <c r="CT102" s="48" t="s">
        <v>3457</v>
      </c>
      <c r="CU102" s="50">
        <v>101.0</v>
      </c>
    </row>
    <row r="103">
      <c r="A103" s="47">
        <v>46094.93177554398</v>
      </c>
      <c r="B103" s="47">
        <v>46094.93312609954</v>
      </c>
      <c r="C103" s="48" t="s">
        <v>3458</v>
      </c>
      <c r="D103" s="48" t="s">
        <v>3201</v>
      </c>
      <c r="E103" s="48" t="s">
        <v>3333</v>
      </c>
      <c r="F103" s="48" t="s">
        <v>3334</v>
      </c>
      <c r="G103" s="49" t="s">
        <v>3459</v>
      </c>
      <c r="H103" s="48" t="s">
        <v>2947</v>
      </c>
      <c r="I103" s="50">
        <v>1.0</v>
      </c>
      <c r="J103" s="50">
        <v>0.0</v>
      </c>
      <c r="K103" s="50">
        <v>0.0</v>
      </c>
      <c r="L103" s="50">
        <v>0.0</v>
      </c>
      <c r="M103" s="50">
        <v>0.0</v>
      </c>
      <c r="N103" s="50">
        <v>0.0</v>
      </c>
      <c r="O103" s="50">
        <v>0.0</v>
      </c>
      <c r="P103" s="50">
        <v>0.0</v>
      </c>
      <c r="Q103" s="50">
        <v>0.0</v>
      </c>
      <c r="R103" s="48" t="s">
        <v>2947</v>
      </c>
      <c r="S103" s="50">
        <v>1.0</v>
      </c>
      <c r="T103" s="50">
        <v>0.0</v>
      </c>
      <c r="U103" s="50">
        <v>0.0</v>
      </c>
      <c r="V103" s="50">
        <v>0.0</v>
      </c>
      <c r="W103" s="50">
        <v>0.0</v>
      </c>
      <c r="X103" s="50">
        <v>0.0</v>
      </c>
      <c r="Y103" s="50">
        <v>0.0</v>
      </c>
      <c r="Z103" s="50">
        <v>0.0</v>
      </c>
      <c r="AA103" s="50">
        <v>0.0</v>
      </c>
      <c r="AB103" s="48" t="s">
        <v>2947</v>
      </c>
      <c r="AC103" s="50">
        <v>1.0</v>
      </c>
      <c r="AD103" s="50">
        <v>0.0</v>
      </c>
      <c r="AE103" s="50">
        <v>0.0</v>
      </c>
      <c r="AF103" s="50">
        <v>0.0</v>
      </c>
      <c r="AG103" s="50">
        <v>0.0</v>
      </c>
      <c r="AH103" s="50">
        <v>0.0</v>
      </c>
      <c r="AI103" s="50">
        <v>0.0</v>
      </c>
      <c r="AJ103" s="50">
        <v>0.0</v>
      </c>
      <c r="AK103" s="50">
        <v>0.0</v>
      </c>
      <c r="AL103" s="48"/>
      <c r="AM103" s="50">
        <v>4.0</v>
      </c>
      <c r="AN103" s="48"/>
      <c r="AO103" s="48"/>
      <c r="AP103" s="48"/>
      <c r="AQ103" s="48"/>
      <c r="AR103" s="48"/>
      <c r="AS103" s="48"/>
      <c r="AT103" s="48"/>
      <c r="AU103" s="48"/>
      <c r="AV103" s="50">
        <v>1.0</v>
      </c>
      <c r="AW103" s="48"/>
      <c r="AX103" s="48"/>
      <c r="AY103" s="48"/>
      <c r="AZ103" s="48"/>
      <c r="BA103" s="48"/>
      <c r="BB103" s="48"/>
      <c r="BC103" s="48"/>
      <c r="BD103" s="50">
        <v>1.0</v>
      </c>
      <c r="BE103" s="50">
        <v>0.0</v>
      </c>
      <c r="BF103" s="50">
        <v>0.0</v>
      </c>
      <c r="BG103" s="50">
        <v>0.0</v>
      </c>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50">
        <v>6.95976926E8</v>
      </c>
      <c r="CL103" s="48" t="s">
        <v>3460</v>
      </c>
      <c r="CM103" s="47">
        <v>46094.64145833333</v>
      </c>
      <c r="CN103" s="48"/>
      <c r="CO103" s="48"/>
      <c r="CP103" s="48" t="s">
        <v>1954</v>
      </c>
      <c r="CQ103" s="48"/>
      <c r="CR103" s="48" t="s">
        <v>3014</v>
      </c>
      <c r="CS103" s="48"/>
      <c r="CT103" s="48" t="s">
        <v>3461</v>
      </c>
      <c r="CU103" s="50">
        <v>102.0</v>
      </c>
    </row>
    <row r="104">
      <c r="A104" s="47">
        <v>46094.93312675926</v>
      </c>
      <c r="B104" s="47">
        <v>46094.93484893518</v>
      </c>
      <c r="C104" s="48" t="s">
        <v>3462</v>
      </c>
      <c r="D104" s="48" t="s">
        <v>3201</v>
      </c>
      <c r="E104" s="48" t="s">
        <v>3333</v>
      </c>
      <c r="F104" s="48" t="s">
        <v>3463</v>
      </c>
      <c r="G104" s="49" t="s">
        <v>3464</v>
      </c>
      <c r="H104" s="48" t="s">
        <v>999</v>
      </c>
      <c r="I104" s="50">
        <v>0.0</v>
      </c>
      <c r="J104" s="50">
        <v>0.0</v>
      </c>
      <c r="K104" s="50">
        <v>0.0</v>
      </c>
      <c r="L104" s="50">
        <v>0.0</v>
      </c>
      <c r="M104" s="50">
        <v>0.0</v>
      </c>
      <c r="N104" s="50">
        <v>0.0</v>
      </c>
      <c r="O104" s="50">
        <v>0.0</v>
      </c>
      <c r="P104" s="50">
        <v>0.0</v>
      </c>
      <c r="Q104" s="50">
        <v>1.0</v>
      </c>
      <c r="R104" s="48" t="s">
        <v>3465</v>
      </c>
      <c r="S104" s="50">
        <v>0.0</v>
      </c>
      <c r="T104" s="50">
        <v>0.0</v>
      </c>
      <c r="U104" s="50">
        <v>0.0</v>
      </c>
      <c r="V104" s="50">
        <v>0.0</v>
      </c>
      <c r="W104" s="50">
        <v>0.0</v>
      </c>
      <c r="X104" s="50">
        <v>0.0</v>
      </c>
      <c r="Y104" s="50">
        <v>0.0</v>
      </c>
      <c r="Z104" s="50">
        <v>1.0</v>
      </c>
      <c r="AA104" s="50">
        <v>0.0</v>
      </c>
      <c r="AB104" s="48" t="s">
        <v>3465</v>
      </c>
      <c r="AC104" s="50">
        <v>0.0</v>
      </c>
      <c r="AD104" s="50">
        <v>0.0</v>
      </c>
      <c r="AE104" s="50">
        <v>0.0</v>
      </c>
      <c r="AF104" s="50">
        <v>0.0</v>
      </c>
      <c r="AG104" s="50">
        <v>0.0</v>
      </c>
      <c r="AH104" s="50">
        <v>0.0</v>
      </c>
      <c r="AI104" s="50">
        <v>0.0</v>
      </c>
      <c r="AJ104" s="50">
        <v>1.0</v>
      </c>
      <c r="AK104" s="50">
        <v>0.0</v>
      </c>
      <c r="AL104" s="48"/>
      <c r="AM104" s="48"/>
      <c r="AN104" s="48"/>
      <c r="AO104" s="48"/>
      <c r="AP104" s="48"/>
      <c r="AQ104" s="48"/>
      <c r="AR104" s="48"/>
      <c r="AS104" s="48"/>
      <c r="AT104" s="48"/>
      <c r="AU104" s="48"/>
      <c r="AV104" s="48"/>
      <c r="AW104" s="48"/>
      <c r="AX104" s="48"/>
      <c r="AY104" s="48"/>
      <c r="AZ104" s="48"/>
      <c r="BA104" s="48"/>
      <c r="BB104" s="48"/>
      <c r="BC104" s="50">
        <v>1000.0</v>
      </c>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50">
        <v>0.0</v>
      </c>
      <c r="CG104" s="50">
        <v>700.0</v>
      </c>
      <c r="CH104" s="50">
        <v>0.0</v>
      </c>
      <c r="CI104" s="50">
        <v>20.0</v>
      </c>
      <c r="CJ104" s="48" t="s">
        <v>3466</v>
      </c>
      <c r="CK104" s="50">
        <v>6.9597934E8</v>
      </c>
      <c r="CL104" s="48" t="s">
        <v>3467</v>
      </c>
      <c r="CM104" s="47">
        <v>46094.64318287037</v>
      </c>
      <c r="CN104" s="48"/>
      <c r="CO104" s="48"/>
      <c r="CP104" s="48" t="s">
        <v>1954</v>
      </c>
      <c r="CQ104" s="48"/>
      <c r="CR104" s="48" t="s">
        <v>3014</v>
      </c>
      <c r="CS104" s="48"/>
      <c r="CT104" s="48" t="s">
        <v>3468</v>
      </c>
      <c r="CU104" s="50">
        <v>103.0</v>
      </c>
    </row>
    <row r="105">
      <c r="A105" s="47">
        <v>46094.93484962963</v>
      </c>
      <c r="B105" s="47">
        <v>46094.93987710648</v>
      </c>
      <c r="C105" s="48" t="s">
        <v>3469</v>
      </c>
      <c r="D105" s="48" t="s">
        <v>3201</v>
      </c>
      <c r="E105" s="48" t="s">
        <v>3333</v>
      </c>
      <c r="F105" s="48" t="s">
        <v>3334</v>
      </c>
      <c r="G105" s="49" t="s">
        <v>3470</v>
      </c>
      <c r="H105" s="48" t="s">
        <v>2948</v>
      </c>
      <c r="I105" s="50">
        <v>0.0</v>
      </c>
      <c r="J105" s="50">
        <v>1.0</v>
      </c>
      <c r="K105" s="50">
        <v>0.0</v>
      </c>
      <c r="L105" s="50">
        <v>0.0</v>
      </c>
      <c r="M105" s="50">
        <v>0.0</v>
      </c>
      <c r="N105" s="50">
        <v>0.0</v>
      </c>
      <c r="O105" s="50">
        <v>0.0</v>
      </c>
      <c r="P105" s="50">
        <v>0.0</v>
      </c>
      <c r="Q105" s="50">
        <v>0.0</v>
      </c>
      <c r="R105" s="48" t="s">
        <v>2948</v>
      </c>
      <c r="S105" s="50">
        <v>0.0</v>
      </c>
      <c r="T105" s="50">
        <v>1.0</v>
      </c>
      <c r="U105" s="50">
        <v>0.0</v>
      </c>
      <c r="V105" s="50">
        <v>0.0</v>
      </c>
      <c r="W105" s="50">
        <v>0.0</v>
      </c>
      <c r="X105" s="50">
        <v>0.0</v>
      </c>
      <c r="Y105" s="50">
        <v>0.0</v>
      </c>
      <c r="Z105" s="50">
        <v>0.0</v>
      </c>
      <c r="AA105" s="50">
        <v>0.0</v>
      </c>
      <c r="AB105" s="48" t="s">
        <v>2948</v>
      </c>
      <c r="AC105" s="50">
        <v>0.0</v>
      </c>
      <c r="AD105" s="50">
        <v>1.0</v>
      </c>
      <c r="AE105" s="50">
        <v>0.0</v>
      </c>
      <c r="AF105" s="50">
        <v>0.0</v>
      </c>
      <c r="AG105" s="50">
        <v>0.0</v>
      </c>
      <c r="AH105" s="50">
        <v>0.0</v>
      </c>
      <c r="AI105" s="50">
        <v>0.0</v>
      </c>
      <c r="AJ105" s="50">
        <v>0.0</v>
      </c>
      <c r="AK105" s="50">
        <v>0.0</v>
      </c>
      <c r="AL105" s="48"/>
      <c r="AM105" s="48"/>
      <c r="AN105" s="50">
        <v>4.0</v>
      </c>
      <c r="AO105" s="48"/>
      <c r="AP105" s="48"/>
      <c r="AQ105" s="48"/>
      <c r="AR105" s="48"/>
      <c r="AS105" s="48"/>
      <c r="AT105" s="48"/>
      <c r="AU105" s="48"/>
      <c r="AV105" s="48"/>
      <c r="AW105" s="50">
        <v>2.0</v>
      </c>
      <c r="AX105" s="48"/>
      <c r="AY105" s="48"/>
      <c r="AZ105" s="48"/>
      <c r="BA105" s="48"/>
      <c r="BB105" s="48"/>
      <c r="BC105" s="48"/>
      <c r="BD105" s="48"/>
      <c r="BE105" s="48"/>
      <c r="BF105" s="48"/>
      <c r="BG105" s="48"/>
      <c r="BH105" s="50">
        <v>0.0</v>
      </c>
      <c r="BI105" s="50">
        <v>0.0</v>
      </c>
      <c r="BJ105" s="50">
        <v>1.0</v>
      </c>
      <c r="BK105" s="50">
        <v>0.0</v>
      </c>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50">
        <v>6.95986658E8</v>
      </c>
      <c r="CL105" s="48" t="s">
        <v>3471</v>
      </c>
      <c r="CM105" s="47">
        <v>46094.64826388889</v>
      </c>
      <c r="CN105" s="48"/>
      <c r="CO105" s="48"/>
      <c r="CP105" s="48" t="s">
        <v>1954</v>
      </c>
      <c r="CQ105" s="48"/>
      <c r="CR105" s="48" t="s">
        <v>3014</v>
      </c>
      <c r="CS105" s="48"/>
      <c r="CT105" s="48" t="s">
        <v>3472</v>
      </c>
      <c r="CU105" s="50">
        <v>104.0</v>
      </c>
    </row>
    <row r="106">
      <c r="A106" s="47">
        <v>46094.93987828703</v>
      </c>
      <c r="B106" s="47">
        <v>46094.94137629629</v>
      </c>
      <c r="C106" s="48" t="s">
        <v>3473</v>
      </c>
      <c r="D106" s="48" t="s">
        <v>3201</v>
      </c>
      <c r="E106" s="48" t="s">
        <v>3333</v>
      </c>
      <c r="F106" s="48" t="s">
        <v>3334</v>
      </c>
      <c r="G106" s="49" t="s">
        <v>3474</v>
      </c>
      <c r="H106" s="48" t="s">
        <v>2948</v>
      </c>
      <c r="I106" s="50">
        <v>0.0</v>
      </c>
      <c r="J106" s="50">
        <v>1.0</v>
      </c>
      <c r="K106" s="50">
        <v>0.0</v>
      </c>
      <c r="L106" s="50">
        <v>0.0</v>
      </c>
      <c r="M106" s="50">
        <v>0.0</v>
      </c>
      <c r="N106" s="50">
        <v>0.0</v>
      </c>
      <c r="O106" s="50">
        <v>0.0</v>
      </c>
      <c r="P106" s="50">
        <v>0.0</v>
      </c>
      <c r="Q106" s="50">
        <v>0.0</v>
      </c>
      <c r="R106" s="48" t="s">
        <v>2948</v>
      </c>
      <c r="S106" s="50">
        <v>0.0</v>
      </c>
      <c r="T106" s="50">
        <v>1.0</v>
      </c>
      <c r="U106" s="50">
        <v>0.0</v>
      </c>
      <c r="V106" s="50">
        <v>0.0</v>
      </c>
      <c r="W106" s="50">
        <v>0.0</v>
      </c>
      <c r="X106" s="50">
        <v>0.0</v>
      </c>
      <c r="Y106" s="50">
        <v>0.0</v>
      </c>
      <c r="Z106" s="50">
        <v>0.0</v>
      </c>
      <c r="AA106" s="50">
        <v>0.0</v>
      </c>
      <c r="AB106" s="48" t="s">
        <v>2948</v>
      </c>
      <c r="AC106" s="50">
        <v>0.0</v>
      </c>
      <c r="AD106" s="50">
        <v>1.0</v>
      </c>
      <c r="AE106" s="50">
        <v>0.0</v>
      </c>
      <c r="AF106" s="50">
        <v>0.0</v>
      </c>
      <c r="AG106" s="50">
        <v>0.0</v>
      </c>
      <c r="AH106" s="50">
        <v>0.0</v>
      </c>
      <c r="AI106" s="50">
        <v>0.0</v>
      </c>
      <c r="AJ106" s="50">
        <v>0.0</v>
      </c>
      <c r="AK106" s="50">
        <v>0.0</v>
      </c>
      <c r="AL106" s="48"/>
      <c r="AM106" s="48"/>
      <c r="AN106" s="50">
        <v>3.0</v>
      </c>
      <c r="AO106" s="48"/>
      <c r="AP106" s="48"/>
      <c r="AQ106" s="48"/>
      <c r="AR106" s="48"/>
      <c r="AS106" s="48"/>
      <c r="AT106" s="48"/>
      <c r="AU106" s="48"/>
      <c r="AV106" s="48"/>
      <c r="AW106" s="50">
        <v>3.0</v>
      </c>
      <c r="AX106" s="48"/>
      <c r="AY106" s="48"/>
      <c r="AZ106" s="48"/>
      <c r="BA106" s="48"/>
      <c r="BB106" s="48"/>
      <c r="BC106" s="48"/>
      <c r="BD106" s="48"/>
      <c r="BE106" s="48"/>
      <c r="BF106" s="48"/>
      <c r="BG106" s="48"/>
      <c r="BH106" s="50">
        <v>1.0</v>
      </c>
      <c r="BI106" s="50">
        <v>1.0</v>
      </c>
      <c r="BJ106" s="50">
        <v>0.0</v>
      </c>
      <c r="BK106" s="50">
        <v>0.0</v>
      </c>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50">
        <v>6.95988326E8</v>
      </c>
      <c r="CL106" s="48" t="s">
        <v>3475</v>
      </c>
      <c r="CM106" s="47">
        <v>46094.64971064815</v>
      </c>
      <c r="CN106" s="48"/>
      <c r="CO106" s="48"/>
      <c r="CP106" s="48" t="s">
        <v>1954</v>
      </c>
      <c r="CQ106" s="48"/>
      <c r="CR106" s="48" t="s">
        <v>3014</v>
      </c>
      <c r="CS106" s="48"/>
      <c r="CT106" s="48" t="s">
        <v>3476</v>
      </c>
      <c r="CU106" s="50">
        <v>105.0</v>
      </c>
    </row>
    <row r="107">
      <c r="A107" s="47">
        <v>46094.94137695602</v>
      </c>
      <c r="B107" s="47">
        <v>46094.94401373842</v>
      </c>
      <c r="C107" s="48" t="s">
        <v>3477</v>
      </c>
      <c r="D107" s="48" t="s">
        <v>3201</v>
      </c>
      <c r="E107" s="48" t="s">
        <v>3333</v>
      </c>
      <c r="F107" s="48" t="s">
        <v>3478</v>
      </c>
      <c r="G107" s="49" t="s">
        <v>3479</v>
      </c>
      <c r="H107" s="48" t="s">
        <v>999</v>
      </c>
      <c r="I107" s="50">
        <v>0.0</v>
      </c>
      <c r="J107" s="50">
        <v>0.0</v>
      </c>
      <c r="K107" s="50">
        <v>0.0</v>
      </c>
      <c r="L107" s="50">
        <v>0.0</v>
      </c>
      <c r="M107" s="50">
        <v>0.0</v>
      </c>
      <c r="N107" s="50">
        <v>0.0</v>
      </c>
      <c r="O107" s="50">
        <v>0.0</v>
      </c>
      <c r="P107" s="50">
        <v>0.0</v>
      </c>
      <c r="Q107" s="50">
        <v>1.0</v>
      </c>
      <c r="R107" s="48" t="s">
        <v>3480</v>
      </c>
      <c r="S107" s="50">
        <v>0.0</v>
      </c>
      <c r="T107" s="50">
        <v>0.0</v>
      </c>
      <c r="U107" s="50">
        <v>0.0</v>
      </c>
      <c r="V107" s="50">
        <v>0.0</v>
      </c>
      <c r="W107" s="50">
        <v>0.0</v>
      </c>
      <c r="X107" s="50">
        <v>1.0</v>
      </c>
      <c r="Y107" s="50">
        <v>0.0</v>
      </c>
      <c r="Z107" s="50">
        <v>0.0</v>
      </c>
      <c r="AA107" s="50">
        <v>0.0</v>
      </c>
      <c r="AB107" s="48" t="s">
        <v>3480</v>
      </c>
      <c r="AC107" s="50">
        <v>0.0</v>
      </c>
      <c r="AD107" s="50">
        <v>0.0</v>
      </c>
      <c r="AE107" s="50">
        <v>0.0</v>
      </c>
      <c r="AF107" s="50">
        <v>0.0</v>
      </c>
      <c r="AG107" s="50">
        <v>0.0</v>
      </c>
      <c r="AH107" s="50">
        <v>1.0</v>
      </c>
      <c r="AI107" s="50">
        <v>0.0</v>
      </c>
      <c r="AJ107" s="50">
        <v>0.0</v>
      </c>
      <c r="AK107" s="50">
        <v>0.0</v>
      </c>
      <c r="AL107" s="48"/>
      <c r="AM107" s="48"/>
      <c r="AN107" s="48"/>
      <c r="AO107" s="48"/>
      <c r="AP107" s="48"/>
      <c r="AQ107" s="48"/>
      <c r="AR107" s="48"/>
      <c r="AS107" s="48"/>
      <c r="AT107" s="48"/>
      <c r="AU107" s="48"/>
      <c r="AV107" s="48"/>
      <c r="AW107" s="48"/>
      <c r="AX107" s="48"/>
      <c r="AY107" s="48"/>
      <c r="AZ107" s="48"/>
      <c r="BA107" s="50">
        <v>20.0</v>
      </c>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50">
        <v>1.0</v>
      </c>
      <c r="BY107" s="50">
        <v>0.0</v>
      </c>
      <c r="BZ107" s="50">
        <v>5.0</v>
      </c>
      <c r="CA107" s="50">
        <v>0.0</v>
      </c>
      <c r="CB107" s="48"/>
      <c r="CC107" s="48"/>
      <c r="CD107" s="48"/>
      <c r="CE107" s="48"/>
      <c r="CF107" s="48"/>
      <c r="CG107" s="48"/>
      <c r="CH107" s="48"/>
      <c r="CI107" s="48"/>
      <c r="CJ107" s="48" t="s">
        <v>3481</v>
      </c>
      <c r="CK107" s="50">
        <v>6.95991047E8</v>
      </c>
      <c r="CL107" s="48" t="s">
        <v>3482</v>
      </c>
      <c r="CM107" s="47">
        <v>46094.65234953703</v>
      </c>
      <c r="CN107" s="48"/>
      <c r="CO107" s="48"/>
      <c r="CP107" s="48" t="s">
        <v>1954</v>
      </c>
      <c r="CQ107" s="48"/>
      <c r="CR107" s="48" t="s">
        <v>3014</v>
      </c>
      <c r="CS107" s="48"/>
      <c r="CT107" s="48" t="s">
        <v>3483</v>
      </c>
      <c r="CU107" s="50">
        <v>106.0</v>
      </c>
    </row>
    <row r="108">
      <c r="A108" s="47">
        <v>46094.94401444445</v>
      </c>
      <c r="B108" s="47">
        <v>46094.94587913194</v>
      </c>
      <c r="C108" s="48" t="s">
        <v>3484</v>
      </c>
      <c r="D108" s="48" t="s">
        <v>3201</v>
      </c>
      <c r="E108" s="48" t="s">
        <v>3333</v>
      </c>
      <c r="F108" s="48" t="s">
        <v>3334</v>
      </c>
      <c r="G108" s="49" t="s">
        <v>3485</v>
      </c>
      <c r="H108" s="48" t="s">
        <v>2947</v>
      </c>
      <c r="I108" s="50">
        <v>1.0</v>
      </c>
      <c r="J108" s="50">
        <v>0.0</v>
      </c>
      <c r="K108" s="50">
        <v>0.0</v>
      </c>
      <c r="L108" s="50">
        <v>0.0</v>
      </c>
      <c r="M108" s="50">
        <v>0.0</v>
      </c>
      <c r="N108" s="50">
        <v>0.0</v>
      </c>
      <c r="O108" s="50">
        <v>0.0</v>
      </c>
      <c r="P108" s="50">
        <v>0.0</v>
      </c>
      <c r="Q108" s="50">
        <v>0.0</v>
      </c>
      <c r="R108" s="48" t="s">
        <v>2947</v>
      </c>
      <c r="S108" s="50">
        <v>1.0</v>
      </c>
      <c r="T108" s="50">
        <v>0.0</v>
      </c>
      <c r="U108" s="50">
        <v>0.0</v>
      </c>
      <c r="V108" s="50">
        <v>0.0</v>
      </c>
      <c r="W108" s="50">
        <v>0.0</v>
      </c>
      <c r="X108" s="50">
        <v>0.0</v>
      </c>
      <c r="Y108" s="50">
        <v>0.0</v>
      </c>
      <c r="Z108" s="50">
        <v>0.0</v>
      </c>
      <c r="AA108" s="50">
        <v>0.0</v>
      </c>
      <c r="AB108" s="48" t="s">
        <v>2947</v>
      </c>
      <c r="AC108" s="50">
        <v>1.0</v>
      </c>
      <c r="AD108" s="50">
        <v>0.0</v>
      </c>
      <c r="AE108" s="50">
        <v>0.0</v>
      </c>
      <c r="AF108" s="50">
        <v>0.0</v>
      </c>
      <c r="AG108" s="50">
        <v>0.0</v>
      </c>
      <c r="AH108" s="50">
        <v>0.0</v>
      </c>
      <c r="AI108" s="50">
        <v>0.0</v>
      </c>
      <c r="AJ108" s="50">
        <v>0.0</v>
      </c>
      <c r="AK108" s="50">
        <v>0.0</v>
      </c>
      <c r="AL108" s="48"/>
      <c r="AM108" s="50">
        <v>4.0</v>
      </c>
      <c r="AN108" s="48"/>
      <c r="AO108" s="48"/>
      <c r="AP108" s="48"/>
      <c r="AQ108" s="48"/>
      <c r="AR108" s="48"/>
      <c r="AS108" s="48"/>
      <c r="AT108" s="48"/>
      <c r="AU108" s="48"/>
      <c r="AV108" s="50">
        <v>3.0</v>
      </c>
      <c r="AW108" s="48"/>
      <c r="AX108" s="48"/>
      <c r="AY108" s="48"/>
      <c r="AZ108" s="48"/>
      <c r="BA108" s="48"/>
      <c r="BB108" s="48"/>
      <c r="BC108" s="48"/>
      <c r="BD108" s="50">
        <v>1.0</v>
      </c>
      <c r="BE108" s="50">
        <v>0.0</v>
      </c>
      <c r="BF108" s="50">
        <v>0.0</v>
      </c>
      <c r="BG108" s="50">
        <v>0.0</v>
      </c>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50">
        <v>6.95993767E8</v>
      </c>
      <c r="CL108" s="48" t="s">
        <v>3486</v>
      </c>
      <c r="CM108" s="47">
        <v>46094.65422453704</v>
      </c>
      <c r="CN108" s="48"/>
      <c r="CO108" s="48"/>
      <c r="CP108" s="48" t="s">
        <v>1954</v>
      </c>
      <c r="CQ108" s="48"/>
      <c r="CR108" s="48" t="s">
        <v>3014</v>
      </c>
      <c r="CS108" s="48"/>
      <c r="CT108" s="48" t="s">
        <v>3487</v>
      </c>
      <c r="CU108" s="50">
        <v>107.0</v>
      </c>
    </row>
    <row r="109">
      <c r="A109" s="47">
        <v>46094.94587983796</v>
      </c>
      <c r="B109" s="47">
        <v>46094.94778559028</v>
      </c>
      <c r="C109" s="48" t="s">
        <v>3488</v>
      </c>
      <c r="D109" s="48" t="s">
        <v>3201</v>
      </c>
      <c r="E109" s="48" t="s">
        <v>3333</v>
      </c>
      <c r="F109" s="48" t="s">
        <v>3334</v>
      </c>
      <c r="G109" s="49" t="s">
        <v>3489</v>
      </c>
      <c r="H109" s="48" t="s">
        <v>2947</v>
      </c>
      <c r="I109" s="50">
        <v>1.0</v>
      </c>
      <c r="J109" s="50">
        <v>0.0</v>
      </c>
      <c r="K109" s="50">
        <v>0.0</v>
      </c>
      <c r="L109" s="50">
        <v>0.0</v>
      </c>
      <c r="M109" s="50">
        <v>0.0</v>
      </c>
      <c r="N109" s="50">
        <v>0.0</v>
      </c>
      <c r="O109" s="50">
        <v>0.0</v>
      </c>
      <c r="P109" s="50">
        <v>0.0</v>
      </c>
      <c r="Q109" s="50">
        <v>0.0</v>
      </c>
      <c r="R109" s="48" t="s">
        <v>2947</v>
      </c>
      <c r="S109" s="50">
        <v>1.0</v>
      </c>
      <c r="T109" s="50">
        <v>0.0</v>
      </c>
      <c r="U109" s="50">
        <v>0.0</v>
      </c>
      <c r="V109" s="50">
        <v>0.0</v>
      </c>
      <c r="W109" s="50">
        <v>0.0</v>
      </c>
      <c r="X109" s="50">
        <v>0.0</v>
      </c>
      <c r="Y109" s="50">
        <v>0.0</v>
      </c>
      <c r="Z109" s="50">
        <v>0.0</v>
      </c>
      <c r="AA109" s="50">
        <v>0.0</v>
      </c>
      <c r="AB109" s="48" t="s">
        <v>999</v>
      </c>
      <c r="AC109" s="50">
        <v>0.0</v>
      </c>
      <c r="AD109" s="50">
        <v>0.0</v>
      </c>
      <c r="AE109" s="50">
        <v>0.0</v>
      </c>
      <c r="AF109" s="50">
        <v>0.0</v>
      </c>
      <c r="AG109" s="50">
        <v>0.0</v>
      </c>
      <c r="AH109" s="50">
        <v>0.0</v>
      </c>
      <c r="AI109" s="50">
        <v>0.0</v>
      </c>
      <c r="AJ109" s="50">
        <v>0.0</v>
      </c>
      <c r="AK109" s="50">
        <v>1.0</v>
      </c>
      <c r="AL109" s="48"/>
      <c r="AM109" s="50">
        <v>3.0</v>
      </c>
      <c r="AN109" s="48"/>
      <c r="AO109" s="48"/>
      <c r="AP109" s="48"/>
      <c r="AQ109" s="48"/>
      <c r="AR109" s="48"/>
      <c r="AS109" s="48"/>
      <c r="AT109" s="48"/>
      <c r="AU109" s="48"/>
      <c r="AV109" s="50">
        <v>3.0</v>
      </c>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t="s">
        <v>3490</v>
      </c>
      <c r="CK109" s="50">
        <v>6.95996345E8</v>
      </c>
      <c r="CL109" s="48" t="s">
        <v>3491</v>
      </c>
      <c r="CM109" s="47">
        <v>46094.65612268518</v>
      </c>
      <c r="CN109" s="48"/>
      <c r="CO109" s="48"/>
      <c r="CP109" s="48" t="s">
        <v>1954</v>
      </c>
      <c r="CQ109" s="48"/>
      <c r="CR109" s="48" t="s">
        <v>3014</v>
      </c>
      <c r="CS109" s="48"/>
      <c r="CT109" s="48" t="s">
        <v>3492</v>
      </c>
      <c r="CU109" s="50">
        <v>108.0</v>
      </c>
    </row>
    <row r="110">
      <c r="A110" s="47">
        <v>46094.9477862963</v>
      </c>
      <c r="B110" s="47">
        <v>46094.95024527777</v>
      </c>
      <c r="C110" s="48" t="s">
        <v>3493</v>
      </c>
      <c r="D110" s="48" t="s">
        <v>3201</v>
      </c>
      <c r="E110" s="48" t="s">
        <v>3333</v>
      </c>
      <c r="F110" s="48" t="s">
        <v>3334</v>
      </c>
      <c r="G110" s="49" t="s">
        <v>3494</v>
      </c>
      <c r="H110" s="48" t="s">
        <v>2947</v>
      </c>
      <c r="I110" s="50">
        <v>1.0</v>
      </c>
      <c r="J110" s="50">
        <v>0.0</v>
      </c>
      <c r="K110" s="50">
        <v>0.0</v>
      </c>
      <c r="L110" s="50">
        <v>0.0</v>
      </c>
      <c r="M110" s="50">
        <v>0.0</v>
      </c>
      <c r="N110" s="50">
        <v>0.0</v>
      </c>
      <c r="O110" s="50">
        <v>0.0</v>
      </c>
      <c r="P110" s="50">
        <v>0.0</v>
      </c>
      <c r="Q110" s="50">
        <v>0.0</v>
      </c>
      <c r="R110" s="48" t="s">
        <v>2947</v>
      </c>
      <c r="S110" s="50">
        <v>1.0</v>
      </c>
      <c r="T110" s="50">
        <v>0.0</v>
      </c>
      <c r="U110" s="50">
        <v>0.0</v>
      </c>
      <c r="V110" s="50">
        <v>0.0</v>
      </c>
      <c r="W110" s="50">
        <v>0.0</v>
      </c>
      <c r="X110" s="50">
        <v>0.0</v>
      </c>
      <c r="Y110" s="50">
        <v>0.0</v>
      </c>
      <c r="Z110" s="50">
        <v>0.0</v>
      </c>
      <c r="AA110" s="50">
        <v>0.0</v>
      </c>
      <c r="AB110" s="48" t="s">
        <v>999</v>
      </c>
      <c r="AC110" s="50">
        <v>0.0</v>
      </c>
      <c r="AD110" s="50">
        <v>0.0</v>
      </c>
      <c r="AE110" s="50">
        <v>0.0</v>
      </c>
      <c r="AF110" s="50">
        <v>0.0</v>
      </c>
      <c r="AG110" s="50">
        <v>0.0</v>
      </c>
      <c r="AH110" s="50">
        <v>0.0</v>
      </c>
      <c r="AI110" s="50">
        <v>0.0</v>
      </c>
      <c r="AJ110" s="50">
        <v>0.0</v>
      </c>
      <c r="AK110" s="50">
        <v>1.0</v>
      </c>
      <c r="AL110" s="48"/>
      <c r="AM110" s="50">
        <v>2.0</v>
      </c>
      <c r="AN110" s="48"/>
      <c r="AO110" s="48"/>
      <c r="AP110" s="48"/>
      <c r="AQ110" s="48"/>
      <c r="AR110" s="48"/>
      <c r="AS110" s="48"/>
      <c r="AT110" s="48"/>
      <c r="AU110" s="48"/>
      <c r="AV110" s="50">
        <v>2.0</v>
      </c>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50">
        <v>6.9599938E8</v>
      </c>
      <c r="CL110" s="48" t="s">
        <v>3495</v>
      </c>
      <c r="CM110" s="47">
        <v>46094.65857638889</v>
      </c>
      <c r="CN110" s="48"/>
      <c r="CO110" s="48"/>
      <c r="CP110" s="48" t="s">
        <v>1954</v>
      </c>
      <c r="CQ110" s="48"/>
      <c r="CR110" s="48" t="s">
        <v>3014</v>
      </c>
      <c r="CS110" s="48"/>
      <c r="CT110" s="48" t="s">
        <v>3496</v>
      </c>
      <c r="CU110" s="50">
        <v>109.0</v>
      </c>
    </row>
    <row r="111">
      <c r="A111" s="47">
        <v>46094.95024601852</v>
      </c>
      <c r="B111" s="47">
        <v>46094.95182131945</v>
      </c>
      <c r="C111" s="48" t="s">
        <v>3497</v>
      </c>
      <c r="D111" s="48" t="s">
        <v>3201</v>
      </c>
      <c r="E111" s="48" t="s">
        <v>3333</v>
      </c>
      <c r="F111" s="48" t="s">
        <v>3334</v>
      </c>
      <c r="G111" s="49" t="s">
        <v>3498</v>
      </c>
      <c r="H111" s="48" t="s">
        <v>2948</v>
      </c>
      <c r="I111" s="50">
        <v>0.0</v>
      </c>
      <c r="J111" s="50">
        <v>1.0</v>
      </c>
      <c r="K111" s="50">
        <v>0.0</v>
      </c>
      <c r="L111" s="50">
        <v>0.0</v>
      </c>
      <c r="M111" s="50">
        <v>0.0</v>
      </c>
      <c r="N111" s="50">
        <v>0.0</v>
      </c>
      <c r="O111" s="50">
        <v>0.0</v>
      </c>
      <c r="P111" s="50">
        <v>0.0</v>
      </c>
      <c r="Q111" s="50">
        <v>0.0</v>
      </c>
      <c r="R111" s="48" t="s">
        <v>2948</v>
      </c>
      <c r="S111" s="50">
        <v>0.0</v>
      </c>
      <c r="T111" s="50">
        <v>1.0</v>
      </c>
      <c r="U111" s="50">
        <v>0.0</v>
      </c>
      <c r="V111" s="50">
        <v>0.0</v>
      </c>
      <c r="W111" s="50">
        <v>0.0</v>
      </c>
      <c r="X111" s="50">
        <v>0.0</v>
      </c>
      <c r="Y111" s="50">
        <v>0.0</v>
      </c>
      <c r="Z111" s="50">
        <v>0.0</v>
      </c>
      <c r="AA111" s="50">
        <v>0.0</v>
      </c>
      <c r="AB111" s="48" t="s">
        <v>2948</v>
      </c>
      <c r="AC111" s="50">
        <v>0.0</v>
      </c>
      <c r="AD111" s="50">
        <v>1.0</v>
      </c>
      <c r="AE111" s="50">
        <v>0.0</v>
      </c>
      <c r="AF111" s="50">
        <v>0.0</v>
      </c>
      <c r="AG111" s="50">
        <v>0.0</v>
      </c>
      <c r="AH111" s="50">
        <v>0.0</v>
      </c>
      <c r="AI111" s="50">
        <v>0.0</v>
      </c>
      <c r="AJ111" s="50">
        <v>0.0</v>
      </c>
      <c r="AK111" s="50">
        <v>0.0</v>
      </c>
      <c r="AL111" s="48"/>
      <c r="AM111" s="48"/>
      <c r="AN111" s="50">
        <v>7.0</v>
      </c>
      <c r="AO111" s="48"/>
      <c r="AP111" s="48"/>
      <c r="AQ111" s="48"/>
      <c r="AR111" s="48"/>
      <c r="AS111" s="48"/>
      <c r="AT111" s="48"/>
      <c r="AU111" s="48"/>
      <c r="AV111" s="48"/>
      <c r="AW111" s="50">
        <v>2.0</v>
      </c>
      <c r="AX111" s="48"/>
      <c r="AY111" s="48"/>
      <c r="AZ111" s="48"/>
      <c r="BA111" s="48"/>
      <c r="BB111" s="48"/>
      <c r="BC111" s="48"/>
      <c r="BD111" s="48"/>
      <c r="BE111" s="48"/>
      <c r="BF111" s="48"/>
      <c r="BG111" s="48"/>
      <c r="BH111" s="50">
        <v>0.0</v>
      </c>
      <c r="BI111" s="50">
        <v>0.0</v>
      </c>
      <c r="BJ111" s="50">
        <v>1.0</v>
      </c>
      <c r="BK111" s="50">
        <v>0.0</v>
      </c>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50">
        <v>6.96000893E8</v>
      </c>
      <c r="CL111" s="48" t="s">
        <v>3499</v>
      </c>
      <c r="CM111" s="47">
        <v>46094.66016203703</v>
      </c>
      <c r="CN111" s="48"/>
      <c r="CO111" s="48"/>
      <c r="CP111" s="48" t="s">
        <v>1954</v>
      </c>
      <c r="CQ111" s="48"/>
      <c r="CR111" s="48" t="s">
        <v>3014</v>
      </c>
      <c r="CS111" s="48"/>
      <c r="CT111" s="48" t="s">
        <v>3500</v>
      </c>
      <c r="CU111" s="50">
        <v>110.0</v>
      </c>
    </row>
    <row r="112">
      <c r="A112" s="47">
        <v>46094.95182210648</v>
      </c>
      <c r="B112" s="47">
        <v>46094.95397518518</v>
      </c>
      <c r="C112" s="48" t="s">
        <v>3501</v>
      </c>
      <c r="D112" s="48" t="s">
        <v>3201</v>
      </c>
      <c r="E112" s="48" t="s">
        <v>3333</v>
      </c>
      <c r="F112" s="48" t="s">
        <v>3463</v>
      </c>
      <c r="G112" s="49" t="s">
        <v>3502</v>
      </c>
      <c r="H112" s="48" t="s">
        <v>2947</v>
      </c>
      <c r="I112" s="50">
        <v>1.0</v>
      </c>
      <c r="J112" s="50">
        <v>0.0</v>
      </c>
      <c r="K112" s="50">
        <v>0.0</v>
      </c>
      <c r="L112" s="50">
        <v>0.0</v>
      </c>
      <c r="M112" s="50">
        <v>0.0</v>
      </c>
      <c r="N112" s="50">
        <v>0.0</v>
      </c>
      <c r="O112" s="50">
        <v>0.0</v>
      </c>
      <c r="P112" s="50">
        <v>0.0</v>
      </c>
      <c r="Q112" s="50">
        <v>0.0</v>
      </c>
      <c r="R112" s="48" t="s">
        <v>999</v>
      </c>
      <c r="S112" s="50">
        <v>0.0</v>
      </c>
      <c r="T112" s="50">
        <v>0.0</v>
      </c>
      <c r="U112" s="50">
        <v>0.0</v>
      </c>
      <c r="V112" s="50">
        <v>0.0</v>
      </c>
      <c r="W112" s="50">
        <v>0.0</v>
      </c>
      <c r="X112" s="50">
        <v>0.0</v>
      </c>
      <c r="Y112" s="50">
        <v>0.0</v>
      </c>
      <c r="Z112" s="50">
        <v>0.0</v>
      </c>
      <c r="AA112" s="50">
        <v>1.0</v>
      </c>
      <c r="AB112" s="48" t="s">
        <v>2947</v>
      </c>
      <c r="AC112" s="50">
        <v>1.0</v>
      </c>
      <c r="AD112" s="50">
        <v>0.0</v>
      </c>
      <c r="AE112" s="50">
        <v>0.0</v>
      </c>
      <c r="AF112" s="50">
        <v>0.0</v>
      </c>
      <c r="AG112" s="50">
        <v>0.0</v>
      </c>
      <c r="AH112" s="50">
        <v>0.0</v>
      </c>
      <c r="AI112" s="50">
        <v>0.0</v>
      </c>
      <c r="AJ112" s="50">
        <v>0.0</v>
      </c>
      <c r="AK112" s="50">
        <v>0.0</v>
      </c>
      <c r="AL112" s="48"/>
      <c r="AM112" s="50">
        <v>1.0</v>
      </c>
      <c r="AN112" s="48"/>
      <c r="AO112" s="48"/>
      <c r="AP112" s="48"/>
      <c r="AQ112" s="48"/>
      <c r="AR112" s="48"/>
      <c r="AS112" s="48"/>
      <c r="AT112" s="48"/>
      <c r="AU112" s="48"/>
      <c r="AV112" s="48"/>
      <c r="AW112" s="48"/>
      <c r="AX112" s="48"/>
      <c r="AY112" s="48"/>
      <c r="AZ112" s="48"/>
      <c r="BA112" s="48"/>
      <c r="BB112" s="48"/>
      <c r="BC112" s="48"/>
      <c r="BD112" s="50">
        <v>2.0</v>
      </c>
      <c r="BE112" s="50">
        <v>0.0</v>
      </c>
      <c r="BF112" s="50">
        <v>0.0</v>
      </c>
      <c r="BG112" s="50">
        <v>0.0</v>
      </c>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50">
        <v>6.96003074E8</v>
      </c>
      <c r="CL112" s="48" t="s">
        <v>3503</v>
      </c>
      <c r="CM112" s="47">
        <v>46094.66231481481</v>
      </c>
      <c r="CN112" s="48"/>
      <c r="CO112" s="48"/>
      <c r="CP112" s="48" t="s">
        <v>1954</v>
      </c>
      <c r="CQ112" s="48"/>
      <c r="CR112" s="48" t="s">
        <v>3014</v>
      </c>
      <c r="CS112" s="48"/>
      <c r="CT112" s="48" t="s">
        <v>3504</v>
      </c>
      <c r="CU112" s="50">
        <v>111.0</v>
      </c>
    </row>
    <row r="113">
      <c r="A113" s="47">
        <v>46094.95397599537</v>
      </c>
      <c r="B113" s="47">
        <v>46094.95605016204</v>
      </c>
      <c r="C113" s="48" t="s">
        <v>3505</v>
      </c>
      <c r="D113" s="48" t="s">
        <v>3201</v>
      </c>
      <c r="E113" s="48" t="s">
        <v>3333</v>
      </c>
      <c r="F113" s="48" t="s">
        <v>3334</v>
      </c>
      <c r="G113" s="49" t="s">
        <v>3506</v>
      </c>
      <c r="H113" s="48" t="s">
        <v>2947</v>
      </c>
      <c r="I113" s="50">
        <v>1.0</v>
      </c>
      <c r="J113" s="50">
        <v>0.0</v>
      </c>
      <c r="K113" s="50">
        <v>0.0</v>
      </c>
      <c r="L113" s="50">
        <v>0.0</v>
      </c>
      <c r="M113" s="50">
        <v>0.0</v>
      </c>
      <c r="N113" s="50">
        <v>0.0</v>
      </c>
      <c r="O113" s="50">
        <v>0.0</v>
      </c>
      <c r="P113" s="50">
        <v>0.0</v>
      </c>
      <c r="Q113" s="50">
        <v>0.0</v>
      </c>
      <c r="R113" s="48" t="s">
        <v>2947</v>
      </c>
      <c r="S113" s="50">
        <v>1.0</v>
      </c>
      <c r="T113" s="50">
        <v>0.0</v>
      </c>
      <c r="U113" s="50">
        <v>0.0</v>
      </c>
      <c r="V113" s="50">
        <v>0.0</v>
      </c>
      <c r="W113" s="50">
        <v>0.0</v>
      </c>
      <c r="X113" s="50">
        <v>0.0</v>
      </c>
      <c r="Y113" s="50">
        <v>0.0</v>
      </c>
      <c r="Z113" s="50">
        <v>0.0</v>
      </c>
      <c r="AA113" s="50">
        <v>0.0</v>
      </c>
      <c r="AB113" s="48" t="s">
        <v>2947</v>
      </c>
      <c r="AC113" s="50">
        <v>1.0</v>
      </c>
      <c r="AD113" s="50">
        <v>0.0</v>
      </c>
      <c r="AE113" s="50">
        <v>0.0</v>
      </c>
      <c r="AF113" s="50">
        <v>0.0</v>
      </c>
      <c r="AG113" s="50">
        <v>0.0</v>
      </c>
      <c r="AH113" s="50">
        <v>0.0</v>
      </c>
      <c r="AI113" s="50">
        <v>0.0</v>
      </c>
      <c r="AJ113" s="50">
        <v>0.0</v>
      </c>
      <c r="AK113" s="50">
        <v>0.0</v>
      </c>
      <c r="AL113" s="48"/>
      <c r="AM113" s="50">
        <v>4.0</v>
      </c>
      <c r="AN113" s="48"/>
      <c r="AO113" s="48"/>
      <c r="AP113" s="48"/>
      <c r="AQ113" s="48"/>
      <c r="AR113" s="48"/>
      <c r="AS113" s="48"/>
      <c r="AT113" s="48"/>
      <c r="AU113" s="48"/>
      <c r="AV113" s="50">
        <v>3.0</v>
      </c>
      <c r="AW113" s="48"/>
      <c r="AX113" s="48"/>
      <c r="AY113" s="48"/>
      <c r="AZ113" s="48"/>
      <c r="BA113" s="48"/>
      <c r="BB113" s="48"/>
      <c r="BC113" s="48"/>
      <c r="BD113" s="50">
        <v>2.0</v>
      </c>
      <c r="BE113" s="50">
        <v>0.0</v>
      </c>
      <c r="BF113" s="50">
        <v>0.0</v>
      </c>
      <c r="BG113" s="50">
        <v>0.0</v>
      </c>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50">
        <v>6.96005091E8</v>
      </c>
      <c r="CL113" s="48" t="s">
        <v>3507</v>
      </c>
      <c r="CM113" s="47">
        <v>46094.66438657408</v>
      </c>
      <c r="CN113" s="48"/>
      <c r="CO113" s="48"/>
      <c r="CP113" s="48" t="s">
        <v>1954</v>
      </c>
      <c r="CQ113" s="48"/>
      <c r="CR113" s="48" t="s">
        <v>3014</v>
      </c>
      <c r="CS113" s="48"/>
      <c r="CT113" s="48" t="s">
        <v>3508</v>
      </c>
      <c r="CU113" s="50">
        <v>112.0</v>
      </c>
    </row>
    <row r="114">
      <c r="A114" s="47">
        <v>46094.95605096065</v>
      </c>
      <c r="B114" s="47">
        <v>46094.95716428241</v>
      </c>
      <c r="C114" s="48" t="s">
        <v>3509</v>
      </c>
      <c r="D114" s="48" t="s">
        <v>3201</v>
      </c>
      <c r="E114" s="48" t="s">
        <v>3333</v>
      </c>
      <c r="F114" s="48" t="s">
        <v>3349</v>
      </c>
      <c r="G114" s="49" t="s">
        <v>3510</v>
      </c>
      <c r="H114" s="48" t="s">
        <v>2947</v>
      </c>
      <c r="I114" s="50">
        <v>1.0</v>
      </c>
      <c r="J114" s="50">
        <v>0.0</v>
      </c>
      <c r="K114" s="50">
        <v>0.0</v>
      </c>
      <c r="L114" s="50">
        <v>0.0</v>
      </c>
      <c r="M114" s="50">
        <v>0.0</v>
      </c>
      <c r="N114" s="50">
        <v>0.0</v>
      </c>
      <c r="O114" s="50">
        <v>0.0</v>
      </c>
      <c r="P114" s="50">
        <v>0.0</v>
      </c>
      <c r="Q114" s="50">
        <v>0.0</v>
      </c>
      <c r="R114" s="48" t="s">
        <v>2947</v>
      </c>
      <c r="S114" s="50">
        <v>1.0</v>
      </c>
      <c r="T114" s="50">
        <v>0.0</v>
      </c>
      <c r="U114" s="50">
        <v>0.0</v>
      </c>
      <c r="V114" s="50">
        <v>0.0</v>
      </c>
      <c r="W114" s="50">
        <v>0.0</v>
      </c>
      <c r="X114" s="50">
        <v>0.0</v>
      </c>
      <c r="Y114" s="50">
        <v>0.0</v>
      </c>
      <c r="Z114" s="50">
        <v>0.0</v>
      </c>
      <c r="AA114" s="50">
        <v>0.0</v>
      </c>
      <c r="AB114" s="48" t="s">
        <v>999</v>
      </c>
      <c r="AC114" s="50">
        <v>0.0</v>
      </c>
      <c r="AD114" s="50">
        <v>0.0</v>
      </c>
      <c r="AE114" s="50">
        <v>0.0</v>
      </c>
      <c r="AF114" s="50">
        <v>0.0</v>
      </c>
      <c r="AG114" s="50">
        <v>0.0</v>
      </c>
      <c r="AH114" s="50">
        <v>0.0</v>
      </c>
      <c r="AI114" s="50">
        <v>0.0</v>
      </c>
      <c r="AJ114" s="50">
        <v>0.0</v>
      </c>
      <c r="AK114" s="50">
        <v>1.0</v>
      </c>
      <c r="AL114" s="48"/>
      <c r="AM114" s="50">
        <v>3.0</v>
      </c>
      <c r="AN114" s="48"/>
      <c r="AO114" s="48"/>
      <c r="AP114" s="48"/>
      <c r="AQ114" s="48"/>
      <c r="AR114" s="48"/>
      <c r="AS114" s="48"/>
      <c r="AT114" s="48"/>
      <c r="AU114" s="48"/>
      <c r="AV114" s="50">
        <v>3.0</v>
      </c>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50">
        <v>6.96006212E8</v>
      </c>
      <c r="CL114" s="48" t="s">
        <v>3511</v>
      </c>
      <c r="CM114" s="47">
        <v>46094.66549768519</v>
      </c>
      <c r="CN114" s="48"/>
      <c r="CO114" s="48"/>
      <c r="CP114" s="48" t="s">
        <v>1954</v>
      </c>
      <c r="CQ114" s="48"/>
      <c r="CR114" s="48" t="s">
        <v>3014</v>
      </c>
      <c r="CS114" s="48"/>
      <c r="CT114" s="48" t="s">
        <v>3512</v>
      </c>
      <c r="CU114" s="50">
        <v>113.0</v>
      </c>
    </row>
    <row r="115">
      <c r="A115" s="47">
        <v>46094.95716503472</v>
      </c>
      <c r="B115" s="47">
        <v>46094.9579541088</v>
      </c>
      <c r="C115" s="48" t="s">
        <v>3513</v>
      </c>
      <c r="D115" s="48" t="s">
        <v>3201</v>
      </c>
      <c r="E115" s="48" t="s">
        <v>3333</v>
      </c>
      <c r="F115" s="48" t="s">
        <v>3334</v>
      </c>
      <c r="G115" s="49" t="s">
        <v>3514</v>
      </c>
      <c r="H115" s="48" t="s">
        <v>2947</v>
      </c>
      <c r="I115" s="50">
        <v>1.0</v>
      </c>
      <c r="J115" s="50">
        <v>0.0</v>
      </c>
      <c r="K115" s="50">
        <v>0.0</v>
      </c>
      <c r="L115" s="50">
        <v>0.0</v>
      </c>
      <c r="M115" s="50">
        <v>0.0</v>
      </c>
      <c r="N115" s="50">
        <v>0.0</v>
      </c>
      <c r="O115" s="50">
        <v>0.0</v>
      </c>
      <c r="P115" s="50">
        <v>0.0</v>
      </c>
      <c r="Q115" s="50">
        <v>0.0</v>
      </c>
      <c r="R115" s="48" t="s">
        <v>2947</v>
      </c>
      <c r="S115" s="50">
        <v>1.0</v>
      </c>
      <c r="T115" s="50">
        <v>0.0</v>
      </c>
      <c r="U115" s="50">
        <v>0.0</v>
      </c>
      <c r="V115" s="50">
        <v>0.0</v>
      </c>
      <c r="W115" s="50">
        <v>0.0</v>
      </c>
      <c r="X115" s="50">
        <v>0.0</v>
      </c>
      <c r="Y115" s="50">
        <v>0.0</v>
      </c>
      <c r="Z115" s="50">
        <v>0.0</v>
      </c>
      <c r="AA115" s="50">
        <v>0.0</v>
      </c>
      <c r="AB115" s="48" t="s">
        <v>999</v>
      </c>
      <c r="AC115" s="50">
        <v>0.0</v>
      </c>
      <c r="AD115" s="50">
        <v>0.0</v>
      </c>
      <c r="AE115" s="50">
        <v>0.0</v>
      </c>
      <c r="AF115" s="50">
        <v>0.0</v>
      </c>
      <c r="AG115" s="50">
        <v>0.0</v>
      </c>
      <c r="AH115" s="50">
        <v>0.0</v>
      </c>
      <c r="AI115" s="50">
        <v>0.0</v>
      </c>
      <c r="AJ115" s="50">
        <v>0.0</v>
      </c>
      <c r="AK115" s="50">
        <v>1.0</v>
      </c>
      <c r="AL115" s="48"/>
      <c r="AM115" s="50">
        <v>2.0</v>
      </c>
      <c r="AN115" s="48"/>
      <c r="AO115" s="48"/>
      <c r="AP115" s="48"/>
      <c r="AQ115" s="48"/>
      <c r="AR115" s="48"/>
      <c r="AS115" s="48"/>
      <c r="AT115" s="48"/>
      <c r="AU115" s="48"/>
      <c r="AV115" s="50">
        <v>3.0</v>
      </c>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50">
        <v>6.96007224E8</v>
      </c>
      <c r="CL115" s="48" t="s">
        <v>3515</v>
      </c>
      <c r="CM115" s="47">
        <v>46094.66629629629</v>
      </c>
      <c r="CN115" s="48"/>
      <c r="CO115" s="48"/>
      <c r="CP115" s="48" t="s">
        <v>1954</v>
      </c>
      <c r="CQ115" s="48"/>
      <c r="CR115" s="48" t="s">
        <v>3014</v>
      </c>
      <c r="CS115" s="48"/>
      <c r="CT115" s="48" t="s">
        <v>3516</v>
      </c>
      <c r="CU115" s="50">
        <v>114.0</v>
      </c>
    </row>
    <row r="116">
      <c r="A116" s="47">
        <v>46094.95795486111</v>
      </c>
      <c r="B116" s="47">
        <v>46094.95872217593</v>
      </c>
      <c r="C116" s="48" t="s">
        <v>3517</v>
      </c>
      <c r="D116" s="48" t="s">
        <v>3201</v>
      </c>
      <c r="E116" s="48" t="s">
        <v>3333</v>
      </c>
      <c r="F116" s="48" t="s">
        <v>3389</v>
      </c>
      <c r="G116" s="49" t="s">
        <v>3518</v>
      </c>
      <c r="H116" s="48" t="s">
        <v>2947</v>
      </c>
      <c r="I116" s="50">
        <v>1.0</v>
      </c>
      <c r="J116" s="50">
        <v>0.0</v>
      </c>
      <c r="K116" s="50">
        <v>0.0</v>
      </c>
      <c r="L116" s="50">
        <v>0.0</v>
      </c>
      <c r="M116" s="50">
        <v>0.0</v>
      </c>
      <c r="N116" s="50">
        <v>0.0</v>
      </c>
      <c r="O116" s="50">
        <v>0.0</v>
      </c>
      <c r="P116" s="50">
        <v>0.0</v>
      </c>
      <c r="Q116" s="50">
        <v>0.0</v>
      </c>
      <c r="R116" s="48" t="s">
        <v>2947</v>
      </c>
      <c r="S116" s="50">
        <v>1.0</v>
      </c>
      <c r="T116" s="50">
        <v>0.0</v>
      </c>
      <c r="U116" s="50">
        <v>0.0</v>
      </c>
      <c r="V116" s="50">
        <v>0.0</v>
      </c>
      <c r="W116" s="50">
        <v>0.0</v>
      </c>
      <c r="X116" s="50">
        <v>0.0</v>
      </c>
      <c r="Y116" s="50">
        <v>0.0</v>
      </c>
      <c r="Z116" s="50">
        <v>0.0</v>
      </c>
      <c r="AA116" s="50">
        <v>0.0</v>
      </c>
      <c r="AB116" s="48" t="s">
        <v>999</v>
      </c>
      <c r="AC116" s="50">
        <v>0.0</v>
      </c>
      <c r="AD116" s="50">
        <v>0.0</v>
      </c>
      <c r="AE116" s="50">
        <v>0.0</v>
      </c>
      <c r="AF116" s="50">
        <v>0.0</v>
      </c>
      <c r="AG116" s="50">
        <v>0.0</v>
      </c>
      <c r="AH116" s="50">
        <v>0.0</v>
      </c>
      <c r="AI116" s="50">
        <v>0.0</v>
      </c>
      <c r="AJ116" s="50">
        <v>0.0</v>
      </c>
      <c r="AK116" s="50">
        <v>1.0</v>
      </c>
      <c r="AL116" s="48"/>
      <c r="AM116" s="50">
        <v>2.0</v>
      </c>
      <c r="AN116" s="48"/>
      <c r="AO116" s="48"/>
      <c r="AP116" s="48"/>
      <c r="AQ116" s="48"/>
      <c r="AR116" s="48"/>
      <c r="AS116" s="48"/>
      <c r="AT116" s="48"/>
      <c r="AU116" s="48"/>
      <c r="AV116" s="50">
        <v>2.0</v>
      </c>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50">
        <v>6.96008055E8</v>
      </c>
      <c r="CL116" s="48" t="s">
        <v>3519</v>
      </c>
      <c r="CM116" s="47">
        <v>46094.66706018519</v>
      </c>
      <c r="CN116" s="48"/>
      <c r="CO116" s="48"/>
      <c r="CP116" s="48" t="s">
        <v>1954</v>
      </c>
      <c r="CQ116" s="48"/>
      <c r="CR116" s="48" t="s">
        <v>3014</v>
      </c>
      <c r="CS116" s="48"/>
      <c r="CT116" s="48" t="s">
        <v>3520</v>
      </c>
      <c r="CU116" s="50">
        <v>115.0</v>
      </c>
    </row>
    <row r="117">
      <c r="A117" s="47">
        <v>46094.95872292824</v>
      </c>
      <c r="B117" s="47">
        <v>46094.95972821759</v>
      </c>
      <c r="C117" s="48" t="s">
        <v>3521</v>
      </c>
      <c r="D117" s="48" t="s">
        <v>3201</v>
      </c>
      <c r="E117" s="48" t="s">
        <v>3333</v>
      </c>
      <c r="F117" s="48" t="s">
        <v>3334</v>
      </c>
      <c r="G117" s="49" t="s">
        <v>3522</v>
      </c>
      <c r="H117" s="48" t="s">
        <v>2947</v>
      </c>
      <c r="I117" s="50">
        <v>1.0</v>
      </c>
      <c r="J117" s="50">
        <v>0.0</v>
      </c>
      <c r="K117" s="50">
        <v>0.0</v>
      </c>
      <c r="L117" s="50">
        <v>0.0</v>
      </c>
      <c r="M117" s="50">
        <v>0.0</v>
      </c>
      <c r="N117" s="50">
        <v>0.0</v>
      </c>
      <c r="O117" s="50">
        <v>0.0</v>
      </c>
      <c r="P117" s="50">
        <v>0.0</v>
      </c>
      <c r="Q117" s="50">
        <v>0.0</v>
      </c>
      <c r="R117" s="48" t="s">
        <v>2947</v>
      </c>
      <c r="S117" s="50">
        <v>1.0</v>
      </c>
      <c r="T117" s="50">
        <v>0.0</v>
      </c>
      <c r="U117" s="50">
        <v>0.0</v>
      </c>
      <c r="V117" s="50">
        <v>0.0</v>
      </c>
      <c r="W117" s="50">
        <v>0.0</v>
      </c>
      <c r="X117" s="50">
        <v>0.0</v>
      </c>
      <c r="Y117" s="50">
        <v>0.0</v>
      </c>
      <c r="Z117" s="50">
        <v>0.0</v>
      </c>
      <c r="AA117" s="50">
        <v>0.0</v>
      </c>
      <c r="AB117" s="48" t="s">
        <v>999</v>
      </c>
      <c r="AC117" s="50">
        <v>0.0</v>
      </c>
      <c r="AD117" s="50">
        <v>0.0</v>
      </c>
      <c r="AE117" s="50">
        <v>0.0</v>
      </c>
      <c r="AF117" s="50">
        <v>0.0</v>
      </c>
      <c r="AG117" s="50">
        <v>0.0</v>
      </c>
      <c r="AH117" s="50">
        <v>0.0</v>
      </c>
      <c r="AI117" s="50">
        <v>0.0</v>
      </c>
      <c r="AJ117" s="50">
        <v>0.0</v>
      </c>
      <c r="AK117" s="50">
        <v>1.0</v>
      </c>
      <c r="AL117" s="48"/>
      <c r="AM117" s="50">
        <v>2.0</v>
      </c>
      <c r="AN117" s="48"/>
      <c r="AO117" s="48"/>
      <c r="AP117" s="48"/>
      <c r="AQ117" s="48"/>
      <c r="AR117" s="48"/>
      <c r="AS117" s="48"/>
      <c r="AT117" s="48"/>
      <c r="AU117" s="48"/>
      <c r="AV117" s="50">
        <v>1.0</v>
      </c>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50">
        <v>6.96009013E8</v>
      </c>
      <c r="CL117" s="48" t="s">
        <v>3523</v>
      </c>
      <c r="CM117" s="47">
        <v>46094.66806712963</v>
      </c>
      <c r="CN117" s="48"/>
      <c r="CO117" s="48"/>
      <c r="CP117" s="48" t="s">
        <v>1954</v>
      </c>
      <c r="CQ117" s="48"/>
      <c r="CR117" s="48" t="s">
        <v>3014</v>
      </c>
      <c r="CS117" s="48"/>
      <c r="CT117" s="48" t="s">
        <v>3524</v>
      </c>
      <c r="CU117" s="50">
        <v>116.0</v>
      </c>
    </row>
    <row r="118">
      <c r="A118" s="47">
        <v>46094.95972908565</v>
      </c>
      <c r="B118" s="47">
        <v>46094.96042239583</v>
      </c>
      <c r="C118" s="48" t="s">
        <v>3525</v>
      </c>
      <c r="D118" s="48" t="s">
        <v>3201</v>
      </c>
      <c r="E118" s="48" t="s">
        <v>3333</v>
      </c>
      <c r="F118" s="48" t="s">
        <v>3334</v>
      </c>
      <c r="G118" s="49" t="s">
        <v>3526</v>
      </c>
      <c r="H118" s="48" t="s">
        <v>2947</v>
      </c>
      <c r="I118" s="50">
        <v>1.0</v>
      </c>
      <c r="J118" s="50">
        <v>0.0</v>
      </c>
      <c r="K118" s="50">
        <v>0.0</v>
      </c>
      <c r="L118" s="50">
        <v>0.0</v>
      </c>
      <c r="M118" s="50">
        <v>0.0</v>
      </c>
      <c r="N118" s="50">
        <v>0.0</v>
      </c>
      <c r="O118" s="50">
        <v>0.0</v>
      </c>
      <c r="P118" s="50">
        <v>0.0</v>
      </c>
      <c r="Q118" s="50">
        <v>0.0</v>
      </c>
      <c r="R118" s="48" t="s">
        <v>2947</v>
      </c>
      <c r="S118" s="50">
        <v>1.0</v>
      </c>
      <c r="T118" s="50">
        <v>0.0</v>
      </c>
      <c r="U118" s="50">
        <v>0.0</v>
      </c>
      <c r="V118" s="50">
        <v>0.0</v>
      </c>
      <c r="W118" s="50">
        <v>0.0</v>
      </c>
      <c r="X118" s="50">
        <v>0.0</v>
      </c>
      <c r="Y118" s="50">
        <v>0.0</v>
      </c>
      <c r="Z118" s="50">
        <v>0.0</v>
      </c>
      <c r="AA118" s="50">
        <v>0.0</v>
      </c>
      <c r="AB118" s="48" t="s">
        <v>999</v>
      </c>
      <c r="AC118" s="50">
        <v>0.0</v>
      </c>
      <c r="AD118" s="50">
        <v>0.0</v>
      </c>
      <c r="AE118" s="50">
        <v>0.0</v>
      </c>
      <c r="AF118" s="50">
        <v>0.0</v>
      </c>
      <c r="AG118" s="50">
        <v>0.0</v>
      </c>
      <c r="AH118" s="50">
        <v>0.0</v>
      </c>
      <c r="AI118" s="50">
        <v>0.0</v>
      </c>
      <c r="AJ118" s="50">
        <v>0.0</v>
      </c>
      <c r="AK118" s="50">
        <v>1.0</v>
      </c>
      <c r="AL118" s="48"/>
      <c r="AM118" s="50">
        <v>2.0</v>
      </c>
      <c r="AN118" s="48"/>
      <c r="AO118" s="48"/>
      <c r="AP118" s="48"/>
      <c r="AQ118" s="48"/>
      <c r="AR118" s="48"/>
      <c r="AS118" s="48"/>
      <c r="AT118" s="48"/>
      <c r="AU118" s="48"/>
      <c r="AV118" s="50">
        <v>2.0</v>
      </c>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50">
        <v>6.96010026E8</v>
      </c>
      <c r="CL118" s="48" t="s">
        <v>3527</v>
      </c>
      <c r="CM118" s="47">
        <v>46094.66876157407</v>
      </c>
      <c r="CN118" s="48"/>
      <c r="CO118" s="48"/>
      <c r="CP118" s="48" t="s">
        <v>1954</v>
      </c>
      <c r="CQ118" s="48"/>
      <c r="CR118" s="48" t="s">
        <v>3014</v>
      </c>
      <c r="CS118" s="48"/>
      <c r="CT118" s="48" t="s">
        <v>3528</v>
      </c>
      <c r="CU118" s="50">
        <v>117.0</v>
      </c>
    </row>
    <row r="119">
      <c r="A119" s="47">
        <v>46094.96042327546</v>
      </c>
      <c r="B119" s="47">
        <v>46094.96373543981</v>
      </c>
      <c r="C119" s="48" t="s">
        <v>3529</v>
      </c>
      <c r="D119" s="48" t="s">
        <v>3201</v>
      </c>
      <c r="E119" s="48" t="s">
        <v>3333</v>
      </c>
      <c r="F119" s="48" t="s">
        <v>3333</v>
      </c>
      <c r="G119" s="49" t="s">
        <v>3530</v>
      </c>
      <c r="H119" s="48" t="s">
        <v>2947</v>
      </c>
      <c r="I119" s="50">
        <v>1.0</v>
      </c>
      <c r="J119" s="50">
        <v>0.0</v>
      </c>
      <c r="K119" s="50">
        <v>0.0</v>
      </c>
      <c r="L119" s="50">
        <v>0.0</v>
      </c>
      <c r="M119" s="50">
        <v>0.0</v>
      </c>
      <c r="N119" s="50">
        <v>0.0</v>
      </c>
      <c r="O119" s="50">
        <v>0.0</v>
      </c>
      <c r="P119" s="50">
        <v>0.0</v>
      </c>
      <c r="Q119" s="50">
        <v>0.0</v>
      </c>
      <c r="R119" s="48" t="s">
        <v>2947</v>
      </c>
      <c r="S119" s="50">
        <v>1.0</v>
      </c>
      <c r="T119" s="50">
        <v>0.0</v>
      </c>
      <c r="U119" s="50">
        <v>0.0</v>
      </c>
      <c r="V119" s="50">
        <v>0.0</v>
      </c>
      <c r="W119" s="50">
        <v>0.0</v>
      </c>
      <c r="X119" s="50">
        <v>0.0</v>
      </c>
      <c r="Y119" s="50">
        <v>0.0</v>
      </c>
      <c r="Z119" s="50">
        <v>0.0</v>
      </c>
      <c r="AA119" s="50">
        <v>0.0</v>
      </c>
      <c r="AB119" s="48" t="s">
        <v>2947</v>
      </c>
      <c r="AC119" s="50">
        <v>1.0</v>
      </c>
      <c r="AD119" s="50">
        <v>0.0</v>
      </c>
      <c r="AE119" s="50">
        <v>0.0</v>
      </c>
      <c r="AF119" s="50">
        <v>0.0</v>
      </c>
      <c r="AG119" s="50">
        <v>0.0</v>
      </c>
      <c r="AH119" s="50">
        <v>0.0</v>
      </c>
      <c r="AI119" s="50">
        <v>0.0</v>
      </c>
      <c r="AJ119" s="50">
        <v>0.0</v>
      </c>
      <c r="AK119" s="50">
        <v>0.0</v>
      </c>
      <c r="AL119" s="48"/>
      <c r="AM119" s="50">
        <v>1.0</v>
      </c>
      <c r="AN119" s="48"/>
      <c r="AO119" s="48"/>
      <c r="AP119" s="48"/>
      <c r="AQ119" s="48"/>
      <c r="AR119" s="48"/>
      <c r="AS119" s="48"/>
      <c r="AT119" s="48"/>
      <c r="AU119" s="48"/>
      <c r="AV119" s="50">
        <v>2.0</v>
      </c>
      <c r="AW119" s="48"/>
      <c r="AX119" s="48"/>
      <c r="AY119" s="48"/>
      <c r="AZ119" s="48"/>
      <c r="BA119" s="48"/>
      <c r="BB119" s="48"/>
      <c r="BC119" s="48"/>
      <c r="BD119" s="50">
        <v>1.0</v>
      </c>
      <c r="BE119" s="50">
        <v>0.0</v>
      </c>
      <c r="BF119" s="50">
        <v>0.0</v>
      </c>
      <c r="BG119" s="50">
        <v>0.0</v>
      </c>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50">
        <v>6.96013944E8</v>
      </c>
      <c r="CL119" s="48" t="s">
        <v>3531</v>
      </c>
      <c r="CM119" s="47">
        <v>46094.67209490741</v>
      </c>
      <c r="CN119" s="48"/>
      <c r="CO119" s="48"/>
      <c r="CP119" s="48" t="s">
        <v>1954</v>
      </c>
      <c r="CQ119" s="48"/>
      <c r="CR119" s="48" t="s">
        <v>3014</v>
      </c>
      <c r="CS119" s="48"/>
      <c r="CT119" s="48" t="s">
        <v>3532</v>
      </c>
      <c r="CU119" s="50">
        <v>118.0</v>
      </c>
    </row>
    <row r="120">
      <c r="A120" s="47">
        <v>46094.96373631944</v>
      </c>
      <c r="B120" s="47">
        <v>46094.96441604166</v>
      </c>
      <c r="C120" s="48" t="s">
        <v>3533</v>
      </c>
      <c r="D120" s="48" t="s">
        <v>3201</v>
      </c>
      <c r="E120" s="48" t="s">
        <v>3333</v>
      </c>
      <c r="F120" s="48" t="s">
        <v>3534</v>
      </c>
      <c r="G120" s="49" t="s">
        <v>3535</v>
      </c>
      <c r="H120" s="48" t="s">
        <v>2947</v>
      </c>
      <c r="I120" s="50">
        <v>1.0</v>
      </c>
      <c r="J120" s="50">
        <v>0.0</v>
      </c>
      <c r="K120" s="50">
        <v>0.0</v>
      </c>
      <c r="L120" s="50">
        <v>0.0</v>
      </c>
      <c r="M120" s="50">
        <v>0.0</v>
      </c>
      <c r="N120" s="50">
        <v>0.0</v>
      </c>
      <c r="O120" s="50">
        <v>0.0</v>
      </c>
      <c r="P120" s="50">
        <v>0.0</v>
      </c>
      <c r="Q120" s="50">
        <v>0.0</v>
      </c>
      <c r="R120" s="48" t="s">
        <v>2947</v>
      </c>
      <c r="S120" s="50">
        <v>1.0</v>
      </c>
      <c r="T120" s="50">
        <v>0.0</v>
      </c>
      <c r="U120" s="50">
        <v>0.0</v>
      </c>
      <c r="V120" s="50">
        <v>0.0</v>
      </c>
      <c r="W120" s="50">
        <v>0.0</v>
      </c>
      <c r="X120" s="50">
        <v>0.0</v>
      </c>
      <c r="Y120" s="50">
        <v>0.0</v>
      </c>
      <c r="Z120" s="50">
        <v>0.0</v>
      </c>
      <c r="AA120" s="50">
        <v>0.0</v>
      </c>
      <c r="AB120" s="48" t="s">
        <v>999</v>
      </c>
      <c r="AC120" s="50">
        <v>0.0</v>
      </c>
      <c r="AD120" s="50">
        <v>0.0</v>
      </c>
      <c r="AE120" s="50">
        <v>0.0</v>
      </c>
      <c r="AF120" s="50">
        <v>0.0</v>
      </c>
      <c r="AG120" s="50">
        <v>0.0</v>
      </c>
      <c r="AH120" s="50">
        <v>0.0</v>
      </c>
      <c r="AI120" s="50">
        <v>0.0</v>
      </c>
      <c r="AJ120" s="50">
        <v>0.0</v>
      </c>
      <c r="AK120" s="50">
        <v>1.0</v>
      </c>
      <c r="AL120" s="48"/>
      <c r="AM120" s="50">
        <v>2.0</v>
      </c>
      <c r="AN120" s="48"/>
      <c r="AO120" s="48"/>
      <c r="AP120" s="48"/>
      <c r="AQ120" s="48"/>
      <c r="AR120" s="48"/>
      <c r="AS120" s="48"/>
      <c r="AT120" s="48"/>
      <c r="AU120" s="48"/>
      <c r="AV120" s="50">
        <v>3.0</v>
      </c>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50">
        <v>6.96015008E8</v>
      </c>
      <c r="CL120" s="48" t="s">
        <v>3536</v>
      </c>
      <c r="CM120" s="47">
        <v>46094.67275462963</v>
      </c>
      <c r="CN120" s="48"/>
      <c r="CO120" s="48"/>
      <c r="CP120" s="48" t="s">
        <v>1954</v>
      </c>
      <c r="CQ120" s="48"/>
      <c r="CR120" s="48" t="s">
        <v>3014</v>
      </c>
      <c r="CS120" s="48"/>
      <c r="CT120" s="48" t="s">
        <v>3537</v>
      </c>
      <c r="CU120" s="50">
        <v>119.0</v>
      </c>
    </row>
    <row r="121">
      <c r="A121" s="47">
        <v>46094.96441693287</v>
      </c>
      <c r="B121" s="47">
        <v>46094.96514872685</v>
      </c>
      <c r="C121" s="48" t="s">
        <v>3538</v>
      </c>
      <c r="D121" s="48" t="s">
        <v>3201</v>
      </c>
      <c r="E121" s="48" t="s">
        <v>3333</v>
      </c>
      <c r="F121" s="48" t="s">
        <v>3349</v>
      </c>
      <c r="G121" s="49" t="s">
        <v>3539</v>
      </c>
      <c r="H121" s="48" t="s">
        <v>2947</v>
      </c>
      <c r="I121" s="50">
        <v>1.0</v>
      </c>
      <c r="J121" s="50">
        <v>0.0</v>
      </c>
      <c r="K121" s="50">
        <v>0.0</v>
      </c>
      <c r="L121" s="50">
        <v>0.0</v>
      </c>
      <c r="M121" s="50">
        <v>0.0</v>
      </c>
      <c r="N121" s="50">
        <v>0.0</v>
      </c>
      <c r="O121" s="50">
        <v>0.0</v>
      </c>
      <c r="P121" s="50">
        <v>0.0</v>
      </c>
      <c r="Q121" s="50">
        <v>0.0</v>
      </c>
      <c r="R121" s="48" t="s">
        <v>2947</v>
      </c>
      <c r="S121" s="50">
        <v>1.0</v>
      </c>
      <c r="T121" s="50">
        <v>0.0</v>
      </c>
      <c r="U121" s="50">
        <v>0.0</v>
      </c>
      <c r="V121" s="50">
        <v>0.0</v>
      </c>
      <c r="W121" s="50">
        <v>0.0</v>
      </c>
      <c r="X121" s="50">
        <v>0.0</v>
      </c>
      <c r="Y121" s="50">
        <v>0.0</v>
      </c>
      <c r="Z121" s="50">
        <v>0.0</v>
      </c>
      <c r="AA121" s="50">
        <v>0.0</v>
      </c>
      <c r="AB121" s="48" t="s">
        <v>2947</v>
      </c>
      <c r="AC121" s="50">
        <v>1.0</v>
      </c>
      <c r="AD121" s="50">
        <v>0.0</v>
      </c>
      <c r="AE121" s="50">
        <v>0.0</v>
      </c>
      <c r="AF121" s="50">
        <v>0.0</v>
      </c>
      <c r="AG121" s="50">
        <v>0.0</v>
      </c>
      <c r="AH121" s="50">
        <v>0.0</v>
      </c>
      <c r="AI121" s="50">
        <v>0.0</v>
      </c>
      <c r="AJ121" s="50">
        <v>0.0</v>
      </c>
      <c r="AK121" s="50">
        <v>0.0</v>
      </c>
      <c r="AL121" s="48"/>
      <c r="AM121" s="50">
        <v>3.0</v>
      </c>
      <c r="AN121" s="48"/>
      <c r="AO121" s="48"/>
      <c r="AP121" s="48"/>
      <c r="AQ121" s="48"/>
      <c r="AR121" s="48"/>
      <c r="AS121" s="48"/>
      <c r="AT121" s="48"/>
      <c r="AU121" s="48"/>
      <c r="AV121" s="50">
        <v>3.0</v>
      </c>
      <c r="AW121" s="48"/>
      <c r="AX121" s="48"/>
      <c r="AY121" s="48"/>
      <c r="AZ121" s="48"/>
      <c r="BA121" s="48"/>
      <c r="BB121" s="48"/>
      <c r="BC121" s="48"/>
      <c r="BD121" s="50">
        <v>0.0</v>
      </c>
      <c r="BE121" s="50">
        <v>1.0</v>
      </c>
      <c r="BF121" s="50">
        <v>0.0</v>
      </c>
      <c r="BG121" s="50">
        <v>0.0</v>
      </c>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50">
        <v>6.96015894E8</v>
      </c>
      <c r="CL121" s="48" t="s">
        <v>3540</v>
      </c>
      <c r="CM121" s="47">
        <v>46094.67348379629</v>
      </c>
      <c r="CN121" s="48"/>
      <c r="CO121" s="48"/>
      <c r="CP121" s="48" t="s">
        <v>1954</v>
      </c>
      <c r="CQ121" s="48"/>
      <c r="CR121" s="48" t="s">
        <v>3014</v>
      </c>
      <c r="CS121" s="48"/>
      <c r="CT121" s="48" t="s">
        <v>3541</v>
      </c>
      <c r="CU121" s="50">
        <v>120.0</v>
      </c>
    </row>
    <row r="122">
      <c r="A122" s="47">
        <v>46094.96514962963</v>
      </c>
      <c r="B122" s="47">
        <v>46094.96594936342</v>
      </c>
      <c r="C122" s="48" t="s">
        <v>3542</v>
      </c>
      <c r="D122" s="48" t="s">
        <v>3201</v>
      </c>
      <c r="E122" s="48" t="s">
        <v>3333</v>
      </c>
      <c r="F122" s="48" t="s">
        <v>3334</v>
      </c>
      <c r="G122" s="49" t="s">
        <v>3543</v>
      </c>
      <c r="H122" s="48" t="s">
        <v>2947</v>
      </c>
      <c r="I122" s="50">
        <v>1.0</v>
      </c>
      <c r="J122" s="50">
        <v>0.0</v>
      </c>
      <c r="K122" s="50">
        <v>0.0</v>
      </c>
      <c r="L122" s="50">
        <v>0.0</v>
      </c>
      <c r="M122" s="50">
        <v>0.0</v>
      </c>
      <c r="N122" s="50">
        <v>0.0</v>
      </c>
      <c r="O122" s="50">
        <v>0.0</v>
      </c>
      <c r="P122" s="50">
        <v>0.0</v>
      </c>
      <c r="Q122" s="50">
        <v>0.0</v>
      </c>
      <c r="R122" s="48" t="s">
        <v>2947</v>
      </c>
      <c r="S122" s="50">
        <v>1.0</v>
      </c>
      <c r="T122" s="50">
        <v>0.0</v>
      </c>
      <c r="U122" s="50">
        <v>0.0</v>
      </c>
      <c r="V122" s="50">
        <v>0.0</v>
      </c>
      <c r="W122" s="50">
        <v>0.0</v>
      </c>
      <c r="X122" s="50">
        <v>0.0</v>
      </c>
      <c r="Y122" s="50">
        <v>0.0</v>
      </c>
      <c r="Z122" s="50">
        <v>0.0</v>
      </c>
      <c r="AA122" s="50">
        <v>0.0</v>
      </c>
      <c r="AB122" s="48" t="s">
        <v>2947</v>
      </c>
      <c r="AC122" s="50">
        <v>1.0</v>
      </c>
      <c r="AD122" s="50">
        <v>0.0</v>
      </c>
      <c r="AE122" s="50">
        <v>0.0</v>
      </c>
      <c r="AF122" s="50">
        <v>0.0</v>
      </c>
      <c r="AG122" s="50">
        <v>0.0</v>
      </c>
      <c r="AH122" s="50">
        <v>0.0</v>
      </c>
      <c r="AI122" s="50">
        <v>0.0</v>
      </c>
      <c r="AJ122" s="50">
        <v>0.0</v>
      </c>
      <c r="AK122" s="50">
        <v>0.0</v>
      </c>
      <c r="AL122" s="48"/>
      <c r="AM122" s="50">
        <v>4.0</v>
      </c>
      <c r="AN122" s="48"/>
      <c r="AO122" s="48"/>
      <c r="AP122" s="48"/>
      <c r="AQ122" s="48"/>
      <c r="AR122" s="48"/>
      <c r="AS122" s="48"/>
      <c r="AT122" s="48"/>
      <c r="AU122" s="48"/>
      <c r="AV122" s="50">
        <v>3.0</v>
      </c>
      <c r="AW122" s="48"/>
      <c r="AX122" s="48"/>
      <c r="AY122" s="48"/>
      <c r="AZ122" s="48"/>
      <c r="BA122" s="48"/>
      <c r="BB122" s="48"/>
      <c r="BC122" s="48"/>
      <c r="BD122" s="50">
        <v>0.0</v>
      </c>
      <c r="BE122" s="50">
        <v>0.0</v>
      </c>
      <c r="BF122" s="50">
        <v>1.0</v>
      </c>
      <c r="BG122" s="50">
        <v>0.0</v>
      </c>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50">
        <v>6.96016718E8</v>
      </c>
      <c r="CL122" s="48" t="s">
        <v>3544</v>
      </c>
      <c r="CM122" s="47">
        <v>46094.67428240741</v>
      </c>
      <c r="CN122" s="48"/>
      <c r="CO122" s="48"/>
      <c r="CP122" s="48" t="s">
        <v>1954</v>
      </c>
      <c r="CQ122" s="48"/>
      <c r="CR122" s="48" t="s">
        <v>3014</v>
      </c>
      <c r="CS122" s="48"/>
      <c r="CT122" s="48" t="s">
        <v>3545</v>
      </c>
      <c r="CU122" s="50">
        <v>121.0</v>
      </c>
    </row>
    <row r="123">
      <c r="A123" s="47">
        <v>46094.96595025463</v>
      </c>
      <c r="B123" s="47">
        <v>46094.96693033565</v>
      </c>
      <c r="C123" s="48" t="s">
        <v>3546</v>
      </c>
      <c r="D123" s="48" t="s">
        <v>3201</v>
      </c>
      <c r="E123" s="48" t="s">
        <v>3333</v>
      </c>
      <c r="F123" s="48" t="s">
        <v>3349</v>
      </c>
      <c r="G123" s="49" t="s">
        <v>3547</v>
      </c>
      <c r="H123" s="48" t="s">
        <v>2948</v>
      </c>
      <c r="I123" s="50">
        <v>0.0</v>
      </c>
      <c r="J123" s="50">
        <v>1.0</v>
      </c>
      <c r="K123" s="50">
        <v>0.0</v>
      </c>
      <c r="L123" s="50">
        <v>0.0</v>
      </c>
      <c r="M123" s="50">
        <v>0.0</v>
      </c>
      <c r="N123" s="50">
        <v>0.0</v>
      </c>
      <c r="O123" s="50">
        <v>0.0</v>
      </c>
      <c r="P123" s="50">
        <v>0.0</v>
      </c>
      <c r="Q123" s="50">
        <v>0.0</v>
      </c>
      <c r="R123" s="48" t="s">
        <v>2948</v>
      </c>
      <c r="S123" s="50">
        <v>0.0</v>
      </c>
      <c r="T123" s="50">
        <v>1.0</v>
      </c>
      <c r="U123" s="50">
        <v>0.0</v>
      </c>
      <c r="V123" s="50">
        <v>0.0</v>
      </c>
      <c r="W123" s="50">
        <v>0.0</v>
      </c>
      <c r="X123" s="50">
        <v>0.0</v>
      </c>
      <c r="Y123" s="50">
        <v>0.0</v>
      </c>
      <c r="Z123" s="50">
        <v>0.0</v>
      </c>
      <c r="AA123" s="50">
        <v>0.0</v>
      </c>
      <c r="AB123" s="48" t="s">
        <v>2948</v>
      </c>
      <c r="AC123" s="50">
        <v>0.0</v>
      </c>
      <c r="AD123" s="50">
        <v>1.0</v>
      </c>
      <c r="AE123" s="50">
        <v>0.0</v>
      </c>
      <c r="AF123" s="50">
        <v>0.0</v>
      </c>
      <c r="AG123" s="50">
        <v>0.0</v>
      </c>
      <c r="AH123" s="50">
        <v>0.0</v>
      </c>
      <c r="AI123" s="50">
        <v>0.0</v>
      </c>
      <c r="AJ123" s="50">
        <v>0.0</v>
      </c>
      <c r="AK123" s="50">
        <v>0.0</v>
      </c>
      <c r="AL123" s="48"/>
      <c r="AM123" s="48"/>
      <c r="AN123" s="50">
        <v>3.0</v>
      </c>
      <c r="AO123" s="48"/>
      <c r="AP123" s="48"/>
      <c r="AQ123" s="48"/>
      <c r="AR123" s="48"/>
      <c r="AS123" s="48"/>
      <c r="AT123" s="48"/>
      <c r="AU123" s="48"/>
      <c r="AV123" s="48"/>
      <c r="AW123" s="50">
        <v>4.0</v>
      </c>
      <c r="AX123" s="48"/>
      <c r="AY123" s="48"/>
      <c r="AZ123" s="48"/>
      <c r="BA123" s="48"/>
      <c r="BB123" s="48"/>
      <c r="BC123" s="48"/>
      <c r="BD123" s="48"/>
      <c r="BE123" s="48"/>
      <c r="BF123" s="48"/>
      <c r="BG123" s="48"/>
      <c r="BH123" s="50">
        <v>0.0</v>
      </c>
      <c r="BI123" s="50">
        <v>0.0</v>
      </c>
      <c r="BJ123" s="50">
        <v>1.0</v>
      </c>
      <c r="BK123" s="50">
        <v>0.0</v>
      </c>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50">
        <v>6.96017855E8</v>
      </c>
      <c r="CL123" s="48" t="s">
        <v>3548</v>
      </c>
      <c r="CM123" s="47">
        <v>46094.67528935185</v>
      </c>
      <c r="CN123" s="48"/>
      <c r="CO123" s="48"/>
      <c r="CP123" s="48" t="s">
        <v>1954</v>
      </c>
      <c r="CQ123" s="48"/>
      <c r="CR123" s="48" t="s">
        <v>3014</v>
      </c>
      <c r="CS123" s="48"/>
      <c r="CT123" s="48" t="s">
        <v>3549</v>
      </c>
      <c r="CU123" s="50">
        <v>122.0</v>
      </c>
    </row>
    <row r="124">
      <c r="A124" s="47">
        <v>46094.96693130787</v>
      </c>
      <c r="B124" s="47">
        <v>46094.9678287037</v>
      </c>
      <c r="C124" s="48" t="s">
        <v>3550</v>
      </c>
      <c r="D124" s="48" t="s">
        <v>3201</v>
      </c>
      <c r="E124" s="48" t="s">
        <v>3333</v>
      </c>
      <c r="F124" s="48" t="s">
        <v>3463</v>
      </c>
      <c r="G124" s="49" t="s">
        <v>3551</v>
      </c>
      <c r="H124" s="48" t="s">
        <v>2947</v>
      </c>
      <c r="I124" s="50">
        <v>1.0</v>
      </c>
      <c r="J124" s="50">
        <v>0.0</v>
      </c>
      <c r="K124" s="50">
        <v>0.0</v>
      </c>
      <c r="L124" s="50">
        <v>0.0</v>
      </c>
      <c r="M124" s="50">
        <v>0.0</v>
      </c>
      <c r="N124" s="50">
        <v>0.0</v>
      </c>
      <c r="O124" s="50">
        <v>0.0</v>
      </c>
      <c r="P124" s="50">
        <v>0.0</v>
      </c>
      <c r="Q124" s="50">
        <v>0.0</v>
      </c>
      <c r="R124" s="48" t="s">
        <v>2947</v>
      </c>
      <c r="S124" s="50">
        <v>1.0</v>
      </c>
      <c r="T124" s="50">
        <v>0.0</v>
      </c>
      <c r="U124" s="50">
        <v>0.0</v>
      </c>
      <c r="V124" s="50">
        <v>0.0</v>
      </c>
      <c r="W124" s="50">
        <v>0.0</v>
      </c>
      <c r="X124" s="50">
        <v>0.0</v>
      </c>
      <c r="Y124" s="50">
        <v>0.0</v>
      </c>
      <c r="Z124" s="50">
        <v>0.0</v>
      </c>
      <c r="AA124" s="50">
        <v>0.0</v>
      </c>
      <c r="AB124" s="48" t="s">
        <v>2947</v>
      </c>
      <c r="AC124" s="50">
        <v>1.0</v>
      </c>
      <c r="AD124" s="50">
        <v>0.0</v>
      </c>
      <c r="AE124" s="50">
        <v>0.0</v>
      </c>
      <c r="AF124" s="50">
        <v>0.0</v>
      </c>
      <c r="AG124" s="50">
        <v>0.0</v>
      </c>
      <c r="AH124" s="50">
        <v>0.0</v>
      </c>
      <c r="AI124" s="50">
        <v>0.0</v>
      </c>
      <c r="AJ124" s="50">
        <v>0.0</v>
      </c>
      <c r="AK124" s="50">
        <v>0.0</v>
      </c>
      <c r="AL124" s="48"/>
      <c r="AM124" s="50">
        <v>2.0</v>
      </c>
      <c r="AN124" s="48"/>
      <c r="AO124" s="48"/>
      <c r="AP124" s="48"/>
      <c r="AQ124" s="48"/>
      <c r="AR124" s="48"/>
      <c r="AS124" s="48"/>
      <c r="AT124" s="48"/>
      <c r="AU124" s="48"/>
      <c r="AV124" s="50">
        <v>6.0</v>
      </c>
      <c r="AW124" s="48"/>
      <c r="AX124" s="48"/>
      <c r="AY124" s="48"/>
      <c r="AZ124" s="48"/>
      <c r="BA124" s="48"/>
      <c r="BB124" s="48"/>
      <c r="BC124" s="48"/>
      <c r="BD124" s="50">
        <v>0.0</v>
      </c>
      <c r="BE124" s="50">
        <v>0.0</v>
      </c>
      <c r="BF124" s="50">
        <v>2.0</v>
      </c>
      <c r="BG124" s="50">
        <v>0.0</v>
      </c>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50">
        <v>6.96018756E8</v>
      </c>
      <c r="CL124" s="48" t="s">
        <v>3552</v>
      </c>
      <c r="CM124" s="47">
        <v>46094.67616898148</v>
      </c>
      <c r="CN124" s="48"/>
      <c r="CO124" s="48"/>
      <c r="CP124" s="48" t="s">
        <v>1954</v>
      </c>
      <c r="CQ124" s="48"/>
      <c r="CR124" s="48" t="s">
        <v>3014</v>
      </c>
      <c r="CS124" s="48"/>
      <c r="CT124" s="48" t="s">
        <v>3553</v>
      </c>
      <c r="CU124" s="50">
        <v>123.0</v>
      </c>
    </row>
    <row r="125">
      <c r="A125" s="47">
        <v>46094.96783049768</v>
      </c>
      <c r="B125" s="47">
        <v>46094.96998331018</v>
      </c>
      <c r="C125" s="48" t="s">
        <v>3554</v>
      </c>
      <c r="D125" s="48" t="s">
        <v>3201</v>
      </c>
      <c r="E125" s="48" t="s">
        <v>3333</v>
      </c>
      <c r="F125" s="48" t="s">
        <v>3349</v>
      </c>
      <c r="G125" s="49" t="s">
        <v>3555</v>
      </c>
      <c r="H125" s="48" t="s">
        <v>2947</v>
      </c>
      <c r="I125" s="50">
        <v>1.0</v>
      </c>
      <c r="J125" s="50">
        <v>0.0</v>
      </c>
      <c r="K125" s="50">
        <v>0.0</v>
      </c>
      <c r="L125" s="50">
        <v>0.0</v>
      </c>
      <c r="M125" s="50">
        <v>0.0</v>
      </c>
      <c r="N125" s="50">
        <v>0.0</v>
      </c>
      <c r="O125" s="50">
        <v>0.0</v>
      </c>
      <c r="P125" s="50">
        <v>0.0</v>
      </c>
      <c r="Q125" s="50">
        <v>0.0</v>
      </c>
      <c r="R125" s="48" t="s">
        <v>2947</v>
      </c>
      <c r="S125" s="50">
        <v>1.0</v>
      </c>
      <c r="T125" s="50">
        <v>0.0</v>
      </c>
      <c r="U125" s="50">
        <v>0.0</v>
      </c>
      <c r="V125" s="50">
        <v>0.0</v>
      </c>
      <c r="W125" s="50">
        <v>0.0</v>
      </c>
      <c r="X125" s="50">
        <v>0.0</v>
      </c>
      <c r="Y125" s="50">
        <v>0.0</v>
      </c>
      <c r="Z125" s="50">
        <v>0.0</v>
      </c>
      <c r="AA125" s="50">
        <v>0.0</v>
      </c>
      <c r="AB125" s="48" t="s">
        <v>999</v>
      </c>
      <c r="AC125" s="50">
        <v>0.0</v>
      </c>
      <c r="AD125" s="50">
        <v>0.0</v>
      </c>
      <c r="AE125" s="50">
        <v>0.0</v>
      </c>
      <c r="AF125" s="50">
        <v>0.0</v>
      </c>
      <c r="AG125" s="50">
        <v>0.0</v>
      </c>
      <c r="AH125" s="50">
        <v>0.0</v>
      </c>
      <c r="AI125" s="50">
        <v>0.0</v>
      </c>
      <c r="AJ125" s="50">
        <v>0.0</v>
      </c>
      <c r="AK125" s="50">
        <v>1.0</v>
      </c>
      <c r="AL125" s="48"/>
      <c r="AM125" s="50">
        <v>2.0</v>
      </c>
      <c r="AN125" s="48"/>
      <c r="AO125" s="48"/>
      <c r="AP125" s="48"/>
      <c r="AQ125" s="48"/>
      <c r="AR125" s="48"/>
      <c r="AS125" s="48"/>
      <c r="AT125" s="48"/>
      <c r="AU125" s="48"/>
      <c r="AV125" s="50">
        <v>1.0</v>
      </c>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50">
        <v>6.96021192E8</v>
      </c>
      <c r="CL125" s="48" t="s">
        <v>3556</v>
      </c>
      <c r="CM125" s="47">
        <v>46094.67832175926</v>
      </c>
      <c r="CN125" s="48"/>
      <c r="CO125" s="48"/>
      <c r="CP125" s="48" t="s">
        <v>1954</v>
      </c>
      <c r="CQ125" s="48"/>
      <c r="CR125" s="48" t="s">
        <v>3014</v>
      </c>
      <c r="CS125" s="48"/>
      <c r="CT125" s="48" t="s">
        <v>3557</v>
      </c>
      <c r="CU125" s="50">
        <v>124.0</v>
      </c>
    </row>
    <row r="126">
      <c r="A126" s="47">
        <v>46094.96998425926</v>
      </c>
      <c r="B126" s="47">
        <v>46094.97203268518</v>
      </c>
      <c r="C126" s="48" t="s">
        <v>3558</v>
      </c>
      <c r="D126" s="48" t="s">
        <v>3201</v>
      </c>
      <c r="E126" s="48" t="s">
        <v>3333</v>
      </c>
      <c r="F126" s="48" t="s">
        <v>3349</v>
      </c>
      <c r="G126" s="49" t="s">
        <v>3559</v>
      </c>
      <c r="H126" s="48" t="s">
        <v>2947</v>
      </c>
      <c r="I126" s="50">
        <v>1.0</v>
      </c>
      <c r="J126" s="50">
        <v>0.0</v>
      </c>
      <c r="K126" s="50">
        <v>0.0</v>
      </c>
      <c r="L126" s="50">
        <v>0.0</v>
      </c>
      <c r="M126" s="50">
        <v>0.0</v>
      </c>
      <c r="N126" s="50">
        <v>0.0</v>
      </c>
      <c r="O126" s="50">
        <v>0.0</v>
      </c>
      <c r="P126" s="50">
        <v>0.0</v>
      </c>
      <c r="Q126" s="50">
        <v>0.0</v>
      </c>
      <c r="R126" s="48" t="s">
        <v>2947</v>
      </c>
      <c r="S126" s="50">
        <v>1.0</v>
      </c>
      <c r="T126" s="50">
        <v>0.0</v>
      </c>
      <c r="U126" s="50">
        <v>0.0</v>
      </c>
      <c r="V126" s="50">
        <v>0.0</v>
      </c>
      <c r="W126" s="50">
        <v>0.0</v>
      </c>
      <c r="X126" s="50">
        <v>0.0</v>
      </c>
      <c r="Y126" s="50">
        <v>0.0</v>
      </c>
      <c r="Z126" s="50">
        <v>0.0</v>
      </c>
      <c r="AA126" s="50">
        <v>0.0</v>
      </c>
      <c r="AB126" s="48" t="s">
        <v>2947</v>
      </c>
      <c r="AC126" s="50">
        <v>1.0</v>
      </c>
      <c r="AD126" s="50">
        <v>0.0</v>
      </c>
      <c r="AE126" s="50">
        <v>0.0</v>
      </c>
      <c r="AF126" s="50">
        <v>0.0</v>
      </c>
      <c r="AG126" s="50">
        <v>0.0</v>
      </c>
      <c r="AH126" s="50">
        <v>0.0</v>
      </c>
      <c r="AI126" s="50">
        <v>0.0</v>
      </c>
      <c r="AJ126" s="50">
        <v>0.0</v>
      </c>
      <c r="AK126" s="50">
        <v>0.0</v>
      </c>
      <c r="AL126" s="48"/>
      <c r="AM126" s="50">
        <v>2.0</v>
      </c>
      <c r="AN126" s="48"/>
      <c r="AO126" s="48"/>
      <c r="AP126" s="48"/>
      <c r="AQ126" s="48"/>
      <c r="AR126" s="48"/>
      <c r="AS126" s="48"/>
      <c r="AT126" s="48"/>
      <c r="AU126" s="48"/>
      <c r="AV126" s="50">
        <v>5.0</v>
      </c>
      <c r="AW126" s="48"/>
      <c r="AX126" s="48"/>
      <c r="AY126" s="48"/>
      <c r="AZ126" s="48"/>
      <c r="BA126" s="48"/>
      <c r="BB126" s="48"/>
      <c r="BC126" s="48"/>
      <c r="BD126" s="50">
        <v>3.0</v>
      </c>
      <c r="BE126" s="50">
        <v>0.0</v>
      </c>
      <c r="BF126" s="50">
        <v>0.0</v>
      </c>
      <c r="BG126" s="50">
        <v>0.0</v>
      </c>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50">
        <v>6.96023373E8</v>
      </c>
      <c r="CL126" s="48" t="s">
        <v>3560</v>
      </c>
      <c r="CM126" s="47">
        <v>46094.68037037037</v>
      </c>
      <c r="CN126" s="48"/>
      <c r="CO126" s="48"/>
      <c r="CP126" s="48" t="s">
        <v>1954</v>
      </c>
      <c r="CQ126" s="48"/>
      <c r="CR126" s="48" t="s">
        <v>3014</v>
      </c>
      <c r="CS126" s="48"/>
      <c r="CT126" s="48" t="s">
        <v>3561</v>
      </c>
      <c r="CU126" s="50">
        <v>125.0</v>
      </c>
    </row>
    <row r="127">
      <c r="A127" s="47">
        <v>46094.97203368055</v>
      </c>
      <c r="B127" s="47">
        <v>46094.97281039352</v>
      </c>
      <c r="C127" s="48" t="s">
        <v>3562</v>
      </c>
      <c r="D127" s="48" t="s">
        <v>3201</v>
      </c>
      <c r="E127" s="48" t="s">
        <v>3333</v>
      </c>
      <c r="F127" s="48" t="s">
        <v>3463</v>
      </c>
      <c r="G127" s="49" t="s">
        <v>3563</v>
      </c>
      <c r="H127" s="48" t="s">
        <v>2947</v>
      </c>
      <c r="I127" s="50">
        <v>1.0</v>
      </c>
      <c r="J127" s="50">
        <v>0.0</v>
      </c>
      <c r="K127" s="50">
        <v>0.0</v>
      </c>
      <c r="L127" s="50">
        <v>0.0</v>
      </c>
      <c r="M127" s="50">
        <v>0.0</v>
      </c>
      <c r="N127" s="50">
        <v>0.0</v>
      </c>
      <c r="O127" s="50">
        <v>0.0</v>
      </c>
      <c r="P127" s="50">
        <v>0.0</v>
      </c>
      <c r="Q127" s="50">
        <v>0.0</v>
      </c>
      <c r="R127" s="48" t="s">
        <v>2947</v>
      </c>
      <c r="S127" s="50">
        <v>1.0</v>
      </c>
      <c r="T127" s="50">
        <v>0.0</v>
      </c>
      <c r="U127" s="50">
        <v>0.0</v>
      </c>
      <c r="V127" s="50">
        <v>0.0</v>
      </c>
      <c r="W127" s="50">
        <v>0.0</v>
      </c>
      <c r="X127" s="50">
        <v>0.0</v>
      </c>
      <c r="Y127" s="50">
        <v>0.0</v>
      </c>
      <c r="Z127" s="50">
        <v>0.0</v>
      </c>
      <c r="AA127" s="50">
        <v>0.0</v>
      </c>
      <c r="AB127" s="48" t="s">
        <v>2947</v>
      </c>
      <c r="AC127" s="50">
        <v>1.0</v>
      </c>
      <c r="AD127" s="50">
        <v>0.0</v>
      </c>
      <c r="AE127" s="50">
        <v>0.0</v>
      </c>
      <c r="AF127" s="50">
        <v>0.0</v>
      </c>
      <c r="AG127" s="50">
        <v>0.0</v>
      </c>
      <c r="AH127" s="50">
        <v>0.0</v>
      </c>
      <c r="AI127" s="50">
        <v>0.0</v>
      </c>
      <c r="AJ127" s="50">
        <v>0.0</v>
      </c>
      <c r="AK127" s="50">
        <v>0.0</v>
      </c>
      <c r="AL127" s="48"/>
      <c r="AM127" s="50">
        <v>3.0</v>
      </c>
      <c r="AN127" s="48"/>
      <c r="AO127" s="48"/>
      <c r="AP127" s="48"/>
      <c r="AQ127" s="48"/>
      <c r="AR127" s="48"/>
      <c r="AS127" s="48"/>
      <c r="AT127" s="48"/>
      <c r="AU127" s="48"/>
      <c r="AV127" s="50">
        <v>3.0</v>
      </c>
      <c r="AW127" s="48"/>
      <c r="AX127" s="48"/>
      <c r="AY127" s="48"/>
      <c r="AZ127" s="48"/>
      <c r="BA127" s="48"/>
      <c r="BB127" s="48"/>
      <c r="BC127" s="48"/>
      <c r="BD127" s="50">
        <v>1.0</v>
      </c>
      <c r="BE127" s="50">
        <v>0.0</v>
      </c>
      <c r="BF127" s="50">
        <v>0.0</v>
      </c>
      <c r="BG127" s="50">
        <v>0.0</v>
      </c>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50">
        <v>6.96024323E8</v>
      </c>
      <c r="CL127" s="48" t="s">
        <v>3564</v>
      </c>
      <c r="CM127" s="47">
        <v>46094.68114583333</v>
      </c>
      <c r="CN127" s="48"/>
      <c r="CO127" s="48"/>
      <c r="CP127" s="48" t="s">
        <v>1954</v>
      </c>
      <c r="CQ127" s="48"/>
      <c r="CR127" s="48" t="s">
        <v>3014</v>
      </c>
      <c r="CS127" s="48"/>
      <c r="CT127" s="48" t="s">
        <v>3565</v>
      </c>
      <c r="CU127" s="50">
        <v>126.0</v>
      </c>
    </row>
    <row r="128">
      <c r="A128" s="47">
        <v>46094.97281138889</v>
      </c>
      <c r="B128" s="47">
        <v>46094.97377039352</v>
      </c>
      <c r="C128" s="48" t="s">
        <v>3566</v>
      </c>
      <c r="D128" s="48" t="s">
        <v>3201</v>
      </c>
      <c r="E128" s="48" t="s">
        <v>3333</v>
      </c>
      <c r="F128" s="48" t="s">
        <v>3478</v>
      </c>
      <c r="G128" s="49" t="s">
        <v>3567</v>
      </c>
      <c r="H128" s="48" t="s">
        <v>2947</v>
      </c>
      <c r="I128" s="50">
        <v>1.0</v>
      </c>
      <c r="J128" s="50">
        <v>0.0</v>
      </c>
      <c r="K128" s="50">
        <v>0.0</v>
      </c>
      <c r="L128" s="50">
        <v>0.0</v>
      </c>
      <c r="M128" s="50">
        <v>0.0</v>
      </c>
      <c r="N128" s="50">
        <v>0.0</v>
      </c>
      <c r="O128" s="50">
        <v>0.0</v>
      </c>
      <c r="P128" s="50">
        <v>0.0</v>
      </c>
      <c r="Q128" s="50">
        <v>0.0</v>
      </c>
      <c r="R128" s="48" t="s">
        <v>2947</v>
      </c>
      <c r="S128" s="50">
        <v>1.0</v>
      </c>
      <c r="T128" s="50">
        <v>0.0</v>
      </c>
      <c r="U128" s="50">
        <v>0.0</v>
      </c>
      <c r="V128" s="50">
        <v>0.0</v>
      </c>
      <c r="W128" s="50">
        <v>0.0</v>
      </c>
      <c r="X128" s="50">
        <v>0.0</v>
      </c>
      <c r="Y128" s="50">
        <v>0.0</v>
      </c>
      <c r="Z128" s="50">
        <v>0.0</v>
      </c>
      <c r="AA128" s="50">
        <v>0.0</v>
      </c>
      <c r="AB128" s="48" t="s">
        <v>2947</v>
      </c>
      <c r="AC128" s="50">
        <v>1.0</v>
      </c>
      <c r="AD128" s="50">
        <v>0.0</v>
      </c>
      <c r="AE128" s="50">
        <v>0.0</v>
      </c>
      <c r="AF128" s="50">
        <v>0.0</v>
      </c>
      <c r="AG128" s="50">
        <v>0.0</v>
      </c>
      <c r="AH128" s="50">
        <v>0.0</v>
      </c>
      <c r="AI128" s="50">
        <v>0.0</v>
      </c>
      <c r="AJ128" s="50">
        <v>0.0</v>
      </c>
      <c r="AK128" s="50">
        <v>0.0</v>
      </c>
      <c r="AL128" s="48"/>
      <c r="AM128" s="50">
        <v>6.0</v>
      </c>
      <c r="AN128" s="48"/>
      <c r="AO128" s="48"/>
      <c r="AP128" s="48"/>
      <c r="AQ128" s="48"/>
      <c r="AR128" s="48"/>
      <c r="AS128" s="48"/>
      <c r="AT128" s="48"/>
      <c r="AU128" s="48"/>
      <c r="AV128" s="50">
        <v>4.0</v>
      </c>
      <c r="AW128" s="48"/>
      <c r="AX128" s="48"/>
      <c r="AY128" s="48"/>
      <c r="AZ128" s="48"/>
      <c r="BA128" s="48"/>
      <c r="BB128" s="48"/>
      <c r="BC128" s="48"/>
      <c r="BD128" s="50">
        <v>3.0</v>
      </c>
      <c r="BE128" s="50">
        <v>2.0</v>
      </c>
      <c r="BF128" s="50">
        <v>0.0</v>
      </c>
      <c r="BG128" s="50">
        <v>0.0</v>
      </c>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50">
        <v>6.9602568E8</v>
      </c>
      <c r="CL128" s="48" t="s">
        <v>3568</v>
      </c>
      <c r="CM128" s="47">
        <v>46094.68210648148</v>
      </c>
      <c r="CN128" s="48"/>
      <c r="CO128" s="48"/>
      <c r="CP128" s="48" t="s">
        <v>1954</v>
      </c>
      <c r="CQ128" s="48"/>
      <c r="CR128" s="48" t="s">
        <v>3014</v>
      </c>
      <c r="CS128" s="48"/>
      <c r="CT128" s="48" t="s">
        <v>3569</v>
      </c>
      <c r="CU128" s="50">
        <v>127.0</v>
      </c>
    </row>
    <row r="129">
      <c r="A129" s="47">
        <v>46094.97377137731</v>
      </c>
      <c r="B129" s="47">
        <v>46094.97514925926</v>
      </c>
      <c r="C129" s="48" t="s">
        <v>3570</v>
      </c>
      <c r="D129" s="48" t="s">
        <v>3201</v>
      </c>
      <c r="E129" s="48" t="s">
        <v>3333</v>
      </c>
      <c r="F129" s="48" t="s">
        <v>3349</v>
      </c>
      <c r="G129" s="49" t="s">
        <v>3571</v>
      </c>
      <c r="H129" s="48" t="s">
        <v>3480</v>
      </c>
      <c r="I129" s="50">
        <v>0.0</v>
      </c>
      <c r="J129" s="50">
        <v>0.0</v>
      </c>
      <c r="K129" s="50">
        <v>0.0</v>
      </c>
      <c r="L129" s="50">
        <v>0.0</v>
      </c>
      <c r="M129" s="50">
        <v>0.0</v>
      </c>
      <c r="N129" s="50">
        <v>1.0</v>
      </c>
      <c r="O129" s="50">
        <v>0.0</v>
      </c>
      <c r="P129" s="50">
        <v>0.0</v>
      </c>
      <c r="Q129" s="50">
        <v>0.0</v>
      </c>
      <c r="R129" s="48" t="s">
        <v>3480</v>
      </c>
      <c r="S129" s="50">
        <v>0.0</v>
      </c>
      <c r="T129" s="50">
        <v>0.0</v>
      </c>
      <c r="U129" s="50">
        <v>0.0</v>
      </c>
      <c r="V129" s="50">
        <v>0.0</v>
      </c>
      <c r="W129" s="50">
        <v>0.0</v>
      </c>
      <c r="X129" s="50">
        <v>1.0</v>
      </c>
      <c r="Y129" s="50">
        <v>0.0</v>
      </c>
      <c r="Z129" s="50">
        <v>0.0</v>
      </c>
      <c r="AA129" s="50">
        <v>0.0</v>
      </c>
      <c r="AB129" s="48" t="s">
        <v>999</v>
      </c>
      <c r="AC129" s="50">
        <v>0.0</v>
      </c>
      <c r="AD129" s="50">
        <v>0.0</v>
      </c>
      <c r="AE129" s="50">
        <v>0.0</v>
      </c>
      <c r="AF129" s="50">
        <v>0.0</v>
      </c>
      <c r="AG129" s="50">
        <v>0.0</v>
      </c>
      <c r="AH129" s="50">
        <v>0.0</v>
      </c>
      <c r="AI129" s="50">
        <v>0.0</v>
      </c>
      <c r="AJ129" s="50">
        <v>0.0</v>
      </c>
      <c r="AK129" s="50">
        <v>1.0</v>
      </c>
      <c r="AL129" s="48"/>
      <c r="AM129" s="48"/>
      <c r="AN129" s="48"/>
      <c r="AO129" s="48"/>
      <c r="AP129" s="48"/>
      <c r="AQ129" s="48"/>
      <c r="AR129" s="50">
        <v>10.0</v>
      </c>
      <c r="AS129" s="48"/>
      <c r="AT129" s="48"/>
      <c r="AU129" s="48"/>
      <c r="AV129" s="48"/>
      <c r="AW129" s="48"/>
      <c r="AX129" s="48"/>
      <c r="AY129" s="48"/>
      <c r="AZ129" s="48"/>
      <c r="BA129" s="50">
        <v>15.0</v>
      </c>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50">
        <v>6.96027601E8</v>
      </c>
      <c r="CL129" s="48" t="s">
        <v>3572</v>
      </c>
      <c r="CM129" s="47">
        <v>46094.6834837963</v>
      </c>
      <c r="CN129" s="48"/>
      <c r="CO129" s="48"/>
      <c r="CP129" s="48" t="s">
        <v>1954</v>
      </c>
      <c r="CQ129" s="48"/>
      <c r="CR129" s="48" t="s">
        <v>3014</v>
      </c>
      <c r="CS129" s="48"/>
      <c r="CT129" s="48" t="s">
        <v>3573</v>
      </c>
      <c r="CU129" s="50">
        <v>128.0</v>
      </c>
    </row>
    <row r="130">
      <c r="A130" s="47">
        <v>46094.97515025463</v>
      </c>
      <c r="B130" s="47">
        <v>46094.97668864583</v>
      </c>
      <c r="C130" s="48" t="s">
        <v>3574</v>
      </c>
      <c r="D130" s="48" t="s">
        <v>3201</v>
      </c>
      <c r="E130" s="48" t="s">
        <v>3333</v>
      </c>
      <c r="F130" s="48" t="s">
        <v>3334</v>
      </c>
      <c r="G130" s="49" t="s">
        <v>3575</v>
      </c>
      <c r="H130" s="48" t="s">
        <v>2947</v>
      </c>
      <c r="I130" s="50">
        <v>1.0</v>
      </c>
      <c r="J130" s="50">
        <v>0.0</v>
      </c>
      <c r="K130" s="50">
        <v>0.0</v>
      </c>
      <c r="L130" s="50">
        <v>0.0</v>
      </c>
      <c r="M130" s="50">
        <v>0.0</v>
      </c>
      <c r="N130" s="50">
        <v>0.0</v>
      </c>
      <c r="O130" s="50">
        <v>0.0</v>
      </c>
      <c r="P130" s="50">
        <v>0.0</v>
      </c>
      <c r="Q130" s="50">
        <v>0.0</v>
      </c>
      <c r="R130" s="48" t="s">
        <v>2947</v>
      </c>
      <c r="S130" s="50">
        <v>1.0</v>
      </c>
      <c r="T130" s="50">
        <v>0.0</v>
      </c>
      <c r="U130" s="50">
        <v>0.0</v>
      </c>
      <c r="V130" s="50">
        <v>0.0</v>
      </c>
      <c r="W130" s="50">
        <v>0.0</v>
      </c>
      <c r="X130" s="50">
        <v>0.0</v>
      </c>
      <c r="Y130" s="50">
        <v>0.0</v>
      </c>
      <c r="Z130" s="50">
        <v>0.0</v>
      </c>
      <c r="AA130" s="50">
        <v>0.0</v>
      </c>
      <c r="AB130" s="48" t="s">
        <v>999</v>
      </c>
      <c r="AC130" s="50">
        <v>0.0</v>
      </c>
      <c r="AD130" s="50">
        <v>0.0</v>
      </c>
      <c r="AE130" s="50">
        <v>0.0</v>
      </c>
      <c r="AF130" s="50">
        <v>0.0</v>
      </c>
      <c r="AG130" s="50">
        <v>0.0</v>
      </c>
      <c r="AH130" s="50">
        <v>0.0</v>
      </c>
      <c r="AI130" s="50">
        <v>0.0</v>
      </c>
      <c r="AJ130" s="50">
        <v>0.0</v>
      </c>
      <c r="AK130" s="50">
        <v>1.0</v>
      </c>
      <c r="AL130" s="48"/>
      <c r="AM130" s="50">
        <v>4.0</v>
      </c>
      <c r="AN130" s="48"/>
      <c r="AO130" s="48"/>
      <c r="AP130" s="48"/>
      <c r="AQ130" s="48"/>
      <c r="AR130" s="48"/>
      <c r="AS130" s="48"/>
      <c r="AT130" s="48"/>
      <c r="AU130" s="48"/>
      <c r="AV130" s="50">
        <v>6.0</v>
      </c>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50">
        <v>6.96029306E8</v>
      </c>
      <c r="CL130" s="48" t="s">
        <v>3576</v>
      </c>
      <c r="CM130" s="47">
        <v>46094.68502314815</v>
      </c>
      <c r="CN130" s="48"/>
      <c r="CO130" s="48"/>
      <c r="CP130" s="48" t="s">
        <v>1954</v>
      </c>
      <c r="CQ130" s="48"/>
      <c r="CR130" s="48" t="s">
        <v>3014</v>
      </c>
      <c r="CS130" s="48"/>
      <c r="CT130" s="48" t="s">
        <v>3577</v>
      </c>
      <c r="CU130" s="50">
        <v>129.0</v>
      </c>
    </row>
    <row r="131">
      <c r="A131" s="47">
        <v>46095.38165414352</v>
      </c>
      <c r="B131" s="47">
        <v>46095.3849272338</v>
      </c>
      <c r="C131" s="48" t="s">
        <v>1353</v>
      </c>
      <c r="D131" s="48" t="s">
        <v>839</v>
      </c>
      <c r="E131" s="48" t="s">
        <v>1175</v>
      </c>
      <c r="F131" s="48" t="s">
        <v>1176</v>
      </c>
      <c r="G131" s="49" t="s">
        <v>1355</v>
      </c>
      <c r="H131" s="48" t="s">
        <v>2947</v>
      </c>
      <c r="I131" s="50">
        <v>1.0</v>
      </c>
      <c r="J131" s="50">
        <v>0.0</v>
      </c>
      <c r="K131" s="50">
        <v>0.0</v>
      </c>
      <c r="L131" s="50">
        <v>0.0</v>
      </c>
      <c r="M131" s="50">
        <v>0.0</v>
      </c>
      <c r="N131" s="50">
        <v>0.0</v>
      </c>
      <c r="O131" s="50">
        <v>0.0</v>
      </c>
      <c r="P131" s="50">
        <v>0.0</v>
      </c>
      <c r="Q131" s="50">
        <v>0.0</v>
      </c>
      <c r="R131" s="48" t="s">
        <v>2947</v>
      </c>
      <c r="S131" s="50">
        <v>1.0</v>
      </c>
      <c r="T131" s="50">
        <v>0.0</v>
      </c>
      <c r="U131" s="50">
        <v>0.0</v>
      </c>
      <c r="V131" s="50">
        <v>0.0</v>
      </c>
      <c r="W131" s="50">
        <v>0.0</v>
      </c>
      <c r="X131" s="50">
        <v>0.0</v>
      </c>
      <c r="Y131" s="50">
        <v>0.0</v>
      </c>
      <c r="Z131" s="50">
        <v>0.0</v>
      </c>
      <c r="AA131" s="50">
        <v>0.0</v>
      </c>
      <c r="AB131" s="48" t="s">
        <v>999</v>
      </c>
      <c r="AC131" s="50">
        <v>0.0</v>
      </c>
      <c r="AD131" s="50">
        <v>0.0</v>
      </c>
      <c r="AE131" s="50">
        <v>0.0</v>
      </c>
      <c r="AF131" s="50">
        <v>0.0</v>
      </c>
      <c r="AG131" s="50">
        <v>0.0</v>
      </c>
      <c r="AH131" s="50">
        <v>0.0</v>
      </c>
      <c r="AI131" s="50">
        <v>0.0</v>
      </c>
      <c r="AJ131" s="50">
        <v>0.0</v>
      </c>
      <c r="AK131" s="50">
        <v>1.0</v>
      </c>
      <c r="AL131" s="48"/>
      <c r="AM131" s="50">
        <v>5.0</v>
      </c>
      <c r="AN131" s="48"/>
      <c r="AO131" s="48"/>
      <c r="AP131" s="48"/>
      <c r="AQ131" s="48"/>
      <c r="AR131" s="48"/>
      <c r="AS131" s="48"/>
      <c r="AT131" s="48"/>
      <c r="AU131" s="48"/>
      <c r="AV131" s="50">
        <v>5.0</v>
      </c>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t="s">
        <v>1409</v>
      </c>
      <c r="CK131" s="50">
        <v>6.96259976E8</v>
      </c>
      <c r="CL131" s="48" t="s">
        <v>3578</v>
      </c>
      <c r="CM131" s="47">
        <v>46095.09327546296</v>
      </c>
      <c r="CN131" s="48"/>
      <c r="CO131" s="48"/>
      <c r="CP131" s="48" t="s">
        <v>1954</v>
      </c>
      <c r="CQ131" s="48"/>
      <c r="CR131" s="48" t="s">
        <v>3014</v>
      </c>
      <c r="CS131" s="48"/>
      <c r="CT131" s="48" t="s">
        <v>3579</v>
      </c>
      <c r="CU131" s="50">
        <v>130.0</v>
      </c>
    </row>
    <row r="132">
      <c r="A132" s="47">
        <v>46095.38492886574</v>
      </c>
      <c r="B132" s="47">
        <v>46095.39015578703</v>
      </c>
      <c r="C132" s="48" t="s">
        <v>1156</v>
      </c>
      <c r="D132" s="48" t="s">
        <v>839</v>
      </c>
      <c r="E132" s="48" t="s">
        <v>1025</v>
      </c>
      <c r="F132" s="48" t="s">
        <v>3580</v>
      </c>
      <c r="G132" s="49" t="s">
        <v>1157</v>
      </c>
      <c r="H132" s="48" t="s">
        <v>2948</v>
      </c>
      <c r="I132" s="50">
        <v>0.0</v>
      </c>
      <c r="J132" s="50">
        <v>1.0</v>
      </c>
      <c r="K132" s="50">
        <v>0.0</v>
      </c>
      <c r="L132" s="50">
        <v>0.0</v>
      </c>
      <c r="M132" s="50">
        <v>0.0</v>
      </c>
      <c r="N132" s="50">
        <v>0.0</v>
      </c>
      <c r="O132" s="50">
        <v>0.0</v>
      </c>
      <c r="P132" s="50">
        <v>0.0</v>
      </c>
      <c r="Q132" s="50">
        <v>0.0</v>
      </c>
      <c r="R132" s="48" t="s">
        <v>2948</v>
      </c>
      <c r="S132" s="50">
        <v>0.0</v>
      </c>
      <c r="T132" s="50">
        <v>1.0</v>
      </c>
      <c r="U132" s="50">
        <v>0.0</v>
      </c>
      <c r="V132" s="50">
        <v>0.0</v>
      </c>
      <c r="W132" s="50">
        <v>0.0</v>
      </c>
      <c r="X132" s="50">
        <v>0.0</v>
      </c>
      <c r="Y132" s="50">
        <v>0.0</v>
      </c>
      <c r="Z132" s="50">
        <v>0.0</v>
      </c>
      <c r="AA132" s="50">
        <v>0.0</v>
      </c>
      <c r="AB132" s="48" t="s">
        <v>999</v>
      </c>
      <c r="AC132" s="50">
        <v>0.0</v>
      </c>
      <c r="AD132" s="50">
        <v>0.0</v>
      </c>
      <c r="AE132" s="50">
        <v>0.0</v>
      </c>
      <c r="AF132" s="50">
        <v>0.0</v>
      </c>
      <c r="AG132" s="50">
        <v>0.0</v>
      </c>
      <c r="AH132" s="50">
        <v>0.0</v>
      </c>
      <c r="AI132" s="50">
        <v>0.0</v>
      </c>
      <c r="AJ132" s="50">
        <v>0.0</v>
      </c>
      <c r="AK132" s="50">
        <v>1.0</v>
      </c>
      <c r="AL132" s="48"/>
      <c r="AM132" s="48"/>
      <c r="AN132" s="50">
        <v>8.0</v>
      </c>
      <c r="AO132" s="48"/>
      <c r="AP132" s="48"/>
      <c r="AQ132" s="48"/>
      <c r="AR132" s="48"/>
      <c r="AS132" s="48"/>
      <c r="AT132" s="48"/>
      <c r="AU132" s="48"/>
      <c r="AV132" s="48"/>
      <c r="AW132" s="50">
        <v>8.0</v>
      </c>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t="s">
        <v>1409</v>
      </c>
      <c r="CK132" s="50">
        <v>6.96261559E8</v>
      </c>
      <c r="CL132" s="48" t="s">
        <v>3581</v>
      </c>
      <c r="CM132" s="47">
        <v>46095.09849537037</v>
      </c>
      <c r="CN132" s="48"/>
      <c r="CO132" s="48"/>
      <c r="CP132" s="48" t="s">
        <v>1954</v>
      </c>
      <c r="CQ132" s="48"/>
      <c r="CR132" s="48" t="s">
        <v>3014</v>
      </c>
      <c r="CS132" s="48"/>
      <c r="CT132" s="48" t="s">
        <v>3582</v>
      </c>
      <c r="CU132" s="50">
        <v>131.0</v>
      </c>
    </row>
    <row r="133">
      <c r="A133" s="47">
        <v>46095.39015731482</v>
      </c>
      <c r="B133" s="47">
        <v>46095.39336547453</v>
      </c>
      <c r="C133" s="48" t="s">
        <v>1434</v>
      </c>
      <c r="D133" s="48" t="s">
        <v>839</v>
      </c>
      <c r="E133" s="48" t="s">
        <v>1175</v>
      </c>
      <c r="F133" s="48" t="s">
        <v>1176</v>
      </c>
      <c r="G133" s="49" t="s">
        <v>1435</v>
      </c>
      <c r="H133" s="48" t="s">
        <v>2948</v>
      </c>
      <c r="I133" s="50">
        <v>0.0</v>
      </c>
      <c r="J133" s="50">
        <v>1.0</v>
      </c>
      <c r="K133" s="50">
        <v>0.0</v>
      </c>
      <c r="L133" s="50">
        <v>0.0</v>
      </c>
      <c r="M133" s="50">
        <v>0.0</v>
      </c>
      <c r="N133" s="50">
        <v>0.0</v>
      </c>
      <c r="O133" s="50">
        <v>0.0</v>
      </c>
      <c r="P133" s="50">
        <v>0.0</v>
      </c>
      <c r="Q133" s="50">
        <v>0.0</v>
      </c>
      <c r="R133" s="48" t="s">
        <v>2948</v>
      </c>
      <c r="S133" s="50">
        <v>0.0</v>
      </c>
      <c r="T133" s="50">
        <v>1.0</v>
      </c>
      <c r="U133" s="50">
        <v>0.0</v>
      </c>
      <c r="V133" s="50">
        <v>0.0</v>
      </c>
      <c r="W133" s="50">
        <v>0.0</v>
      </c>
      <c r="X133" s="50">
        <v>0.0</v>
      </c>
      <c r="Y133" s="50">
        <v>0.0</v>
      </c>
      <c r="Z133" s="50">
        <v>0.0</v>
      </c>
      <c r="AA133" s="50">
        <v>0.0</v>
      </c>
      <c r="AB133" s="48" t="s">
        <v>999</v>
      </c>
      <c r="AC133" s="50">
        <v>0.0</v>
      </c>
      <c r="AD133" s="50">
        <v>0.0</v>
      </c>
      <c r="AE133" s="50">
        <v>0.0</v>
      </c>
      <c r="AF133" s="50">
        <v>0.0</v>
      </c>
      <c r="AG133" s="50">
        <v>0.0</v>
      </c>
      <c r="AH133" s="50">
        <v>0.0</v>
      </c>
      <c r="AI133" s="50">
        <v>0.0</v>
      </c>
      <c r="AJ133" s="50">
        <v>0.0</v>
      </c>
      <c r="AK133" s="50">
        <v>1.0</v>
      </c>
      <c r="AL133" s="48"/>
      <c r="AM133" s="48"/>
      <c r="AN133" s="50">
        <v>2.0</v>
      </c>
      <c r="AO133" s="48"/>
      <c r="AP133" s="48"/>
      <c r="AQ133" s="48"/>
      <c r="AR133" s="48"/>
      <c r="AS133" s="48"/>
      <c r="AT133" s="48"/>
      <c r="AU133" s="48"/>
      <c r="AV133" s="48"/>
      <c r="AW133" s="50">
        <v>2.0</v>
      </c>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t="s">
        <v>1409</v>
      </c>
      <c r="CK133" s="50">
        <v>6.96262507E8</v>
      </c>
      <c r="CL133" s="48" t="s">
        <v>3583</v>
      </c>
      <c r="CM133" s="47">
        <v>46095.10171296296</v>
      </c>
      <c r="CN133" s="48"/>
      <c r="CO133" s="48"/>
      <c r="CP133" s="48" t="s">
        <v>1954</v>
      </c>
      <c r="CQ133" s="48"/>
      <c r="CR133" s="48" t="s">
        <v>3014</v>
      </c>
      <c r="CS133" s="48"/>
      <c r="CT133" s="48" t="s">
        <v>3584</v>
      </c>
      <c r="CU133" s="50">
        <v>132.0</v>
      </c>
    </row>
    <row r="134">
      <c r="A134" s="47">
        <v>46095.39336697917</v>
      </c>
      <c r="B134" s="47">
        <v>46095.54319623842</v>
      </c>
      <c r="C134" s="48" t="s">
        <v>838</v>
      </c>
      <c r="D134" s="48" t="s">
        <v>839</v>
      </c>
      <c r="E134" s="48" t="s">
        <v>840</v>
      </c>
      <c r="F134" s="48" t="s">
        <v>841</v>
      </c>
      <c r="G134" s="49" t="s">
        <v>844</v>
      </c>
      <c r="H134" s="48" t="s">
        <v>2947</v>
      </c>
      <c r="I134" s="50">
        <v>1.0</v>
      </c>
      <c r="J134" s="50">
        <v>0.0</v>
      </c>
      <c r="K134" s="50">
        <v>0.0</v>
      </c>
      <c r="L134" s="50">
        <v>0.0</v>
      </c>
      <c r="M134" s="50">
        <v>0.0</v>
      </c>
      <c r="N134" s="50">
        <v>0.0</v>
      </c>
      <c r="O134" s="50">
        <v>0.0</v>
      </c>
      <c r="P134" s="50">
        <v>0.0</v>
      </c>
      <c r="Q134" s="50">
        <v>0.0</v>
      </c>
      <c r="R134" s="48" t="s">
        <v>2947</v>
      </c>
      <c r="S134" s="50">
        <v>1.0</v>
      </c>
      <c r="T134" s="50">
        <v>0.0</v>
      </c>
      <c r="U134" s="50">
        <v>0.0</v>
      </c>
      <c r="V134" s="50">
        <v>0.0</v>
      </c>
      <c r="W134" s="50">
        <v>0.0</v>
      </c>
      <c r="X134" s="50">
        <v>0.0</v>
      </c>
      <c r="Y134" s="50">
        <v>0.0</v>
      </c>
      <c r="Z134" s="50">
        <v>0.0</v>
      </c>
      <c r="AA134" s="50">
        <v>0.0</v>
      </c>
      <c r="AB134" s="48" t="s">
        <v>999</v>
      </c>
      <c r="AC134" s="50">
        <v>0.0</v>
      </c>
      <c r="AD134" s="50">
        <v>0.0</v>
      </c>
      <c r="AE134" s="50">
        <v>0.0</v>
      </c>
      <c r="AF134" s="50">
        <v>0.0</v>
      </c>
      <c r="AG134" s="50">
        <v>0.0</v>
      </c>
      <c r="AH134" s="50">
        <v>0.0</v>
      </c>
      <c r="AI134" s="50">
        <v>0.0</v>
      </c>
      <c r="AJ134" s="50">
        <v>0.0</v>
      </c>
      <c r="AK134" s="50">
        <v>1.0</v>
      </c>
      <c r="AL134" s="48"/>
      <c r="AM134" s="50">
        <v>5.0</v>
      </c>
      <c r="AN134" s="48"/>
      <c r="AO134" s="48"/>
      <c r="AP134" s="48"/>
      <c r="AQ134" s="48"/>
      <c r="AR134" s="48"/>
      <c r="AS134" s="48"/>
      <c r="AT134" s="48"/>
      <c r="AU134" s="48"/>
      <c r="AV134" s="50">
        <v>5.0</v>
      </c>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t="s">
        <v>1409</v>
      </c>
      <c r="CK134" s="50">
        <v>6.96328219E8</v>
      </c>
      <c r="CL134" s="48" t="s">
        <v>3585</v>
      </c>
      <c r="CM134" s="47">
        <v>46095.25153935186</v>
      </c>
      <c r="CN134" s="48"/>
      <c r="CO134" s="48"/>
      <c r="CP134" s="48" t="s">
        <v>1954</v>
      </c>
      <c r="CQ134" s="48"/>
      <c r="CR134" s="48" t="s">
        <v>3014</v>
      </c>
      <c r="CS134" s="48"/>
      <c r="CT134" s="48" t="s">
        <v>3586</v>
      </c>
      <c r="CU134" s="50">
        <v>133.0</v>
      </c>
    </row>
    <row r="135">
      <c r="A135" s="47">
        <v>46095.54319789352</v>
      </c>
      <c r="B135" s="47">
        <v>46095.54574317129</v>
      </c>
      <c r="C135" s="48" t="s">
        <v>3587</v>
      </c>
      <c r="D135" s="48" t="s">
        <v>839</v>
      </c>
      <c r="E135" s="48" t="s">
        <v>1175</v>
      </c>
      <c r="F135" s="48" t="s">
        <v>1176</v>
      </c>
      <c r="G135" s="49" t="s">
        <v>1196</v>
      </c>
      <c r="H135" s="48" t="s">
        <v>2948</v>
      </c>
      <c r="I135" s="50">
        <v>0.0</v>
      </c>
      <c r="J135" s="50">
        <v>1.0</v>
      </c>
      <c r="K135" s="50">
        <v>0.0</v>
      </c>
      <c r="L135" s="50">
        <v>0.0</v>
      </c>
      <c r="M135" s="50">
        <v>0.0</v>
      </c>
      <c r="N135" s="50">
        <v>0.0</v>
      </c>
      <c r="O135" s="50">
        <v>0.0</v>
      </c>
      <c r="P135" s="50">
        <v>0.0</v>
      </c>
      <c r="Q135" s="50">
        <v>0.0</v>
      </c>
      <c r="R135" s="48" t="s">
        <v>2948</v>
      </c>
      <c r="S135" s="50">
        <v>0.0</v>
      </c>
      <c r="T135" s="50">
        <v>1.0</v>
      </c>
      <c r="U135" s="50">
        <v>0.0</v>
      </c>
      <c r="V135" s="50">
        <v>0.0</v>
      </c>
      <c r="W135" s="50">
        <v>0.0</v>
      </c>
      <c r="X135" s="50">
        <v>0.0</v>
      </c>
      <c r="Y135" s="50">
        <v>0.0</v>
      </c>
      <c r="Z135" s="50">
        <v>0.0</v>
      </c>
      <c r="AA135" s="50">
        <v>0.0</v>
      </c>
      <c r="AB135" s="48" t="s">
        <v>999</v>
      </c>
      <c r="AC135" s="50">
        <v>0.0</v>
      </c>
      <c r="AD135" s="50">
        <v>0.0</v>
      </c>
      <c r="AE135" s="50">
        <v>0.0</v>
      </c>
      <c r="AF135" s="50">
        <v>0.0</v>
      </c>
      <c r="AG135" s="50">
        <v>0.0</v>
      </c>
      <c r="AH135" s="50">
        <v>0.0</v>
      </c>
      <c r="AI135" s="50">
        <v>0.0</v>
      </c>
      <c r="AJ135" s="50">
        <v>0.0</v>
      </c>
      <c r="AK135" s="50">
        <v>1.0</v>
      </c>
      <c r="AL135" s="48"/>
      <c r="AM135" s="48"/>
      <c r="AN135" s="50">
        <v>3.0</v>
      </c>
      <c r="AO135" s="48"/>
      <c r="AP135" s="48"/>
      <c r="AQ135" s="48"/>
      <c r="AR135" s="48"/>
      <c r="AS135" s="48"/>
      <c r="AT135" s="48"/>
      <c r="AU135" s="48"/>
      <c r="AV135" s="48"/>
      <c r="AW135" s="50">
        <v>3.0</v>
      </c>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t="s">
        <v>1409</v>
      </c>
      <c r="CK135" s="50">
        <v>6.96329884E8</v>
      </c>
      <c r="CL135" s="48" t="s">
        <v>3588</v>
      </c>
      <c r="CM135" s="47">
        <v>46095.25407407407</v>
      </c>
      <c r="CN135" s="48"/>
      <c r="CO135" s="48"/>
      <c r="CP135" s="48" t="s">
        <v>1954</v>
      </c>
      <c r="CQ135" s="48"/>
      <c r="CR135" s="48" t="s">
        <v>3014</v>
      </c>
      <c r="CS135" s="48"/>
      <c r="CT135" s="48" t="s">
        <v>3589</v>
      </c>
      <c r="CU135" s="50">
        <v>134.0</v>
      </c>
    </row>
    <row r="136">
      <c r="A136" s="47">
        <v>46095.54574497685</v>
      </c>
      <c r="B136" s="47">
        <v>46095.54985797454</v>
      </c>
      <c r="C136" s="48" t="s">
        <v>984</v>
      </c>
      <c r="D136" s="48" t="s">
        <v>839</v>
      </c>
      <c r="E136" s="48" t="s">
        <v>840</v>
      </c>
      <c r="F136" s="48" t="s">
        <v>841</v>
      </c>
      <c r="G136" s="49" t="s">
        <v>985</v>
      </c>
      <c r="H136" s="48" t="s">
        <v>2947</v>
      </c>
      <c r="I136" s="50">
        <v>1.0</v>
      </c>
      <c r="J136" s="50">
        <v>0.0</v>
      </c>
      <c r="K136" s="50">
        <v>0.0</v>
      </c>
      <c r="L136" s="50">
        <v>0.0</v>
      </c>
      <c r="M136" s="50">
        <v>0.0</v>
      </c>
      <c r="N136" s="50">
        <v>0.0</v>
      </c>
      <c r="O136" s="50">
        <v>0.0</v>
      </c>
      <c r="P136" s="50">
        <v>0.0</v>
      </c>
      <c r="Q136" s="50">
        <v>0.0</v>
      </c>
      <c r="R136" s="48" t="s">
        <v>2947</v>
      </c>
      <c r="S136" s="50">
        <v>1.0</v>
      </c>
      <c r="T136" s="50">
        <v>0.0</v>
      </c>
      <c r="U136" s="50">
        <v>0.0</v>
      </c>
      <c r="V136" s="50">
        <v>0.0</v>
      </c>
      <c r="W136" s="50">
        <v>0.0</v>
      </c>
      <c r="X136" s="50">
        <v>0.0</v>
      </c>
      <c r="Y136" s="50">
        <v>0.0</v>
      </c>
      <c r="Z136" s="50">
        <v>0.0</v>
      </c>
      <c r="AA136" s="50">
        <v>0.0</v>
      </c>
      <c r="AB136" s="48" t="s">
        <v>2947</v>
      </c>
      <c r="AC136" s="50">
        <v>1.0</v>
      </c>
      <c r="AD136" s="50">
        <v>0.0</v>
      </c>
      <c r="AE136" s="50">
        <v>0.0</v>
      </c>
      <c r="AF136" s="50">
        <v>0.0</v>
      </c>
      <c r="AG136" s="50">
        <v>0.0</v>
      </c>
      <c r="AH136" s="50">
        <v>0.0</v>
      </c>
      <c r="AI136" s="50">
        <v>0.0</v>
      </c>
      <c r="AJ136" s="50">
        <v>0.0</v>
      </c>
      <c r="AK136" s="50">
        <v>0.0</v>
      </c>
      <c r="AL136" s="48"/>
      <c r="AM136" s="50">
        <v>2.0</v>
      </c>
      <c r="AN136" s="48"/>
      <c r="AO136" s="48"/>
      <c r="AP136" s="48"/>
      <c r="AQ136" s="48"/>
      <c r="AR136" s="48"/>
      <c r="AS136" s="48"/>
      <c r="AT136" s="48"/>
      <c r="AU136" s="48"/>
      <c r="AV136" s="50">
        <v>0.0</v>
      </c>
      <c r="AW136" s="48"/>
      <c r="AX136" s="48"/>
      <c r="AY136" s="48"/>
      <c r="AZ136" s="48"/>
      <c r="BA136" s="48"/>
      <c r="BB136" s="48"/>
      <c r="BC136" s="48"/>
      <c r="BD136" s="50">
        <v>2.0</v>
      </c>
      <c r="BE136" s="50">
        <v>0.0</v>
      </c>
      <c r="BF136" s="50">
        <v>0.0</v>
      </c>
      <c r="BG136" s="50">
        <v>0.0</v>
      </c>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t="s">
        <v>3590</v>
      </c>
      <c r="CK136" s="50">
        <v>6.96332709E8</v>
      </c>
      <c r="CL136" s="48" t="s">
        <v>3591</v>
      </c>
      <c r="CM136" s="47">
        <v>46095.25854166667</v>
      </c>
      <c r="CN136" s="48"/>
      <c r="CO136" s="48"/>
      <c r="CP136" s="48" t="s">
        <v>1954</v>
      </c>
      <c r="CQ136" s="48"/>
      <c r="CR136" s="48" t="s">
        <v>3014</v>
      </c>
      <c r="CS136" s="48"/>
      <c r="CT136" s="48" t="s">
        <v>3592</v>
      </c>
      <c r="CU136" s="50">
        <v>135.0</v>
      </c>
    </row>
    <row r="137">
      <c r="A137" s="47">
        <v>46095.54985962963</v>
      </c>
      <c r="B137" s="47">
        <v>46095.55246236111</v>
      </c>
      <c r="C137" s="48" t="s">
        <v>967</v>
      </c>
      <c r="D137" s="48" t="s">
        <v>839</v>
      </c>
      <c r="E137" s="48" t="s">
        <v>840</v>
      </c>
      <c r="F137" s="48" t="s">
        <v>841</v>
      </c>
      <c r="G137" s="49" t="s">
        <v>968</v>
      </c>
      <c r="H137" s="48" t="s">
        <v>2947</v>
      </c>
      <c r="I137" s="50">
        <v>1.0</v>
      </c>
      <c r="J137" s="50">
        <v>0.0</v>
      </c>
      <c r="K137" s="50">
        <v>0.0</v>
      </c>
      <c r="L137" s="50">
        <v>0.0</v>
      </c>
      <c r="M137" s="50">
        <v>0.0</v>
      </c>
      <c r="N137" s="50">
        <v>0.0</v>
      </c>
      <c r="O137" s="50">
        <v>0.0</v>
      </c>
      <c r="P137" s="50">
        <v>0.0</v>
      </c>
      <c r="Q137" s="50">
        <v>0.0</v>
      </c>
      <c r="R137" s="48" t="s">
        <v>2947</v>
      </c>
      <c r="S137" s="50">
        <v>1.0</v>
      </c>
      <c r="T137" s="50">
        <v>0.0</v>
      </c>
      <c r="U137" s="50">
        <v>0.0</v>
      </c>
      <c r="V137" s="50">
        <v>0.0</v>
      </c>
      <c r="W137" s="50">
        <v>0.0</v>
      </c>
      <c r="X137" s="50">
        <v>0.0</v>
      </c>
      <c r="Y137" s="50">
        <v>0.0</v>
      </c>
      <c r="Z137" s="50">
        <v>0.0</v>
      </c>
      <c r="AA137" s="50">
        <v>0.0</v>
      </c>
      <c r="AB137" s="48" t="s">
        <v>999</v>
      </c>
      <c r="AC137" s="50">
        <v>0.0</v>
      </c>
      <c r="AD137" s="50">
        <v>0.0</v>
      </c>
      <c r="AE137" s="50">
        <v>0.0</v>
      </c>
      <c r="AF137" s="50">
        <v>0.0</v>
      </c>
      <c r="AG137" s="50">
        <v>0.0</v>
      </c>
      <c r="AH137" s="50">
        <v>0.0</v>
      </c>
      <c r="AI137" s="50">
        <v>0.0</v>
      </c>
      <c r="AJ137" s="50">
        <v>0.0</v>
      </c>
      <c r="AK137" s="50">
        <v>1.0</v>
      </c>
      <c r="AL137" s="48"/>
      <c r="AM137" s="50">
        <v>5.0</v>
      </c>
      <c r="AN137" s="48"/>
      <c r="AO137" s="48"/>
      <c r="AP137" s="48"/>
      <c r="AQ137" s="48"/>
      <c r="AR137" s="48"/>
      <c r="AS137" s="48"/>
      <c r="AT137" s="48"/>
      <c r="AU137" s="48"/>
      <c r="AV137" s="50">
        <v>5.0</v>
      </c>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t="s">
        <v>1409</v>
      </c>
      <c r="CK137" s="50">
        <v>6.96334288E8</v>
      </c>
      <c r="CL137" s="48" t="s">
        <v>3593</v>
      </c>
      <c r="CM137" s="47">
        <v>46095.26079861111</v>
      </c>
      <c r="CN137" s="48"/>
      <c r="CO137" s="48"/>
      <c r="CP137" s="48" t="s">
        <v>1954</v>
      </c>
      <c r="CQ137" s="48"/>
      <c r="CR137" s="48" t="s">
        <v>3014</v>
      </c>
      <c r="CS137" s="48"/>
      <c r="CT137" s="48" t="s">
        <v>3594</v>
      </c>
      <c r="CU137" s="50">
        <v>136.0</v>
      </c>
    </row>
    <row r="138">
      <c r="A138" s="47">
        <v>46095.55246386574</v>
      </c>
      <c r="B138" s="47">
        <v>46095.55338668981</v>
      </c>
      <c r="C138" s="48" t="s">
        <v>930</v>
      </c>
      <c r="D138" s="48" t="s">
        <v>839</v>
      </c>
      <c r="E138" s="48" t="s">
        <v>840</v>
      </c>
      <c r="F138" s="48" t="s">
        <v>841</v>
      </c>
      <c r="G138" s="49" t="s">
        <v>932</v>
      </c>
      <c r="H138" s="48" t="s">
        <v>2947</v>
      </c>
      <c r="I138" s="50">
        <v>1.0</v>
      </c>
      <c r="J138" s="50">
        <v>0.0</v>
      </c>
      <c r="K138" s="50">
        <v>0.0</v>
      </c>
      <c r="L138" s="50">
        <v>0.0</v>
      </c>
      <c r="M138" s="50">
        <v>0.0</v>
      </c>
      <c r="N138" s="50">
        <v>0.0</v>
      </c>
      <c r="O138" s="50">
        <v>0.0</v>
      </c>
      <c r="P138" s="50">
        <v>0.0</v>
      </c>
      <c r="Q138" s="50">
        <v>0.0</v>
      </c>
      <c r="R138" s="48" t="s">
        <v>2947</v>
      </c>
      <c r="S138" s="50">
        <v>1.0</v>
      </c>
      <c r="T138" s="50">
        <v>0.0</v>
      </c>
      <c r="U138" s="50">
        <v>0.0</v>
      </c>
      <c r="V138" s="50">
        <v>0.0</v>
      </c>
      <c r="W138" s="50">
        <v>0.0</v>
      </c>
      <c r="X138" s="50">
        <v>0.0</v>
      </c>
      <c r="Y138" s="50">
        <v>0.0</v>
      </c>
      <c r="Z138" s="50">
        <v>0.0</v>
      </c>
      <c r="AA138" s="50">
        <v>0.0</v>
      </c>
      <c r="AB138" s="48" t="s">
        <v>999</v>
      </c>
      <c r="AC138" s="50">
        <v>0.0</v>
      </c>
      <c r="AD138" s="50">
        <v>0.0</v>
      </c>
      <c r="AE138" s="50">
        <v>0.0</v>
      </c>
      <c r="AF138" s="50">
        <v>0.0</v>
      </c>
      <c r="AG138" s="50">
        <v>0.0</v>
      </c>
      <c r="AH138" s="50">
        <v>0.0</v>
      </c>
      <c r="AI138" s="50">
        <v>0.0</v>
      </c>
      <c r="AJ138" s="50">
        <v>0.0</v>
      </c>
      <c r="AK138" s="50">
        <v>1.0</v>
      </c>
      <c r="AL138" s="48"/>
      <c r="AM138" s="50">
        <v>3.0</v>
      </c>
      <c r="AN138" s="48"/>
      <c r="AO138" s="48"/>
      <c r="AP138" s="48"/>
      <c r="AQ138" s="48"/>
      <c r="AR138" s="48"/>
      <c r="AS138" s="48"/>
      <c r="AT138" s="48"/>
      <c r="AU138" s="48"/>
      <c r="AV138" s="50">
        <v>3.0</v>
      </c>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t="s">
        <v>1409</v>
      </c>
      <c r="CK138" s="50">
        <v>6.96334838E8</v>
      </c>
      <c r="CL138" s="48" t="s">
        <v>3595</v>
      </c>
      <c r="CM138" s="47">
        <v>46095.26172453703</v>
      </c>
      <c r="CN138" s="48"/>
      <c r="CO138" s="48"/>
      <c r="CP138" s="48" t="s">
        <v>1954</v>
      </c>
      <c r="CQ138" s="48"/>
      <c r="CR138" s="48" t="s">
        <v>3014</v>
      </c>
      <c r="CS138" s="48"/>
      <c r="CT138" s="48" t="s">
        <v>3596</v>
      </c>
      <c r="CU138" s="50">
        <v>137.0</v>
      </c>
    </row>
    <row r="139">
      <c r="A139" s="47">
        <v>46095.55338866898</v>
      </c>
      <c r="B139" s="47">
        <v>46095.55434922453</v>
      </c>
      <c r="C139" s="48" t="s">
        <v>1164</v>
      </c>
      <c r="D139" s="48" t="s">
        <v>839</v>
      </c>
      <c r="E139" s="48" t="s">
        <v>1025</v>
      </c>
      <c r="F139" s="48" t="s">
        <v>1147</v>
      </c>
      <c r="G139" s="49" t="s">
        <v>1167</v>
      </c>
      <c r="H139" s="48" t="s">
        <v>2948</v>
      </c>
      <c r="I139" s="50">
        <v>0.0</v>
      </c>
      <c r="J139" s="50">
        <v>1.0</v>
      </c>
      <c r="K139" s="50">
        <v>0.0</v>
      </c>
      <c r="L139" s="50">
        <v>0.0</v>
      </c>
      <c r="M139" s="50">
        <v>0.0</v>
      </c>
      <c r="N139" s="50">
        <v>0.0</v>
      </c>
      <c r="O139" s="50">
        <v>0.0</v>
      </c>
      <c r="P139" s="50">
        <v>0.0</v>
      </c>
      <c r="Q139" s="50">
        <v>0.0</v>
      </c>
      <c r="R139" s="48" t="s">
        <v>2948</v>
      </c>
      <c r="S139" s="50">
        <v>0.0</v>
      </c>
      <c r="T139" s="50">
        <v>1.0</v>
      </c>
      <c r="U139" s="50">
        <v>0.0</v>
      </c>
      <c r="V139" s="50">
        <v>0.0</v>
      </c>
      <c r="W139" s="50">
        <v>0.0</v>
      </c>
      <c r="X139" s="50">
        <v>0.0</v>
      </c>
      <c r="Y139" s="50">
        <v>0.0</v>
      </c>
      <c r="Z139" s="50">
        <v>0.0</v>
      </c>
      <c r="AA139" s="50">
        <v>0.0</v>
      </c>
      <c r="AB139" s="48" t="s">
        <v>999</v>
      </c>
      <c r="AC139" s="50">
        <v>0.0</v>
      </c>
      <c r="AD139" s="50">
        <v>0.0</v>
      </c>
      <c r="AE139" s="50">
        <v>0.0</v>
      </c>
      <c r="AF139" s="50">
        <v>0.0</v>
      </c>
      <c r="AG139" s="50">
        <v>0.0</v>
      </c>
      <c r="AH139" s="50">
        <v>0.0</v>
      </c>
      <c r="AI139" s="50">
        <v>0.0</v>
      </c>
      <c r="AJ139" s="50">
        <v>0.0</v>
      </c>
      <c r="AK139" s="50">
        <v>1.0</v>
      </c>
      <c r="AL139" s="48"/>
      <c r="AM139" s="48"/>
      <c r="AN139" s="50">
        <v>3.0</v>
      </c>
      <c r="AO139" s="48"/>
      <c r="AP139" s="48"/>
      <c r="AQ139" s="48"/>
      <c r="AR139" s="48"/>
      <c r="AS139" s="48"/>
      <c r="AT139" s="48"/>
      <c r="AU139" s="48"/>
      <c r="AV139" s="48"/>
      <c r="AW139" s="50">
        <v>3.0</v>
      </c>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t="s">
        <v>1409</v>
      </c>
      <c r="CK139" s="50">
        <v>6.96335367E8</v>
      </c>
      <c r="CL139" s="48" t="s">
        <v>3597</v>
      </c>
      <c r="CM139" s="47">
        <v>46095.26268518518</v>
      </c>
      <c r="CN139" s="48"/>
      <c r="CO139" s="48"/>
      <c r="CP139" s="48" t="s">
        <v>1954</v>
      </c>
      <c r="CQ139" s="48"/>
      <c r="CR139" s="48" t="s">
        <v>3014</v>
      </c>
      <c r="CS139" s="48"/>
      <c r="CT139" s="48" t="s">
        <v>3598</v>
      </c>
      <c r="CU139" s="50">
        <v>138.0</v>
      </c>
    </row>
    <row r="140">
      <c r="A140" s="47">
        <v>46095.55435070602</v>
      </c>
      <c r="B140" s="47">
        <v>46095.55583416667</v>
      </c>
      <c r="C140" s="48" t="s">
        <v>3599</v>
      </c>
      <c r="D140" s="48" t="s">
        <v>839</v>
      </c>
      <c r="E140" s="48" t="s">
        <v>840</v>
      </c>
      <c r="F140" s="48" t="s">
        <v>3600</v>
      </c>
      <c r="G140" s="49" t="s">
        <v>1059</v>
      </c>
      <c r="H140" s="48" t="s">
        <v>2948</v>
      </c>
      <c r="I140" s="50">
        <v>0.0</v>
      </c>
      <c r="J140" s="50">
        <v>1.0</v>
      </c>
      <c r="K140" s="50">
        <v>0.0</v>
      </c>
      <c r="L140" s="50">
        <v>0.0</v>
      </c>
      <c r="M140" s="50">
        <v>0.0</v>
      </c>
      <c r="N140" s="50">
        <v>0.0</v>
      </c>
      <c r="O140" s="50">
        <v>0.0</v>
      </c>
      <c r="P140" s="50">
        <v>0.0</v>
      </c>
      <c r="Q140" s="50">
        <v>0.0</v>
      </c>
      <c r="R140" s="48" t="s">
        <v>2948</v>
      </c>
      <c r="S140" s="50">
        <v>0.0</v>
      </c>
      <c r="T140" s="50">
        <v>1.0</v>
      </c>
      <c r="U140" s="50">
        <v>0.0</v>
      </c>
      <c r="V140" s="50">
        <v>0.0</v>
      </c>
      <c r="W140" s="50">
        <v>0.0</v>
      </c>
      <c r="X140" s="50">
        <v>0.0</v>
      </c>
      <c r="Y140" s="50">
        <v>0.0</v>
      </c>
      <c r="Z140" s="50">
        <v>0.0</v>
      </c>
      <c r="AA140" s="50">
        <v>0.0</v>
      </c>
      <c r="AB140" s="48" t="s">
        <v>999</v>
      </c>
      <c r="AC140" s="50">
        <v>0.0</v>
      </c>
      <c r="AD140" s="50">
        <v>0.0</v>
      </c>
      <c r="AE140" s="50">
        <v>0.0</v>
      </c>
      <c r="AF140" s="50">
        <v>0.0</v>
      </c>
      <c r="AG140" s="50">
        <v>0.0</v>
      </c>
      <c r="AH140" s="50">
        <v>0.0</v>
      </c>
      <c r="AI140" s="50">
        <v>0.0</v>
      </c>
      <c r="AJ140" s="50">
        <v>0.0</v>
      </c>
      <c r="AK140" s="50">
        <v>1.0</v>
      </c>
      <c r="AL140" s="48"/>
      <c r="AM140" s="48"/>
      <c r="AN140" s="50">
        <v>3.0</v>
      </c>
      <c r="AO140" s="48"/>
      <c r="AP140" s="48"/>
      <c r="AQ140" s="48"/>
      <c r="AR140" s="48"/>
      <c r="AS140" s="48"/>
      <c r="AT140" s="48"/>
      <c r="AU140" s="48"/>
      <c r="AV140" s="48"/>
      <c r="AW140" s="50">
        <v>3.0</v>
      </c>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t="s">
        <v>1409</v>
      </c>
      <c r="CK140" s="50">
        <v>6.96336368E8</v>
      </c>
      <c r="CL140" s="48" t="s">
        <v>3601</v>
      </c>
      <c r="CM140" s="47">
        <v>46095.26416666667</v>
      </c>
      <c r="CN140" s="48"/>
      <c r="CO140" s="48"/>
      <c r="CP140" s="48" t="s">
        <v>1954</v>
      </c>
      <c r="CQ140" s="48"/>
      <c r="CR140" s="48" t="s">
        <v>3014</v>
      </c>
      <c r="CS140" s="48"/>
      <c r="CT140" s="48" t="s">
        <v>3602</v>
      </c>
      <c r="CU140" s="50">
        <v>139.0</v>
      </c>
    </row>
    <row r="141">
      <c r="A141" s="47">
        <v>46095.55583616898</v>
      </c>
      <c r="B141" s="47">
        <v>46095.55701277778</v>
      </c>
      <c r="C141" s="48" t="s">
        <v>1041</v>
      </c>
      <c r="D141" s="48" t="s">
        <v>839</v>
      </c>
      <c r="E141" s="48" t="s">
        <v>840</v>
      </c>
      <c r="F141" s="48" t="s">
        <v>3600</v>
      </c>
      <c r="G141" s="49" t="s">
        <v>1045</v>
      </c>
      <c r="H141" s="48" t="s">
        <v>2947</v>
      </c>
      <c r="I141" s="50">
        <v>1.0</v>
      </c>
      <c r="J141" s="50">
        <v>0.0</v>
      </c>
      <c r="K141" s="50">
        <v>0.0</v>
      </c>
      <c r="L141" s="50">
        <v>0.0</v>
      </c>
      <c r="M141" s="50">
        <v>0.0</v>
      </c>
      <c r="N141" s="50">
        <v>0.0</v>
      </c>
      <c r="O141" s="50">
        <v>0.0</v>
      </c>
      <c r="P141" s="50">
        <v>0.0</v>
      </c>
      <c r="Q141" s="50">
        <v>0.0</v>
      </c>
      <c r="R141" s="48" t="s">
        <v>2947</v>
      </c>
      <c r="S141" s="50">
        <v>1.0</v>
      </c>
      <c r="T141" s="50">
        <v>0.0</v>
      </c>
      <c r="U141" s="50">
        <v>0.0</v>
      </c>
      <c r="V141" s="50">
        <v>0.0</v>
      </c>
      <c r="W141" s="50">
        <v>0.0</v>
      </c>
      <c r="X141" s="50">
        <v>0.0</v>
      </c>
      <c r="Y141" s="50">
        <v>0.0</v>
      </c>
      <c r="Z141" s="50">
        <v>0.0</v>
      </c>
      <c r="AA141" s="50">
        <v>0.0</v>
      </c>
      <c r="AB141" s="48" t="s">
        <v>999</v>
      </c>
      <c r="AC141" s="50">
        <v>0.0</v>
      </c>
      <c r="AD141" s="50">
        <v>0.0</v>
      </c>
      <c r="AE141" s="50">
        <v>0.0</v>
      </c>
      <c r="AF141" s="50">
        <v>0.0</v>
      </c>
      <c r="AG141" s="50">
        <v>0.0</v>
      </c>
      <c r="AH141" s="50">
        <v>0.0</v>
      </c>
      <c r="AI141" s="50">
        <v>0.0</v>
      </c>
      <c r="AJ141" s="50">
        <v>0.0</v>
      </c>
      <c r="AK141" s="50">
        <v>1.0</v>
      </c>
      <c r="AL141" s="48"/>
      <c r="AM141" s="50">
        <v>2.0</v>
      </c>
      <c r="AN141" s="48"/>
      <c r="AO141" s="48"/>
      <c r="AP141" s="48"/>
      <c r="AQ141" s="48"/>
      <c r="AR141" s="48"/>
      <c r="AS141" s="48"/>
      <c r="AT141" s="48"/>
      <c r="AU141" s="48"/>
      <c r="AV141" s="50">
        <v>2.0</v>
      </c>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t="s">
        <v>1409</v>
      </c>
      <c r="CK141" s="50">
        <v>6.96337367E8</v>
      </c>
      <c r="CL141" s="48" t="s">
        <v>3603</v>
      </c>
      <c r="CM141" s="47">
        <v>46095.26534722222</v>
      </c>
      <c r="CN141" s="48"/>
      <c r="CO141" s="48"/>
      <c r="CP141" s="48" t="s">
        <v>1954</v>
      </c>
      <c r="CQ141" s="48"/>
      <c r="CR141" s="48" t="s">
        <v>3014</v>
      </c>
      <c r="CS141" s="48"/>
      <c r="CT141" s="48" t="s">
        <v>3604</v>
      </c>
      <c r="CU141" s="50">
        <v>140.0</v>
      </c>
    </row>
    <row r="142">
      <c r="A142" s="47">
        <v>46095.55701429398</v>
      </c>
      <c r="B142" s="47">
        <v>46095.55888806713</v>
      </c>
      <c r="C142" s="48" t="s">
        <v>1024</v>
      </c>
      <c r="D142" s="48" t="s">
        <v>839</v>
      </c>
      <c r="E142" s="48" t="s">
        <v>1025</v>
      </c>
      <c r="F142" s="48" t="s">
        <v>1026</v>
      </c>
      <c r="G142" s="49" t="s">
        <v>1027</v>
      </c>
      <c r="H142" s="48" t="s">
        <v>2947</v>
      </c>
      <c r="I142" s="50">
        <v>1.0</v>
      </c>
      <c r="J142" s="50">
        <v>0.0</v>
      </c>
      <c r="K142" s="50">
        <v>0.0</v>
      </c>
      <c r="L142" s="50">
        <v>0.0</v>
      </c>
      <c r="M142" s="50">
        <v>0.0</v>
      </c>
      <c r="N142" s="50">
        <v>0.0</v>
      </c>
      <c r="O142" s="50">
        <v>0.0</v>
      </c>
      <c r="P142" s="50">
        <v>0.0</v>
      </c>
      <c r="Q142" s="50">
        <v>0.0</v>
      </c>
      <c r="R142" s="48" t="s">
        <v>2947</v>
      </c>
      <c r="S142" s="50">
        <v>1.0</v>
      </c>
      <c r="T142" s="50">
        <v>0.0</v>
      </c>
      <c r="U142" s="50">
        <v>0.0</v>
      </c>
      <c r="V142" s="50">
        <v>0.0</v>
      </c>
      <c r="W142" s="50">
        <v>0.0</v>
      </c>
      <c r="X142" s="50">
        <v>0.0</v>
      </c>
      <c r="Y142" s="50">
        <v>0.0</v>
      </c>
      <c r="Z142" s="50">
        <v>0.0</v>
      </c>
      <c r="AA142" s="50">
        <v>0.0</v>
      </c>
      <c r="AB142" s="48" t="s">
        <v>999</v>
      </c>
      <c r="AC142" s="50">
        <v>0.0</v>
      </c>
      <c r="AD142" s="50">
        <v>0.0</v>
      </c>
      <c r="AE142" s="50">
        <v>0.0</v>
      </c>
      <c r="AF142" s="50">
        <v>0.0</v>
      </c>
      <c r="AG142" s="50">
        <v>0.0</v>
      </c>
      <c r="AH142" s="50">
        <v>0.0</v>
      </c>
      <c r="AI142" s="50">
        <v>0.0</v>
      </c>
      <c r="AJ142" s="50">
        <v>0.0</v>
      </c>
      <c r="AK142" s="50">
        <v>1.0</v>
      </c>
      <c r="AL142" s="48"/>
      <c r="AM142" s="50">
        <v>3.0</v>
      </c>
      <c r="AN142" s="48"/>
      <c r="AO142" s="48"/>
      <c r="AP142" s="48"/>
      <c r="AQ142" s="48"/>
      <c r="AR142" s="48"/>
      <c r="AS142" s="48"/>
      <c r="AT142" s="48"/>
      <c r="AU142" s="48"/>
      <c r="AV142" s="50">
        <v>3.0</v>
      </c>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t="s">
        <v>1409</v>
      </c>
      <c r="CK142" s="50">
        <v>6.96338692E8</v>
      </c>
      <c r="CL142" s="48" t="s">
        <v>3605</v>
      </c>
      <c r="CM142" s="47">
        <v>46095.26722222222</v>
      </c>
      <c r="CN142" s="48"/>
      <c r="CO142" s="48"/>
      <c r="CP142" s="48" t="s">
        <v>1954</v>
      </c>
      <c r="CQ142" s="48"/>
      <c r="CR142" s="48" t="s">
        <v>3014</v>
      </c>
      <c r="CS142" s="48"/>
      <c r="CT142" s="48" t="s">
        <v>3606</v>
      </c>
      <c r="CU142" s="50">
        <v>141.0</v>
      </c>
    </row>
    <row r="143">
      <c r="A143" s="47">
        <v>46095.55888967593</v>
      </c>
      <c r="B143" s="47">
        <v>46095.56006803241</v>
      </c>
      <c r="C143" s="48" t="s">
        <v>3607</v>
      </c>
      <c r="D143" s="48" t="s">
        <v>839</v>
      </c>
      <c r="E143" s="48" t="s">
        <v>840</v>
      </c>
      <c r="F143" s="48" t="s">
        <v>841</v>
      </c>
      <c r="G143" s="49" t="s">
        <v>1008</v>
      </c>
      <c r="H143" s="48" t="s">
        <v>2947</v>
      </c>
      <c r="I143" s="50">
        <v>1.0</v>
      </c>
      <c r="J143" s="50">
        <v>0.0</v>
      </c>
      <c r="K143" s="50">
        <v>0.0</v>
      </c>
      <c r="L143" s="50">
        <v>0.0</v>
      </c>
      <c r="M143" s="50">
        <v>0.0</v>
      </c>
      <c r="N143" s="50">
        <v>0.0</v>
      </c>
      <c r="O143" s="50">
        <v>0.0</v>
      </c>
      <c r="P143" s="50">
        <v>0.0</v>
      </c>
      <c r="Q143" s="50">
        <v>0.0</v>
      </c>
      <c r="R143" s="48" t="s">
        <v>2947</v>
      </c>
      <c r="S143" s="50">
        <v>1.0</v>
      </c>
      <c r="T143" s="50">
        <v>0.0</v>
      </c>
      <c r="U143" s="50">
        <v>0.0</v>
      </c>
      <c r="V143" s="50">
        <v>0.0</v>
      </c>
      <c r="W143" s="50">
        <v>0.0</v>
      </c>
      <c r="X143" s="50">
        <v>0.0</v>
      </c>
      <c r="Y143" s="50">
        <v>0.0</v>
      </c>
      <c r="Z143" s="50">
        <v>0.0</v>
      </c>
      <c r="AA143" s="50">
        <v>0.0</v>
      </c>
      <c r="AB143" s="48" t="s">
        <v>999</v>
      </c>
      <c r="AC143" s="50">
        <v>0.0</v>
      </c>
      <c r="AD143" s="50">
        <v>0.0</v>
      </c>
      <c r="AE143" s="50">
        <v>0.0</v>
      </c>
      <c r="AF143" s="50">
        <v>0.0</v>
      </c>
      <c r="AG143" s="50">
        <v>0.0</v>
      </c>
      <c r="AH143" s="50">
        <v>0.0</v>
      </c>
      <c r="AI143" s="50">
        <v>0.0</v>
      </c>
      <c r="AJ143" s="50">
        <v>0.0</v>
      </c>
      <c r="AK143" s="50">
        <v>1.0</v>
      </c>
      <c r="AL143" s="48"/>
      <c r="AM143" s="50">
        <v>2.0</v>
      </c>
      <c r="AN143" s="48"/>
      <c r="AO143" s="48"/>
      <c r="AP143" s="48"/>
      <c r="AQ143" s="48"/>
      <c r="AR143" s="48"/>
      <c r="AS143" s="48"/>
      <c r="AT143" s="48"/>
      <c r="AU143" s="48"/>
      <c r="AV143" s="50">
        <v>2.0</v>
      </c>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t="s">
        <v>1409</v>
      </c>
      <c r="CK143" s="50">
        <v>6.96339481E8</v>
      </c>
      <c r="CL143" s="48" t="s">
        <v>3608</v>
      </c>
      <c r="CM143" s="47">
        <v>46095.26840277778</v>
      </c>
      <c r="CN143" s="48"/>
      <c r="CO143" s="48"/>
      <c r="CP143" s="48" t="s">
        <v>1954</v>
      </c>
      <c r="CQ143" s="48"/>
      <c r="CR143" s="48" t="s">
        <v>3014</v>
      </c>
      <c r="CS143" s="48"/>
      <c r="CT143" s="48" t="s">
        <v>3609</v>
      </c>
      <c r="CU143" s="50">
        <v>142.0</v>
      </c>
    </row>
    <row r="144">
      <c r="A144" s="47">
        <v>46095.56006959491</v>
      </c>
      <c r="B144" s="47">
        <v>46095.56114725694</v>
      </c>
      <c r="C144" s="48" t="s">
        <v>3610</v>
      </c>
      <c r="D144" s="48" t="s">
        <v>839</v>
      </c>
      <c r="E144" s="48" t="s">
        <v>1025</v>
      </c>
      <c r="F144" s="48" t="s">
        <v>1026</v>
      </c>
      <c r="G144" s="49" t="s">
        <v>1139</v>
      </c>
      <c r="H144" s="48" t="s">
        <v>2947</v>
      </c>
      <c r="I144" s="50">
        <v>1.0</v>
      </c>
      <c r="J144" s="50">
        <v>0.0</v>
      </c>
      <c r="K144" s="50">
        <v>0.0</v>
      </c>
      <c r="L144" s="50">
        <v>0.0</v>
      </c>
      <c r="M144" s="50">
        <v>0.0</v>
      </c>
      <c r="N144" s="50">
        <v>0.0</v>
      </c>
      <c r="O144" s="50">
        <v>0.0</v>
      </c>
      <c r="P144" s="50">
        <v>0.0</v>
      </c>
      <c r="Q144" s="50">
        <v>0.0</v>
      </c>
      <c r="R144" s="48" t="s">
        <v>2947</v>
      </c>
      <c r="S144" s="50">
        <v>1.0</v>
      </c>
      <c r="T144" s="50">
        <v>0.0</v>
      </c>
      <c r="U144" s="50">
        <v>0.0</v>
      </c>
      <c r="V144" s="50">
        <v>0.0</v>
      </c>
      <c r="W144" s="50">
        <v>0.0</v>
      </c>
      <c r="X144" s="50">
        <v>0.0</v>
      </c>
      <c r="Y144" s="50">
        <v>0.0</v>
      </c>
      <c r="Z144" s="50">
        <v>0.0</v>
      </c>
      <c r="AA144" s="50">
        <v>0.0</v>
      </c>
      <c r="AB144" s="48" t="s">
        <v>999</v>
      </c>
      <c r="AC144" s="50">
        <v>0.0</v>
      </c>
      <c r="AD144" s="50">
        <v>0.0</v>
      </c>
      <c r="AE144" s="50">
        <v>0.0</v>
      </c>
      <c r="AF144" s="50">
        <v>0.0</v>
      </c>
      <c r="AG144" s="50">
        <v>0.0</v>
      </c>
      <c r="AH144" s="50">
        <v>0.0</v>
      </c>
      <c r="AI144" s="50">
        <v>0.0</v>
      </c>
      <c r="AJ144" s="50">
        <v>0.0</v>
      </c>
      <c r="AK144" s="50">
        <v>1.0</v>
      </c>
      <c r="AL144" s="48"/>
      <c r="AM144" s="50">
        <v>3.0</v>
      </c>
      <c r="AN144" s="48"/>
      <c r="AO144" s="48"/>
      <c r="AP144" s="48"/>
      <c r="AQ144" s="48"/>
      <c r="AR144" s="48"/>
      <c r="AS144" s="48"/>
      <c r="AT144" s="48"/>
      <c r="AU144" s="48"/>
      <c r="AV144" s="50">
        <v>3.0</v>
      </c>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t="s">
        <v>1409</v>
      </c>
      <c r="CK144" s="50">
        <v>6.96340171E8</v>
      </c>
      <c r="CL144" s="48" t="s">
        <v>3611</v>
      </c>
      <c r="CM144" s="47">
        <v>46095.26947916667</v>
      </c>
      <c r="CN144" s="48"/>
      <c r="CO144" s="48"/>
      <c r="CP144" s="48" t="s">
        <v>1954</v>
      </c>
      <c r="CQ144" s="48"/>
      <c r="CR144" s="48" t="s">
        <v>3014</v>
      </c>
      <c r="CS144" s="48"/>
      <c r="CT144" s="48" t="s">
        <v>3612</v>
      </c>
      <c r="CU144" s="50">
        <v>143.0</v>
      </c>
    </row>
    <row r="145">
      <c r="A145" s="47">
        <v>46095.56114887731</v>
      </c>
      <c r="B145" s="47">
        <v>46095.56217974537</v>
      </c>
      <c r="C145" s="48" t="s">
        <v>1126</v>
      </c>
      <c r="D145" s="48" t="s">
        <v>839</v>
      </c>
      <c r="E145" s="48" t="s">
        <v>1025</v>
      </c>
      <c r="F145" s="48" t="s">
        <v>1026</v>
      </c>
      <c r="G145" s="49" t="s">
        <v>1129</v>
      </c>
      <c r="H145" s="48" t="s">
        <v>2947</v>
      </c>
      <c r="I145" s="50">
        <v>1.0</v>
      </c>
      <c r="J145" s="50">
        <v>0.0</v>
      </c>
      <c r="K145" s="50">
        <v>0.0</v>
      </c>
      <c r="L145" s="50">
        <v>0.0</v>
      </c>
      <c r="M145" s="50">
        <v>0.0</v>
      </c>
      <c r="N145" s="50">
        <v>0.0</v>
      </c>
      <c r="O145" s="50">
        <v>0.0</v>
      </c>
      <c r="P145" s="50">
        <v>0.0</v>
      </c>
      <c r="Q145" s="50">
        <v>0.0</v>
      </c>
      <c r="R145" s="48" t="s">
        <v>2947</v>
      </c>
      <c r="S145" s="50">
        <v>1.0</v>
      </c>
      <c r="T145" s="50">
        <v>0.0</v>
      </c>
      <c r="U145" s="50">
        <v>0.0</v>
      </c>
      <c r="V145" s="50">
        <v>0.0</v>
      </c>
      <c r="W145" s="50">
        <v>0.0</v>
      </c>
      <c r="X145" s="50">
        <v>0.0</v>
      </c>
      <c r="Y145" s="50">
        <v>0.0</v>
      </c>
      <c r="Z145" s="50">
        <v>0.0</v>
      </c>
      <c r="AA145" s="50">
        <v>0.0</v>
      </c>
      <c r="AB145" s="48" t="s">
        <v>999</v>
      </c>
      <c r="AC145" s="50">
        <v>0.0</v>
      </c>
      <c r="AD145" s="50">
        <v>0.0</v>
      </c>
      <c r="AE145" s="50">
        <v>0.0</v>
      </c>
      <c r="AF145" s="50">
        <v>0.0</v>
      </c>
      <c r="AG145" s="50">
        <v>0.0</v>
      </c>
      <c r="AH145" s="50">
        <v>0.0</v>
      </c>
      <c r="AI145" s="50">
        <v>0.0</v>
      </c>
      <c r="AJ145" s="50">
        <v>0.0</v>
      </c>
      <c r="AK145" s="50">
        <v>1.0</v>
      </c>
      <c r="AL145" s="48"/>
      <c r="AM145" s="50">
        <v>2.0</v>
      </c>
      <c r="AN145" s="48"/>
      <c r="AO145" s="48"/>
      <c r="AP145" s="48"/>
      <c r="AQ145" s="48"/>
      <c r="AR145" s="48"/>
      <c r="AS145" s="48"/>
      <c r="AT145" s="48"/>
      <c r="AU145" s="48"/>
      <c r="AV145" s="50">
        <v>2.0</v>
      </c>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t="s">
        <v>1409</v>
      </c>
      <c r="CK145" s="50">
        <v>6.96340785E8</v>
      </c>
      <c r="CL145" s="48" t="s">
        <v>3613</v>
      </c>
      <c r="CM145" s="47">
        <v>46095.27050925926</v>
      </c>
      <c r="CN145" s="48"/>
      <c r="CO145" s="48"/>
      <c r="CP145" s="48" t="s">
        <v>1954</v>
      </c>
      <c r="CQ145" s="48"/>
      <c r="CR145" s="48" t="s">
        <v>3014</v>
      </c>
      <c r="CS145" s="48"/>
      <c r="CT145" s="48" t="s">
        <v>3614</v>
      </c>
      <c r="CU145" s="50">
        <v>144.0</v>
      </c>
    </row>
    <row r="146">
      <c r="A146" s="47">
        <v>46095.56218158565</v>
      </c>
      <c r="B146" s="47">
        <v>46095.56335663194</v>
      </c>
      <c r="C146" s="48" t="s">
        <v>3615</v>
      </c>
      <c r="D146" s="48" t="s">
        <v>839</v>
      </c>
      <c r="E146" s="48" t="s">
        <v>1175</v>
      </c>
      <c r="F146" s="48" t="s">
        <v>1176</v>
      </c>
      <c r="G146" s="49" t="s">
        <v>1443</v>
      </c>
      <c r="H146" s="48" t="s">
        <v>2948</v>
      </c>
      <c r="I146" s="50">
        <v>0.0</v>
      </c>
      <c r="J146" s="50">
        <v>1.0</v>
      </c>
      <c r="K146" s="50">
        <v>0.0</v>
      </c>
      <c r="L146" s="50">
        <v>0.0</v>
      </c>
      <c r="M146" s="50">
        <v>0.0</v>
      </c>
      <c r="N146" s="50">
        <v>0.0</v>
      </c>
      <c r="O146" s="50">
        <v>0.0</v>
      </c>
      <c r="P146" s="50">
        <v>0.0</v>
      </c>
      <c r="Q146" s="50">
        <v>0.0</v>
      </c>
      <c r="R146" s="48" t="s">
        <v>2948</v>
      </c>
      <c r="S146" s="50">
        <v>0.0</v>
      </c>
      <c r="T146" s="50">
        <v>1.0</v>
      </c>
      <c r="U146" s="50">
        <v>0.0</v>
      </c>
      <c r="V146" s="50">
        <v>0.0</v>
      </c>
      <c r="W146" s="50">
        <v>0.0</v>
      </c>
      <c r="X146" s="50">
        <v>0.0</v>
      </c>
      <c r="Y146" s="50">
        <v>0.0</v>
      </c>
      <c r="Z146" s="50">
        <v>0.0</v>
      </c>
      <c r="AA146" s="50">
        <v>0.0</v>
      </c>
      <c r="AB146" s="48" t="s">
        <v>999</v>
      </c>
      <c r="AC146" s="50">
        <v>0.0</v>
      </c>
      <c r="AD146" s="50">
        <v>0.0</v>
      </c>
      <c r="AE146" s="50">
        <v>0.0</v>
      </c>
      <c r="AF146" s="50">
        <v>0.0</v>
      </c>
      <c r="AG146" s="50">
        <v>0.0</v>
      </c>
      <c r="AH146" s="50">
        <v>0.0</v>
      </c>
      <c r="AI146" s="50">
        <v>0.0</v>
      </c>
      <c r="AJ146" s="50">
        <v>0.0</v>
      </c>
      <c r="AK146" s="50">
        <v>1.0</v>
      </c>
      <c r="AL146" s="48"/>
      <c r="AM146" s="48"/>
      <c r="AN146" s="50">
        <v>5.0</v>
      </c>
      <c r="AO146" s="48"/>
      <c r="AP146" s="48"/>
      <c r="AQ146" s="48"/>
      <c r="AR146" s="48"/>
      <c r="AS146" s="48"/>
      <c r="AT146" s="48"/>
      <c r="AU146" s="48"/>
      <c r="AV146" s="48"/>
      <c r="AW146" s="50">
        <v>5.0</v>
      </c>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t="s">
        <v>1409</v>
      </c>
      <c r="CK146" s="50">
        <v>6.96341523E8</v>
      </c>
      <c r="CL146" s="48" t="s">
        <v>3616</v>
      </c>
      <c r="CM146" s="47">
        <v>46095.27168981481</v>
      </c>
      <c r="CN146" s="48"/>
      <c r="CO146" s="48"/>
      <c r="CP146" s="48" t="s">
        <v>1954</v>
      </c>
      <c r="CQ146" s="48"/>
      <c r="CR146" s="48" t="s">
        <v>3014</v>
      </c>
      <c r="CS146" s="48"/>
      <c r="CT146" s="48" t="s">
        <v>3617</v>
      </c>
      <c r="CU146" s="50">
        <v>145.0</v>
      </c>
    </row>
    <row r="147">
      <c r="A147" s="47">
        <v>46095.56335832176</v>
      </c>
      <c r="B147" s="47">
        <v>46095.56433936342</v>
      </c>
      <c r="C147" s="48" t="s">
        <v>1229</v>
      </c>
      <c r="D147" s="48" t="s">
        <v>839</v>
      </c>
      <c r="E147" s="48" t="s">
        <v>1175</v>
      </c>
      <c r="F147" s="48" t="s">
        <v>1176</v>
      </c>
      <c r="G147" s="49" t="s">
        <v>1230</v>
      </c>
      <c r="H147" s="48" t="s">
        <v>2948</v>
      </c>
      <c r="I147" s="50">
        <v>0.0</v>
      </c>
      <c r="J147" s="50">
        <v>1.0</v>
      </c>
      <c r="K147" s="50">
        <v>0.0</v>
      </c>
      <c r="L147" s="50">
        <v>0.0</v>
      </c>
      <c r="M147" s="50">
        <v>0.0</v>
      </c>
      <c r="N147" s="50">
        <v>0.0</v>
      </c>
      <c r="O147" s="50">
        <v>0.0</v>
      </c>
      <c r="P147" s="50">
        <v>0.0</v>
      </c>
      <c r="Q147" s="50">
        <v>0.0</v>
      </c>
      <c r="R147" s="48" t="s">
        <v>2948</v>
      </c>
      <c r="S147" s="50">
        <v>0.0</v>
      </c>
      <c r="T147" s="50">
        <v>1.0</v>
      </c>
      <c r="U147" s="50">
        <v>0.0</v>
      </c>
      <c r="V147" s="50">
        <v>0.0</v>
      </c>
      <c r="W147" s="50">
        <v>0.0</v>
      </c>
      <c r="X147" s="50">
        <v>0.0</v>
      </c>
      <c r="Y147" s="50">
        <v>0.0</v>
      </c>
      <c r="Z147" s="50">
        <v>0.0</v>
      </c>
      <c r="AA147" s="50">
        <v>0.0</v>
      </c>
      <c r="AB147" s="48" t="s">
        <v>999</v>
      </c>
      <c r="AC147" s="50">
        <v>0.0</v>
      </c>
      <c r="AD147" s="50">
        <v>0.0</v>
      </c>
      <c r="AE147" s="50">
        <v>0.0</v>
      </c>
      <c r="AF147" s="50">
        <v>0.0</v>
      </c>
      <c r="AG147" s="50">
        <v>0.0</v>
      </c>
      <c r="AH147" s="50">
        <v>0.0</v>
      </c>
      <c r="AI147" s="50">
        <v>0.0</v>
      </c>
      <c r="AJ147" s="50">
        <v>0.0</v>
      </c>
      <c r="AK147" s="50">
        <v>1.0</v>
      </c>
      <c r="AL147" s="48"/>
      <c r="AM147" s="48"/>
      <c r="AN147" s="50">
        <v>2.0</v>
      </c>
      <c r="AO147" s="48"/>
      <c r="AP147" s="48"/>
      <c r="AQ147" s="48"/>
      <c r="AR147" s="48"/>
      <c r="AS147" s="48"/>
      <c r="AT147" s="48"/>
      <c r="AU147" s="48"/>
      <c r="AV147" s="48"/>
      <c r="AW147" s="50">
        <v>2.0</v>
      </c>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c r="CG147" s="48"/>
      <c r="CH147" s="48"/>
      <c r="CI147" s="48"/>
      <c r="CJ147" s="48" t="s">
        <v>1409</v>
      </c>
      <c r="CK147" s="50">
        <v>6.96342216E8</v>
      </c>
      <c r="CL147" s="48" t="s">
        <v>3618</v>
      </c>
      <c r="CM147" s="47">
        <v>46095.27267361111</v>
      </c>
      <c r="CN147" s="48"/>
      <c r="CO147" s="48"/>
      <c r="CP147" s="48" t="s">
        <v>1954</v>
      </c>
      <c r="CQ147" s="48"/>
      <c r="CR147" s="48" t="s">
        <v>3014</v>
      </c>
      <c r="CS147" s="48"/>
      <c r="CT147" s="48" t="s">
        <v>3619</v>
      </c>
      <c r="CU147" s="50">
        <v>146.0</v>
      </c>
    </row>
    <row r="148">
      <c r="A148" s="47">
        <v>46095.56434099537</v>
      </c>
      <c r="B148" s="47">
        <v>46095.5654204051</v>
      </c>
      <c r="C148" s="48" t="s">
        <v>3620</v>
      </c>
      <c r="D148" s="48" t="s">
        <v>839</v>
      </c>
      <c r="E148" s="48" t="s">
        <v>1175</v>
      </c>
      <c r="F148" s="48" t="s">
        <v>1176</v>
      </c>
      <c r="G148" s="49" t="s">
        <v>1222</v>
      </c>
      <c r="H148" s="48" t="s">
        <v>2948</v>
      </c>
      <c r="I148" s="50">
        <v>0.0</v>
      </c>
      <c r="J148" s="50">
        <v>1.0</v>
      </c>
      <c r="K148" s="50">
        <v>0.0</v>
      </c>
      <c r="L148" s="50">
        <v>0.0</v>
      </c>
      <c r="M148" s="50">
        <v>0.0</v>
      </c>
      <c r="N148" s="50">
        <v>0.0</v>
      </c>
      <c r="O148" s="50">
        <v>0.0</v>
      </c>
      <c r="P148" s="50">
        <v>0.0</v>
      </c>
      <c r="Q148" s="50">
        <v>0.0</v>
      </c>
      <c r="R148" s="48" t="s">
        <v>2948</v>
      </c>
      <c r="S148" s="50">
        <v>0.0</v>
      </c>
      <c r="T148" s="50">
        <v>1.0</v>
      </c>
      <c r="U148" s="50">
        <v>0.0</v>
      </c>
      <c r="V148" s="50">
        <v>0.0</v>
      </c>
      <c r="W148" s="50">
        <v>0.0</v>
      </c>
      <c r="X148" s="50">
        <v>0.0</v>
      </c>
      <c r="Y148" s="50">
        <v>0.0</v>
      </c>
      <c r="Z148" s="50">
        <v>0.0</v>
      </c>
      <c r="AA148" s="50">
        <v>0.0</v>
      </c>
      <c r="AB148" s="48" t="s">
        <v>999</v>
      </c>
      <c r="AC148" s="50">
        <v>0.0</v>
      </c>
      <c r="AD148" s="50">
        <v>0.0</v>
      </c>
      <c r="AE148" s="50">
        <v>0.0</v>
      </c>
      <c r="AF148" s="50">
        <v>0.0</v>
      </c>
      <c r="AG148" s="50">
        <v>0.0</v>
      </c>
      <c r="AH148" s="50">
        <v>0.0</v>
      </c>
      <c r="AI148" s="50">
        <v>0.0</v>
      </c>
      <c r="AJ148" s="50">
        <v>0.0</v>
      </c>
      <c r="AK148" s="50">
        <v>1.0</v>
      </c>
      <c r="AL148" s="48"/>
      <c r="AM148" s="48"/>
      <c r="AN148" s="50">
        <v>3.0</v>
      </c>
      <c r="AO148" s="48"/>
      <c r="AP148" s="48"/>
      <c r="AQ148" s="48"/>
      <c r="AR148" s="48"/>
      <c r="AS148" s="48"/>
      <c r="AT148" s="48"/>
      <c r="AU148" s="48"/>
      <c r="AV148" s="48"/>
      <c r="AW148" s="50">
        <v>3.0</v>
      </c>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t="s">
        <v>1409</v>
      </c>
      <c r="CK148" s="50">
        <v>6.96342958E8</v>
      </c>
      <c r="CL148" s="48" t="s">
        <v>3621</v>
      </c>
      <c r="CM148" s="47">
        <v>46095.27375</v>
      </c>
      <c r="CN148" s="48"/>
      <c r="CO148" s="48"/>
      <c r="CP148" s="48" t="s">
        <v>1954</v>
      </c>
      <c r="CQ148" s="48"/>
      <c r="CR148" s="48" t="s">
        <v>3014</v>
      </c>
      <c r="CS148" s="48"/>
      <c r="CT148" s="48" t="s">
        <v>3622</v>
      </c>
      <c r="CU148" s="50">
        <v>147.0</v>
      </c>
    </row>
    <row r="149">
      <c r="A149" s="47">
        <v>46095.56542209491</v>
      </c>
      <c r="B149" s="47">
        <v>46095.56627327546</v>
      </c>
      <c r="C149" s="48" t="s">
        <v>1212</v>
      </c>
      <c r="D149" s="48" t="s">
        <v>839</v>
      </c>
      <c r="E149" s="48" t="s">
        <v>1175</v>
      </c>
      <c r="F149" s="48" t="s">
        <v>1176</v>
      </c>
      <c r="G149" s="49" t="s">
        <v>1213</v>
      </c>
      <c r="H149" s="48" t="s">
        <v>2948</v>
      </c>
      <c r="I149" s="50">
        <v>0.0</v>
      </c>
      <c r="J149" s="50">
        <v>1.0</v>
      </c>
      <c r="K149" s="50">
        <v>0.0</v>
      </c>
      <c r="L149" s="50">
        <v>0.0</v>
      </c>
      <c r="M149" s="50">
        <v>0.0</v>
      </c>
      <c r="N149" s="50">
        <v>0.0</v>
      </c>
      <c r="O149" s="50">
        <v>0.0</v>
      </c>
      <c r="P149" s="50">
        <v>0.0</v>
      </c>
      <c r="Q149" s="50">
        <v>0.0</v>
      </c>
      <c r="R149" s="48" t="s">
        <v>2948</v>
      </c>
      <c r="S149" s="50">
        <v>0.0</v>
      </c>
      <c r="T149" s="50">
        <v>1.0</v>
      </c>
      <c r="U149" s="50">
        <v>0.0</v>
      </c>
      <c r="V149" s="50">
        <v>0.0</v>
      </c>
      <c r="W149" s="50">
        <v>0.0</v>
      </c>
      <c r="X149" s="50">
        <v>0.0</v>
      </c>
      <c r="Y149" s="50">
        <v>0.0</v>
      </c>
      <c r="Z149" s="50">
        <v>0.0</v>
      </c>
      <c r="AA149" s="50">
        <v>0.0</v>
      </c>
      <c r="AB149" s="48" t="s">
        <v>999</v>
      </c>
      <c r="AC149" s="50">
        <v>0.0</v>
      </c>
      <c r="AD149" s="50">
        <v>0.0</v>
      </c>
      <c r="AE149" s="50">
        <v>0.0</v>
      </c>
      <c r="AF149" s="50">
        <v>0.0</v>
      </c>
      <c r="AG149" s="50">
        <v>0.0</v>
      </c>
      <c r="AH149" s="50">
        <v>0.0</v>
      </c>
      <c r="AI149" s="50">
        <v>0.0</v>
      </c>
      <c r="AJ149" s="50">
        <v>0.0</v>
      </c>
      <c r="AK149" s="50">
        <v>1.0</v>
      </c>
      <c r="AL149" s="48"/>
      <c r="AM149" s="48"/>
      <c r="AN149" s="50">
        <v>5.0</v>
      </c>
      <c r="AO149" s="48"/>
      <c r="AP149" s="48"/>
      <c r="AQ149" s="48"/>
      <c r="AR149" s="48"/>
      <c r="AS149" s="48"/>
      <c r="AT149" s="48"/>
      <c r="AU149" s="48"/>
      <c r="AV149" s="48"/>
      <c r="AW149" s="50">
        <v>5.0</v>
      </c>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t="s">
        <v>1409</v>
      </c>
      <c r="CK149" s="50">
        <v>6.96343587E8</v>
      </c>
      <c r="CL149" s="48" t="s">
        <v>3623</v>
      </c>
      <c r="CM149" s="47">
        <v>46095.27460648148</v>
      </c>
      <c r="CN149" s="48"/>
      <c r="CO149" s="48"/>
      <c r="CP149" s="48" t="s">
        <v>1954</v>
      </c>
      <c r="CQ149" s="48"/>
      <c r="CR149" s="48" t="s">
        <v>3014</v>
      </c>
      <c r="CS149" s="48"/>
      <c r="CT149" s="48" t="s">
        <v>3624</v>
      </c>
      <c r="CU149" s="50">
        <v>148.0</v>
      </c>
    </row>
    <row r="150">
      <c r="A150" s="47">
        <v>46095.566275</v>
      </c>
      <c r="B150" s="47">
        <v>46095.56717407407</v>
      </c>
      <c r="C150" s="48" t="s">
        <v>1204</v>
      </c>
      <c r="D150" s="48" t="s">
        <v>839</v>
      </c>
      <c r="E150" s="48" t="s">
        <v>1175</v>
      </c>
      <c r="F150" s="48" t="s">
        <v>1176</v>
      </c>
      <c r="G150" s="49" t="s">
        <v>1205</v>
      </c>
      <c r="H150" s="48" t="s">
        <v>2948</v>
      </c>
      <c r="I150" s="50">
        <v>0.0</v>
      </c>
      <c r="J150" s="50">
        <v>1.0</v>
      </c>
      <c r="K150" s="50">
        <v>0.0</v>
      </c>
      <c r="L150" s="50">
        <v>0.0</v>
      </c>
      <c r="M150" s="50">
        <v>0.0</v>
      </c>
      <c r="N150" s="50">
        <v>0.0</v>
      </c>
      <c r="O150" s="50">
        <v>0.0</v>
      </c>
      <c r="P150" s="50">
        <v>0.0</v>
      </c>
      <c r="Q150" s="50">
        <v>0.0</v>
      </c>
      <c r="R150" s="48" t="s">
        <v>2948</v>
      </c>
      <c r="S150" s="50">
        <v>0.0</v>
      </c>
      <c r="T150" s="50">
        <v>1.0</v>
      </c>
      <c r="U150" s="50">
        <v>0.0</v>
      </c>
      <c r="V150" s="50">
        <v>0.0</v>
      </c>
      <c r="W150" s="50">
        <v>0.0</v>
      </c>
      <c r="X150" s="50">
        <v>0.0</v>
      </c>
      <c r="Y150" s="50">
        <v>0.0</v>
      </c>
      <c r="Z150" s="50">
        <v>0.0</v>
      </c>
      <c r="AA150" s="50">
        <v>0.0</v>
      </c>
      <c r="AB150" s="48" t="s">
        <v>999</v>
      </c>
      <c r="AC150" s="50">
        <v>0.0</v>
      </c>
      <c r="AD150" s="50">
        <v>0.0</v>
      </c>
      <c r="AE150" s="50">
        <v>0.0</v>
      </c>
      <c r="AF150" s="50">
        <v>0.0</v>
      </c>
      <c r="AG150" s="50">
        <v>0.0</v>
      </c>
      <c r="AH150" s="50">
        <v>0.0</v>
      </c>
      <c r="AI150" s="50">
        <v>0.0</v>
      </c>
      <c r="AJ150" s="50">
        <v>0.0</v>
      </c>
      <c r="AK150" s="50">
        <v>1.0</v>
      </c>
      <c r="AL150" s="48"/>
      <c r="AM150" s="48"/>
      <c r="AN150" s="50">
        <v>3.0</v>
      </c>
      <c r="AO150" s="48"/>
      <c r="AP150" s="48"/>
      <c r="AQ150" s="48"/>
      <c r="AR150" s="48"/>
      <c r="AS150" s="48"/>
      <c r="AT150" s="48"/>
      <c r="AU150" s="48"/>
      <c r="AV150" s="48"/>
      <c r="AW150" s="50">
        <v>3.0</v>
      </c>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c r="CG150" s="48"/>
      <c r="CH150" s="48"/>
      <c r="CI150" s="48"/>
      <c r="CJ150" s="48" t="s">
        <v>1409</v>
      </c>
      <c r="CK150" s="50">
        <v>6.96344326E8</v>
      </c>
      <c r="CL150" s="48" t="s">
        <v>3625</v>
      </c>
      <c r="CM150" s="47">
        <v>46095.27550925926</v>
      </c>
      <c r="CN150" s="48"/>
      <c r="CO150" s="48"/>
      <c r="CP150" s="48" t="s">
        <v>1954</v>
      </c>
      <c r="CQ150" s="48"/>
      <c r="CR150" s="48" t="s">
        <v>3014</v>
      </c>
      <c r="CS150" s="48"/>
      <c r="CT150" s="48" t="s">
        <v>3626</v>
      </c>
      <c r="CU150" s="50">
        <v>149.0</v>
      </c>
    </row>
    <row r="151">
      <c r="A151" s="47">
        <v>46095.70614050926</v>
      </c>
      <c r="B151" s="47">
        <v>46095.70790423611</v>
      </c>
      <c r="C151" s="48" t="s">
        <v>3627</v>
      </c>
      <c r="D151" s="48" t="s">
        <v>839</v>
      </c>
      <c r="E151" s="48" t="s">
        <v>3628</v>
      </c>
      <c r="F151" s="48" t="s">
        <v>3629</v>
      </c>
      <c r="G151" s="49" t="s">
        <v>1300</v>
      </c>
      <c r="H151" s="48" t="s">
        <v>2948</v>
      </c>
      <c r="I151" s="50">
        <v>0.0</v>
      </c>
      <c r="J151" s="50">
        <v>1.0</v>
      </c>
      <c r="K151" s="50">
        <v>0.0</v>
      </c>
      <c r="L151" s="50">
        <v>0.0</v>
      </c>
      <c r="M151" s="50">
        <v>0.0</v>
      </c>
      <c r="N151" s="50">
        <v>0.0</v>
      </c>
      <c r="O151" s="50">
        <v>0.0</v>
      </c>
      <c r="P151" s="50">
        <v>0.0</v>
      </c>
      <c r="Q151" s="50">
        <v>0.0</v>
      </c>
      <c r="R151" s="48" t="s">
        <v>2948</v>
      </c>
      <c r="S151" s="50">
        <v>0.0</v>
      </c>
      <c r="T151" s="50">
        <v>1.0</v>
      </c>
      <c r="U151" s="50">
        <v>0.0</v>
      </c>
      <c r="V151" s="50">
        <v>0.0</v>
      </c>
      <c r="W151" s="50">
        <v>0.0</v>
      </c>
      <c r="X151" s="50">
        <v>0.0</v>
      </c>
      <c r="Y151" s="50">
        <v>0.0</v>
      </c>
      <c r="Z151" s="50">
        <v>0.0</v>
      </c>
      <c r="AA151" s="50">
        <v>0.0</v>
      </c>
      <c r="AB151" s="48" t="s">
        <v>999</v>
      </c>
      <c r="AC151" s="50">
        <v>0.0</v>
      </c>
      <c r="AD151" s="50">
        <v>0.0</v>
      </c>
      <c r="AE151" s="50">
        <v>0.0</v>
      </c>
      <c r="AF151" s="50">
        <v>0.0</v>
      </c>
      <c r="AG151" s="50">
        <v>0.0</v>
      </c>
      <c r="AH151" s="50">
        <v>0.0</v>
      </c>
      <c r="AI151" s="50">
        <v>0.0</v>
      </c>
      <c r="AJ151" s="50">
        <v>0.0</v>
      </c>
      <c r="AK151" s="50">
        <v>1.0</v>
      </c>
      <c r="AL151" s="48"/>
      <c r="AM151" s="48"/>
      <c r="AN151" s="50">
        <v>7.0</v>
      </c>
      <c r="AO151" s="48"/>
      <c r="AP151" s="48"/>
      <c r="AQ151" s="48"/>
      <c r="AR151" s="48"/>
      <c r="AS151" s="48"/>
      <c r="AT151" s="48"/>
      <c r="AU151" s="48"/>
      <c r="AV151" s="48"/>
      <c r="AW151" s="50">
        <v>7.0</v>
      </c>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c r="CG151" s="48"/>
      <c r="CH151" s="48"/>
      <c r="CI151" s="48"/>
      <c r="CJ151" s="48" t="s">
        <v>1409</v>
      </c>
      <c r="CK151" s="50">
        <v>6.96480831E8</v>
      </c>
      <c r="CL151" s="48" t="s">
        <v>3630</v>
      </c>
      <c r="CM151" s="47">
        <v>46095.41626157407</v>
      </c>
      <c r="CN151" s="48"/>
      <c r="CO151" s="48"/>
      <c r="CP151" s="48" t="s">
        <v>1954</v>
      </c>
      <c r="CQ151" s="48"/>
      <c r="CR151" s="48" t="s">
        <v>3014</v>
      </c>
      <c r="CS151" s="48"/>
      <c r="CT151" s="48" t="s">
        <v>3631</v>
      </c>
      <c r="CU151" s="50">
        <v>150.0</v>
      </c>
    </row>
    <row r="152">
      <c r="A152" s="51">
        <v>46095.70790494213</v>
      </c>
      <c r="B152" s="51">
        <v>46095.71809166667</v>
      </c>
      <c r="C152" s="52" t="s">
        <v>3632</v>
      </c>
      <c r="D152" s="52" t="s">
        <v>839</v>
      </c>
      <c r="E152" s="52" t="s">
        <v>3633</v>
      </c>
      <c r="F152" s="52" t="s">
        <v>3634</v>
      </c>
      <c r="G152" s="53" t="s">
        <v>3635</v>
      </c>
      <c r="H152" s="52" t="s">
        <v>2947</v>
      </c>
      <c r="I152" s="54">
        <v>1.0</v>
      </c>
      <c r="J152" s="54">
        <v>0.0</v>
      </c>
      <c r="K152" s="54">
        <v>0.0</v>
      </c>
      <c r="L152" s="54">
        <v>0.0</v>
      </c>
      <c r="M152" s="54">
        <v>0.0</v>
      </c>
      <c r="N152" s="54">
        <v>0.0</v>
      </c>
      <c r="O152" s="54">
        <v>0.0</v>
      </c>
      <c r="P152" s="54">
        <v>0.0</v>
      </c>
      <c r="Q152" s="54">
        <v>0.0</v>
      </c>
      <c r="R152" s="52" t="s">
        <v>2947</v>
      </c>
      <c r="S152" s="54">
        <v>1.0</v>
      </c>
      <c r="T152" s="54">
        <v>0.0</v>
      </c>
      <c r="U152" s="54">
        <v>0.0</v>
      </c>
      <c r="V152" s="54">
        <v>0.0</v>
      </c>
      <c r="W152" s="54">
        <v>0.0</v>
      </c>
      <c r="X152" s="54">
        <v>0.0</v>
      </c>
      <c r="Y152" s="54">
        <v>0.0</v>
      </c>
      <c r="Z152" s="54">
        <v>0.0</v>
      </c>
      <c r="AA152" s="54">
        <v>0.0</v>
      </c>
      <c r="AB152" s="52" t="s">
        <v>999</v>
      </c>
      <c r="AC152" s="54">
        <v>0.0</v>
      </c>
      <c r="AD152" s="54">
        <v>0.0</v>
      </c>
      <c r="AE152" s="54">
        <v>0.0</v>
      </c>
      <c r="AF152" s="54">
        <v>0.0</v>
      </c>
      <c r="AG152" s="54">
        <v>0.0</v>
      </c>
      <c r="AH152" s="54">
        <v>0.0</v>
      </c>
      <c r="AI152" s="54">
        <v>0.0</v>
      </c>
      <c r="AJ152" s="54">
        <v>0.0</v>
      </c>
      <c r="AK152" s="54">
        <v>1.0</v>
      </c>
      <c r="AL152" s="52"/>
      <c r="AM152" s="54">
        <v>5.0</v>
      </c>
      <c r="AN152" s="52"/>
      <c r="AO152" s="52"/>
      <c r="AP152" s="52"/>
      <c r="AQ152" s="52"/>
      <c r="AR152" s="52"/>
      <c r="AS152" s="52"/>
      <c r="AT152" s="52"/>
      <c r="AU152" s="52"/>
      <c r="AV152" s="54">
        <v>5.0</v>
      </c>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t="s">
        <v>1409</v>
      </c>
      <c r="CK152" s="54">
        <v>6.96491552E8</v>
      </c>
      <c r="CL152" s="52" t="s">
        <v>3636</v>
      </c>
      <c r="CM152" s="51">
        <v>46095.42644675926</v>
      </c>
      <c r="CN152" s="52"/>
      <c r="CO152" s="52"/>
      <c r="CP152" s="52" t="s">
        <v>1954</v>
      </c>
      <c r="CQ152" s="52"/>
      <c r="CR152" s="52" t="s">
        <v>3014</v>
      </c>
      <c r="CS152" s="52"/>
      <c r="CT152" s="52" t="s">
        <v>3637</v>
      </c>
      <c r="CU152" s="54">
        <v>151.0</v>
      </c>
    </row>
    <row r="153">
      <c r="A153" s="47">
        <v>46095.71809358797</v>
      </c>
      <c r="B153" s="47">
        <v>46095.72942337963</v>
      </c>
      <c r="C153" s="48" t="s">
        <v>3638</v>
      </c>
      <c r="D153" s="48" t="s">
        <v>839</v>
      </c>
      <c r="E153" s="48" t="s">
        <v>3633</v>
      </c>
      <c r="F153" s="48" t="s">
        <v>3634</v>
      </c>
      <c r="G153" s="49" t="s">
        <v>1411</v>
      </c>
      <c r="H153" s="48" t="s">
        <v>2948</v>
      </c>
      <c r="I153" s="50">
        <v>0.0</v>
      </c>
      <c r="J153" s="50">
        <v>1.0</v>
      </c>
      <c r="K153" s="50">
        <v>0.0</v>
      </c>
      <c r="L153" s="50">
        <v>0.0</v>
      </c>
      <c r="M153" s="50">
        <v>0.0</v>
      </c>
      <c r="N153" s="50">
        <v>0.0</v>
      </c>
      <c r="O153" s="50">
        <v>0.0</v>
      </c>
      <c r="P153" s="50">
        <v>0.0</v>
      </c>
      <c r="Q153" s="50">
        <v>0.0</v>
      </c>
      <c r="R153" s="48" t="s">
        <v>2948</v>
      </c>
      <c r="S153" s="50">
        <v>0.0</v>
      </c>
      <c r="T153" s="50">
        <v>1.0</v>
      </c>
      <c r="U153" s="50">
        <v>0.0</v>
      </c>
      <c r="V153" s="50">
        <v>0.0</v>
      </c>
      <c r="W153" s="50">
        <v>0.0</v>
      </c>
      <c r="X153" s="50">
        <v>0.0</v>
      </c>
      <c r="Y153" s="50">
        <v>0.0</v>
      </c>
      <c r="Z153" s="50">
        <v>0.0</v>
      </c>
      <c r="AA153" s="50">
        <v>0.0</v>
      </c>
      <c r="AB153" s="48" t="s">
        <v>999</v>
      </c>
      <c r="AC153" s="50">
        <v>0.0</v>
      </c>
      <c r="AD153" s="50">
        <v>0.0</v>
      </c>
      <c r="AE153" s="50">
        <v>0.0</v>
      </c>
      <c r="AF153" s="50">
        <v>0.0</v>
      </c>
      <c r="AG153" s="50">
        <v>0.0</v>
      </c>
      <c r="AH153" s="50">
        <v>0.0</v>
      </c>
      <c r="AI153" s="50">
        <v>0.0</v>
      </c>
      <c r="AJ153" s="50">
        <v>0.0</v>
      </c>
      <c r="AK153" s="50">
        <v>1.0</v>
      </c>
      <c r="AL153" s="48"/>
      <c r="AM153" s="48"/>
      <c r="AN153" s="50">
        <v>4.0</v>
      </c>
      <c r="AO153" s="48"/>
      <c r="AP153" s="48"/>
      <c r="AQ153" s="48"/>
      <c r="AR153" s="48"/>
      <c r="AS153" s="48"/>
      <c r="AT153" s="48"/>
      <c r="AU153" s="48"/>
      <c r="AV153" s="48"/>
      <c r="AW153" s="50">
        <v>4.0</v>
      </c>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t="s">
        <v>1409</v>
      </c>
      <c r="CK153" s="50">
        <v>6.96502842E8</v>
      </c>
      <c r="CL153" s="48" t="s">
        <v>3639</v>
      </c>
      <c r="CM153" s="47">
        <v>46095.43777777778</v>
      </c>
      <c r="CN153" s="48"/>
      <c r="CO153" s="48"/>
      <c r="CP153" s="48" t="s">
        <v>1954</v>
      </c>
      <c r="CQ153" s="48"/>
      <c r="CR153" s="48" t="s">
        <v>3014</v>
      </c>
      <c r="CS153" s="48"/>
      <c r="CT153" s="48" t="s">
        <v>3640</v>
      </c>
      <c r="CU153" s="50">
        <v>152.0</v>
      </c>
    </row>
    <row r="154">
      <c r="A154" s="47">
        <v>46095.88760717592</v>
      </c>
      <c r="B154" s="47">
        <v>46095.88858487269</v>
      </c>
      <c r="C154" s="48" t="s">
        <v>3641</v>
      </c>
      <c r="D154" s="48" t="s">
        <v>839</v>
      </c>
      <c r="E154" s="48" t="s">
        <v>1175</v>
      </c>
      <c r="F154" s="48" t="s">
        <v>1176</v>
      </c>
      <c r="G154" s="49" t="s">
        <v>1375</v>
      </c>
      <c r="H154" s="48" t="s">
        <v>2947</v>
      </c>
      <c r="I154" s="50">
        <v>1.0</v>
      </c>
      <c r="J154" s="50">
        <v>0.0</v>
      </c>
      <c r="K154" s="50">
        <v>0.0</v>
      </c>
      <c r="L154" s="50">
        <v>0.0</v>
      </c>
      <c r="M154" s="50">
        <v>0.0</v>
      </c>
      <c r="N154" s="50">
        <v>0.0</v>
      </c>
      <c r="O154" s="50">
        <v>0.0</v>
      </c>
      <c r="P154" s="50">
        <v>0.0</v>
      </c>
      <c r="Q154" s="50">
        <v>0.0</v>
      </c>
      <c r="R154" s="48" t="s">
        <v>2947</v>
      </c>
      <c r="S154" s="50">
        <v>1.0</v>
      </c>
      <c r="T154" s="50">
        <v>0.0</v>
      </c>
      <c r="U154" s="50">
        <v>0.0</v>
      </c>
      <c r="V154" s="50">
        <v>0.0</v>
      </c>
      <c r="W154" s="50">
        <v>0.0</v>
      </c>
      <c r="X154" s="50">
        <v>0.0</v>
      </c>
      <c r="Y154" s="50">
        <v>0.0</v>
      </c>
      <c r="Z154" s="50">
        <v>0.0</v>
      </c>
      <c r="AA154" s="50">
        <v>0.0</v>
      </c>
      <c r="AB154" s="48" t="s">
        <v>999</v>
      </c>
      <c r="AC154" s="50">
        <v>0.0</v>
      </c>
      <c r="AD154" s="50">
        <v>0.0</v>
      </c>
      <c r="AE154" s="50">
        <v>0.0</v>
      </c>
      <c r="AF154" s="50">
        <v>0.0</v>
      </c>
      <c r="AG154" s="50">
        <v>0.0</v>
      </c>
      <c r="AH154" s="50">
        <v>0.0</v>
      </c>
      <c r="AI154" s="50">
        <v>0.0</v>
      </c>
      <c r="AJ154" s="50">
        <v>0.0</v>
      </c>
      <c r="AK154" s="50">
        <v>1.0</v>
      </c>
      <c r="AL154" s="48"/>
      <c r="AM154" s="50">
        <v>3.0</v>
      </c>
      <c r="AN154" s="48"/>
      <c r="AO154" s="48"/>
      <c r="AP154" s="48"/>
      <c r="AQ154" s="48"/>
      <c r="AR154" s="48"/>
      <c r="AS154" s="48"/>
      <c r="AT154" s="48"/>
      <c r="AU154" s="48"/>
      <c r="AV154" s="50">
        <v>3.0</v>
      </c>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t="s">
        <v>1409</v>
      </c>
      <c r="CK154" s="50">
        <v>6.9668418E8</v>
      </c>
      <c r="CL154" s="48" t="s">
        <v>3642</v>
      </c>
      <c r="CM154" s="47">
        <v>46095.59689814815</v>
      </c>
      <c r="CN154" s="48"/>
      <c r="CO154" s="48"/>
      <c r="CP154" s="48" t="s">
        <v>1954</v>
      </c>
      <c r="CQ154" s="48"/>
      <c r="CR154" s="48" t="s">
        <v>3014</v>
      </c>
      <c r="CS154" s="48"/>
      <c r="CT154" s="48" t="s">
        <v>3643</v>
      </c>
      <c r="CU154" s="50">
        <v>153.0</v>
      </c>
    </row>
    <row r="155">
      <c r="A155" s="47">
        <v>46095.88858545139</v>
      </c>
      <c r="B155" s="47">
        <v>46095.89017143519</v>
      </c>
      <c r="C155" s="48" t="s">
        <v>3644</v>
      </c>
      <c r="D155" s="48" t="s">
        <v>839</v>
      </c>
      <c r="E155" s="48" t="s">
        <v>1175</v>
      </c>
      <c r="F155" s="48" t="s">
        <v>1176</v>
      </c>
      <c r="G155" s="49" t="s">
        <v>1319</v>
      </c>
      <c r="H155" s="48" t="s">
        <v>2948</v>
      </c>
      <c r="I155" s="50">
        <v>0.0</v>
      </c>
      <c r="J155" s="50">
        <v>1.0</v>
      </c>
      <c r="K155" s="50">
        <v>0.0</v>
      </c>
      <c r="L155" s="50">
        <v>0.0</v>
      </c>
      <c r="M155" s="50">
        <v>0.0</v>
      </c>
      <c r="N155" s="50">
        <v>0.0</v>
      </c>
      <c r="O155" s="50">
        <v>0.0</v>
      </c>
      <c r="P155" s="50">
        <v>0.0</v>
      </c>
      <c r="Q155" s="50">
        <v>0.0</v>
      </c>
      <c r="R155" s="48" t="s">
        <v>2948</v>
      </c>
      <c r="S155" s="50">
        <v>0.0</v>
      </c>
      <c r="T155" s="50">
        <v>1.0</v>
      </c>
      <c r="U155" s="50">
        <v>0.0</v>
      </c>
      <c r="V155" s="50">
        <v>0.0</v>
      </c>
      <c r="W155" s="50">
        <v>0.0</v>
      </c>
      <c r="X155" s="50">
        <v>0.0</v>
      </c>
      <c r="Y155" s="50">
        <v>0.0</v>
      </c>
      <c r="Z155" s="50">
        <v>0.0</v>
      </c>
      <c r="AA155" s="50">
        <v>0.0</v>
      </c>
      <c r="AB155" s="48" t="s">
        <v>999</v>
      </c>
      <c r="AC155" s="50">
        <v>0.0</v>
      </c>
      <c r="AD155" s="50">
        <v>0.0</v>
      </c>
      <c r="AE155" s="50">
        <v>0.0</v>
      </c>
      <c r="AF155" s="50">
        <v>0.0</v>
      </c>
      <c r="AG155" s="50">
        <v>0.0</v>
      </c>
      <c r="AH155" s="50">
        <v>0.0</v>
      </c>
      <c r="AI155" s="50">
        <v>0.0</v>
      </c>
      <c r="AJ155" s="50">
        <v>0.0</v>
      </c>
      <c r="AK155" s="50">
        <v>1.0</v>
      </c>
      <c r="AL155" s="48"/>
      <c r="AM155" s="48"/>
      <c r="AN155" s="50">
        <v>5.0</v>
      </c>
      <c r="AO155" s="48"/>
      <c r="AP155" s="48"/>
      <c r="AQ155" s="48"/>
      <c r="AR155" s="48"/>
      <c r="AS155" s="48"/>
      <c r="AT155" s="48"/>
      <c r="AU155" s="48"/>
      <c r="AV155" s="48"/>
      <c r="AW155" s="50">
        <v>5.0</v>
      </c>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t="s">
        <v>1409</v>
      </c>
      <c r="CK155" s="50">
        <v>6.9668558E8</v>
      </c>
      <c r="CL155" s="48" t="s">
        <v>3645</v>
      </c>
      <c r="CM155" s="47">
        <v>46095.5984837963</v>
      </c>
      <c r="CN155" s="48"/>
      <c r="CO155" s="48"/>
      <c r="CP155" s="48" t="s">
        <v>1954</v>
      </c>
      <c r="CQ155" s="48"/>
      <c r="CR155" s="48" t="s">
        <v>3014</v>
      </c>
      <c r="CS155" s="48"/>
      <c r="CT155" s="48" t="s">
        <v>3646</v>
      </c>
      <c r="CU155" s="50">
        <v>154.0</v>
      </c>
    </row>
    <row r="156">
      <c r="A156" s="47">
        <v>46095.89017195602</v>
      </c>
      <c r="B156" s="47">
        <v>46095.89170688658</v>
      </c>
      <c r="C156" s="48" t="s">
        <v>3647</v>
      </c>
      <c r="D156" s="48" t="s">
        <v>839</v>
      </c>
      <c r="E156" s="48" t="s">
        <v>1175</v>
      </c>
      <c r="F156" s="48" t="s">
        <v>1176</v>
      </c>
      <c r="G156" s="49" t="s">
        <v>1363</v>
      </c>
      <c r="H156" s="48" t="s">
        <v>999</v>
      </c>
      <c r="I156" s="50">
        <v>0.0</v>
      </c>
      <c r="J156" s="50">
        <v>0.0</v>
      </c>
      <c r="K156" s="50">
        <v>0.0</v>
      </c>
      <c r="L156" s="50">
        <v>0.0</v>
      </c>
      <c r="M156" s="50">
        <v>0.0</v>
      </c>
      <c r="N156" s="50">
        <v>0.0</v>
      </c>
      <c r="O156" s="50">
        <v>0.0</v>
      </c>
      <c r="P156" s="50">
        <v>0.0</v>
      </c>
      <c r="Q156" s="50">
        <v>1.0</v>
      </c>
      <c r="R156" s="48" t="s">
        <v>999</v>
      </c>
      <c r="S156" s="50">
        <v>0.0</v>
      </c>
      <c r="T156" s="50">
        <v>0.0</v>
      </c>
      <c r="U156" s="50">
        <v>0.0</v>
      </c>
      <c r="V156" s="50">
        <v>0.0</v>
      </c>
      <c r="W156" s="50">
        <v>0.0</v>
      </c>
      <c r="X156" s="50">
        <v>0.0</v>
      </c>
      <c r="Y156" s="50">
        <v>0.0</v>
      </c>
      <c r="Z156" s="50">
        <v>0.0</v>
      </c>
      <c r="AA156" s="50">
        <v>1.0</v>
      </c>
      <c r="AB156" s="48" t="s">
        <v>999</v>
      </c>
      <c r="AC156" s="50">
        <v>0.0</v>
      </c>
      <c r="AD156" s="50">
        <v>0.0</v>
      </c>
      <c r="AE156" s="50">
        <v>0.0</v>
      </c>
      <c r="AF156" s="50">
        <v>0.0</v>
      </c>
      <c r="AG156" s="50">
        <v>0.0</v>
      </c>
      <c r="AH156" s="50">
        <v>0.0</v>
      </c>
      <c r="AI156" s="50">
        <v>0.0</v>
      </c>
      <c r="AJ156" s="50">
        <v>0.0</v>
      </c>
      <c r="AK156" s="50">
        <v>1.0</v>
      </c>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c r="CG156" s="48"/>
      <c r="CH156" s="48"/>
      <c r="CI156" s="48"/>
      <c r="CJ156" s="48" t="s">
        <v>1409</v>
      </c>
      <c r="CK156" s="50">
        <v>6.96687063E8</v>
      </c>
      <c r="CL156" s="48" t="s">
        <v>3648</v>
      </c>
      <c r="CM156" s="47">
        <v>46095.60002314814</v>
      </c>
      <c r="CN156" s="48"/>
      <c r="CO156" s="48"/>
      <c r="CP156" s="48" t="s">
        <v>1954</v>
      </c>
      <c r="CQ156" s="48"/>
      <c r="CR156" s="48" t="s">
        <v>3014</v>
      </c>
      <c r="CS156" s="48"/>
      <c r="CT156" s="48" t="s">
        <v>3649</v>
      </c>
      <c r="CU156" s="50">
        <v>155.0</v>
      </c>
    </row>
    <row r="157">
      <c r="A157" s="47">
        <v>46095.89170758102</v>
      </c>
      <c r="B157" s="47">
        <v>46095.89293953704</v>
      </c>
      <c r="C157" s="48" t="s">
        <v>1310</v>
      </c>
      <c r="D157" s="48" t="s">
        <v>839</v>
      </c>
      <c r="E157" s="48" t="s">
        <v>1175</v>
      </c>
      <c r="F157" s="48" t="s">
        <v>1176</v>
      </c>
      <c r="G157" s="49" t="s">
        <v>1311</v>
      </c>
      <c r="H157" s="48" t="s">
        <v>2948</v>
      </c>
      <c r="I157" s="50">
        <v>0.0</v>
      </c>
      <c r="J157" s="50">
        <v>1.0</v>
      </c>
      <c r="K157" s="50">
        <v>0.0</v>
      </c>
      <c r="L157" s="50">
        <v>0.0</v>
      </c>
      <c r="M157" s="50">
        <v>0.0</v>
      </c>
      <c r="N157" s="50">
        <v>0.0</v>
      </c>
      <c r="O157" s="50">
        <v>0.0</v>
      </c>
      <c r="P157" s="50">
        <v>0.0</v>
      </c>
      <c r="Q157" s="50">
        <v>0.0</v>
      </c>
      <c r="R157" s="48" t="s">
        <v>2948</v>
      </c>
      <c r="S157" s="50">
        <v>0.0</v>
      </c>
      <c r="T157" s="50">
        <v>1.0</v>
      </c>
      <c r="U157" s="50">
        <v>0.0</v>
      </c>
      <c r="V157" s="50">
        <v>0.0</v>
      </c>
      <c r="W157" s="50">
        <v>0.0</v>
      </c>
      <c r="X157" s="50">
        <v>0.0</v>
      </c>
      <c r="Y157" s="50">
        <v>0.0</v>
      </c>
      <c r="Z157" s="50">
        <v>0.0</v>
      </c>
      <c r="AA157" s="50">
        <v>0.0</v>
      </c>
      <c r="AB157" s="48" t="s">
        <v>999</v>
      </c>
      <c r="AC157" s="50">
        <v>0.0</v>
      </c>
      <c r="AD157" s="50">
        <v>0.0</v>
      </c>
      <c r="AE157" s="50">
        <v>0.0</v>
      </c>
      <c r="AF157" s="50">
        <v>0.0</v>
      </c>
      <c r="AG157" s="50">
        <v>0.0</v>
      </c>
      <c r="AH157" s="50">
        <v>0.0</v>
      </c>
      <c r="AI157" s="50">
        <v>0.0</v>
      </c>
      <c r="AJ157" s="50">
        <v>0.0</v>
      </c>
      <c r="AK157" s="50">
        <v>1.0</v>
      </c>
      <c r="AL157" s="48"/>
      <c r="AM157" s="48"/>
      <c r="AN157" s="50">
        <v>3.0</v>
      </c>
      <c r="AO157" s="48"/>
      <c r="AP157" s="48"/>
      <c r="AQ157" s="48"/>
      <c r="AR157" s="48"/>
      <c r="AS157" s="48"/>
      <c r="AT157" s="48"/>
      <c r="AU157" s="48"/>
      <c r="AV157" s="48"/>
      <c r="AW157" s="50">
        <v>3.0</v>
      </c>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t="s">
        <v>1409</v>
      </c>
      <c r="CK157" s="50">
        <v>6.96688062E8</v>
      </c>
      <c r="CL157" s="48" t="s">
        <v>3650</v>
      </c>
      <c r="CM157" s="47">
        <v>46095.60125</v>
      </c>
      <c r="CN157" s="48"/>
      <c r="CO157" s="48"/>
      <c r="CP157" s="48" t="s">
        <v>1954</v>
      </c>
      <c r="CQ157" s="48"/>
      <c r="CR157" s="48" t="s">
        <v>3014</v>
      </c>
      <c r="CS157" s="48"/>
      <c r="CT157" s="48" t="s">
        <v>3651</v>
      </c>
      <c r="CU157" s="50">
        <v>156.0</v>
      </c>
    </row>
    <row r="158">
      <c r="A158" s="47">
        <v>46095.89294010417</v>
      </c>
      <c r="B158" s="47">
        <v>46095.89405962963</v>
      </c>
      <c r="C158" s="48" t="s">
        <v>3652</v>
      </c>
      <c r="D158" s="48" t="s">
        <v>839</v>
      </c>
      <c r="E158" s="48" t="s">
        <v>1175</v>
      </c>
      <c r="F158" s="48" t="s">
        <v>1176</v>
      </c>
      <c r="G158" s="49" t="s">
        <v>1280</v>
      </c>
      <c r="H158" s="48" t="s">
        <v>2948</v>
      </c>
      <c r="I158" s="50">
        <v>0.0</v>
      </c>
      <c r="J158" s="50">
        <v>1.0</v>
      </c>
      <c r="K158" s="50">
        <v>0.0</v>
      </c>
      <c r="L158" s="50">
        <v>0.0</v>
      </c>
      <c r="M158" s="50">
        <v>0.0</v>
      </c>
      <c r="N158" s="50">
        <v>0.0</v>
      </c>
      <c r="O158" s="50">
        <v>0.0</v>
      </c>
      <c r="P158" s="50">
        <v>0.0</v>
      </c>
      <c r="Q158" s="50">
        <v>0.0</v>
      </c>
      <c r="R158" s="48" t="s">
        <v>2948</v>
      </c>
      <c r="S158" s="50">
        <v>0.0</v>
      </c>
      <c r="T158" s="50">
        <v>1.0</v>
      </c>
      <c r="U158" s="50">
        <v>0.0</v>
      </c>
      <c r="V158" s="50">
        <v>0.0</v>
      </c>
      <c r="W158" s="50">
        <v>0.0</v>
      </c>
      <c r="X158" s="50">
        <v>0.0</v>
      </c>
      <c r="Y158" s="50">
        <v>0.0</v>
      </c>
      <c r="Z158" s="50">
        <v>0.0</v>
      </c>
      <c r="AA158" s="50">
        <v>0.0</v>
      </c>
      <c r="AB158" s="48" t="s">
        <v>999</v>
      </c>
      <c r="AC158" s="50">
        <v>0.0</v>
      </c>
      <c r="AD158" s="50">
        <v>0.0</v>
      </c>
      <c r="AE158" s="50">
        <v>0.0</v>
      </c>
      <c r="AF158" s="50">
        <v>0.0</v>
      </c>
      <c r="AG158" s="50">
        <v>0.0</v>
      </c>
      <c r="AH158" s="50">
        <v>0.0</v>
      </c>
      <c r="AI158" s="50">
        <v>0.0</v>
      </c>
      <c r="AJ158" s="50">
        <v>0.0</v>
      </c>
      <c r="AK158" s="50">
        <v>1.0</v>
      </c>
      <c r="AL158" s="48"/>
      <c r="AM158" s="48"/>
      <c r="AN158" s="50">
        <v>6.0</v>
      </c>
      <c r="AO158" s="48"/>
      <c r="AP158" s="48"/>
      <c r="AQ158" s="48"/>
      <c r="AR158" s="48"/>
      <c r="AS158" s="48"/>
      <c r="AT158" s="48"/>
      <c r="AU158" s="48"/>
      <c r="AV158" s="48"/>
      <c r="AW158" s="50">
        <v>6.0</v>
      </c>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t="s">
        <v>1409</v>
      </c>
      <c r="CK158" s="50">
        <v>6.96689026E8</v>
      </c>
      <c r="CL158" s="48" t="s">
        <v>3653</v>
      </c>
      <c r="CM158" s="47">
        <v>46095.60237268519</v>
      </c>
      <c r="CN158" s="48"/>
      <c r="CO158" s="48"/>
      <c r="CP158" s="48" t="s">
        <v>1954</v>
      </c>
      <c r="CQ158" s="48"/>
      <c r="CR158" s="48" t="s">
        <v>3014</v>
      </c>
      <c r="CS158" s="48"/>
      <c r="CT158" s="48" t="s">
        <v>3654</v>
      </c>
      <c r="CU158" s="50">
        <v>157.0</v>
      </c>
    </row>
    <row r="159">
      <c r="A159" s="47">
        <v>46095.89406013889</v>
      </c>
      <c r="B159" s="47">
        <v>46095.89502866898</v>
      </c>
      <c r="C159" s="48" t="s">
        <v>3655</v>
      </c>
      <c r="D159" s="48" t="s">
        <v>839</v>
      </c>
      <c r="E159" s="48" t="s">
        <v>1175</v>
      </c>
      <c r="F159" s="48" t="s">
        <v>1176</v>
      </c>
      <c r="G159" s="49" t="s">
        <v>1286</v>
      </c>
      <c r="H159" s="48" t="s">
        <v>2948</v>
      </c>
      <c r="I159" s="50">
        <v>0.0</v>
      </c>
      <c r="J159" s="50">
        <v>1.0</v>
      </c>
      <c r="K159" s="50">
        <v>0.0</v>
      </c>
      <c r="L159" s="50">
        <v>0.0</v>
      </c>
      <c r="M159" s="50">
        <v>0.0</v>
      </c>
      <c r="N159" s="50">
        <v>0.0</v>
      </c>
      <c r="O159" s="50">
        <v>0.0</v>
      </c>
      <c r="P159" s="50">
        <v>0.0</v>
      </c>
      <c r="Q159" s="50">
        <v>0.0</v>
      </c>
      <c r="R159" s="48" t="s">
        <v>2948</v>
      </c>
      <c r="S159" s="50">
        <v>0.0</v>
      </c>
      <c r="T159" s="50">
        <v>1.0</v>
      </c>
      <c r="U159" s="50">
        <v>0.0</v>
      </c>
      <c r="V159" s="50">
        <v>0.0</v>
      </c>
      <c r="W159" s="50">
        <v>0.0</v>
      </c>
      <c r="X159" s="50">
        <v>0.0</v>
      </c>
      <c r="Y159" s="50">
        <v>0.0</v>
      </c>
      <c r="Z159" s="50">
        <v>0.0</v>
      </c>
      <c r="AA159" s="50">
        <v>0.0</v>
      </c>
      <c r="AB159" s="48" t="s">
        <v>999</v>
      </c>
      <c r="AC159" s="50">
        <v>0.0</v>
      </c>
      <c r="AD159" s="50">
        <v>0.0</v>
      </c>
      <c r="AE159" s="50">
        <v>0.0</v>
      </c>
      <c r="AF159" s="50">
        <v>0.0</v>
      </c>
      <c r="AG159" s="50">
        <v>0.0</v>
      </c>
      <c r="AH159" s="50">
        <v>0.0</v>
      </c>
      <c r="AI159" s="50">
        <v>0.0</v>
      </c>
      <c r="AJ159" s="50">
        <v>0.0</v>
      </c>
      <c r="AK159" s="50">
        <v>1.0</v>
      </c>
      <c r="AL159" s="48"/>
      <c r="AM159" s="48"/>
      <c r="AN159" s="50">
        <v>1.0</v>
      </c>
      <c r="AO159" s="48"/>
      <c r="AP159" s="48"/>
      <c r="AQ159" s="48"/>
      <c r="AR159" s="48"/>
      <c r="AS159" s="48"/>
      <c r="AT159" s="48"/>
      <c r="AU159" s="48"/>
      <c r="AV159" s="48"/>
      <c r="AW159" s="50">
        <v>1.0</v>
      </c>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50">
        <v>6.96689848E8</v>
      </c>
      <c r="CL159" s="48" t="s">
        <v>3656</v>
      </c>
      <c r="CM159" s="47">
        <v>46095.60333333333</v>
      </c>
      <c r="CN159" s="48"/>
      <c r="CO159" s="48"/>
      <c r="CP159" s="48" t="s">
        <v>1954</v>
      </c>
      <c r="CQ159" s="48"/>
      <c r="CR159" s="48" t="s">
        <v>3014</v>
      </c>
      <c r="CS159" s="48"/>
      <c r="CT159" s="48" t="s">
        <v>3657</v>
      </c>
      <c r="CU159" s="50">
        <v>158.0</v>
      </c>
    </row>
    <row r="160">
      <c r="A160" s="47">
        <v>46095.8950291088</v>
      </c>
      <c r="B160" s="47">
        <v>46095.89600563658</v>
      </c>
      <c r="C160" s="48" t="s">
        <v>1292</v>
      </c>
      <c r="D160" s="48" t="s">
        <v>839</v>
      </c>
      <c r="E160" s="48" t="s">
        <v>1175</v>
      </c>
      <c r="F160" s="48" t="s">
        <v>1176</v>
      </c>
      <c r="G160" s="49" t="s">
        <v>1293</v>
      </c>
      <c r="H160" s="48" t="s">
        <v>2948</v>
      </c>
      <c r="I160" s="50">
        <v>0.0</v>
      </c>
      <c r="J160" s="50">
        <v>1.0</v>
      </c>
      <c r="K160" s="50">
        <v>0.0</v>
      </c>
      <c r="L160" s="50">
        <v>0.0</v>
      </c>
      <c r="M160" s="50">
        <v>0.0</v>
      </c>
      <c r="N160" s="50">
        <v>0.0</v>
      </c>
      <c r="O160" s="50">
        <v>0.0</v>
      </c>
      <c r="P160" s="50">
        <v>0.0</v>
      </c>
      <c r="Q160" s="50">
        <v>0.0</v>
      </c>
      <c r="R160" s="48" t="s">
        <v>2948</v>
      </c>
      <c r="S160" s="50">
        <v>0.0</v>
      </c>
      <c r="T160" s="50">
        <v>1.0</v>
      </c>
      <c r="U160" s="50">
        <v>0.0</v>
      </c>
      <c r="V160" s="50">
        <v>0.0</v>
      </c>
      <c r="W160" s="50">
        <v>0.0</v>
      </c>
      <c r="X160" s="50">
        <v>0.0</v>
      </c>
      <c r="Y160" s="50">
        <v>0.0</v>
      </c>
      <c r="Z160" s="50">
        <v>0.0</v>
      </c>
      <c r="AA160" s="50">
        <v>0.0</v>
      </c>
      <c r="AB160" s="48" t="s">
        <v>999</v>
      </c>
      <c r="AC160" s="50">
        <v>0.0</v>
      </c>
      <c r="AD160" s="50">
        <v>0.0</v>
      </c>
      <c r="AE160" s="50">
        <v>0.0</v>
      </c>
      <c r="AF160" s="50">
        <v>0.0</v>
      </c>
      <c r="AG160" s="50">
        <v>0.0</v>
      </c>
      <c r="AH160" s="50">
        <v>0.0</v>
      </c>
      <c r="AI160" s="50">
        <v>0.0</v>
      </c>
      <c r="AJ160" s="50">
        <v>0.0</v>
      </c>
      <c r="AK160" s="50">
        <v>1.0</v>
      </c>
      <c r="AL160" s="48"/>
      <c r="AM160" s="48"/>
      <c r="AN160" s="50">
        <v>3.0</v>
      </c>
      <c r="AO160" s="48"/>
      <c r="AP160" s="48"/>
      <c r="AQ160" s="48"/>
      <c r="AR160" s="48"/>
      <c r="AS160" s="48"/>
      <c r="AT160" s="48"/>
      <c r="AU160" s="48"/>
      <c r="AV160" s="48"/>
      <c r="AW160" s="50">
        <v>3.0</v>
      </c>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48"/>
      <c r="CF160" s="48"/>
      <c r="CG160" s="48"/>
      <c r="CH160" s="48"/>
      <c r="CI160" s="48"/>
      <c r="CJ160" s="48" t="s">
        <v>1409</v>
      </c>
      <c r="CK160" s="50">
        <v>6.9669078E8</v>
      </c>
      <c r="CL160" s="48" t="s">
        <v>3658</v>
      </c>
      <c r="CM160" s="47">
        <v>46095.60431712963</v>
      </c>
      <c r="CN160" s="48"/>
      <c r="CO160" s="48"/>
      <c r="CP160" s="48" t="s">
        <v>1954</v>
      </c>
      <c r="CQ160" s="48"/>
      <c r="CR160" s="48" t="s">
        <v>3014</v>
      </c>
      <c r="CS160" s="48"/>
      <c r="CT160" s="48" t="s">
        <v>3659</v>
      </c>
      <c r="CU160" s="50">
        <v>159.0</v>
      </c>
    </row>
    <row r="161">
      <c r="A161" s="47">
        <v>46095.89600608796</v>
      </c>
      <c r="B161" s="47">
        <v>46095.89686689815</v>
      </c>
      <c r="C161" s="48" t="s">
        <v>3660</v>
      </c>
      <c r="D161" s="48" t="s">
        <v>839</v>
      </c>
      <c r="E161" s="48" t="s">
        <v>1175</v>
      </c>
      <c r="F161" s="48" t="s">
        <v>1176</v>
      </c>
      <c r="G161" s="49" t="s">
        <v>1179</v>
      </c>
      <c r="H161" s="48" t="s">
        <v>2948</v>
      </c>
      <c r="I161" s="50">
        <v>0.0</v>
      </c>
      <c r="J161" s="50">
        <v>1.0</v>
      </c>
      <c r="K161" s="50">
        <v>0.0</v>
      </c>
      <c r="L161" s="50">
        <v>0.0</v>
      </c>
      <c r="M161" s="50">
        <v>0.0</v>
      </c>
      <c r="N161" s="50">
        <v>0.0</v>
      </c>
      <c r="O161" s="50">
        <v>0.0</v>
      </c>
      <c r="P161" s="50">
        <v>0.0</v>
      </c>
      <c r="Q161" s="50">
        <v>0.0</v>
      </c>
      <c r="R161" s="48" t="s">
        <v>2948</v>
      </c>
      <c r="S161" s="50">
        <v>0.0</v>
      </c>
      <c r="T161" s="50">
        <v>1.0</v>
      </c>
      <c r="U161" s="50">
        <v>0.0</v>
      </c>
      <c r="V161" s="50">
        <v>0.0</v>
      </c>
      <c r="W161" s="50">
        <v>0.0</v>
      </c>
      <c r="X161" s="50">
        <v>0.0</v>
      </c>
      <c r="Y161" s="50">
        <v>0.0</v>
      </c>
      <c r="Z161" s="50">
        <v>0.0</v>
      </c>
      <c r="AA161" s="50">
        <v>0.0</v>
      </c>
      <c r="AB161" s="48" t="s">
        <v>999</v>
      </c>
      <c r="AC161" s="50">
        <v>0.0</v>
      </c>
      <c r="AD161" s="50">
        <v>0.0</v>
      </c>
      <c r="AE161" s="50">
        <v>0.0</v>
      </c>
      <c r="AF161" s="50">
        <v>0.0</v>
      </c>
      <c r="AG161" s="50">
        <v>0.0</v>
      </c>
      <c r="AH161" s="50">
        <v>0.0</v>
      </c>
      <c r="AI161" s="50">
        <v>0.0</v>
      </c>
      <c r="AJ161" s="50">
        <v>0.0</v>
      </c>
      <c r="AK161" s="50">
        <v>1.0</v>
      </c>
      <c r="AL161" s="48"/>
      <c r="AM161" s="48"/>
      <c r="AN161" s="50">
        <v>4.0</v>
      </c>
      <c r="AO161" s="48"/>
      <c r="AP161" s="48"/>
      <c r="AQ161" s="48"/>
      <c r="AR161" s="48"/>
      <c r="AS161" s="48"/>
      <c r="AT161" s="48"/>
      <c r="AU161" s="48"/>
      <c r="AV161" s="48"/>
      <c r="AW161" s="50">
        <v>4.0</v>
      </c>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48"/>
      <c r="CF161" s="48"/>
      <c r="CG161" s="48"/>
      <c r="CH161" s="48"/>
      <c r="CI161" s="48"/>
      <c r="CJ161" s="48" t="s">
        <v>1409</v>
      </c>
      <c r="CK161" s="50">
        <v>6.96692321E8</v>
      </c>
      <c r="CL161" s="48" t="s">
        <v>3661</v>
      </c>
      <c r="CM161" s="47">
        <v>46095.60572916667</v>
      </c>
      <c r="CN161" s="48"/>
      <c r="CO161" s="48"/>
      <c r="CP161" s="48" t="s">
        <v>1954</v>
      </c>
      <c r="CQ161" s="48"/>
      <c r="CR161" s="48" t="s">
        <v>3014</v>
      </c>
      <c r="CS161" s="48"/>
      <c r="CT161" s="48" t="s">
        <v>3662</v>
      </c>
      <c r="CU161" s="50">
        <v>160.0</v>
      </c>
    </row>
    <row r="162">
      <c r="A162" s="47">
        <v>46095.89686746528</v>
      </c>
      <c r="B162" s="47">
        <v>46095.8982112963</v>
      </c>
      <c r="C162" s="48" t="s">
        <v>1237</v>
      </c>
      <c r="D162" s="48" t="s">
        <v>839</v>
      </c>
      <c r="E162" s="48" t="s">
        <v>1175</v>
      </c>
      <c r="F162" s="48" t="s">
        <v>1176</v>
      </c>
      <c r="G162" s="49" t="s">
        <v>1238</v>
      </c>
      <c r="H162" s="48" t="s">
        <v>2948</v>
      </c>
      <c r="I162" s="50">
        <v>0.0</v>
      </c>
      <c r="J162" s="50">
        <v>1.0</v>
      </c>
      <c r="K162" s="50">
        <v>0.0</v>
      </c>
      <c r="L162" s="50">
        <v>0.0</v>
      </c>
      <c r="M162" s="50">
        <v>0.0</v>
      </c>
      <c r="N162" s="50">
        <v>0.0</v>
      </c>
      <c r="O162" s="50">
        <v>0.0</v>
      </c>
      <c r="P162" s="50">
        <v>0.0</v>
      </c>
      <c r="Q162" s="50">
        <v>0.0</v>
      </c>
      <c r="R162" s="48" t="s">
        <v>2948</v>
      </c>
      <c r="S162" s="50">
        <v>0.0</v>
      </c>
      <c r="T162" s="50">
        <v>1.0</v>
      </c>
      <c r="U162" s="50">
        <v>0.0</v>
      </c>
      <c r="V162" s="50">
        <v>0.0</v>
      </c>
      <c r="W162" s="50">
        <v>0.0</v>
      </c>
      <c r="X162" s="50">
        <v>0.0</v>
      </c>
      <c r="Y162" s="50">
        <v>0.0</v>
      </c>
      <c r="Z162" s="50">
        <v>0.0</v>
      </c>
      <c r="AA162" s="50">
        <v>0.0</v>
      </c>
      <c r="AB162" s="48" t="s">
        <v>999</v>
      </c>
      <c r="AC162" s="50">
        <v>0.0</v>
      </c>
      <c r="AD162" s="50">
        <v>0.0</v>
      </c>
      <c r="AE162" s="50">
        <v>0.0</v>
      </c>
      <c r="AF162" s="50">
        <v>0.0</v>
      </c>
      <c r="AG162" s="50">
        <v>0.0</v>
      </c>
      <c r="AH162" s="50">
        <v>0.0</v>
      </c>
      <c r="AI162" s="50">
        <v>0.0</v>
      </c>
      <c r="AJ162" s="50">
        <v>0.0</v>
      </c>
      <c r="AK162" s="50">
        <v>1.0</v>
      </c>
      <c r="AL162" s="48"/>
      <c r="AM162" s="48"/>
      <c r="AN162" s="50">
        <v>5.0</v>
      </c>
      <c r="AO162" s="48"/>
      <c r="AP162" s="48"/>
      <c r="AQ162" s="48"/>
      <c r="AR162" s="48"/>
      <c r="AS162" s="48"/>
      <c r="AT162" s="48"/>
      <c r="AU162" s="48"/>
      <c r="AV162" s="48"/>
      <c r="AW162" s="50">
        <v>5.0</v>
      </c>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8"/>
      <c r="CE162" s="48"/>
      <c r="CF162" s="48"/>
      <c r="CG162" s="48"/>
      <c r="CH162" s="48"/>
      <c r="CI162" s="48"/>
      <c r="CJ162" s="48" t="s">
        <v>1409</v>
      </c>
      <c r="CK162" s="50">
        <v>6.96692977E8</v>
      </c>
      <c r="CL162" s="48" t="s">
        <v>3663</v>
      </c>
      <c r="CM162" s="47">
        <v>46095.6065162037</v>
      </c>
      <c r="CN162" s="48"/>
      <c r="CO162" s="48"/>
      <c r="CP162" s="48" t="s">
        <v>1954</v>
      </c>
      <c r="CQ162" s="48"/>
      <c r="CR162" s="48" t="s">
        <v>3014</v>
      </c>
      <c r="CS162" s="48"/>
      <c r="CT162" s="48" t="s">
        <v>3664</v>
      </c>
      <c r="CU162" s="50">
        <v>161.0</v>
      </c>
    </row>
    <row r="163">
      <c r="A163" s="47">
        <v>46095.89821207176</v>
      </c>
      <c r="B163" s="47">
        <v>46095.89902881945</v>
      </c>
      <c r="C163" s="48" t="s">
        <v>3665</v>
      </c>
      <c r="D163" s="48" t="s">
        <v>839</v>
      </c>
      <c r="E163" s="48" t="s">
        <v>1175</v>
      </c>
      <c r="F163" s="48" t="s">
        <v>1176</v>
      </c>
      <c r="G163" s="49" t="s">
        <v>1253</v>
      </c>
      <c r="H163" s="48" t="s">
        <v>2948</v>
      </c>
      <c r="I163" s="50">
        <v>0.0</v>
      </c>
      <c r="J163" s="50">
        <v>1.0</v>
      </c>
      <c r="K163" s="50">
        <v>0.0</v>
      </c>
      <c r="L163" s="50">
        <v>0.0</v>
      </c>
      <c r="M163" s="50">
        <v>0.0</v>
      </c>
      <c r="N163" s="50">
        <v>0.0</v>
      </c>
      <c r="O163" s="50">
        <v>0.0</v>
      </c>
      <c r="P163" s="50">
        <v>0.0</v>
      </c>
      <c r="Q163" s="50">
        <v>0.0</v>
      </c>
      <c r="R163" s="48" t="s">
        <v>2948</v>
      </c>
      <c r="S163" s="50">
        <v>0.0</v>
      </c>
      <c r="T163" s="50">
        <v>1.0</v>
      </c>
      <c r="U163" s="50">
        <v>0.0</v>
      </c>
      <c r="V163" s="50">
        <v>0.0</v>
      </c>
      <c r="W163" s="50">
        <v>0.0</v>
      </c>
      <c r="X163" s="50">
        <v>0.0</v>
      </c>
      <c r="Y163" s="50">
        <v>0.0</v>
      </c>
      <c r="Z163" s="50">
        <v>0.0</v>
      </c>
      <c r="AA163" s="50">
        <v>0.0</v>
      </c>
      <c r="AB163" s="48" t="s">
        <v>999</v>
      </c>
      <c r="AC163" s="50">
        <v>0.0</v>
      </c>
      <c r="AD163" s="50">
        <v>0.0</v>
      </c>
      <c r="AE163" s="50">
        <v>0.0</v>
      </c>
      <c r="AF163" s="50">
        <v>0.0</v>
      </c>
      <c r="AG163" s="50">
        <v>0.0</v>
      </c>
      <c r="AH163" s="50">
        <v>0.0</v>
      </c>
      <c r="AI163" s="50">
        <v>0.0</v>
      </c>
      <c r="AJ163" s="50">
        <v>0.0</v>
      </c>
      <c r="AK163" s="50">
        <v>1.0</v>
      </c>
      <c r="AL163" s="48"/>
      <c r="AM163" s="48"/>
      <c r="AN163" s="50">
        <v>2.0</v>
      </c>
      <c r="AO163" s="48"/>
      <c r="AP163" s="48"/>
      <c r="AQ163" s="48"/>
      <c r="AR163" s="48"/>
      <c r="AS163" s="48"/>
      <c r="AT163" s="48"/>
      <c r="AU163" s="48"/>
      <c r="AV163" s="48"/>
      <c r="AW163" s="50">
        <v>2.0</v>
      </c>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8"/>
      <c r="CE163" s="48"/>
      <c r="CF163" s="48"/>
      <c r="CG163" s="48"/>
      <c r="CH163" s="48"/>
      <c r="CI163" s="48"/>
      <c r="CJ163" s="48" t="s">
        <v>1409</v>
      </c>
      <c r="CK163" s="50">
        <v>6.96693689E8</v>
      </c>
      <c r="CL163" s="48" t="s">
        <v>3666</v>
      </c>
      <c r="CM163" s="47">
        <v>46095.60733796296</v>
      </c>
      <c r="CN163" s="48"/>
      <c r="CO163" s="48"/>
      <c r="CP163" s="48" t="s">
        <v>1954</v>
      </c>
      <c r="CQ163" s="48"/>
      <c r="CR163" s="48" t="s">
        <v>3014</v>
      </c>
      <c r="CS163" s="48"/>
      <c r="CT163" s="48" t="s">
        <v>3667</v>
      </c>
      <c r="CU163" s="50">
        <v>162.0</v>
      </c>
    </row>
    <row r="164">
      <c r="A164" s="47">
        <v>46095.89902931713</v>
      </c>
      <c r="B164" s="47">
        <v>46095.90036966435</v>
      </c>
      <c r="C164" s="48" t="s">
        <v>1261</v>
      </c>
      <c r="D164" s="48" t="s">
        <v>839</v>
      </c>
      <c r="E164" s="48" t="s">
        <v>1175</v>
      </c>
      <c r="F164" s="48" t="s">
        <v>1176</v>
      </c>
      <c r="G164" s="49" t="s">
        <v>1263</v>
      </c>
      <c r="H164" s="48" t="s">
        <v>2948</v>
      </c>
      <c r="I164" s="50">
        <v>0.0</v>
      </c>
      <c r="J164" s="50">
        <v>1.0</v>
      </c>
      <c r="K164" s="50">
        <v>0.0</v>
      </c>
      <c r="L164" s="50">
        <v>0.0</v>
      </c>
      <c r="M164" s="50">
        <v>0.0</v>
      </c>
      <c r="N164" s="50">
        <v>0.0</v>
      </c>
      <c r="O164" s="50">
        <v>0.0</v>
      </c>
      <c r="P164" s="50">
        <v>0.0</v>
      </c>
      <c r="Q164" s="50">
        <v>0.0</v>
      </c>
      <c r="R164" s="48" t="s">
        <v>2948</v>
      </c>
      <c r="S164" s="50">
        <v>0.0</v>
      </c>
      <c r="T164" s="50">
        <v>1.0</v>
      </c>
      <c r="U164" s="50">
        <v>0.0</v>
      </c>
      <c r="V164" s="50">
        <v>0.0</v>
      </c>
      <c r="W164" s="50">
        <v>0.0</v>
      </c>
      <c r="X164" s="50">
        <v>0.0</v>
      </c>
      <c r="Y164" s="50">
        <v>0.0</v>
      </c>
      <c r="Z164" s="50">
        <v>0.0</v>
      </c>
      <c r="AA164" s="50">
        <v>0.0</v>
      </c>
      <c r="AB164" s="48" t="s">
        <v>999</v>
      </c>
      <c r="AC164" s="50">
        <v>0.0</v>
      </c>
      <c r="AD164" s="50">
        <v>0.0</v>
      </c>
      <c r="AE164" s="50">
        <v>0.0</v>
      </c>
      <c r="AF164" s="50">
        <v>0.0</v>
      </c>
      <c r="AG164" s="50">
        <v>0.0</v>
      </c>
      <c r="AH164" s="50">
        <v>0.0</v>
      </c>
      <c r="AI164" s="50">
        <v>0.0</v>
      </c>
      <c r="AJ164" s="50">
        <v>0.0</v>
      </c>
      <c r="AK164" s="50">
        <v>1.0</v>
      </c>
      <c r="AL164" s="48"/>
      <c r="AM164" s="48"/>
      <c r="AN164" s="50">
        <v>9.0</v>
      </c>
      <c r="AO164" s="48"/>
      <c r="AP164" s="48"/>
      <c r="AQ164" s="48"/>
      <c r="AR164" s="48"/>
      <c r="AS164" s="48"/>
      <c r="AT164" s="48"/>
      <c r="AU164" s="48"/>
      <c r="AV164" s="48"/>
      <c r="AW164" s="50">
        <v>9.0</v>
      </c>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8"/>
      <c r="CE164" s="48"/>
      <c r="CF164" s="48"/>
      <c r="CG164" s="48"/>
      <c r="CH164" s="48"/>
      <c r="CI164" s="48"/>
      <c r="CJ164" s="48" t="s">
        <v>1409</v>
      </c>
      <c r="CK164" s="50">
        <v>6.96694772E8</v>
      </c>
      <c r="CL164" s="48" t="s">
        <v>3668</v>
      </c>
      <c r="CM164" s="47">
        <v>46095.60868055555</v>
      </c>
      <c r="CN164" s="48"/>
      <c r="CO164" s="48"/>
      <c r="CP164" s="48" t="s">
        <v>1954</v>
      </c>
      <c r="CQ164" s="48"/>
      <c r="CR164" s="48" t="s">
        <v>3014</v>
      </c>
      <c r="CS164" s="48"/>
      <c r="CT164" s="48" t="s">
        <v>3669</v>
      </c>
      <c r="CU164" s="50">
        <v>163.0</v>
      </c>
    </row>
    <row r="165">
      <c r="A165" s="47">
        <v>46095.90037018518</v>
      </c>
      <c r="B165" s="47">
        <v>46095.901264375</v>
      </c>
      <c r="C165" s="48" t="s">
        <v>1270</v>
      </c>
      <c r="D165" s="48" t="s">
        <v>839</v>
      </c>
      <c r="E165" s="48" t="s">
        <v>1175</v>
      </c>
      <c r="F165" s="48" t="s">
        <v>1176</v>
      </c>
      <c r="G165" s="49" t="s">
        <v>1271</v>
      </c>
      <c r="H165" s="48" t="s">
        <v>2948</v>
      </c>
      <c r="I165" s="50">
        <v>0.0</v>
      </c>
      <c r="J165" s="50">
        <v>1.0</v>
      </c>
      <c r="K165" s="50">
        <v>0.0</v>
      </c>
      <c r="L165" s="50">
        <v>0.0</v>
      </c>
      <c r="M165" s="50">
        <v>0.0</v>
      </c>
      <c r="N165" s="50">
        <v>0.0</v>
      </c>
      <c r="O165" s="50">
        <v>0.0</v>
      </c>
      <c r="P165" s="50">
        <v>0.0</v>
      </c>
      <c r="Q165" s="50">
        <v>0.0</v>
      </c>
      <c r="R165" s="48" t="s">
        <v>2948</v>
      </c>
      <c r="S165" s="50">
        <v>0.0</v>
      </c>
      <c r="T165" s="50">
        <v>1.0</v>
      </c>
      <c r="U165" s="50">
        <v>0.0</v>
      </c>
      <c r="V165" s="50">
        <v>0.0</v>
      </c>
      <c r="W165" s="50">
        <v>0.0</v>
      </c>
      <c r="X165" s="50">
        <v>0.0</v>
      </c>
      <c r="Y165" s="50">
        <v>0.0</v>
      </c>
      <c r="Z165" s="50">
        <v>0.0</v>
      </c>
      <c r="AA165" s="50">
        <v>0.0</v>
      </c>
      <c r="AB165" s="48" t="s">
        <v>999</v>
      </c>
      <c r="AC165" s="50">
        <v>0.0</v>
      </c>
      <c r="AD165" s="50">
        <v>0.0</v>
      </c>
      <c r="AE165" s="50">
        <v>0.0</v>
      </c>
      <c r="AF165" s="50">
        <v>0.0</v>
      </c>
      <c r="AG165" s="50">
        <v>0.0</v>
      </c>
      <c r="AH165" s="50">
        <v>0.0</v>
      </c>
      <c r="AI165" s="50">
        <v>0.0</v>
      </c>
      <c r="AJ165" s="50">
        <v>0.0</v>
      </c>
      <c r="AK165" s="50">
        <v>1.0</v>
      </c>
      <c r="AL165" s="48"/>
      <c r="AM165" s="48"/>
      <c r="AN165" s="50">
        <v>8.0</v>
      </c>
      <c r="AO165" s="48"/>
      <c r="AP165" s="48"/>
      <c r="AQ165" s="48"/>
      <c r="AR165" s="48"/>
      <c r="AS165" s="48"/>
      <c r="AT165" s="48"/>
      <c r="AU165" s="48"/>
      <c r="AV165" s="48"/>
      <c r="AW165" s="50">
        <v>8.0</v>
      </c>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8"/>
      <c r="CE165" s="48"/>
      <c r="CF165" s="48"/>
      <c r="CG165" s="48"/>
      <c r="CH165" s="48"/>
      <c r="CI165" s="48"/>
      <c r="CJ165" s="48" t="s">
        <v>1409</v>
      </c>
      <c r="CK165" s="50">
        <v>6.96695558E8</v>
      </c>
      <c r="CL165" s="48" t="s">
        <v>3670</v>
      </c>
      <c r="CM165" s="47">
        <v>46095.60957175926</v>
      </c>
      <c r="CN165" s="48"/>
      <c r="CO165" s="48"/>
      <c r="CP165" s="48" t="s">
        <v>1954</v>
      </c>
      <c r="CQ165" s="48"/>
      <c r="CR165" s="48" t="s">
        <v>3014</v>
      </c>
      <c r="CS165" s="48"/>
      <c r="CT165" s="48" t="s">
        <v>3671</v>
      </c>
      <c r="CU165" s="50">
        <v>164.0</v>
      </c>
    </row>
    <row r="166">
      <c r="A166" s="47">
        <v>46095.90126486111</v>
      </c>
      <c r="B166" s="47">
        <v>46095.90211370371</v>
      </c>
      <c r="C166" s="48" t="s">
        <v>3672</v>
      </c>
      <c r="D166" s="48" t="s">
        <v>839</v>
      </c>
      <c r="E166" s="48" t="s">
        <v>1175</v>
      </c>
      <c r="F166" s="48" t="s">
        <v>1176</v>
      </c>
      <c r="G166" s="49" t="s">
        <v>1402</v>
      </c>
      <c r="H166" s="48" t="s">
        <v>2948</v>
      </c>
      <c r="I166" s="50">
        <v>0.0</v>
      </c>
      <c r="J166" s="50">
        <v>1.0</v>
      </c>
      <c r="K166" s="50">
        <v>0.0</v>
      </c>
      <c r="L166" s="50">
        <v>0.0</v>
      </c>
      <c r="M166" s="50">
        <v>0.0</v>
      </c>
      <c r="N166" s="50">
        <v>0.0</v>
      </c>
      <c r="O166" s="50">
        <v>0.0</v>
      </c>
      <c r="P166" s="50">
        <v>0.0</v>
      </c>
      <c r="Q166" s="50">
        <v>0.0</v>
      </c>
      <c r="R166" s="48" t="s">
        <v>2948</v>
      </c>
      <c r="S166" s="50">
        <v>0.0</v>
      </c>
      <c r="T166" s="50">
        <v>1.0</v>
      </c>
      <c r="U166" s="50">
        <v>0.0</v>
      </c>
      <c r="V166" s="50">
        <v>0.0</v>
      </c>
      <c r="W166" s="50">
        <v>0.0</v>
      </c>
      <c r="X166" s="50">
        <v>0.0</v>
      </c>
      <c r="Y166" s="50">
        <v>0.0</v>
      </c>
      <c r="Z166" s="50">
        <v>0.0</v>
      </c>
      <c r="AA166" s="50">
        <v>0.0</v>
      </c>
      <c r="AB166" s="48" t="s">
        <v>999</v>
      </c>
      <c r="AC166" s="50">
        <v>0.0</v>
      </c>
      <c r="AD166" s="50">
        <v>0.0</v>
      </c>
      <c r="AE166" s="50">
        <v>0.0</v>
      </c>
      <c r="AF166" s="50">
        <v>0.0</v>
      </c>
      <c r="AG166" s="50">
        <v>0.0</v>
      </c>
      <c r="AH166" s="50">
        <v>0.0</v>
      </c>
      <c r="AI166" s="50">
        <v>0.0</v>
      </c>
      <c r="AJ166" s="50">
        <v>0.0</v>
      </c>
      <c r="AK166" s="50">
        <v>1.0</v>
      </c>
      <c r="AL166" s="48"/>
      <c r="AM166" s="48"/>
      <c r="AN166" s="50">
        <v>7.0</v>
      </c>
      <c r="AO166" s="48"/>
      <c r="AP166" s="48"/>
      <c r="AQ166" s="48"/>
      <c r="AR166" s="48"/>
      <c r="AS166" s="48"/>
      <c r="AT166" s="48"/>
      <c r="AU166" s="48"/>
      <c r="AV166" s="48"/>
      <c r="AW166" s="50">
        <v>7.0</v>
      </c>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8"/>
      <c r="CE166" s="48"/>
      <c r="CF166" s="48"/>
      <c r="CG166" s="48"/>
      <c r="CH166" s="48"/>
      <c r="CI166" s="48"/>
      <c r="CJ166" s="48" t="s">
        <v>1409</v>
      </c>
      <c r="CK166" s="50">
        <v>6.96696324E8</v>
      </c>
      <c r="CL166" s="48" t="s">
        <v>3673</v>
      </c>
      <c r="CM166" s="47">
        <v>46095.61041666667</v>
      </c>
      <c r="CN166" s="48"/>
      <c r="CO166" s="48"/>
      <c r="CP166" s="48" t="s">
        <v>1954</v>
      </c>
      <c r="CQ166" s="48"/>
      <c r="CR166" s="48" t="s">
        <v>3014</v>
      </c>
      <c r="CS166" s="48"/>
      <c r="CT166" s="48" t="s">
        <v>3674</v>
      </c>
      <c r="CU166" s="50">
        <v>165.0</v>
      </c>
    </row>
    <row r="167">
      <c r="A167" s="47">
        <v>46095.90211425926</v>
      </c>
      <c r="B167" s="47">
        <v>46095.90297298611</v>
      </c>
      <c r="C167" s="48" t="s">
        <v>1427</v>
      </c>
      <c r="D167" s="48" t="s">
        <v>839</v>
      </c>
      <c r="E167" s="48" t="s">
        <v>1175</v>
      </c>
      <c r="F167" s="48" t="s">
        <v>1176</v>
      </c>
      <c r="G167" s="49" t="s">
        <v>1428</v>
      </c>
      <c r="H167" s="48" t="s">
        <v>2948</v>
      </c>
      <c r="I167" s="50">
        <v>0.0</v>
      </c>
      <c r="J167" s="50">
        <v>1.0</v>
      </c>
      <c r="K167" s="50">
        <v>0.0</v>
      </c>
      <c r="L167" s="50">
        <v>0.0</v>
      </c>
      <c r="M167" s="50">
        <v>0.0</v>
      </c>
      <c r="N167" s="50">
        <v>0.0</v>
      </c>
      <c r="O167" s="50">
        <v>0.0</v>
      </c>
      <c r="P167" s="50">
        <v>0.0</v>
      </c>
      <c r="Q167" s="50">
        <v>0.0</v>
      </c>
      <c r="R167" s="48" t="s">
        <v>2948</v>
      </c>
      <c r="S167" s="50">
        <v>0.0</v>
      </c>
      <c r="T167" s="50">
        <v>1.0</v>
      </c>
      <c r="U167" s="50">
        <v>0.0</v>
      </c>
      <c r="V167" s="50">
        <v>0.0</v>
      </c>
      <c r="W167" s="50">
        <v>0.0</v>
      </c>
      <c r="X167" s="50">
        <v>0.0</v>
      </c>
      <c r="Y167" s="50">
        <v>0.0</v>
      </c>
      <c r="Z167" s="50">
        <v>0.0</v>
      </c>
      <c r="AA167" s="50">
        <v>0.0</v>
      </c>
      <c r="AB167" s="48" t="s">
        <v>999</v>
      </c>
      <c r="AC167" s="50">
        <v>0.0</v>
      </c>
      <c r="AD167" s="50">
        <v>0.0</v>
      </c>
      <c r="AE167" s="50">
        <v>0.0</v>
      </c>
      <c r="AF167" s="50">
        <v>0.0</v>
      </c>
      <c r="AG167" s="50">
        <v>0.0</v>
      </c>
      <c r="AH167" s="50">
        <v>0.0</v>
      </c>
      <c r="AI167" s="50">
        <v>0.0</v>
      </c>
      <c r="AJ167" s="50">
        <v>0.0</v>
      </c>
      <c r="AK167" s="50">
        <v>1.0</v>
      </c>
      <c r="AL167" s="48"/>
      <c r="AM167" s="48"/>
      <c r="AN167" s="50">
        <v>3.0</v>
      </c>
      <c r="AO167" s="48"/>
      <c r="AP167" s="48"/>
      <c r="AQ167" s="48"/>
      <c r="AR167" s="48"/>
      <c r="AS167" s="48"/>
      <c r="AT167" s="48"/>
      <c r="AU167" s="48"/>
      <c r="AV167" s="48"/>
      <c r="AW167" s="50">
        <v>3.0</v>
      </c>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48"/>
      <c r="CF167" s="48"/>
      <c r="CG167" s="48"/>
      <c r="CH167" s="48"/>
      <c r="CI167" s="48"/>
      <c r="CJ167" s="48" t="s">
        <v>1409</v>
      </c>
      <c r="CK167" s="50">
        <v>6.96697128E8</v>
      </c>
      <c r="CL167" s="48" t="s">
        <v>3675</v>
      </c>
      <c r="CM167" s="47">
        <v>46095.61128472222</v>
      </c>
      <c r="CN167" s="48"/>
      <c r="CO167" s="48"/>
      <c r="CP167" s="48" t="s">
        <v>1954</v>
      </c>
      <c r="CQ167" s="48"/>
      <c r="CR167" s="48" t="s">
        <v>3014</v>
      </c>
      <c r="CS167" s="48"/>
      <c r="CT167" s="48" t="s">
        <v>3676</v>
      </c>
      <c r="CU167" s="50">
        <v>166.0</v>
      </c>
    </row>
    <row r="168">
      <c r="A168" s="47">
        <v>46095.90297364583</v>
      </c>
      <c r="B168" s="47">
        <v>46095.90391208333</v>
      </c>
      <c r="C168" s="48" t="s">
        <v>3677</v>
      </c>
      <c r="D168" s="48" t="s">
        <v>839</v>
      </c>
      <c r="E168" s="48" t="s">
        <v>1175</v>
      </c>
      <c r="F168" s="48" t="s">
        <v>1176</v>
      </c>
      <c r="G168" s="49" t="s">
        <v>1417</v>
      </c>
      <c r="H168" s="48" t="s">
        <v>2948</v>
      </c>
      <c r="I168" s="50">
        <v>0.0</v>
      </c>
      <c r="J168" s="50">
        <v>1.0</v>
      </c>
      <c r="K168" s="50">
        <v>0.0</v>
      </c>
      <c r="L168" s="50">
        <v>0.0</v>
      </c>
      <c r="M168" s="50">
        <v>0.0</v>
      </c>
      <c r="N168" s="50">
        <v>0.0</v>
      </c>
      <c r="O168" s="50">
        <v>0.0</v>
      </c>
      <c r="P168" s="50">
        <v>0.0</v>
      </c>
      <c r="Q168" s="50">
        <v>0.0</v>
      </c>
      <c r="R168" s="48" t="s">
        <v>2948</v>
      </c>
      <c r="S168" s="50">
        <v>0.0</v>
      </c>
      <c r="T168" s="50">
        <v>1.0</v>
      </c>
      <c r="U168" s="50">
        <v>0.0</v>
      </c>
      <c r="V168" s="50">
        <v>0.0</v>
      </c>
      <c r="W168" s="50">
        <v>0.0</v>
      </c>
      <c r="X168" s="50">
        <v>0.0</v>
      </c>
      <c r="Y168" s="50">
        <v>0.0</v>
      </c>
      <c r="Z168" s="50">
        <v>0.0</v>
      </c>
      <c r="AA168" s="50">
        <v>0.0</v>
      </c>
      <c r="AB168" s="48" t="s">
        <v>999</v>
      </c>
      <c r="AC168" s="50">
        <v>0.0</v>
      </c>
      <c r="AD168" s="50">
        <v>0.0</v>
      </c>
      <c r="AE168" s="50">
        <v>0.0</v>
      </c>
      <c r="AF168" s="50">
        <v>0.0</v>
      </c>
      <c r="AG168" s="50">
        <v>0.0</v>
      </c>
      <c r="AH168" s="50">
        <v>0.0</v>
      </c>
      <c r="AI168" s="50">
        <v>0.0</v>
      </c>
      <c r="AJ168" s="50">
        <v>0.0</v>
      </c>
      <c r="AK168" s="50">
        <v>1.0</v>
      </c>
      <c r="AL168" s="48"/>
      <c r="AM168" s="48"/>
      <c r="AN168" s="50">
        <v>4.0</v>
      </c>
      <c r="AO168" s="48"/>
      <c r="AP168" s="48"/>
      <c r="AQ168" s="48"/>
      <c r="AR168" s="48"/>
      <c r="AS168" s="48"/>
      <c r="AT168" s="48"/>
      <c r="AU168" s="48"/>
      <c r="AV168" s="48"/>
      <c r="AW168" s="50">
        <v>4.0</v>
      </c>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48"/>
      <c r="CF168" s="48"/>
      <c r="CG168" s="48"/>
      <c r="CH168" s="48"/>
      <c r="CI168" s="48"/>
      <c r="CJ168" s="48" t="s">
        <v>1409</v>
      </c>
      <c r="CK168" s="50">
        <v>6.96697989E8</v>
      </c>
      <c r="CL168" s="48" t="s">
        <v>3678</v>
      </c>
      <c r="CM168" s="47">
        <v>46095.61234953703</v>
      </c>
      <c r="CN168" s="48"/>
      <c r="CO168" s="48"/>
      <c r="CP168" s="48" t="s">
        <v>1954</v>
      </c>
      <c r="CQ168" s="48"/>
      <c r="CR168" s="48" t="s">
        <v>3014</v>
      </c>
      <c r="CS168" s="48"/>
      <c r="CT168" s="48" t="s">
        <v>3679</v>
      </c>
      <c r="CU168" s="50">
        <v>167.0</v>
      </c>
    </row>
    <row r="169">
      <c r="A169" s="47">
        <v>46095.90391253472</v>
      </c>
      <c r="B169" s="47">
        <v>46095.90485525463</v>
      </c>
      <c r="C169" s="48" t="s">
        <v>3680</v>
      </c>
      <c r="D169" s="48" t="s">
        <v>839</v>
      </c>
      <c r="E169" s="48" t="s">
        <v>1175</v>
      </c>
      <c r="F169" s="48" t="s">
        <v>1176</v>
      </c>
      <c r="G169" s="49" t="s">
        <v>1325</v>
      </c>
      <c r="H169" s="48" t="s">
        <v>2948</v>
      </c>
      <c r="I169" s="50">
        <v>0.0</v>
      </c>
      <c r="J169" s="50">
        <v>1.0</v>
      </c>
      <c r="K169" s="50">
        <v>0.0</v>
      </c>
      <c r="L169" s="50">
        <v>0.0</v>
      </c>
      <c r="M169" s="50">
        <v>0.0</v>
      </c>
      <c r="N169" s="50">
        <v>0.0</v>
      </c>
      <c r="O169" s="50">
        <v>0.0</v>
      </c>
      <c r="P169" s="50">
        <v>0.0</v>
      </c>
      <c r="Q169" s="50">
        <v>0.0</v>
      </c>
      <c r="R169" s="48" t="s">
        <v>2948</v>
      </c>
      <c r="S169" s="50">
        <v>0.0</v>
      </c>
      <c r="T169" s="50">
        <v>1.0</v>
      </c>
      <c r="U169" s="50">
        <v>0.0</v>
      </c>
      <c r="V169" s="50">
        <v>0.0</v>
      </c>
      <c r="W169" s="50">
        <v>0.0</v>
      </c>
      <c r="X169" s="50">
        <v>0.0</v>
      </c>
      <c r="Y169" s="50">
        <v>0.0</v>
      </c>
      <c r="Z169" s="50">
        <v>0.0</v>
      </c>
      <c r="AA169" s="50">
        <v>0.0</v>
      </c>
      <c r="AB169" s="48" t="s">
        <v>999</v>
      </c>
      <c r="AC169" s="50">
        <v>0.0</v>
      </c>
      <c r="AD169" s="50">
        <v>0.0</v>
      </c>
      <c r="AE169" s="50">
        <v>0.0</v>
      </c>
      <c r="AF169" s="50">
        <v>0.0</v>
      </c>
      <c r="AG169" s="50">
        <v>0.0</v>
      </c>
      <c r="AH169" s="50">
        <v>0.0</v>
      </c>
      <c r="AI169" s="50">
        <v>0.0</v>
      </c>
      <c r="AJ169" s="50">
        <v>0.0</v>
      </c>
      <c r="AK169" s="50">
        <v>1.0</v>
      </c>
      <c r="AL169" s="48"/>
      <c r="AM169" s="48"/>
      <c r="AN169" s="50">
        <v>6.0</v>
      </c>
      <c r="AO169" s="48"/>
      <c r="AP169" s="48"/>
      <c r="AQ169" s="48"/>
      <c r="AR169" s="48"/>
      <c r="AS169" s="48"/>
      <c r="AT169" s="48"/>
      <c r="AU169" s="48"/>
      <c r="AV169" s="48"/>
      <c r="AW169" s="50">
        <v>6.0</v>
      </c>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48"/>
      <c r="CF169" s="48"/>
      <c r="CG169" s="48"/>
      <c r="CH169" s="48"/>
      <c r="CI169" s="48"/>
      <c r="CJ169" s="48" t="s">
        <v>1409</v>
      </c>
      <c r="CK169" s="50">
        <v>6.96698618E8</v>
      </c>
      <c r="CL169" s="48" t="s">
        <v>3681</v>
      </c>
      <c r="CM169" s="47">
        <v>46095.61315972222</v>
      </c>
      <c r="CN169" s="48"/>
      <c r="CO169" s="48"/>
      <c r="CP169" s="48" t="s">
        <v>1954</v>
      </c>
      <c r="CQ169" s="48"/>
      <c r="CR169" s="48" t="s">
        <v>3014</v>
      </c>
      <c r="CS169" s="48"/>
      <c r="CT169" s="48" t="s">
        <v>3682</v>
      </c>
      <c r="CU169" s="50">
        <v>168.0</v>
      </c>
    </row>
    <row r="170">
      <c r="A170" s="47">
        <v>46095.90485576389</v>
      </c>
      <c r="B170" s="47">
        <v>46095.90588940973</v>
      </c>
      <c r="C170" s="48" t="s">
        <v>3683</v>
      </c>
      <c r="D170" s="48" t="s">
        <v>839</v>
      </c>
      <c r="E170" s="48" t="s">
        <v>1175</v>
      </c>
      <c r="F170" s="48" t="s">
        <v>3684</v>
      </c>
      <c r="G170" s="49" t="s">
        <v>1333</v>
      </c>
      <c r="H170" s="48" t="s">
        <v>2948</v>
      </c>
      <c r="I170" s="50">
        <v>0.0</v>
      </c>
      <c r="J170" s="50">
        <v>1.0</v>
      </c>
      <c r="K170" s="50">
        <v>0.0</v>
      </c>
      <c r="L170" s="50">
        <v>0.0</v>
      </c>
      <c r="M170" s="50">
        <v>0.0</v>
      </c>
      <c r="N170" s="50">
        <v>0.0</v>
      </c>
      <c r="O170" s="50">
        <v>0.0</v>
      </c>
      <c r="P170" s="50">
        <v>0.0</v>
      </c>
      <c r="Q170" s="50">
        <v>0.0</v>
      </c>
      <c r="R170" s="48" t="s">
        <v>2948</v>
      </c>
      <c r="S170" s="50">
        <v>0.0</v>
      </c>
      <c r="T170" s="50">
        <v>1.0</v>
      </c>
      <c r="U170" s="50">
        <v>0.0</v>
      </c>
      <c r="V170" s="50">
        <v>0.0</v>
      </c>
      <c r="W170" s="50">
        <v>0.0</v>
      </c>
      <c r="X170" s="50">
        <v>0.0</v>
      </c>
      <c r="Y170" s="50">
        <v>0.0</v>
      </c>
      <c r="Z170" s="50">
        <v>0.0</v>
      </c>
      <c r="AA170" s="50">
        <v>0.0</v>
      </c>
      <c r="AB170" s="48" t="s">
        <v>999</v>
      </c>
      <c r="AC170" s="50">
        <v>0.0</v>
      </c>
      <c r="AD170" s="50">
        <v>0.0</v>
      </c>
      <c r="AE170" s="50">
        <v>0.0</v>
      </c>
      <c r="AF170" s="50">
        <v>0.0</v>
      </c>
      <c r="AG170" s="50">
        <v>0.0</v>
      </c>
      <c r="AH170" s="50">
        <v>0.0</v>
      </c>
      <c r="AI170" s="50">
        <v>0.0</v>
      </c>
      <c r="AJ170" s="50">
        <v>0.0</v>
      </c>
      <c r="AK170" s="50">
        <v>1.0</v>
      </c>
      <c r="AL170" s="48"/>
      <c r="AM170" s="48"/>
      <c r="AN170" s="50">
        <v>3.0</v>
      </c>
      <c r="AO170" s="48"/>
      <c r="AP170" s="48"/>
      <c r="AQ170" s="48"/>
      <c r="AR170" s="48"/>
      <c r="AS170" s="48"/>
      <c r="AT170" s="48"/>
      <c r="AU170" s="48"/>
      <c r="AV170" s="48"/>
      <c r="AW170" s="50">
        <v>3.0</v>
      </c>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48"/>
      <c r="CF170" s="48"/>
      <c r="CG170" s="48"/>
      <c r="CH170" s="48"/>
      <c r="CI170" s="48"/>
      <c r="CJ170" s="48"/>
      <c r="CK170" s="50">
        <v>6.9669937E8</v>
      </c>
      <c r="CL170" s="48" t="s">
        <v>3685</v>
      </c>
      <c r="CM170" s="47">
        <v>46095.61420138889</v>
      </c>
      <c r="CN170" s="48"/>
      <c r="CO170" s="48"/>
      <c r="CP170" s="48" t="s">
        <v>1954</v>
      </c>
      <c r="CQ170" s="48"/>
      <c r="CR170" s="48" t="s">
        <v>3014</v>
      </c>
      <c r="CS170" s="48"/>
      <c r="CT170" s="48" t="s">
        <v>3686</v>
      </c>
      <c r="CU170" s="50">
        <v>169.0</v>
      </c>
    </row>
    <row r="171">
      <c r="A171" s="47">
        <v>46095.9058903125</v>
      </c>
      <c r="B171" s="47">
        <v>46095.90675079861</v>
      </c>
      <c r="C171" s="48" t="s">
        <v>1338</v>
      </c>
      <c r="D171" s="48" t="s">
        <v>839</v>
      </c>
      <c r="E171" s="48" t="s">
        <v>3687</v>
      </c>
      <c r="F171" s="48" t="s">
        <v>1176</v>
      </c>
      <c r="G171" s="49" t="s">
        <v>1339</v>
      </c>
      <c r="H171" s="48" t="s">
        <v>2948</v>
      </c>
      <c r="I171" s="50">
        <v>0.0</v>
      </c>
      <c r="J171" s="50">
        <v>1.0</v>
      </c>
      <c r="K171" s="50">
        <v>0.0</v>
      </c>
      <c r="L171" s="50">
        <v>0.0</v>
      </c>
      <c r="M171" s="50">
        <v>0.0</v>
      </c>
      <c r="N171" s="50">
        <v>0.0</v>
      </c>
      <c r="O171" s="50">
        <v>0.0</v>
      </c>
      <c r="P171" s="50">
        <v>0.0</v>
      </c>
      <c r="Q171" s="50">
        <v>0.0</v>
      </c>
      <c r="R171" s="48" t="s">
        <v>2948</v>
      </c>
      <c r="S171" s="50">
        <v>0.0</v>
      </c>
      <c r="T171" s="50">
        <v>1.0</v>
      </c>
      <c r="U171" s="50">
        <v>0.0</v>
      </c>
      <c r="V171" s="50">
        <v>0.0</v>
      </c>
      <c r="W171" s="50">
        <v>0.0</v>
      </c>
      <c r="X171" s="50">
        <v>0.0</v>
      </c>
      <c r="Y171" s="50">
        <v>0.0</v>
      </c>
      <c r="Z171" s="50">
        <v>0.0</v>
      </c>
      <c r="AA171" s="50">
        <v>0.0</v>
      </c>
      <c r="AB171" s="48" t="s">
        <v>999</v>
      </c>
      <c r="AC171" s="50">
        <v>0.0</v>
      </c>
      <c r="AD171" s="50">
        <v>0.0</v>
      </c>
      <c r="AE171" s="50">
        <v>0.0</v>
      </c>
      <c r="AF171" s="50">
        <v>0.0</v>
      </c>
      <c r="AG171" s="50">
        <v>0.0</v>
      </c>
      <c r="AH171" s="50">
        <v>0.0</v>
      </c>
      <c r="AI171" s="50">
        <v>0.0</v>
      </c>
      <c r="AJ171" s="50">
        <v>0.0</v>
      </c>
      <c r="AK171" s="50">
        <v>1.0</v>
      </c>
      <c r="AL171" s="48"/>
      <c r="AM171" s="48"/>
      <c r="AN171" s="50">
        <v>1.0</v>
      </c>
      <c r="AO171" s="48"/>
      <c r="AP171" s="48"/>
      <c r="AQ171" s="48"/>
      <c r="AR171" s="48"/>
      <c r="AS171" s="48"/>
      <c r="AT171" s="48"/>
      <c r="AU171" s="48"/>
      <c r="AV171" s="48"/>
      <c r="AW171" s="50">
        <v>1.0</v>
      </c>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48"/>
      <c r="CF171" s="48"/>
      <c r="CG171" s="48"/>
      <c r="CH171" s="48"/>
      <c r="CI171" s="48"/>
      <c r="CJ171" s="48" t="s">
        <v>1409</v>
      </c>
      <c r="CK171" s="50">
        <v>6.96700118E8</v>
      </c>
      <c r="CL171" s="48" t="s">
        <v>3688</v>
      </c>
      <c r="CM171" s="47">
        <v>46095.61505787037</v>
      </c>
      <c r="CN171" s="48"/>
      <c r="CO171" s="48"/>
      <c r="CP171" s="48" t="s">
        <v>1954</v>
      </c>
      <c r="CQ171" s="48"/>
      <c r="CR171" s="48" t="s">
        <v>3014</v>
      </c>
      <c r="CS171" s="48"/>
      <c r="CT171" s="48" t="s">
        <v>3689</v>
      </c>
      <c r="CU171" s="50">
        <v>170.0</v>
      </c>
    </row>
    <row r="172">
      <c r="A172" s="47">
        <v>46095.90675128473</v>
      </c>
      <c r="B172" s="47">
        <v>46095.90778340278</v>
      </c>
      <c r="C172" s="48" t="s">
        <v>3690</v>
      </c>
      <c r="D172" s="48" t="s">
        <v>839</v>
      </c>
      <c r="E172" s="48" t="s">
        <v>1175</v>
      </c>
      <c r="F172" s="48" t="s">
        <v>1176</v>
      </c>
      <c r="G172" s="49" t="s">
        <v>1346</v>
      </c>
      <c r="H172" s="48" t="s">
        <v>2948</v>
      </c>
      <c r="I172" s="50">
        <v>0.0</v>
      </c>
      <c r="J172" s="50">
        <v>1.0</v>
      </c>
      <c r="K172" s="50">
        <v>0.0</v>
      </c>
      <c r="L172" s="50">
        <v>0.0</v>
      </c>
      <c r="M172" s="50">
        <v>0.0</v>
      </c>
      <c r="N172" s="50">
        <v>0.0</v>
      </c>
      <c r="O172" s="50">
        <v>0.0</v>
      </c>
      <c r="P172" s="50">
        <v>0.0</v>
      </c>
      <c r="Q172" s="50">
        <v>0.0</v>
      </c>
      <c r="R172" s="48" t="s">
        <v>2948</v>
      </c>
      <c r="S172" s="50">
        <v>0.0</v>
      </c>
      <c r="T172" s="50">
        <v>1.0</v>
      </c>
      <c r="U172" s="50">
        <v>0.0</v>
      </c>
      <c r="V172" s="50">
        <v>0.0</v>
      </c>
      <c r="W172" s="50">
        <v>0.0</v>
      </c>
      <c r="X172" s="50">
        <v>0.0</v>
      </c>
      <c r="Y172" s="50">
        <v>0.0</v>
      </c>
      <c r="Z172" s="50">
        <v>0.0</v>
      </c>
      <c r="AA172" s="50">
        <v>0.0</v>
      </c>
      <c r="AB172" s="48" t="s">
        <v>999</v>
      </c>
      <c r="AC172" s="50">
        <v>0.0</v>
      </c>
      <c r="AD172" s="50">
        <v>0.0</v>
      </c>
      <c r="AE172" s="50">
        <v>0.0</v>
      </c>
      <c r="AF172" s="50">
        <v>0.0</v>
      </c>
      <c r="AG172" s="50">
        <v>0.0</v>
      </c>
      <c r="AH172" s="50">
        <v>0.0</v>
      </c>
      <c r="AI172" s="50">
        <v>0.0</v>
      </c>
      <c r="AJ172" s="50">
        <v>0.0</v>
      </c>
      <c r="AK172" s="50">
        <v>1.0</v>
      </c>
      <c r="AL172" s="48"/>
      <c r="AM172" s="48"/>
      <c r="AN172" s="50">
        <v>5.0</v>
      </c>
      <c r="AO172" s="48"/>
      <c r="AP172" s="48"/>
      <c r="AQ172" s="48"/>
      <c r="AR172" s="48"/>
      <c r="AS172" s="48"/>
      <c r="AT172" s="48"/>
      <c r="AU172" s="48"/>
      <c r="AV172" s="48"/>
      <c r="AW172" s="50">
        <v>5.0</v>
      </c>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48"/>
      <c r="CF172" s="48"/>
      <c r="CG172" s="48"/>
      <c r="CH172" s="48"/>
      <c r="CI172" s="48"/>
      <c r="CJ172" s="48" t="s">
        <v>1409</v>
      </c>
      <c r="CK172" s="50">
        <v>6.96700961E8</v>
      </c>
      <c r="CL172" s="48" t="s">
        <v>3691</v>
      </c>
      <c r="CM172" s="47">
        <v>46095.61608796296</v>
      </c>
      <c r="CN172" s="48"/>
      <c r="CO172" s="48"/>
      <c r="CP172" s="48" t="s">
        <v>1954</v>
      </c>
      <c r="CQ172" s="48"/>
      <c r="CR172" s="48" t="s">
        <v>3014</v>
      </c>
      <c r="CS172" s="48"/>
      <c r="CT172" s="48" t="s">
        <v>3692</v>
      </c>
      <c r="CU172" s="50">
        <v>171.0</v>
      </c>
    </row>
    <row r="173">
      <c r="A173" s="47">
        <v>46095.90778388889</v>
      </c>
      <c r="B173" s="47">
        <v>46095.91261866898</v>
      </c>
      <c r="C173" s="48" t="s">
        <v>3693</v>
      </c>
      <c r="D173" s="48" t="s">
        <v>839</v>
      </c>
      <c r="E173" s="48" t="s">
        <v>1175</v>
      </c>
      <c r="F173" s="48" t="s">
        <v>1176</v>
      </c>
      <c r="G173" s="49" t="s">
        <v>1246</v>
      </c>
      <c r="H173" s="48" t="s">
        <v>2948</v>
      </c>
      <c r="I173" s="50">
        <v>0.0</v>
      </c>
      <c r="J173" s="50">
        <v>1.0</v>
      </c>
      <c r="K173" s="50">
        <v>0.0</v>
      </c>
      <c r="L173" s="50">
        <v>0.0</v>
      </c>
      <c r="M173" s="50">
        <v>0.0</v>
      </c>
      <c r="N173" s="50">
        <v>0.0</v>
      </c>
      <c r="O173" s="50">
        <v>0.0</v>
      </c>
      <c r="P173" s="50">
        <v>0.0</v>
      </c>
      <c r="Q173" s="50">
        <v>0.0</v>
      </c>
      <c r="R173" s="48" t="s">
        <v>2948</v>
      </c>
      <c r="S173" s="50">
        <v>0.0</v>
      </c>
      <c r="T173" s="50">
        <v>1.0</v>
      </c>
      <c r="U173" s="50">
        <v>0.0</v>
      </c>
      <c r="V173" s="50">
        <v>0.0</v>
      </c>
      <c r="W173" s="50">
        <v>0.0</v>
      </c>
      <c r="X173" s="50">
        <v>0.0</v>
      </c>
      <c r="Y173" s="50">
        <v>0.0</v>
      </c>
      <c r="Z173" s="50">
        <v>0.0</v>
      </c>
      <c r="AA173" s="50">
        <v>0.0</v>
      </c>
      <c r="AB173" s="48" t="s">
        <v>999</v>
      </c>
      <c r="AC173" s="50">
        <v>0.0</v>
      </c>
      <c r="AD173" s="50">
        <v>0.0</v>
      </c>
      <c r="AE173" s="50">
        <v>0.0</v>
      </c>
      <c r="AF173" s="50">
        <v>0.0</v>
      </c>
      <c r="AG173" s="50">
        <v>0.0</v>
      </c>
      <c r="AH173" s="50">
        <v>0.0</v>
      </c>
      <c r="AI173" s="50">
        <v>0.0</v>
      </c>
      <c r="AJ173" s="50">
        <v>0.0</v>
      </c>
      <c r="AK173" s="50">
        <v>1.0</v>
      </c>
      <c r="AL173" s="48"/>
      <c r="AM173" s="48"/>
      <c r="AN173" s="50">
        <v>2.0</v>
      </c>
      <c r="AO173" s="48"/>
      <c r="AP173" s="48"/>
      <c r="AQ173" s="48"/>
      <c r="AR173" s="48"/>
      <c r="AS173" s="48"/>
      <c r="AT173" s="48"/>
      <c r="AU173" s="48"/>
      <c r="AV173" s="48"/>
      <c r="AW173" s="50">
        <v>2.0</v>
      </c>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48"/>
      <c r="CF173" s="48"/>
      <c r="CG173" s="48"/>
      <c r="CH173" s="48"/>
      <c r="CI173" s="48"/>
      <c r="CJ173" s="48" t="s">
        <v>1409</v>
      </c>
      <c r="CK173" s="50">
        <v>6.96704886E8</v>
      </c>
      <c r="CL173" s="48" t="s">
        <v>3694</v>
      </c>
      <c r="CM173" s="47">
        <v>46095.62092592593</v>
      </c>
      <c r="CN173" s="48"/>
      <c r="CO173" s="48"/>
      <c r="CP173" s="48" t="s">
        <v>1954</v>
      </c>
      <c r="CQ173" s="48"/>
      <c r="CR173" s="48" t="s">
        <v>3014</v>
      </c>
      <c r="CS173" s="48"/>
      <c r="CT173" s="48" t="s">
        <v>3695</v>
      </c>
      <c r="CU173" s="50">
        <v>172.0</v>
      </c>
    </row>
    <row r="174">
      <c r="A174" s="47">
        <v>46095.91261929398</v>
      </c>
      <c r="B174" s="47">
        <v>46096.67883787037</v>
      </c>
      <c r="C174" s="48" t="s">
        <v>3696</v>
      </c>
      <c r="D174" s="48" t="s">
        <v>839</v>
      </c>
      <c r="E174" s="48" t="s">
        <v>1025</v>
      </c>
      <c r="F174" s="48" t="s">
        <v>3697</v>
      </c>
      <c r="G174" s="49" t="s">
        <v>1085</v>
      </c>
      <c r="H174" s="48" t="s">
        <v>2948</v>
      </c>
      <c r="I174" s="50">
        <v>0.0</v>
      </c>
      <c r="J174" s="50">
        <v>1.0</v>
      </c>
      <c r="K174" s="50">
        <v>0.0</v>
      </c>
      <c r="L174" s="50">
        <v>0.0</v>
      </c>
      <c r="M174" s="50">
        <v>0.0</v>
      </c>
      <c r="N174" s="50">
        <v>0.0</v>
      </c>
      <c r="O174" s="50">
        <v>0.0</v>
      </c>
      <c r="P174" s="50">
        <v>0.0</v>
      </c>
      <c r="Q174" s="50">
        <v>0.0</v>
      </c>
      <c r="R174" s="48" t="s">
        <v>2948</v>
      </c>
      <c r="S174" s="50">
        <v>0.0</v>
      </c>
      <c r="T174" s="50">
        <v>1.0</v>
      </c>
      <c r="U174" s="50">
        <v>0.0</v>
      </c>
      <c r="V174" s="50">
        <v>0.0</v>
      </c>
      <c r="W174" s="50">
        <v>0.0</v>
      </c>
      <c r="X174" s="50">
        <v>0.0</v>
      </c>
      <c r="Y174" s="50">
        <v>0.0</v>
      </c>
      <c r="Z174" s="50">
        <v>0.0</v>
      </c>
      <c r="AA174" s="50">
        <v>0.0</v>
      </c>
      <c r="AB174" s="48" t="s">
        <v>999</v>
      </c>
      <c r="AC174" s="50">
        <v>0.0</v>
      </c>
      <c r="AD174" s="50">
        <v>0.0</v>
      </c>
      <c r="AE174" s="50">
        <v>0.0</v>
      </c>
      <c r="AF174" s="50">
        <v>0.0</v>
      </c>
      <c r="AG174" s="50">
        <v>0.0</v>
      </c>
      <c r="AH174" s="50">
        <v>0.0</v>
      </c>
      <c r="AI174" s="50">
        <v>0.0</v>
      </c>
      <c r="AJ174" s="50">
        <v>0.0</v>
      </c>
      <c r="AK174" s="50">
        <v>1.0</v>
      </c>
      <c r="AL174" s="48"/>
      <c r="AM174" s="48"/>
      <c r="AN174" s="50">
        <v>5.0</v>
      </c>
      <c r="AO174" s="48"/>
      <c r="AP174" s="48"/>
      <c r="AQ174" s="48"/>
      <c r="AR174" s="48"/>
      <c r="AS174" s="48"/>
      <c r="AT174" s="48"/>
      <c r="AU174" s="48"/>
      <c r="AV174" s="48"/>
      <c r="AW174" s="50">
        <v>5.0</v>
      </c>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t="s">
        <v>1409</v>
      </c>
      <c r="CK174" s="50">
        <v>6.97101425E8</v>
      </c>
      <c r="CL174" s="48" t="s">
        <v>3698</v>
      </c>
      <c r="CM174" s="47">
        <v>46096.38715277778</v>
      </c>
      <c r="CN174" s="48"/>
      <c r="CO174" s="48"/>
      <c r="CP174" s="48" t="s">
        <v>1954</v>
      </c>
      <c r="CQ174" s="48"/>
      <c r="CR174" s="48" t="s">
        <v>3014</v>
      </c>
      <c r="CS174" s="48"/>
      <c r="CT174" s="48" t="s">
        <v>3699</v>
      </c>
      <c r="CU174" s="50">
        <v>173.0</v>
      </c>
    </row>
    <row r="175">
      <c r="A175" s="47">
        <v>46096.67883872685</v>
      </c>
      <c r="B175" s="47">
        <v>46096.67984523148</v>
      </c>
      <c r="C175" s="48" t="s">
        <v>3700</v>
      </c>
      <c r="D175" s="48" t="s">
        <v>839</v>
      </c>
      <c r="E175" s="48" t="s">
        <v>1025</v>
      </c>
      <c r="F175" s="48" t="s">
        <v>1147</v>
      </c>
      <c r="G175" s="49" t="s">
        <v>1149</v>
      </c>
      <c r="H175" s="48" t="s">
        <v>2948</v>
      </c>
      <c r="I175" s="50">
        <v>0.0</v>
      </c>
      <c r="J175" s="50">
        <v>1.0</v>
      </c>
      <c r="K175" s="50">
        <v>0.0</v>
      </c>
      <c r="L175" s="50">
        <v>0.0</v>
      </c>
      <c r="M175" s="50">
        <v>0.0</v>
      </c>
      <c r="N175" s="50">
        <v>0.0</v>
      </c>
      <c r="O175" s="50">
        <v>0.0</v>
      </c>
      <c r="P175" s="50">
        <v>0.0</v>
      </c>
      <c r="Q175" s="50">
        <v>0.0</v>
      </c>
      <c r="R175" s="48" t="s">
        <v>2948</v>
      </c>
      <c r="S175" s="50">
        <v>0.0</v>
      </c>
      <c r="T175" s="50">
        <v>1.0</v>
      </c>
      <c r="U175" s="50">
        <v>0.0</v>
      </c>
      <c r="V175" s="50">
        <v>0.0</v>
      </c>
      <c r="W175" s="50">
        <v>0.0</v>
      </c>
      <c r="X175" s="50">
        <v>0.0</v>
      </c>
      <c r="Y175" s="50">
        <v>0.0</v>
      </c>
      <c r="Z175" s="50">
        <v>0.0</v>
      </c>
      <c r="AA175" s="50">
        <v>0.0</v>
      </c>
      <c r="AB175" s="48" t="s">
        <v>999</v>
      </c>
      <c r="AC175" s="50">
        <v>0.0</v>
      </c>
      <c r="AD175" s="50">
        <v>0.0</v>
      </c>
      <c r="AE175" s="50">
        <v>0.0</v>
      </c>
      <c r="AF175" s="50">
        <v>0.0</v>
      </c>
      <c r="AG175" s="50">
        <v>0.0</v>
      </c>
      <c r="AH175" s="50">
        <v>0.0</v>
      </c>
      <c r="AI175" s="50">
        <v>0.0</v>
      </c>
      <c r="AJ175" s="50">
        <v>0.0</v>
      </c>
      <c r="AK175" s="50">
        <v>1.0</v>
      </c>
      <c r="AL175" s="48"/>
      <c r="AM175" s="48"/>
      <c r="AN175" s="50">
        <v>2.0</v>
      </c>
      <c r="AO175" s="48"/>
      <c r="AP175" s="48"/>
      <c r="AQ175" s="48"/>
      <c r="AR175" s="48"/>
      <c r="AS175" s="48"/>
      <c r="AT175" s="48"/>
      <c r="AU175" s="48"/>
      <c r="AV175" s="48"/>
      <c r="AW175" s="50">
        <v>2.0</v>
      </c>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48"/>
      <c r="CF175" s="48"/>
      <c r="CG175" s="48"/>
      <c r="CH175" s="48"/>
      <c r="CI175" s="48"/>
      <c r="CJ175" s="48" t="s">
        <v>1409</v>
      </c>
      <c r="CK175" s="50">
        <v>6.9710222E8</v>
      </c>
      <c r="CL175" s="48" t="s">
        <v>3701</v>
      </c>
      <c r="CM175" s="47">
        <v>46096.38815972222</v>
      </c>
      <c r="CN175" s="48"/>
      <c r="CO175" s="48"/>
      <c r="CP175" s="48" t="s">
        <v>1954</v>
      </c>
      <c r="CQ175" s="48"/>
      <c r="CR175" s="48" t="s">
        <v>3014</v>
      </c>
      <c r="CS175" s="48"/>
      <c r="CT175" s="48" t="s">
        <v>3702</v>
      </c>
      <c r="CU175" s="50">
        <v>174.0</v>
      </c>
    </row>
    <row r="176">
      <c r="A176" s="47">
        <v>46096.67984574074</v>
      </c>
      <c r="B176" s="47">
        <v>46096.68079775463</v>
      </c>
      <c r="C176" s="48" t="s">
        <v>3703</v>
      </c>
      <c r="D176" s="48" t="s">
        <v>839</v>
      </c>
      <c r="E176" s="48" t="s">
        <v>840</v>
      </c>
      <c r="F176" s="48" t="s">
        <v>1115</v>
      </c>
      <c r="G176" s="49" t="s">
        <v>1097</v>
      </c>
      <c r="H176" s="48" t="s">
        <v>2948</v>
      </c>
      <c r="I176" s="50">
        <v>0.0</v>
      </c>
      <c r="J176" s="50">
        <v>1.0</v>
      </c>
      <c r="K176" s="50">
        <v>0.0</v>
      </c>
      <c r="L176" s="50">
        <v>0.0</v>
      </c>
      <c r="M176" s="50">
        <v>0.0</v>
      </c>
      <c r="N176" s="50">
        <v>0.0</v>
      </c>
      <c r="O176" s="50">
        <v>0.0</v>
      </c>
      <c r="P176" s="50">
        <v>0.0</v>
      </c>
      <c r="Q176" s="50">
        <v>0.0</v>
      </c>
      <c r="R176" s="48" t="s">
        <v>2948</v>
      </c>
      <c r="S176" s="50">
        <v>0.0</v>
      </c>
      <c r="T176" s="50">
        <v>1.0</v>
      </c>
      <c r="U176" s="50">
        <v>0.0</v>
      </c>
      <c r="V176" s="50">
        <v>0.0</v>
      </c>
      <c r="W176" s="50">
        <v>0.0</v>
      </c>
      <c r="X176" s="50">
        <v>0.0</v>
      </c>
      <c r="Y176" s="50">
        <v>0.0</v>
      </c>
      <c r="Z176" s="50">
        <v>0.0</v>
      </c>
      <c r="AA176" s="50">
        <v>0.0</v>
      </c>
      <c r="AB176" s="48" t="s">
        <v>999</v>
      </c>
      <c r="AC176" s="50">
        <v>0.0</v>
      </c>
      <c r="AD176" s="50">
        <v>0.0</v>
      </c>
      <c r="AE176" s="50">
        <v>0.0</v>
      </c>
      <c r="AF176" s="50">
        <v>0.0</v>
      </c>
      <c r="AG176" s="50">
        <v>0.0</v>
      </c>
      <c r="AH176" s="50">
        <v>0.0</v>
      </c>
      <c r="AI176" s="50">
        <v>0.0</v>
      </c>
      <c r="AJ176" s="50">
        <v>0.0</v>
      </c>
      <c r="AK176" s="50">
        <v>1.0</v>
      </c>
      <c r="AL176" s="48"/>
      <c r="AM176" s="48"/>
      <c r="AN176" s="50">
        <v>2.0</v>
      </c>
      <c r="AO176" s="48"/>
      <c r="AP176" s="48"/>
      <c r="AQ176" s="48"/>
      <c r="AR176" s="48"/>
      <c r="AS176" s="48"/>
      <c r="AT176" s="48"/>
      <c r="AU176" s="48"/>
      <c r="AV176" s="48"/>
      <c r="AW176" s="50">
        <v>2.0</v>
      </c>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t="s">
        <v>1409</v>
      </c>
      <c r="CK176" s="50">
        <v>6.97103064E8</v>
      </c>
      <c r="CL176" s="48" t="s">
        <v>3704</v>
      </c>
      <c r="CM176" s="47">
        <v>46096.3891087963</v>
      </c>
      <c r="CN176" s="48"/>
      <c r="CO176" s="48"/>
      <c r="CP176" s="48" t="s">
        <v>1954</v>
      </c>
      <c r="CQ176" s="48"/>
      <c r="CR176" s="48" t="s">
        <v>3014</v>
      </c>
      <c r="CS176" s="48"/>
      <c r="CT176" s="48" t="s">
        <v>3705</v>
      </c>
      <c r="CU176" s="50">
        <v>175.0</v>
      </c>
    </row>
    <row r="177">
      <c r="A177" s="47">
        <v>46096.68079828704</v>
      </c>
      <c r="B177" s="47">
        <v>46096.68199774306</v>
      </c>
      <c r="C177" s="48" t="s">
        <v>3706</v>
      </c>
      <c r="D177" s="48" t="s">
        <v>839</v>
      </c>
      <c r="E177" s="48" t="s">
        <v>840</v>
      </c>
      <c r="F177" s="48" t="s">
        <v>3707</v>
      </c>
      <c r="G177" s="49" t="s">
        <v>1116</v>
      </c>
      <c r="H177" s="48" t="s">
        <v>2949</v>
      </c>
      <c r="I177" s="50">
        <v>1.0</v>
      </c>
      <c r="J177" s="50">
        <v>1.0</v>
      </c>
      <c r="K177" s="50">
        <v>0.0</v>
      </c>
      <c r="L177" s="50">
        <v>0.0</v>
      </c>
      <c r="M177" s="50">
        <v>0.0</v>
      </c>
      <c r="N177" s="50">
        <v>0.0</v>
      </c>
      <c r="O177" s="50">
        <v>0.0</v>
      </c>
      <c r="P177" s="50">
        <v>0.0</v>
      </c>
      <c r="Q177" s="50">
        <v>0.0</v>
      </c>
      <c r="R177" s="48" t="s">
        <v>2949</v>
      </c>
      <c r="S177" s="50">
        <v>1.0</v>
      </c>
      <c r="T177" s="50">
        <v>1.0</v>
      </c>
      <c r="U177" s="50">
        <v>0.0</v>
      </c>
      <c r="V177" s="50">
        <v>0.0</v>
      </c>
      <c r="W177" s="50">
        <v>0.0</v>
      </c>
      <c r="X177" s="50">
        <v>0.0</v>
      </c>
      <c r="Y177" s="50">
        <v>0.0</v>
      </c>
      <c r="Z177" s="50">
        <v>0.0</v>
      </c>
      <c r="AA177" s="50">
        <v>0.0</v>
      </c>
      <c r="AB177" s="48" t="s">
        <v>999</v>
      </c>
      <c r="AC177" s="50">
        <v>0.0</v>
      </c>
      <c r="AD177" s="50">
        <v>0.0</v>
      </c>
      <c r="AE177" s="50">
        <v>0.0</v>
      </c>
      <c r="AF177" s="50">
        <v>0.0</v>
      </c>
      <c r="AG177" s="50">
        <v>0.0</v>
      </c>
      <c r="AH177" s="50">
        <v>0.0</v>
      </c>
      <c r="AI177" s="50">
        <v>0.0</v>
      </c>
      <c r="AJ177" s="50">
        <v>0.0</v>
      </c>
      <c r="AK177" s="50">
        <v>1.0</v>
      </c>
      <c r="AL177" s="48"/>
      <c r="AM177" s="50">
        <v>96.0</v>
      </c>
      <c r="AN177" s="50">
        <v>11.0</v>
      </c>
      <c r="AO177" s="48"/>
      <c r="AP177" s="48"/>
      <c r="AQ177" s="48"/>
      <c r="AR177" s="48"/>
      <c r="AS177" s="48"/>
      <c r="AT177" s="48"/>
      <c r="AU177" s="48"/>
      <c r="AV177" s="50">
        <v>96.0</v>
      </c>
      <c r="AW177" s="50">
        <v>11.0</v>
      </c>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t="s">
        <v>1409</v>
      </c>
      <c r="CK177" s="50">
        <v>6.9710416E8</v>
      </c>
      <c r="CL177" s="48" t="s">
        <v>3708</v>
      </c>
      <c r="CM177" s="47">
        <v>46096.3903125</v>
      </c>
      <c r="CN177" s="48"/>
      <c r="CO177" s="48"/>
      <c r="CP177" s="48" t="s">
        <v>1954</v>
      </c>
      <c r="CQ177" s="48"/>
      <c r="CR177" s="48" t="s">
        <v>3014</v>
      </c>
      <c r="CS177" s="48"/>
      <c r="CT177" s="48" t="s">
        <v>3709</v>
      </c>
      <c r="CU177" s="50">
        <v>176.0</v>
      </c>
    </row>
    <row r="178">
      <c r="A178" s="47">
        <v>46096.87952989584</v>
      </c>
      <c r="B178" s="47">
        <v>46096.88372755787</v>
      </c>
      <c r="C178" s="48" t="s">
        <v>3710</v>
      </c>
      <c r="D178" s="48" t="s">
        <v>1923</v>
      </c>
      <c r="E178" s="48" t="s">
        <v>2113</v>
      </c>
      <c r="F178" s="48" t="s">
        <v>2249</v>
      </c>
      <c r="G178" s="49" t="s">
        <v>2250</v>
      </c>
      <c r="H178" s="48" t="s">
        <v>3336</v>
      </c>
      <c r="I178" s="50">
        <v>1.0</v>
      </c>
      <c r="J178" s="50">
        <v>0.0</v>
      </c>
      <c r="K178" s="50">
        <v>0.0</v>
      </c>
      <c r="L178" s="50">
        <v>0.0</v>
      </c>
      <c r="M178" s="50">
        <v>0.0</v>
      </c>
      <c r="N178" s="50">
        <v>1.0</v>
      </c>
      <c r="O178" s="50">
        <v>0.0</v>
      </c>
      <c r="P178" s="50">
        <v>0.0</v>
      </c>
      <c r="Q178" s="50">
        <v>0.0</v>
      </c>
      <c r="R178" s="48" t="s">
        <v>3711</v>
      </c>
      <c r="S178" s="50">
        <v>1.0</v>
      </c>
      <c r="T178" s="50">
        <v>0.0</v>
      </c>
      <c r="U178" s="50">
        <v>0.0</v>
      </c>
      <c r="V178" s="50">
        <v>0.0</v>
      </c>
      <c r="W178" s="50">
        <v>0.0</v>
      </c>
      <c r="X178" s="50">
        <v>0.0</v>
      </c>
      <c r="Y178" s="50">
        <v>1.0</v>
      </c>
      <c r="Z178" s="50">
        <v>1.0</v>
      </c>
      <c r="AA178" s="50">
        <v>0.0</v>
      </c>
      <c r="AB178" s="48" t="s">
        <v>3711</v>
      </c>
      <c r="AC178" s="50">
        <v>1.0</v>
      </c>
      <c r="AD178" s="50">
        <v>0.0</v>
      </c>
      <c r="AE178" s="50">
        <v>0.0</v>
      </c>
      <c r="AF178" s="50">
        <v>0.0</v>
      </c>
      <c r="AG178" s="50">
        <v>0.0</v>
      </c>
      <c r="AH178" s="50">
        <v>0.0</v>
      </c>
      <c r="AI178" s="50">
        <v>1.0</v>
      </c>
      <c r="AJ178" s="50">
        <v>1.0</v>
      </c>
      <c r="AK178" s="50">
        <v>0.0</v>
      </c>
      <c r="AL178" s="48"/>
      <c r="AM178" s="50">
        <v>6.0</v>
      </c>
      <c r="AN178" s="48"/>
      <c r="AO178" s="48"/>
      <c r="AP178" s="48"/>
      <c r="AQ178" s="48"/>
      <c r="AR178" s="50">
        <v>6.0</v>
      </c>
      <c r="AS178" s="48"/>
      <c r="AT178" s="48"/>
      <c r="AU178" s="48"/>
      <c r="AV178" s="50">
        <v>12.0</v>
      </c>
      <c r="AW178" s="48"/>
      <c r="AX178" s="48"/>
      <c r="AY178" s="48"/>
      <c r="AZ178" s="48"/>
      <c r="BA178" s="48"/>
      <c r="BB178" s="50">
        <v>15.0</v>
      </c>
      <c r="BC178" s="50">
        <v>3.0</v>
      </c>
      <c r="BD178" s="50">
        <v>0.0</v>
      </c>
      <c r="BE178" s="50">
        <v>0.0</v>
      </c>
      <c r="BF178" s="50">
        <v>0.0</v>
      </c>
      <c r="BG178" s="50">
        <v>0.0</v>
      </c>
      <c r="BH178" s="48"/>
      <c r="BI178" s="48"/>
      <c r="BJ178" s="48"/>
      <c r="BK178" s="48"/>
      <c r="BL178" s="48"/>
      <c r="BM178" s="48"/>
      <c r="BN178" s="48"/>
      <c r="BO178" s="48"/>
      <c r="BP178" s="48"/>
      <c r="BQ178" s="48"/>
      <c r="BR178" s="48"/>
      <c r="BS178" s="48"/>
      <c r="BT178" s="48"/>
      <c r="BU178" s="48"/>
      <c r="BV178" s="48"/>
      <c r="BW178" s="48"/>
      <c r="BX178" s="48"/>
      <c r="BY178" s="48"/>
      <c r="BZ178" s="48"/>
      <c r="CA178" s="48"/>
      <c r="CB178" s="50">
        <v>0.0</v>
      </c>
      <c r="CC178" s="50">
        <v>0.0</v>
      </c>
      <c r="CD178" s="50">
        <v>0.0</v>
      </c>
      <c r="CE178" s="50">
        <v>0.0</v>
      </c>
      <c r="CF178" s="50">
        <v>0.0</v>
      </c>
      <c r="CG178" s="50">
        <v>0.0</v>
      </c>
      <c r="CH178" s="50">
        <v>0.0</v>
      </c>
      <c r="CI178" s="50">
        <v>0.0</v>
      </c>
      <c r="CJ178" s="48" t="s">
        <v>3712</v>
      </c>
      <c r="CK178" s="50">
        <v>6.97211596E8</v>
      </c>
      <c r="CL178" s="48" t="s">
        <v>3713</v>
      </c>
      <c r="CM178" s="47">
        <v>46096.50875</v>
      </c>
      <c r="CN178" s="48"/>
      <c r="CO178" s="48"/>
      <c r="CP178" s="48" t="s">
        <v>1954</v>
      </c>
      <c r="CQ178" s="48"/>
      <c r="CR178" s="48" t="s">
        <v>3014</v>
      </c>
      <c r="CS178" s="48"/>
      <c r="CT178" s="48" t="s">
        <v>3714</v>
      </c>
      <c r="CU178" s="50">
        <v>177.0</v>
      </c>
    </row>
    <row r="179">
      <c r="A179" s="47">
        <v>46096.88372774306</v>
      </c>
      <c r="B179" s="47">
        <v>46096.88684252315</v>
      </c>
      <c r="C179" s="48" t="s">
        <v>3715</v>
      </c>
      <c r="D179" s="48" t="s">
        <v>1923</v>
      </c>
      <c r="E179" s="48" t="s">
        <v>2113</v>
      </c>
      <c r="F179" s="48" t="s">
        <v>2249</v>
      </c>
      <c r="G179" s="49" t="s">
        <v>2268</v>
      </c>
      <c r="H179" s="48" t="s">
        <v>2947</v>
      </c>
      <c r="I179" s="50">
        <v>1.0</v>
      </c>
      <c r="J179" s="50">
        <v>0.0</v>
      </c>
      <c r="K179" s="50">
        <v>0.0</v>
      </c>
      <c r="L179" s="50">
        <v>0.0</v>
      </c>
      <c r="M179" s="50">
        <v>0.0</v>
      </c>
      <c r="N179" s="50">
        <v>0.0</v>
      </c>
      <c r="O179" s="50">
        <v>0.0</v>
      </c>
      <c r="P179" s="50">
        <v>0.0</v>
      </c>
      <c r="Q179" s="50">
        <v>0.0</v>
      </c>
      <c r="R179" s="48" t="s">
        <v>2947</v>
      </c>
      <c r="S179" s="50">
        <v>1.0</v>
      </c>
      <c r="T179" s="50">
        <v>0.0</v>
      </c>
      <c r="U179" s="50">
        <v>0.0</v>
      </c>
      <c r="V179" s="50">
        <v>0.0</v>
      </c>
      <c r="W179" s="50">
        <v>0.0</v>
      </c>
      <c r="X179" s="50">
        <v>0.0</v>
      </c>
      <c r="Y179" s="50">
        <v>0.0</v>
      </c>
      <c r="Z179" s="50">
        <v>0.0</v>
      </c>
      <c r="AA179" s="50">
        <v>0.0</v>
      </c>
      <c r="AB179" s="48" t="s">
        <v>2947</v>
      </c>
      <c r="AC179" s="50">
        <v>1.0</v>
      </c>
      <c r="AD179" s="50">
        <v>0.0</v>
      </c>
      <c r="AE179" s="50">
        <v>0.0</v>
      </c>
      <c r="AF179" s="50">
        <v>0.0</v>
      </c>
      <c r="AG179" s="50">
        <v>0.0</v>
      </c>
      <c r="AH179" s="50">
        <v>0.0</v>
      </c>
      <c r="AI179" s="50">
        <v>0.0</v>
      </c>
      <c r="AJ179" s="50">
        <v>0.0</v>
      </c>
      <c r="AK179" s="50">
        <v>0.0</v>
      </c>
      <c r="AL179" s="48"/>
      <c r="AM179" s="50">
        <v>3.0</v>
      </c>
      <c r="AN179" s="48"/>
      <c r="AO179" s="48"/>
      <c r="AP179" s="48"/>
      <c r="AQ179" s="48"/>
      <c r="AR179" s="48"/>
      <c r="AS179" s="48"/>
      <c r="AT179" s="48"/>
      <c r="AU179" s="48"/>
      <c r="AV179" s="50">
        <v>3.0</v>
      </c>
      <c r="AW179" s="48"/>
      <c r="AX179" s="48"/>
      <c r="AY179" s="48"/>
      <c r="AZ179" s="48"/>
      <c r="BA179" s="48"/>
      <c r="BB179" s="48"/>
      <c r="BC179" s="48"/>
      <c r="BD179" s="50">
        <v>0.0</v>
      </c>
      <c r="BE179" s="50">
        <v>0.0</v>
      </c>
      <c r="BF179" s="50">
        <v>0.0</v>
      </c>
      <c r="BG179" s="50">
        <v>0.0</v>
      </c>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t="s">
        <v>3716</v>
      </c>
      <c r="CK179" s="50">
        <v>6.97214446E8</v>
      </c>
      <c r="CL179" s="48" t="s">
        <v>3717</v>
      </c>
      <c r="CM179" s="47">
        <v>46096.51185185185</v>
      </c>
      <c r="CN179" s="48"/>
      <c r="CO179" s="48"/>
      <c r="CP179" s="48" t="s">
        <v>1954</v>
      </c>
      <c r="CQ179" s="48"/>
      <c r="CR179" s="48" t="s">
        <v>3014</v>
      </c>
      <c r="CS179" s="48"/>
      <c r="CT179" s="48" t="s">
        <v>3718</v>
      </c>
      <c r="CU179" s="50">
        <v>178.0</v>
      </c>
    </row>
    <row r="180">
      <c r="A180" s="47">
        <v>46096.88684267361</v>
      </c>
      <c r="B180" s="47">
        <v>46096.88963268518</v>
      </c>
      <c r="C180" s="48" t="s">
        <v>1204</v>
      </c>
      <c r="D180" s="48" t="s">
        <v>1923</v>
      </c>
      <c r="E180" s="48" t="s">
        <v>1924</v>
      </c>
      <c r="F180" s="48" t="s">
        <v>2088</v>
      </c>
      <c r="G180" s="49" t="s">
        <v>2322</v>
      </c>
      <c r="H180" s="48" t="s">
        <v>2947</v>
      </c>
      <c r="I180" s="50">
        <v>1.0</v>
      </c>
      <c r="J180" s="50">
        <v>0.0</v>
      </c>
      <c r="K180" s="50">
        <v>0.0</v>
      </c>
      <c r="L180" s="50">
        <v>0.0</v>
      </c>
      <c r="M180" s="50">
        <v>0.0</v>
      </c>
      <c r="N180" s="50">
        <v>0.0</v>
      </c>
      <c r="O180" s="50">
        <v>0.0</v>
      </c>
      <c r="P180" s="50">
        <v>0.0</v>
      </c>
      <c r="Q180" s="50">
        <v>0.0</v>
      </c>
      <c r="R180" s="48" t="s">
        <v>3711</v>
      </c>
      <c r="S180" s="50">
        <v>1.0</v>
      </c>
      <c r="T180" s="50">
        <v>0.0</v>
      </c>
      <c r="U180" s="50">
        <v>0.0</v>
      </c>
      <c r="V180" s="50">
        <v>0.0</v>
      </c>
      <c r="W180" s="50">
        <v>0.0</v>
      </c>
      <c r="X180" s="50">
        <v>0.0</v>
      </c>
      <c r="Y180" s="50">
        <v>1.0</v>
      </c>
      <c r="Z180" s="50">
        <v>1.0</v>
      </c>
      <c r="AA180" s="50">
        <v>0.0</v>
      </c>
      <c r="AB180" s="48" t="s">
        <v>3711</v>
      </c>
      <c r="AC180" s="50">
        <v>1.0</v>
      </c>
      <c r="AD180" s="50">
        <v>0.0</v>
      </c>
      <c r="AE180" s="50">
        <v>0.0</v>
      </c>
      <c r="AF180" s="50">
        <v>0.0</v>
      </c>
      <c r="AG180" s="50">
        <v>0.0</v>
      </c>
      <c r="AH180" s="50">
        <v>0.0</v>
      </c>
      <c r="AI180" s="50">
        <v>1.0</v>
      </c>
      <c r="AJ180" s="50">
        <v>1.0</v>
      </c>
      <c r="AK180" s="50">
        <v>0.0</v>
      </c>
      <c r="AL180" s="48"/>
      <c r="AM180" s="50">
        <v>2.0</v>
      </c>
      <c r="AN180" s="48"/>
      <c r="AO180" s="48"/>
      <c r="AP180" s="48"/>
      <c r="AQ180" s="48"/>
      <c r="AR180" s="48"/>
      <c r="AS180" s="48"/>
      <c r="AT180" s="48"/>
      <c r="AU180" s="48"/>
      <c r="AV180" s="50">
        <v>2.0</v>
      </c>
      <c r="AW180" s="48"/>
      <c r="AX180" s="48"/>
      <c r="AY180" s="48"/>
      <c r="AZ180" s="48"/>
      <c r="BA180" s="48"/>
      <c r="BB180" s="50">
        <v>30.0</v>
      </c>
      <c r="BC180" s="50">
        <v>12.0</v>
      </c>
      <c r="BD180" s="50">
        <v>3.0</v>
      </c>
      <c r="BE180" s="50">
        <v>0.0</v>
      </c>
      <c r="BF180" s="50">
        <v>0.0</v>
      </c>
      <c r="BG180" s="50">
        <v>0.0</v>
      </c>
      <c r="BH180" s="48"/>
      <c r="BI180" s="48"/>
      <c r="BJ180" s="48"/>
      <c r="BK180" s="48"/>
      <c r="BL180" s="48"/>
      <c r="BM180" s="48"/>
      <c r="BN180" s="48"/>
      <c r="BO180" s="48"/>
      <c r="BP180" s="48"/>
      <c r="BQ180" s="48"/>
      <c r="BR180" s="48"/>
      <c r="BS180" s="48"/>
      <c r="BT180" s="48"/>
      <c r="BU180" s="48"/>
      <c r="BV180" s="48"/>
      <c r="BW180" s="48"/>
      <c r="BX180" s="48"/>
      <c r="BY180" s="48"/>
      <c r="BZ180" s="48"/>
      <c r="CA180" s="48"/>
      <c r="CB180" s="50">
        <v>0.0</v>
      </c>
      <c r="CC180" s="50">
        <v>0.0</v>
      </c>
      <c r="CD180" s="50">
        <v>0.0</v>
      </c>
      <c r="CE180" s="50">
        <v>0.0</v>
      </c>
      <c r="CF180" s="50">
        <v>0.0</v>
      </c>
      <c r="CG180" s="50">
        <v>0.0</v>
      </c>
      <c r="CH180" s="50">
        <v>0.0</v>
      </c>
      <c r="CI180" s="50">
        <v>0.0</v>
      </c>
      <c r="CJ180" s="48" t="s">
        <v>3716</v>
      </c>
      <c r="CK180" s="50">
        <v>6.97217082E8</v>
      </c>
      <c r="CL180" s="48" t="s">
        <v>3719</v>
      </c>
      <c r="CM180" s="47">
        <v>46096.51466435185</v>
      </c>
      <c r="CN180" s="48"/>
      <c r="CO180" s="48"/>
      <c r="CP180" s="48" t="s">
        <v>1954</v>
      </c>
      <c r="CQ180" s="48"/>
      <c r="CR180" s="48" t="s">
        <v>3014</v>
      </c>
      <c r="CS180" s="48"/>
      <c r="CT180" s="48" t="s">
        <v>3720</v>
      </c>
      <c r="CU180" s="50">
        <v>179.0</v>
      </c>
    </row>
    <row r="181">
      <c r="A181" s="47">
        <v>46096.88963287037</v>
      </c>
      <c r="B181" s="47">
        <v>46096.89328290509</v>
      </c>
      <c r="C181" s="48" t="s">
        <v>3721</v>
      </c>
      <c r="D181" s="48" t="s">
        <v>1923</v>
      </c>
      <c r="E181" s="48" t="s">
        <v>1962</v>
      </c>
      <c r="F181" s="48" t="s">
        <v>2060</v>
      </c>
      <c r="G181" s="49" t="s">
        <v>2063</v>
      </c>
      <c r="H181" s="48" t="s">
        <v>3369</v>
      </c>
      <c r="I181" s="50">
        <v>1.0</v>
      </c>
      <c r="J181" s="50">
        <v>0.0</v>
      </c>
      <c r="K181" s="50">
        <v>0.0</v>
      </c>
      <c r="L181" s="50">
        <v>0.0</v>
      </c>
      <c r="M181" s="50">
        <v>0.0</v>
      </c>
      <c r="N181" s="50">
        <v>0.0</v>
      </c>
      <c r="O181" s="50">
        <v>1.0</v>
      </c>
      <c r="P181" s="50">
        <v>0.0</v>
      </c>
      <c r="Q181" s="50">
        <v>0.0</v>
      </c>
      <c r="R181" s="48" t="s">
        <v>3722</v>
      </c>
      <c r="S181" s="50">
        <v>1.0</v>
      </c>
      <c r="T181" s="50">
        <v>0.0</v>
      </c>
      <c r="U181" s="50">
        <v>0.0</v>
      </c>
      <c r="V181" s="50">
        <v>0.0</v>
      </c>
      <c r="W181" s="50">
        <v>1.0</v>
      </c>
      <c r="X181" s="50">
        <v>0.0</v>
      </c>
      <c r="Y181" s="50">
        <v>0.0</v>
      </c>
      <c r="Z181" s="50">
        <v>1.0</v>
      </c>
      <c r="AA181" s="50">
        <v>0.0</v>
      </c>
      <c r="AB181" s="48" t="s">
        <v>3723</v>
      </c>
      <c r="AC181" s="50">
        <v>0.0</v>
      </c>
      <c r="AD181" s="50">
        <v>0.0</v>
      </c>
      <c r="AE181" s="50">
        <v>0.0</v>
      </c>
      <c r="AF181" s="50">
        <v>0.0</v>
      </c>
      <c r="AG181" s="50">
        <v>1.0</v>
      </c>
      <c r="AH181" s="50">
        <v>0.0</v>
      </c>
      <c r="AI181" s="50">
        <v>0.0</v>
      </c>
      <c r="AJ181" s="50">
        <v>1.0</v>
      </c>
      <c r="AK181" s="50">
        <v>0.0</v>
      </c>
      <c r="AL181" s="48"/>
      <c r="AM181" s="50">
        <v>3.0</v>
      </c>
      <c r="AN181" s="48"/>
      <c r="AO181" s="48"/>
      <c r="AP181" s="48"/>
      <c r="AQ181" s="48"/>
      <c r="AR181" s="48"/>
      <c r="AS181" s="50">
        <v>2.0</v>
      </c>
      <c r="AT181" s="48"/>
      <c r="AU181" s="48"/>
      <c r="AV181" s="50">
        <v>0.0</v>
      </c>
      <c r="AW181" s="48"/>
      <c r="AX181" s="48"/>
      <c r="AY181" s="48"/>
      <c r="AZ181" s="50">
        <v>4.0</v>
      </c>
      <c r="BA181" s="48"/>
      <c r="BB181" s="48"/>
      <c r="BC181" s="50">
        <v>4.0</v>
      </c>
      <c r="BD181" s="48"/>
      <c r="BE181" s="48"/>
      <c r="BF181" s="48"/>
      <c r="BG181" s="48"/>
      <c r="BH181" s="48"/>
      <c r="BI181" s="48"/>
      <c r="BJ181" s="48"/>
      <c r="BK181" s="48"/>
      <c r="BL181" s="48"/>
      <c r="BM181" s="48"/>
      <c r="BN181" s="48"/>
      <c r="BO181" s="48"/>
      <c r="BP181" s="48"/>
      <c r="BQ181" s="48"/>
      <c r="BR181" s="48"/>
      <c r="BS181" s="48"/>
      <c r="BT181" s="50">
        <v>0.0</v>
      </c>
      <c r="BU181" s="50">
        <v>0.0</v>
      </c>
      <c r="BV181" s="50">
        <v>0.0</v>
      </c>
      <c r="BW181" s="50">
        <v>0.0</v>
      </c>
      <c r="BX181" s="48"/>
      <c r="BY181" s="48"/>
      <c r="BZ181" s="48"/>
      <c r="CA181" s="48"/>
      <c r="CB181" s="48"/>
      <c r="CC181" s="48"/>
      <c r="CD181" s="48"/>
      <c r="CE181" s="48"/>
      <c r="CF181" s="50">
        <v>0.0</v>
      </c>
      <c r="CG181" s="50">
        <v>0.0</v>
      </c>
      <c r="CH181" s="50">
        <v>0.0</v>
      </c>
      <c r="CI181" s="50">
        <v>0.0</v>
      </c>
      <c r="CJ181" s="48"/>
      <c r="CK181" s="50">
        <v>6.97220925E8</v>
      </c>
      <c r="CL181" s="48" t="s">
        <v>3724</v>
      </c>
      <c r="CM181" s="47">
        <v>46096.51828703703</v>
      </c>
      <c r="CN181" s="48"/>
      <c r="CO181" s="48"/>
      <c r="CP181" s="48" t="s">
        <v>1954</v>
      </c>
      <c r="CQ181" s="48"/>
      <c r="CR181" s="48" t="s">
        <v>3014</v>
      </c>
      <c r="CS181" s="48"/>
      <c r="CT181" s="48" t="s">
        <v>3725</v>
      </c>
      <c r="CU181" s="50">
        <v>180.0</v>
      </c>
    </row>
    <row r="182">
      <c r="A182" s="47">
        <v>46096.89328306713</v>
      </c>
      <c r="B182" s="47">
        <v>46096.89543512731</v>
      </c>
      <c r="C182" s="48" t="s">
        <v>3726</v>
      </c>
      <c r="D182" s="48" t="s">
        <v>1923</v>
      </c>
      <c r="E182" s="48" t="s">
        <v>2113</v>
      </c>
      <c r="F182" s="48" t="s">
        <v>2227</v>
      </c>
      <c r="G182" s="49" t="s">
        <v>2229</v>
      </c>
      <c r="H182" s="48" t="s">
        <v>3369</v>
      </c>
      <c r="I182" s="50">
        <v>1.0</v>
      </c>
      <c r="J182" s="50">
        <v>0.0</v>
      </c>
      <c r="K182" s="50">
        <v>0.0</v>
      </c>
      <c r="L182" s="50">
        <v>0.0</v>
      </c>
      <c r="M182" s="50">
        <v>0.0</v>
      </c>
      <c r="N182" s="50">
        <v>0.0</v>
      </c>
      <c r="O182" s="50">
        <v>1.0</v>
      </c>
      <c r="P182" s="50">
        <v>0.0</v>
      </c>
      <c r="Q182" s="50">
        <v>0.0</v>
      </c>
      <c r="R182" s="48" t="s">
        <v>3369</v>
      </c>
      <c r="S182" s="50">
        <v>1.0</v>
      </c>
      <c r="T182" s="50">
        <v>0.0</v>
      </c>
      <c r="U182" s="50">
        <v>0.0</v>
      </c>
      <c r="V182" s="50">
        <v>0.0</v>
      </c>
      <c r="W182" s="50">
        <v>0.0</v>
      </c>
      <c r="X182" s="50">
        <v>0.0</v>
      </c>
      <c r="Y182" s="50">
        <v>1.0</v>
      </c>
      <c r="Z182" s="50">
        <v>0.0</v>
      </c>
      <c r="AA182" s="50">
        <v>0.0</v>
      </c>
      <c r="AB182" s="48" t="s">
        <v>3369</v>
      </c>
      <c r="AC182" s="50">
        <v>1.0</v>
      </c>
      <c r="AD182" s="50">
        <v>0.0</v>
      </c>
      <c r="AE182" s="50">
        <v>0.0</v>
      </c>
      <c r="AF182" s="50">
        <v>0.0</v>
      </c>
      <c r="AG182" s="50">
        <v>0.0</v>
      </c>
      <c r="AH182" s="50">
        <v>0.0</v>
      </c>
      <c r="AI182" s="50">
        <v>1.0</v>
      </c>
      <c r="AJ182" s="50">
        <v>0.0</v>
      </c>
      <c r="AK182" s="50">
        <v>0.0</v>
      </c>
      <c r="AL182" s="48"/>
      <c r="AM182" s="50">
        <v>12.0</v>
      </c>
      <c r="AN182" s="48"/>
      <c r="AO182" s="48"/>
      <c r="AP182" s="48"/>
      <c r="AQ182" s="48"/>
      <c r="AR182" s="48"/>
      <c r="AS182" s="50">
        <v>40.0</v>
      </c>
      <c r="AT182" s="48"/>
      <c r="AU182" s="48"/>
      <c r="AV182" s="50">
        <v>10.0</v>
      </c>
      <c r="AW182" s="48"/>
      <c r="AX182" s="48"/>
      <c r="AY182" s="48"/>
      <c r="AZ182" s="48"/>
      <c r="BA182" s="48"/>
      <c r="BB182" s="50">
        <v>40.0</v>
      </c>
      <c r="BC182" s="48"/>
      <c r="BD182" s="50">
        <v>0.0</v>
      </c>
      <c r="BE182" s="50">
        <v>0.0</v>
      </c>
      <c r="BF182" s="50">
        <v>0.0</v>
      </c>
      <c r="BG182" s="50">
        <v>0.0</v>
      </c>
      <c r="BH182" s="48"/>
      <c r="BI182" s="48"/>
      <c r="BJ182" s="48"/>
      <c r="BK182" s="48"/>
      <c r="BL182" s="48"/>
      <c r="BM182" s="48"/>
      <c r="BN182" s="48"/>
      <c r="BO182" s="48"/>
      <c r="BP182" s="48"/>
      <c r="BQ182" s="48"/>
      <c r="BR182" s="48"/>
      <c r="BS182" s="48"/>
      <c r="BT182" s="48"/>
      <c r="BU182" s="48"/>
      <c r="BV182" s="48"/>
      <c r="BW182" s="48"/>
      <c r="BX182" s="48"/>
      <c r="BY182" s="48"/>
      <c r="BZ182" s="48"/>
      <c r="CA182" s="48"/>
      <c r="CB182" s="50">
        <v>0.0</v>
      </c>
      <c r="CC182" s="50">
        <v>0.0</v>
      </c>
      <c r="CD182" s="50">
        <v>0.0</v>
      </c>
      <c r="CE182" s="50">
        <v>0.0</v>
      </c>
      <c r="CF182" s="48"/>
      <c r="CG182" s="48"/>
      <c r="CH182" s="48"/>
      <c r="CI182" s="48"/>
      <c r="CJ182" s="48"/>
      <c r="CK182" s="50">
        <v>6.97222858E8</v>
      </c>
      <c r="CL182" s="48" t="s">
        <v>3727</v>
      </c>
      <c r="CM182" s="47">
        <v>46096.52043981481</v>
      </c>
      <c r="CN182" s="48"/>
      <c r="CO182" s="48"/>
      <c r="CP182" s="48" t="s">
        <v>1954</v>
      </c>
      <c r="CQ182" s="48"/>
      <c r="CR182" s="48" t="s">
        <v>3014</v>
      </c>
      <c r="CS182" s="48"/>
      <c r="CT182" s="48" t="s">
        <v>3728</v>
      </c>
      <c r="CU182" s="50">
        <v>181.0</v>
      </c>
    </row>
    <row r="183">
      <c r="A183" s="47">
        <v>46096.89543537037</v>
      </c>
      <c r="B183" s="47">
        <v>46096.91835320602</v>
      </c>
      <c r="C183" s="48" t="s">
        <v>2713</v>
      </c>
      <c r="D183" s="48" t="s">
        <v>1923</v>
      </c>
      <c r="E183" s="48" t="s">
        <v>1962</v>
      </c>
      <c r="F183" s="48" t="s">
        <v>1963</v>
      </c>
      <c r="G183" s="49" t="s">
        <v>2716</v>
      </c>
      <c r="H183" s="48" t="s">
        <v>3369</v>
      </c>
      <c r="I183" s="50">
        <v>1.0</v>
      </c>
      <c r="J183" s="50">
        <v>0.0</v>
      </c>
      <c r="K183" s="50">
        <v>0.0</v>
      </c>
      <c r="L183" s="50">
        <v>0.0</v>
      </c>
      <c r="M183" s="50">
        <v>0.0</v>
      </c>
      <c r="N183" s="50">
        <v>0.0</v>
      </c>
      <c r="O183" s="50">
        <v>1.0</v>
      </c>
      <c r="P183" s="50">
        <v>0.0</v>
      </c>
      <c r="Q183" s="50">
        <v>0.0</v>
      </c>
      <c r="R183" s="48" t="s">
        <v>3729</v>
      </c>
      <c r="S183" s="50">
        <v>0.0</v>
      </c>
      <c r="T183" s="50">
        <v>0.0</v>
      </c>
      <c r="U183" s="50">
        <v>0.0</v>
      </c>
      <c r="V183" s="50">
        <v>0.0</v>
      </c>
      <c r="W183" s="50">
        <v>1.0</v>
      </c>
      <c r="X183" s="50">
        <v>0.0</v>
      </c>
      <c r="Y183" s="50">
        <v>1.0</v>
      </c>
      <c r="Z183" s="50">
        <v>0.0</v>
      </c>
      <c r="AA183" s="50">
        <v>0.0</v>
      </c>
      <c r="AB183" s="48" t="s">
        <v>999</v>
      </c>
      <c r="AC183" s="50">
        <v>0.0</v>
      </c>
      <c r="AD183" s="50">
        <v>0.0</v>
      </c>
      <c r="AE183" s="50">
        <v>0.0</v>
      </c>
      <c r="AF183" s="50">
        <v>0.0</v>
      </c>
      <c r="AG183" s="50">
        <v>0.0</v>
      </c>
      <c r="AH183" s="50">
        <v>0.0</v>
      </c>
      <c r="AI183" s="50">
        <v>0.0</v>
      </c>
      <c r="AJ183" s="50">
        <v>0.0</v>
      </c>
      <c r="AK183" s="50">
        <v>1.0</v>
      </c>
      <c r="AL183" s="48"/>
      <c r="AM183" s="50">
        <v>4.0</v>
      </c>
      <c r="AN183" s="48"/>
      <c r="AO183" s="48"/>
      <c r="AP183" s="48"/>
      <c r="AQ183" s="48"/>
      <c r="AR183" s="48"/>
      <c r="AS183" s="50">
        <v>10.0</v>
      </c>
      <c r="AT183" s="48"/>
      <c r="AU183" s="48"/>
      <c r="AV183" s="48"/>
      <c r="AW183" s="48"/>
      <c r="AX183" s="48"/>
      <c r="AY183" s="48"/>
      <c r="AZ183" s="50">
        <v>2.0</v>
      </c>
      <c r="BA183" s="48"/>
      <c r="BB183" s="50">
        <v>10.0</v>
      </c>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50">
        <v>6.97244595E8</v>
      </c>
      <c r="CL183" s="48" t="s">
        <v>3730</v>
      </c>
      <c r="CM183" s="47">
        <v>46096.54335648148</v>
      </c>
      <c r="CN183" s="48"/>
      <c r="CO183" s="48"/>
      <c r="CP183" s="48" t="s">
        <v>1954</v>
      </c>
      <c r="CQ183" s="48"/>
      <c r="CR183" s="48" t="s">
        <v>3014</v>
      </c>
      <c r="CS183" s="48"/>
      <c r="CT183" s="48" t="s">
        <v>3731</v>
      </c>
      <c r="CU183" s="50">
        <v>182.0</v>
      </c>
    </row>
    <row r="184">
      <c r="A184" s="47">
        <v>46097.37398923611</v>
      </c>
      <c r="B184" s="47">
        <v>46097.38571172454</v>
      </c>
      <c r="C184" s="48" t="s">
        <v>3732</v>
      </c>
      <c r="D184" s="48" t="s">
        <v>3733</v>
      </c>
      <c r="E184" s="48" t="s">
        <v>3734</v>
      </c>
      <c r="F184" s="48" t="s">
        <v>3735</v>
      </c>
      <c r="G184" s="49" t="s">
        <v>3736</v>
      </c>
      <c r="H184" s="48" t="s">
        <v>2948</v>
      </c>
      <c r="I184" s="50">
        <v>0.0</v>
      </c>
      <c r="J184" s="50">
        <v>1.0</v>
      </c>
      <c r="K184" s="50">
        <v>0.0</v>
      </c>
      <c r="L184" s="50">
        <v>0.0</v>
      </c>
      <c r="M184" s="50">
        <v>0.0</v>
      </c>
      <c r="N184" s="50">
        <v>0.0</v>
      </c>
      <c r="O184" s="50">
        <v>0.0</v>
      </c>
      <c r="P184" s="50">
        <v>0.0</v>
      </c>
      <c r="Q184" s="50">
        <v>0.0</v>
      </c>
      <c r="R184" s="48" t="s">
        <v>2948</v>
      </c>
      <c r="S184" s="50">
        <v>0.0</v>
      </c>
      <c r="T184" s="50">
        <v>1.0</v>
      </c>
      <c r="U184" s="50">
        <v>0.0</v>
      </c>
      <c r="V184" s="50">
        <v>0.0</v>
      </c>
      <c r="W184" s="50">
        <v>0.0</v>
      </c>
      <c r="X184" s="50">
        <v>0.0</v>
      </c>
      <c r="Y184" s="50">
        <v>0.0</v>
      </c>
      <c r="Z184" s="50">
        <v>0.0</v>
      </c>
      <c r="AA184" s="50">
        <v>0.0</v>
      </c>
      <c r="AB184" s="48" t="s">
        <v>2948</v>
      </c>
      <c r="AC184" s="50">
        <v>0.0</v>
      </c>
      <c r="AD184" s="50">
        <v>1.0</v>
      </c>
      <c r="AE184" s="50">
        <v>0.0</v>
      </c>
      <c r="AF184" s="50">
        <v>0.0</v>
      </c>
      <c r="AG184" s="50">
        <v>0.0</v>
      </c>
      <c r="AH184" s="50">
        <v>0.0</v>
      </c>
      <c r="AI184" s="50">
        <v>0.0</v>
      </c>
      <c r="AJ184" s="50">
        <v>0.0</v>
      </c>
      <c r="AK184" s="50">
        <v>0.0</v>
      </c>
      <c r="AL184" s="48"/>
      <c r="AM184" s="48"/>
      <c r="AN184" s="50">
        <v>5.0</v>
      </c>
      <c r="AO184" s="48"/>
      <c r="AP184" s="48"/>
      <c r="AQ184" s="48"/>
      <c r="AR184" s="48"/>
      <c r="AS184" s="48"/>
      <c r="AT184" s="48"/>
      <c r="AU184" s="48"/>
      <c r="AV184" s="48"/>
      <c r="AW184" s="50">
        <v>3.0</v>
      </c>
      <c r="AX184" s="48"/>
      <c r="AY184" s="48"/>
      <c r="AZ184" s="48"/>
      <c r="BA184" s="48"/>
      <c r="BB184" s="48"/>
      <c r="BC184" s="48"/>
      <c r="BD184" s="48"/>
      <c r="BE184" s="48"/>
      <c r="BF184" s="48"/>
      <c r="BG184" s="48"/>
      <c r="BH184" s="50">
        <v>1.0</v>
      </c>
      <c r="BI184" s="50">
        <v>0.0</v>
      </c>
      <c r="BJ184" s="50">
        <v>0.0</v>
      </c>
      <c r="BK184" s="50">
        <v>0.0</v>
      </c>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t="s">
        <v>3737</v>
      </c>
      <c r="CK184" s="50">
        <v>6.97532331E8</v>
      </c>
      <c r="CL184" s="48" t="s">
        <v>3738</v>
      </c>
      <c r="CM184" s="47">
        <v>46097.09407407408</v>
      </c>
      <c r="CN184" s="48"/>
      <c r="CO184" s="48"/>
      <c r="CP184" s="48" t="s">
        <v>1954</v>
      </c>
      <c r="CQ184" s="48"/>
      <c r="CR184" s="48" t="s">
        <v>3014</v>
      </c>
      <c r="CS184" s="48"/>
      <c r="CT184" s="48" t="s">
        <v>3739</v>
      </c>
      <c r="CU184" s="50">
        <v>183.0</v>
      </c>
    </row>
    <row r="185">
      <c r="A185" s="47">
        <v>46097.29816090278</v>
      </c>
      <c r="B185" s="47">
        <v>46097.38637946759</v>
      </c>
      <c r="C185" s="48" t="s">
        <v>3740</v>
      </c>
      <c r="D185" s="48" t="s">
        <v>3733</v>
      </c>
      <c r="E185" s="48" t="s">
        <v>3734</v>
      </c>
      <c r="F185" s="48" t="s">
        <v>3735</v>
      </c>
      <c r="G185" s="49" t="s">
        <v>3741</v>
      </c>
      <c r="H185" s="48" t="s">
        <v>3742</v>
      </c>
      <c r="I185" s="50">
        <v>1.0</v>
      </c>
      <c r="J185" s="50">
        <v>1.0</v>
      </c>
      <c r="K185" s="50">
        <v>0.0</v>
      </c>
      <c r="L185" s="50">
        <v>0.0</v>
      </c>
      <c r="M185" s="50">
        <v>0.0</v>
      </c>
      <c r="N185" s="50">
        <v>0.0</v>
      </c>
      <c r="O185" s="50">
        <v>1.0</v>
      </c>
      <c r="P185" s="50">
        <v>0.0</v>
      </c>
      <c r="Q185" s="50">
        <v>0.0</v>
      </c>
      <c r="R185" s="48" t="s">
        <v>3742</v>
      </c>
      <c r="S185" s="50">
        <v>1.0</v>
      </c>
      <c r="T185" s="50">
        <v>1.0</v>
      </c>
      <c r="U185" s="50">
        <v>0.0</v>
      </c>
      <c r="V185" s="50">
        <v>0.0</v>
      </c>
      <c r="W185" s="50">
        <v>0.0</v>
      </c>
      <c r="X185" s="50">
        <v>0.0</v>
      </c>
      <c r="Y185" s="50">
        <v>1.0</v>
      </c>
      <c r="Z185" s="50">
        <v>0.0</v>
      </c>
      <c r="AA185" s="50">
        <v>0.0</v>
      </c>
      <c r="AB185" s="48" t="s">
        <v>3743</v>
      </c>
      <c r="AC185" s="50">
        <v>0.0</v>
      </c>
      <c r="AD185" s="50">
        <v>1.0</v>
      </c>
      <c r="AE185" s="50">
        <v>0.0</v>
      </c>
      <c r="AF185" s="50">
        <v>0.0</v>
      </c>
      <c r="AG185" s="50">
        <v>0.0</v>
      </c>
      <c r="AH185" s="50">
        <v>0.0</v>
      </c>
      <c r="AI185" s="50">
        <v>1.0</v>
      </c>
      <c r="AJ185" s="50">
        <v>0.0</v>
      </c>
      <c r="AK185" s="50">
        <v>0.0</v>
      </c>
      <c r="AL185" s="48"/>
      <c r="AM185" s="50">
        <v>1.0</v>
      </c>
      <c r="AN185" s="50">
        <v>5.0</v>
      </c>
      <c r="AO185" s="48"/>
      <c r="AP185" s="48"/>
      <c r="AQ185" s="48"/>
      <c r="AR185" s="48"/>
      <c r="AS185" s="50">
        <v>10.0</v>
      </c>
      <c r="AT185" s="48"/>
      <c r="AU185" s="48"/>
      <c r="AV185" s="50">
        <v>1.0</v>
      </c>
      <c r="AW185" s="50">
        <v>4.0</v>
      </c>
      <c r="AX185" s="48"/>
      <c r="AY185" s="48"/>
      <c r="AZ185" s="48"/>
      <c r="BA185" s="48"/>
      <c r="BB185" s="50">
        <v>10.0</v>
      </c>
      <c r="BC185" s="48"/>
      <c r="BD185" s="48"/>
      <c r="BE185" s="48"/>
      <c r="BF185" s="48"/>
      <c r="BG185" s="48"/>
      <c r="BH185" s="50">
        <v>0.0</v>
      </c>
      <c r="BI185" s="50">
        <v>0.0</v>
      </c>
      <c r="BJ185" s="50">
        <v>2.0</v>
      </c>
      <c r="BK185" s="50">
        <v>0.0</v>
      </c>
      <c r="BL185" s="48"/>
      <c r="BM185" s="48"/>
      <c r="BN185" s="48"/>
      <c r="BO185" s="48"/>
      <c r="BP185" s="48"/>
      <c r="BQ185" s="48"/>
      <c r="BR185" s="48"/>
      <c r="BS185" s="48"/>
      <c r="BT185" s="48"/>
      <c r="BU185" s="48"/>
      <c r="BV185" s="48"/>
      <c r="BW185" s="48"/>
      <c r="BX185" s="48"/>
      <c r="BY185" s="48"/>
      <c r="BZ185" s="48"/>
      <c r="CA185" s="48"/>
      <c r="CB185" s="50">
        <v>5.0</v>
      </c>
      <c r="CC185" s="50">
        <v>0.0</v>
      </c>
      <c r="CD185" s="50">
        <v>12.0</v>
      </c>
      <c r="CE185" s="50">
        <v>0.0</v>
      </c>
      <c r="CF185" s="48"/>
      <c r="CG185" s="48"/>
      <c r="CH185" s="48"/>
      <c r="CI185" s="48"/>
      <c r="CJ185" s="48"/>
      <c r="CK185" s="50">
        <v>6.97532886E8</v>
      </c>
      <c r="CL185" s="48" t="s">
        <v>3744</v>
      </c>
      <c r="CM185" s="47">
        <v>46097.09474537037</v>
      </c>
      <c r="CN185" s="48"/>
      <c r="CO185" s="48"/>
      <c r="CP185" s="48" t="s">
        <v>1954</v>
      </c>
      <c r="CQ185" s="48"/>
      <c r="CR185" s="48" t="s">
        <v>3014</v>
      </c>
      <c r="CS185" s="48"/>
      <c r="CT185" s="48" t="s">
        <v>3745</v>
      </c>
      <c r="CU185" s="50">
        <v>184.0</v>
      </c>
    </row>
    <row r="186">
      <c r="A186" s="47">
        <v>46097.38638011574</v>
      </c>
      <c r="B186" s="47">
        <v>46097.42082535879</v>
      </c>
      <c r="C186" s="48" t="s">
        <v>3746</v>
      </c>
      <c r="D186" s="48" t="s">
        <v>3733</v>
      </c>
      <c r="E186" s="48" t="s">
        <v>3734</v>
      </c>
      <c r="F186" s="48" t="s">
        <v>3735</v>
      </c>
      <c r="G186" s="49" t="s">
        <v>3747</v>
      </c>
      <c r="H186" s="48" t="s">
        <v>2949</v>
      </c>
      <c r="I186" s="50">
        <v>1.0</v>
      </c>
      <c r="J186" s="50">
        <v>1.0</v>
      </c>
      <c r="K186" s="50">
        <v>0.0</v>
      </c>
      <c r="L186" s="50">
        <v>0.0</v>
      </c>
      <c r="M186" s="50">
        <v>0.0</v>
      </c>
      <c r="N186" s="50">
        <v>0.0</v>
      </c>
      <c r="O186" s="50">
        <v>0.0</v>
      </c>
      <c r="P186" s="50">
        <v>0.0</v>
      </c>
      <c r="Q186" s="50">
        <v>0.0</v>
      </c>
      <c r="R186" s="48" t="s">
        <v>2949</v>
      </c>
      <c r="S186" s="50">
        <v>1.0</v>
      </c>
      <c r="T186" s="50">
        <v>1.0</v>
      </c>
      <c r="U186" s="50">
        <v>0.0</v>
      </c>
      <c r="V186" s="50">
        <v>0.0</v>
      </c>
      <c r="W186" s="50">
        <v>0.0</v>
      </c>
      <c r="X186" s="50">
        <v>0.0</v>
      </c>
      <c r="Y186" s="50">
        <v>0.0</v>
      </c>
      <c r="Z186" s="50">
        <v>0.0</v>
      </c>
      <c r="AA186" s="50">
        <v>0.0</v>
      </c>
      <c r="AB186" s="48" t="s">
        <v>2949</v>
      </c>
      <c r="AC186" s="50">
        <v>1.0</v>
      </c>
      <c r="AD186" s="50">
        <v>1.0</v>
      </c>
      <c r="AE186" s="50">
        <v>0.0</v>
      </c>
      <c r="AF186" s="50">
        <v>0.0</v>
      </c>
      <c r="AG186" s="50">
        <v>0.0</v>
      </c>
      <c r="AH186" s="50">
        <v>0.0</v>
      </c>
      <c r="AI186" s="50">
        <v>0.0</v>
      </c>
      <c r="AJ186" s="50">
        <v>0.0</v>
      </c>
      <c r="AK186" s="50">
        <v>0.0</v>
      </c>
      <c r="AL186" s="48"/>
      <c r="AM186" s="50">
        <v>1.0</v>
      </c>
      <c r="AN186" s="50">
        <v>4.0</v>
      </c>
      <c r="AO186" s="48"/>
      <c r="AP186" s="48"/>
      <c r="AQ186" s="48"/>
      <c r="AR186" s="48"/>
      <c r="AS186" s="48"/>
      <c r="AT186" s="48"/>
      <c r="AU186" s="48"/>
      <c r="AV186" s="50">
        <v>2.0</v>
      </c>
      <c r="AW186" s="50">
        <v>6.0</v>
      </c>
      <c r="AX186" s="48"/>
      <c r="AY186" s="48"/>
      <c r="AZ186" s="48"/>
      <c r="BA186" s="48"/>
      <c r="BB186" s="48"/>
      <c r="BC186" s="48"/>
      <c r="BD186" s="50">
        <v>3.0</v>
      </c>
      <c r="BE186" s="50">
        <v>0.0</v>
      </c>
      <c r="BF186" s="50">
        <v>2.0</v>
      </c>
      <c r="BG186" s="50">
        <v>0.0</v>
      </c>
      <c r="BH186" s="50">
        <v>1.0</v>
      </c>
      <c r="BI186" s="50">
        <v>1.0</v>
      </c>
      <c r="BJ186" s="50">
        <v>0.0</v>
      </c>
      <c r="BK186" s="50">
        <v>0.0</v>
      </c>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50">
        <v>6.97560827E8</v>
      </c>
      <c r="CL186" s="48" t="s">
        <v>3748</v>
      </c>
      <c r="CM186" s="47">
        <v>46097.12918981481</v>
      </c>
      <c r="CN186" s="48"/>
      <c r="CO186" s="48"/>
      <c r="CP186" s="48" t="s">
        <v>1954</v>
      </c>
      <c r="CQ186" s="48"/>
      <c r="CR186" s="48" t="s">
        <v>3014</v>
      </c>
      <c r="CS186" s="48"/>
      <c r="CT186" s="48" t="s">
        <v>3749</v>
      </c>
      <c r="CU186" s="50">
        <v>185.0</v>
      </c>
    </row>
    <row r="187">
      <c r="A187" s="47">
        <v>46097.42082640046</v>
      </c>
      <c r="B187" s="47">
        <v>46097.44311328704</v>
      </c>
      <c r="C187" s="48" t="s">
        <v>3750</v>
      </c>
      <c r="D187" s="48" t="s">
        <v>3733</v>
      </c>
      <c r="E187" s="48" t="s">
        <v>3734</v>
      </c>
      <c r="F187" s="48" t="s">
        <v>3735</v>
      </c>
      <c r="G187" s="49" t="s">
        <v>3751</v>
      </c>
      <c r="H187" s="48" t="s">
        <v>2948</v>
      </c>
      <c r="I187" s="50">
        <v>0.0</v>
      </c>
      <c r="J187" s="50">
        <v>1.0</v>
      </c>
      <c r="K187" s="50">
        <v>0.0</v>
      </c>
      <c r="L187" s="50">
        <v>0.0</v>
      </c>
      <c r="M187" s="50">
        <v>0.0</v>
      </c>
      <c r="N187" s="50">
        <v>0.0</v>
      </c>
      <c r="O187" s="50">
        <v>0.0</v>
      </c>
      <c r="P187" s="50">
        <v>0.0</v>
      </c>
      <c r="Q187" s="50">
        <v>0.0</v>
      </c>
      <c r="R187" s="48" t="s">
        <v>2948</v>
      </c>
      <c r="S187" s="50">
        <v>0.0</v>
      </c>
      <c r="T187" s="50">
        <v>1.0</v>
      </c>
      <c r="U187" s="50">
        <v>0.0</v>
      </c>
      <c r="V187" s="50">
        <v>0.0</v>
      </c>
      <c r="W187" s="50">
        <v>0.0</v>
      </c>
      <c r="X187" s="50">
        <v>0.0</v>
      </c>
      <c r="Y187" s="50">
        <v>0.0</v>
      </c>
      <c r="Z187" s="50">
        <v>0.0</v>
      </c>
      <c r="AA187" s="50">
        <v>0.0</v>
      </c>
      <c r="AB187" s="48" t="s">
        <v>999</v>
      </c>
      <c r="AC187" s="50">
        <v>0.0</v>
      </c>
      <c r="AD187" s="50">
        <v>0.0</v>
      </c>
      <c r="AE187" s="50">
        <v>0.0</v>
      </c>
      <c r="AF187" s="50">
        <v>0.0</v>
      </c>
      <c r="AG187" s="50">
        <v>0.0</v>
      </c>
      <c r="AH187" s="50">
        <v>0.0</v>
      </c>
      <c r="AI187" s="50">
        <v>0.0</v>
      </c>
      <c r="AJ187" s="50">
        <v>0.0</v>
      </c>
      <c r="AK187" s="50">
        <v>1.0</v>
      </c>
      <c r="AL187" s="48"/>
      <c r="AM187" s="48"/>
      <c r="AN187" s="50">
        <v>13.0</v>
      </c>
      <c r="AO187" s="48"/>
      <c r="AP187" s="48"/>
      <c r="AQ187" s="48"/>
      <c r="AR187" s="48"/>
      <c r="AS187" s="48"/>
      <c r="AT187" s="48"/>
      <c r="AU187" s="48"/>
      <c r="AV187" s="48"/>
      <c r="AW187" s="50">
        <v>8.0</v>
      </c>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t="s">
        <v>3752</v>
      </c>
      <c r="CK187" s="50">
        <v>6.9757997E8</v>
      </c>
      <c r="CL187" s="48" t="s">
        <v>3753</v>
      </c>
      <c r="CM187" s="47">
        <v>46097.15146990741</v>
      </c>
      <c r="CN187" s="48"/>
      <c r="CO187" s="48"/>
      <c r="CP187" s="48" t="s">
        <v>1954</v>
      </c>
      <c r="CQ187" s="48"/>
      <c r="CR187" s="48" t="s">
        <v>3014</v>
      </c>
      <c r="CS187" s="48"/>
      <c r="CT187" s="48" t="s">
        <v>3754</v>
      </c>
      <c r="CU187" s="50">
        <v>186.0</v>
      </c>
    </row>
    <row r="188">
      <c r="A188" s="47">
        <v>46097.44311400463</v>
      </c>
      <c r="B188" s="47">
        <v>46097.47037543981</v>
      </c>
      <c r="C188" s="48" t="s">
        <v>3755</v>
      </c>
      <c r="D188" s="48" t="s">
        <v>3733</v>
      </c>
      <c r="E188" s="48" t="s">
        <v>3734</v>
      </c>
      <c r="F188" s="48" t="s">
        <v>3735</v>
      </c>
      <c r="G188" s="49" t="s">
        <v>3756</v>
      </c>
      <c r="H188" s="48" t="s">
        <v>3743</v>
      </c>
      <c r="I188" s="50">
        <v>0.0</v>
      </c>
      <c r="J188" s="50">
        <v>1.0</v>
      </c>
      <c r="K188" s="50">
        <v>0.0</v>
      </c>
      <c r="L188" s="50">
        <v>0.0</v>
      </c>
      <c r="M188" s="50">
        <v>0.0</v>
      </c>
      <c r="N188" s="50">
        <v>0.0</v>
      </c>
      <c r="O188" s="50">
        <v>1.0</v>
      </c>
      <c r="P188" s="50">
        <v>0.0</v>
      </c>
      <c r="Q188" s="50">
        <v>0.0</v>
      </c>
      <c r="R188" s="48" t="s">
        <v>3743</v>
      </c>
      <c r="S188" s="50">
        <v>0.0</v>
      </c>
      <c r="T188" s="50">
        <v>1.0</v>
      </c>
      <c r="U188" s="50">
        <v>0.0</v>
      </c>
      <c r="V188" s="50">
        <v>0.0</v>
      </c>
      <c r="W188" s="50">
        <v>0.0</v>
      </c>
      <c r="X188" s="50">
        <v>0.0</v>
      </c>
      <c r="Y188" s="50">
        <v>1.0</v>
      </c>
      <c r="Z188" s="50">
        <v>0.0</v>
      </c>
      <c r="AA188" s="50">
        <v>0.0</v>
      </c>
      <c r="AB188" s="48" t="s">
        <v>3743</v>
      </c>
      <c r="AC188" s="50">
        <v>0.0</v>
      </c>
      <c r="AD188" s="50">
        <v>1.0</v>
      </c>
      <c r="AE188" s="50">
        <v>0.0</v>
      </c>
      <c r="AF188" s="50">
        <v>0.0</v>
      </c>
      <c r="AG188" s="50">
        <v>0.0</v>
      </c>
      <c r="AH188" s="50">
        <v>0.0</v>
      </c>
      <c r="AI188" s="50">
        <v>1.0</v>
      </c>
      <c r="AJ188" s="50">
        <v>0.0</v>
      </c>
      <c r="AK188" s="50">
        <v>0.0</v>
      </c>
      <c r="AL188" s="48"/>
      <c r="AM188" s="48"/>
      <c r="AN188" s="50">
        <v>7.0</v>
      </c>
      <c r="AO188" s="48"/>
      <c r="AP188" s="48"/>
      <c r="AQ188" s="48"/>
      <c r="AR188" s="48"/>
      <c r="AS188" s="50">
        <v>20.0</v>
      </c>
      <c r="AT188" s="48"/>
      <c r="AU188" s="48"/>
      <c r="AV188" s="48"/>
      <c r="AW188" s="50">
        <v>2.0</v>
      </c>
      <c r="AX188" s="48"/>
      <c r="AY188" s="48"/>
      <c r="AZ188" s="48"/>
      <c r="BA188" s="48"/>
      <c r="BB188" s="50">
        <v>7.0</v>
      </c>
      <c r="BC188" s="48"/>
      <c r="BD188" s="48"/>
      <c r="BE188" s="48"/>
      <c r="BF188" s="48"/>
      <c r="BG188" s="48"/>
      <c r="BH188" s="50">
        <v>0.0</v>
      </c>
      <c r="BI188" s="50">
        <v>0.0</v>
      </c>
      <c r="BJ188" s="50">
        <v>0.0</v>
      </c>
      <c r="BK188" s="50">
        <v>1.0</v>
      </c>
      <c r="BL188" s="48"/>
      <c r="BM188" s="48"/>
      <c r="BN188" s="48"/>
      <c r="BO188" s="48"/>
      <c r="BP188" s="48"/>
      <c r="BQ188" s="48"/>
      <c r="BR188" s="48"/>
      <c r="BS188" s="48"/>
      <c r="BT188" s="48"/>
      <c r="BU188" s="48"/>
      <c r="BV188" s="48"/>
      <c r="BW188" s="48"/>
      <c r="BX188" s="48"/>
      <c r="BY188" s="48"/>
      <c r="BZ188" s="48"/>
      <c r="CA188" s="48"/>
      <c r="CB188" s="50">
        <v>0.0</v>
      </c>
      <c r="CC188" s="50">
        <v>0.0</v>
      </c>
      <c r="CD188" s="50">
        <v>12.0</v>
      </c>
      <c r="CE188" s="50">
        <v>2.0</v>
      </c>
      <c r="CF188" s="48"/>
      <c r="CG188" s="48"/>
      <c r="CH188" s="48"/>
      <c r="CI188" s="48"/>
      <c r="CJ188" s="48"/>
      <c r="CK188" s="50">
        <v>6.97605975E8</v>
      </c>
      <c r="CL188" s="48" t="s">
        <v>3757</v>
      </c>
      <c r="CM188" s="47">
        <v>46097.17875</v>
      </c>
      <c r="CN188" s="48"/>
      <c r="CO188" s="48"/>
      <c r="CP188" s="48" t="s">
        <v>1954</v>
      </c>
      <c r="CQ188" s="48"/>
      <c r="CR188" s="48" t="s">
        <v>3014</v>
      </c>
      <c r="CS188" s="48"/>
      <c r="CT188" s="48" t="s">
        <v>3758</v>
      </c>
      <c r="CU188" s="50">
        <v>187.0</v>
      </c>
    </row>
    <row r="189">
      <c r="A189" s="47">
        <v>46097.47037609954</v>
      </c>
      <c r="B189" s="47">
        <v>46097.47363817129</v>
      </c>
      <c r="C189" s="48" t="s">
        <v>3759</v>
      </c>
      <c r="D189" s="48" t="s">
        <v>3733</v>
      </c>
      <c r="E189" s="48" t="s">
        <v>3734</v>
      </c>
      <c r="F189" s="48" t="s">
        <v>3735</v>
      </c>
      <c r="G189" s="49" t="s">
        <v>3760</v>
      </c>
      <c r="H189" s="48" t="s">
        <v>2948</v>
      </c>
      <c r="I189" s="50">
        <v>0.0</v>
      </c>
      <c r="J189" s="50">
        <v>1.0</v>
      </c>
      <c r="K189" s="50">
        <v>0.0</v>
      </c>
      <c r="L189" s="50">
        <v>0.0</v>
      </c>
      <c r="M189" s="50">
        <v>0.0</v>
      </c>
      <c r="N189" s="50">
        <v>0.0</v>
      </c>
      <c r="O189" s="50">
        <v>0.0</v>
      </c>
      <c r="P189" s="50">
        <v>0.0</v>
      </c>
      <c r="Q189" s="50">
        <v>0.0</v>
      </c>
      <c r="R189" s="48" t="s">
        <v>2948</v>
      </c>
      <c r="S189" s="50">
        <v>0.0</v>
      </c>
      <c r="T189" s="50">
        <v>1.0</v>
      </c>
      <c r="U189" s="50">
        <v>0.0</v>
      </c>
      <c r="V189" s="50">
        <v>0.0</v>
      </c>
      <c r="W189" s="50">
        <v>0.0</v>
      </c>
      <c r="X189" s="50">
        <v>0.0</v>
      </c>
      <c r="Y189" s="50">
        <v>0.0</v>
      </c>
      <c r="Z189" s="50">
        <v>0.0</v>
      </c>
      <c r="AA189" s="50">
        <v>0.0</v>
      </c>
      <c r="AB189" s="48" t="s">
        <v>2948</v>
      </c>
      <c r="AC189" s="50">
        <v>0.0</v>
      </c>
      <c r="AD189" s="50">
        <v>1.0</v>
      </c>
      <c r="AE189" s="50">
        <v>0.0</v>
      </c>
      <c r="AF189" s="50">
        <v>0.0</v>
      </c>
      <c r="AG189" s="50">
        <v>0.0</v>
      </c>
      <c r="AH189" s="50">
        <v>0.0</v>
      </c>
      <c r="AI189" s="50">
        <v>0.0</v>
      </c>
      <c r="AJ189" s="50">
        <v>0.0</v>
      </c>
      <c r="AK189" s="50">
        <v>0.0</v>
      </c>
      <c r="AL189" s="48"/>
      <c r="AM189" s="48"/>
      <c r="AN189" s="50">
        <v>3.0</v>
      </c>
      <c r="AO189" s="48"/>
      <c r="AP189" s="48"/>
      <c r="AQ189" s="48"/>
      <c r="AR189" s="48"/>
      <c r="AS189" s="48"/>
      <c r="AT189" s="48"/>
      <c r="AU189" s="48"/>
      <c r="AV189" s="48"/>
      <c r="AW189" s="50">
        <v>2.0</v>
      </c>
      <c r="AX189" s="48"/>
      <c r="AY189" s="48"/>
      <c r="AZ189" s="48"/>
      <c r="BA189" s="48"/>
      <c r="BB189" s="48"/>
      <c r="BC189" s="48"/>
      <c r="BD189" s="48"/>
      <c r="BE189" s="48"/>
      <c r="BF189" s="48"/>
      <c r="BG189" s="48"/>
      <c r="BH189" s="50">
        <v>6.0</v>
      </c>
      <c r="BI189" s="50">
        <v>1.0</v>
      </c>
      <c r="BJ189" s="50">
        <v>6.0</v>
      </c>
      <c r="BK189" s="50">
        <v>0.0</v>
      </c>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50">
        <v>6.97609101E8</v>
      </c>
      <c r="CL189" s="48" t="s">
        <v>3761</v>
      </c>
      <c r="CM189" s="47">
        <v>46097.18200231482</v>
      </c>
      <c r="CN189" s="48"/>
      <c r="CO189" s="48"/>
      <c r="CP189" s="48" t="s">
        <v>1954</v>
      </c>
      <c r="CQ189" s="48"/>
      <c r="CR189" s="48" t="s">
        <v>3014</v>
      </c>
      <c r="CS189" s="48"/>
      <c r="CT189" s="48" t="s">
        <v>3762</v>
      </c>
      <c r="CU189" s="50">
        <v>188.0</v>
      </c>
    </row>
    <row r="190">
      <c r="A190" s="47">
        <v>46097.47363881944</v>
      </c>
      <c r="B190" s="47">
        <v>46097.48340943287</v>
      </c>
      <c r="C190" s="48" t="s">
        <v>3763</v>
      </c>
      <c r="D190" s="48" t="s">
        <v>3733</v>
      </c>
      <c r="E190" s="48" t="s">
        <v>3734</v>
      </c>
      <c r="F190" s="48" t="s">
        <v>3735</v>
      </c>
      <c r="G190" s="49" t="s">
        <v>3764</v>
      </c>
      <c r="H190" s="48" t="s">
        <v>3765</v>
      </c>
      <c r="I190" s="50">
        <v>0.0</v>
      </c>
      <c r="J190" s="50">
        <v>1.0</v>
      </c>
      <c r="K190" s="50">
        <v>0.0</v>
      </c>
      <c r="L190" s="50">
        <v>0.0</v>
      </c>
      <c r="M190" s="50">
        <v>0.0</v>
      </c>
      <c r="N190" s="50">
        <v>0.0</v>
      </c>
      <c r="O190" s="50">
        <v>1.0</v>
      </c>
      <c r="P190" s="50">
        <v>1.0</v>
      </c>
      <c r="Q190" s="50">
        <v>0.0</v>
      </c>
      <c r="R190" s="48" t="s">
        <v>2948</v>
      </c>
      <c r="S190" s="50">
        <v>0.0</v>
      </c>
      <c r="T190" s="50">
        <v>1.0</v>
      </c>
      <c r="U190" s="50">
        <v>0.0</v>
      </c>
      <c r="V190" s="50">
        <v>0.0</v>
      </c>
      <c r="W190" s="50">
        <v>0.0</v>
      </c>
      <c r="X190" s="50">
        <v>0.0</v>
      </c>
      <c r="Y190" s="50">
        <v>0.0</v>
      </c>
      <c r="Z190" s="50">
        <v>0.0</v>
      </c>
      <c r="AA190" s="50">
        <v>0.0</v>
      </c>
      <c r="AB190" s="48" t="s">
        <v>999</v>
      </c>
      <c r="AC190" s="50">
        <v>0.0</v>
      </c>
      <c r="AD190" s="50">
        <v>0.0</v>
      </c>
      <c r="AE190" s="50">
        <v>0.0</v>
      </c>
      <c r="AF190" s="50">
        <v>0.0</v>
      </c>
      <c r="AG190" s="50">
        <v>0.0</v>
      </c>
      <c r="AH190" s="50">
        <v>0.0</v>
      </c>
      <c r="AI190" s="50">
        <v>0.0</v>
      </c>
      <c r="AJ190" s="50">
        <v>0.0</v>
      </c>
      <c r="AK190" s="50">
        <v>1.0</v>
      </c>
      <c r="AL190" s="48"/>
      <c r="AM190" s="48"/>
      <c r="AN190" s="50">
        <v>2.0</v>
      </c>
      <c r="AO190" s="48"/>
      <c r="AP190" s="48"/>
      <c r="AQ190" s="48"/>
      <c r="AR190" s="48"/>
      <c r="AS190" s="50">
        <v>10.0</v>
      </c>
      <c r="AT190" s="50">
        <v>4.0</v>
      </c>
      <c r="AU190" s="48"/>
      <c r="AV190" s="48"/>
      <c r="AW190" s="50">
        <v>1.0</v>
      </c>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t="s">
        <v>3766</v>
      </c>
      <c r="CK190" s="50">
        <v>6.97616933E8</v>
      </c>
      <c r="CL190" s="48" t="s">
        <v>3767</v>
      </c>
      <c r="CM190" s="47">
        <v>46097.19177083333</v>
      </c>
      <c r="CN190" s="48"/>
      <c r="CO190" s="48"/>
      <c r="CP190" s="48" t="s">
        <v>1954</v>
      </c>
      <c r="CQ190" s="48"/>
      <c r="CR190" s="48" t="s">
        <v>3014</v>
      </c>
      <c r="CS190" s="48"/>
      <c r="CT190" s="48" t="s">
        <v>3768</v>
      </c>
      <c r="CU190" s="50">
        <v>189.0</v>
      </c>
    </row>
    <row r="191">
      <c r="A191" s="47">
        <v>46095.56717560185</v>
      </c>
      <c r="B191" s="47">
        <v>46097.48676150463</v>
      </c>
      <c r="C191" s="48" t="s">
        <v>3769</v>
      </c>
      <c r="D191" s="48" t="s">
        <v>839</v>
      </c>
      <c r="E191" s="48" t="s">
        <v>1175</v>
      </c>
      <c r="F191" s="48" t="s">
        <v>1176</v>
      </c>
      <c r="G191" s="49" t="s">
        <v>1450</v>
      </c>
      <c r="H191" s="48" t="s">
        <v>2948</v>
      </c>
      <c r="I191" s="50">
        <v>0.0</v>
      </c>
      <c r="J191" s="50">
        <v>1.0</v>
      </c>
      <c r="K191" s="50">
        <v>0.0</v>
      </c>
      <c r="L191" s="50">
        <v>0.0</v>
      </c>
      <c r="M191" s="50">
        <v>0.0</v>
      </c>
      <c r="N191" s="50">
        <v>0.0</v>
      </c>
      <c r="O191" s="50">
        <v>0.0</v>
      </c>
      <c r="P191" s="50">
        <v>0.0</v>
      </c>
      <c r="Q191" s="50">
        <v>0.0</v>
      </c>
      <c r="R191" s="48" t="s">
        <v>2948</v>
      </c>
      <c r="S191" s="50">
        <v>0.0</v>
      </c>
      <c r="T191" s="50">
        <v>1.0</v>
      </c>
      <c r="U191" s="50">
        <v>0.0</v>
      </c>
      <c r="V191" s="50">
        <v>0.0</v>
      </c>
      <c r="W191" s="50">
        <v>0.0</v>
      </c>
      <c r="X191" s="50">
        <v>0.0</v>
      </c>
      <c r="Y191" s="50">
        <v>0.0</v>
      </c>
      <c r="Z191" s="50">
        <v>0.0</v>
      </c>
      <c r="AA191" s="50">
        <v>0.0</v>
      </c>
      <c r="AB191" s="48" t="s">
        <v>999</v>
      </c>
      <c r="AC191" s="50">
        <v>0.0</v>
      </c>
      <c r="AD191" s="50">
        <v>0.0</v>
      </c>
      <c r="AE191" s="50">
        <v>0.0</v>
      </c>
      <c r="AF191" s="50">
        <v>0.0</v>
      </c>
      <c r="AG191" s="50">
        <v>0.0</v>
      </c>
      <c r="AH191" s="50">
        <v>0.0</v>
      </c>
      <c r="AI191" s="50">
        <v>0.0</v>
      </c>
      <c r="AJ191" s="50">
        <v>0.0</v>
      </c>
      <c r="AK191" s="50">
        <v>1.0</v>
      </c>
      <c r="AL191" s="48"/>
      <c r="AM191" s="48"/>
      <c r="AN191" s="50">
        <v>3.0</v>
      </c>
      <c r="AO191" s="48"/>
      <c r="AP191" s="48"/>
      <c r="AQ191" s="48"/>
      <c r="AR191" s="48"/>
      <c r="AS191" s="48"/>
      <c r="AT191" s="48"/>
      <c r="AU191" s="48"/>
      <c r="AV191" s="48"/>
      <c r="AW191" s="50">
        <v>3.0</v>
      </c>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t="s">
        <v>1409</v>
      </c>
      <c r="CK191" s="50">
        <v>6.97619903E8</v>
      </c>
      <c r="CL191" s="48" t="s">
        <v>3770</v>
      </c>
      <c r="CM191" s="47">
        <v>46097.19510416667</v>
      </c>
      <c r="CN191" s="48"/>
      <c r="CO191" s="48"/>
      <c r="CP191" s="48" t="s">
        <v>1954</v>
      </c>
      <c r="CQ191" s="48"/>
      <c r="CR191" s="48" t="s">
        <v>3014</v>
      </c>
      <c r="CS191" s="48"/>
      <c r="CT191" s="48" t="s">
        <v>3771</v>
      </c>
      <c r="CU191" s="50">
        <v>190.0</v>
      </c>
    </row>
    <row r="192">
      <c r="A192" s="47">
        <v>46097.48341099537</v>
      </c>
      <c r="B192" s="47">
        <v>46097.5722191088</v>
      </c>
      <c r="C192" s="48" t="s">
        <v>3772</v>
      </c>
      <c r="D192" s="48" t="s">
        <v>3733</v>
      </c>
      <c r="E192" s="48" t="s">
        <v>3734</v>
      </c>
      <c r="F192" s="48" t="s">
        <v>3735</v>
      </c>
      <c r="G192" s="49" t="s">
        <v>3773</v>
      </c>
      <c r="H192" s="48" t="s">
        <v>2948</v>
      </c>
      <c r="I192" s="50">
        <v>0.0</v>
      </c>
      <c r="J192" s="50">
        <v>1.0</v>
      </c>
      <c r="K192" s="50">
        <v>0.0</v>
      </c>
      <c r="L192" s="50">
        <v>0.0</v>
      </c>
      <c r="M192" s="50">
        <v>0.0</v>
      </c>
      <c r="N192" s="50">
        <v>0.0</v>
      </c>
      <c r="O192" s="50">
        <v>0.0</v>
      </c>
      <c r="P192" s="50">
        <v>0.0</v>
      </c>
      <c r="Q192" s="50">
        <v>0.0</v>
      </c>
      <c r="R192" s="48" t="s">
        <v>2949</v>
      </c>
      <c r="S192" s="50">
        <v>1.0</v>
      </c>
      <c r="T192" s="50">
        <v>1.0</v>
      </c>
      <c r="U192" s="50">
        <v>0.0</v>
      </c>
      <c r="V192" s="50">
        <v>0.0</v>
      </c>
      <c r="W192" s="50">
        <v>0.0</v>
      </c>
      <c r="X192" s="50">
        <v>0.0</v>
      </c>
      <c r="Y192" s="50">
        <v>0.0</v>
      </c>
      <c r="Z192" s="50">
        <v>0.0</v>
      </c>
      <c r="AA192" s="50">
        <v>0.0</v>
      </c>
      <c r="AB192" s="48" t="s">
        <v>2949</v>
      </c>
      <c r="AC192" s="50">
        <v>1.0</v>
      </c>
      <c r="AD192" s="50">
        <v>1.0</v>
      </c>
      <c r="AE192" s="50">
        <v>0.0</v>
      </c>
      <c r="AF192" s="50">
        <v>0.0</v>
      </c>
      <c r="AG192" s="50">
        <v>0.0</v>
      </c>
      <c r="AH192" s="50">
        <v>0.0</v>
      </c>
      <c r="AI192" s="50">
        <v>0.0</v>
      </c>
      <c r="AJ192" s="50">
        <v>0.0</v>
      </c>
      <c r="AK192" s="50">
        <v>0.0</v>
      </c>
      <c r="AL192" s="48"/>
      <c r="AM192" s="48"/>
      <c r="AN192" s="50">
        <v>4.0</v>
      </c>
      <c r="AO192" s="48"/>
      <c r="AP192" s="48"/>
      <c r="AQ192" s="48"/>
      <c r="AR192" s="48"/>
      <c r="AS192" s="48"/>
      <c r="AT192" s="48"/>
      <c r="AU192" s="48"/>
      <c r="AV192" s="50">
        <v>2.0</v>
      </c>
      <c r="AW192" s="50">
        <v>6.0</v>
      </c>
      <c r="AX192" s="48"/>
      <c r="AY192" s="48"/>
      <c r="AZ192" s="48"/>
      <c r="BA192" s="48"/>
      <c r="BB192" s="48"/>
      <c r="BC192" s="48"/>
      <c r="BD192" s="50">
        <v>1.0</v>
      </c>
      <c r="BE192" s="50">
        <v>1.0</v>
      </c>
      <c r="BF192" s="50">
        <v>2.0</v>
      </c>
      <c r="BG192" s="50">
        <v>0.0</v>
      </c>
      <c r="BH192" s="50">
        <v>2.0</v>
      </c>
      <c r="BI192" s="50">
        <v>3.0</v>
      </c>
      <c r="BJ192" s="50">
        <v>1.0</v>
      </c>
      <c r="BK192" s="50">
        <v>1.0</v>
      </c>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t="s">
        <v>3774</v>
      </c>
      <c r="CK192" s="50">
        <v>6.97744854E8</v>
      </c>
      <c r="CL192" s="48" t="s">
        <v>3775</v>
      </c>
      <c r="CM192" s="47">
        <v>46097.28057870371</v>
      </c>
      <c r="CN192" s="48"/>
      <c r="CO192" s="48"/>
      <c r="CP192" s="48" t="s">
        <v>1954</v>
      </c>
      <c r="CQ192" s="48"/>
      <c r="CR192" s="48" t="s">
        <v>3014</v>
      </c>
      <c r="CS192" s="48"/>
      <c r="CT192" s="48" t="s">
        <v>3776</v>
      </c>
      <c r="CU192" s="50">
        <v>191.0</v>
      </c>
    </row>
    <row r="193">
      <c r="A193" s="47">
        <v>46097.57221976852</v>
      </c>
      <c r="B193" s="47">
        <v>46097.59910171296</v>
      </c>
      <c r="C193" s="48" t="s">
        <v>3777</v>
      </c>
      <c r="D193" s="48" t="s">
        <v>3733</v>
      </c>
      <c r="E193" s="48" t="s">
        <v>3734</v>
      </c>
      <c r="F193" s="48" t="s">
        <v>3735</v>
      </c>
      <c r="G193" s="49" t="s">
        <v>3778</v>
      </c>
      <c r="H193" s="48" t="s">
        <v>3743</v>
      </c>
      <c r="I193" s="50">
        <v>0.0</v>
      </c>
      <c r="J193" s="50">
        <v>1.0</v>
      </c>
      <c r="K193" s="50">
        <v>0.0</v>
      </c>
      <c r="L193" s="50">
        <v>0.0</v>
      </c>
      <c r="M193" s="50">
        <v>0.0</v>
      </c>
      <c r="N193" s="50">
        <v>0.0</v>
      </c>
      <c r="O193" s="50">
        <v>1.0</v>
      </c>
      <c r="P193" s="50">
        <v>0.0</v>
      </c>
      <c r="Q193" s="50">
        <v>0.0</v>
      </c>
      <c r="R193" s="48" t="s">
        <v>3743</v>
      </c>
      <c r="S193" s="50">
        <v>0.0</v>
      </c>
      <c r="T193" s="50">
        <v>1.0</v>
      </c>
      <c r="U193" s="50">
        <v>0.0</v>
      </c>
      <c r="V193" s="50">
        <v>0.0</v>
      </c>
      <c r="W193" s="50">
        <v>0.0</v>
      </c>
      <c r="X193" s="50">
        <v>0.0</v>
      </c>
      <c r="Y193" s="50">
        <v>1.0</v>
      </c>
      <c r="Z193" s="50">
        <v>0.0</v>
      </c>
      <c r="AA193" s="50">
        <v>0.0</v>
      </c>
      <c r="AB193" s="48" t="s">
        <v>3743</v>
      </c>
      <c r="AC193" s="50">
        <v>0.0</v>
      </c>
      <c r="AD193" s="50">
        <v>1.0</v>
      </c>
      <c r="AE193" s="50">
        <v>0.0</v>
      </c>
      <c r="AF193" s="50">
        <v>0.0</v>
      </c>
      <c r="AG193" s="50">
        <v>0.0</v>
      </c>
      <c r="AH193" s="50">
        <v>0.0</v>
      </c>
      <c r="AI193" s="50">
        <v>1.0</v>
      </c>
      <c r="AJ193" s="50">
        <v>0.0</v>
      </c>
      <c r="AK193" s="50">
        <v>0.0</v>
      </c>
      <c r="AL193" s="48"/>
      <c r="AM193" s="48"/>
      <c r="AN193" s="50">
        <v>9.0</v>
      </c>
      <c r="AO193" s="48"/>
      <c r="AP193" s="48"/>
      <c r="AQ193" s="48"/>
      <c r="AR193" s="48"/>
      <c r="AS193" s="50">
        <v>10.0</v>
      </c>
      <c r="AT193" s="48"/>
      <c r="AU193" s="48"/>
      <c r="AV193" s="48"/>
      <c r="AW193" s="50">
        <v>5.0</v>
      </c>
      <c r="AX193" s="48"/>
      <c r="AY193" s="48"/>
      <c r="AZ193" s="48"/>
      <c r="BA193" s="48"/>
      <c r="BB193" s="50">
        <v>10.0</v>
      </c>
      <c r="BC193" s="48"/>
      <c r="BD193" s="48"/>
      <c r="BE193" s="48"/>
      <c r="BF193" s="48"/>
      <c r="BG193" s="48"/>
      <c r="BH193" s="50">
        <v>6.0</v>
      </c>
      <c r="BI193" s="50">
        <v>0.0</v>
      </c>
      <c r="BJ193" s="50">
        <v>3.0</v>
      </c>
      <c r="BK193" s="50">
        <v>0.0</v>
      </c>
      <c r="BL193" s="48"/>
      <c r="BM193" s="48"/>
      <c r="BN193" s="48"/>
      <c r="BO193" s="48"/>
      <c r="BP193" s="48"/>
      <c r="BQ193" s="48"/>
      <c r="BR193" s="48"/>
      <c r="BS193" s="48"/>
      <c r="BT193" s="48"/>
      <c r="BU193" s="48"/>
      <c r="BV193" s="48"/>
      <c r="BW193" s="48"/>
      <c r="BX193" s="48"/>
      <c r="BY193" s="48"/>
      <c r="BZ193" s="48"/>
      <c r="CA193" s="48"/>
      <c r="CB193" s="50">
        <v>0.0</v>
      </c>
      <c r="CC193" s="50">
        <v>0.0</v>
      </c>
      <c r="CD193" s="50">
        <v>10.0</v>
      </c>
      <c r="CE193" s="50">
        <v>0.0</v>
      </c>
      <c r="CF193" s="48"/>
      <c r="CG193" s="48"/>
      <c r="CH193" s="48"/>
      <c r="CI193" s="48"/>
      <c r="CJ193" s="48"/>
      <c r="CK193" s="50">
        <v>6.97805111E8</v>
      </c>
      <c r="CL193" s="48" t="s">
        <v>3779</v>
      </c>
      <c r="CM193" s="47">
        <v>46097.3074537037</v>
      </c>
      <c r="CN193" s="48"/>
      <c r="CO193" s="48"/>
      <c r="CP193" s="48" t="s">
        <v>1954</v>
      </c>
      <c r="CQ193" s="48"/>
      <c r="CR193" s="48" t="s">
        <v>3014</v>
      </c>
      <c r="CS193" s="48"/>
      <c r="CT193" s="48" t="s">
        <v>3780</v>
      </c>
      <c r="CU193" s="50">
        <v>192.0</v>
      </c>
    </row>
    <row r="194">
      <c r="A194" s="47">
        <v>46097.59910266204</v>
      </c>
      <c r="B194" s="47">
        <v>46097.60946484953</v>
      </c>
      <c r="C194" s="48" t="s">
        <v>3781</v>
      </c>
      <c r="D194" s="48" t="s">
        <v>3733</v>
      </c>
      <c r="E194" s="48" t="s">
        <v>3734</v>
      </c>
      <c r="F194" s="48" t="s">
        <v>3735</v>
      </c>
      <c r="G194" s="49" t="s">
        <v>3782</v>
      </c>
      <c r="H194" s="48" t="s">
        <v>3743</v>
      </c>
      <c r="I194" s="50">
        <v>0.0</v>
      </c>
      <c r="J194" s="50">
        <v>1.0</v>
      </c>
      <c r="K194" s="50">
        <v>0.0</v>
      </c>
      <c r="L194" s="50">
        <v>0.0</v>
      </c>
      <c r="M194" s="50">
        <v>0.0</v>
      </c>
      <c r="N194" s="50">
        <v>0.0</v>
      </c>
      <c r="O194" s="50">
        <v>1.0</v>
      </c>
      <c r="P194" s="50">
        <v>0.0</v>
      </c>
      <c r="Q194" s="50">
        <v>0.0</v>
      </c>
      <c r="R194" s="48" t="s">
        <v>3742</v>
      </c>
      <c r="S194" s="50">
        <v>1.0</v>
      </c>
      <c r="T194" s="50">
        <v>1.0</v>
      </c>
      <c r="U194" s="50">
        <v>0.0</v>
      </c>
      <c r="V194" s="50">
        <v>0.0</v>
      </c>
      <c r="W194" s="50">
        <v>0.0</v>
      </c>
      <c r="X194" s="50">
        <v>0.0</v>
      </c>
      <c r="Y194" s="50">
        <v>1.0</v>
      </c>
      <c r="Z194" s="50">
        <v>0.0</v>
      </c>
      <c r="AA194" s="50">
        <v>0.0</v>
      </c>
      <c r="AB194" s="48" t="s">
        <v>3743</v>
      </c>
      <c r="AC194" s="50">
        <v>0.0</v>
      </c>
      <c r="AD194" s="50">
        <v>1.0</v>
      </c>
      <c r="AE194" s="50">
        <v>0.0</v>
      </c>
      <c r="AF194" s="50">
        <v>0.0</v>
      </c>
      <c r="AG194" s="50">
        <v>0.0</v>
      </c>
      <c r="AH194" s="50">
        <v>0.0</v>
      </c>
      <c r="AI194" s="50">
        <v>1.0</v>
      </c>
      <c r="AJ194" s="50">
        <v>0.0</v>
      </c>
      <c r="AK194" s="50">
        <v>0.0</v>
      </c>
      <c r="AL194" s="48"/>
      <c r="AM194" s="48"/>
      <c r="AN194" s="50">
        <v>3.0</v>
      </c>
      <c r="AO194" s="48"/>
      <c r="AP194" s="48"/>
      <c r="AQ194" s="48"/>
      <c r="AR194" s="48"/>
      <c r="AS194" s="50">
        <v>5.0</v>
      </c>
      <c r="AT194" s="48"/>
      <c r="AU194" s="48"/>
      <c r="AV194" s="50">
        <v>1.0</v>
      </c>
      <c r="AW194" s="50">
        <v>11.0</v>
      </c>
      <c r="AX194" s="48"/>
      <c r="AY194" s="48"/>
      <c r="AZ194" s="48"/>
      <c r="BA194" s="48"/>
      <c r="BB194" s="50">
        <v>8.0</v>
      </c>
      <c r="BC194" s="48"/>
      <c r="BD194" s="48"/>
      <c r="BE194" s="48"/>
      <c r="BF194" s="48"/>
      <c r="BG194" s="48"/>
      <c r="BH194" s="50">
        <v>5.0</v>
      </c>
      <c r="BI194" s="50">
        <v>0.0</v>
      </c>
      <c r="BJ194" s="50">
        <v>3.0</v>
      </c>
      <c r="BK194" s="50">
        <v>0.0</v>
      </c>
      <c r="BL194" s="48"/>
      <c r="BM194" s="48"/>
      <c r="BN194" s="48"/>
      <c r="BO194" s="48"/>
      <c r="BP194" s="48"/>
      <c r="BQ194" s="48"/>
      <c r="BR194" s="48"/>
      <c r="BS194" s="48"/>
      <c r="BT194" s="48"/>
      <c r="BU194" s="48"/>
      <c r="BV194" s="48"/>
      <c r="BW194" s="48"/>
      <c r="BX194" s="48"/>
      <c r="BY194" s="48"/>
      <c r="BZ194" s="48"/>
      <c r="CA194" s="48"/>
      <c r="CB194" s="50">
        <v>0.0</v>
      </c>
      <c r="CC194" s="50">
        <v>7.0</v>
      </c>
      <c r="CD194" s="50">
        <v>4.0</v>
      </c>
      <c r="CE194" s="50">
        <v>0.0</v>
      </c>
      <c r="CF194" s="48"/>
      <c r="CG194" s="48"/>
      <c r="CH194" s="48"/>
      <c r="CI194" s="48"/>
      <c r="CJ194" s="48"/>
      <c r="CK194" s="50">
        <v>6.97826727E8</v>
      </c>
      <c r="CL194" s="48" t="s">
        <v>3783</v>
      </c>
      <c r="CM194" s="47">
        <v>46097.31783564815</v>
      </c>
      <c r="CN194" s="48"/>
      <c r="CO194" s="48"/>
      <c r="CP194" s="48" t="s">
        <v>1954</v>
      </c>
      <c r="CQ194" s="48"/>
      <c r="CR194" s="48" t="s">
        <v>3014</v>
      </c>
      <c r="CS194" s="48"/>
      <c r="CT194" s="48" t="s">
        <v>3784</v>
      </c>
      <c r="CU194" s="50">
        <v>193.0</v>
      </c>
    </row>
    <row r="195">
      <c r="A195" s="47">
        <v>46097.60946568287</v>
      </c>
      <c r="B195" s="47">
        <v>46097.61498168982</v>
      </c>
      <c r="C195" s="48" t="s">
        <v>3785</v>
      </c>
      <c r="D195" s="48" t="s">
        <v>3733</v>
      </c>
      <c r="E195" s="48" t="s">
        <v>3734</v>
      </c>
      <c r="F195" s="48" t="s">
        <v>3735</v>
      </c>
      <c r="G195" s="49" t="s">
        <v>3786</v>
      </c>
      <c r="H195" s="48" t="s">
        <v>3743</v>
      </c>
      <c r="I195" s="50">
        <v>0.0</v>
      </c>
      <c r="J195" s="50">
        <v>1.0</v>
      </c>
      <c r="K195" s="50">
        <v>0.0</v>
      </c>
      <c r="L195" s="50">
        <v>0.0</v>
      </c>
      <c r="M195" s="50">
        <v>0.0</v>
      </c>
      <c r="N195" s="50">
        <v>0.0</v>
      </c>
      <c r="O195" s="50">
        <v>1.0</v>
      </c>
      <c r="P195" s="50">
        <v>0.0</v>
      </c>
      <c r="Q195" s="50">
        <v>0.0</v>
      </c>
      <c r="R195" s="48" t="s">
        <v>3742</v>
      </c>
      <c r="S195" s="50">
        <v>1.0</v>
      </c>
      <c r="T195" s="50">
        <v>1.0</v>
      </c>
      <c r="U195" s="50">
        <v>0.0</v>
      </c>
      <c r="V195" s="50">
        <v>0.0</v>
      </c>
      <c r="W195" s="50">
        <v>0.0</v>
      </c>
      <c r="X195" s="50">
        <v>0.0</v>
      </c>
      <c r="Y195" s="50">
        <v>1.0</v>
      </c>
      <c r="Z195" s="50">
        <v>0.0</v>
      </c>
      <c r="AA195" s="50">
        <v>0.0</v>
      </c>
      <c r="AB195" s="48" t="s">
        <v>2949</v>
      </c>
      <c r="AC195" s="50">
        <v>1.0</v>
      </c>
      <c r="AD195" s="50">
        <v>1.0</v>
      </c>
      <c r="AE195" s="50">
        <v>0.0</v>
      </c>
      <c r="AF195" s="50">
        <v>0.0</v>
      </c>
      <c r="AG195" s="50">
        <v>0.0</v>
      </c>
      <c r="AH195" s="50">
        <v>0.0</v>
      </c>
      <c r="AI195" s="50">
        <v>0.0</v>
      </c>
      <c r="AJ195" s="50">
        <v>0.0</v>
      </c>
      <c r="AK195" s="50">
        <v>0.0</v>
      </c>
      <c r="AL195" s="48"/>
      <c r="AM195" s="48"/>
      <c r="AN195" s="50">
        <v>4.0</v>
      </c>
      <c r="AO195" s="48"/>
      <c r="AP195" s="48"/>
      <c r="AQ195" s="48"/>
      <c r="AR195" s="48"/>
      <c r="AS195" s="50">
        <v>10.0</v>
      </c>
      <c r="AT195" s="48"/>
      <c r="AU195" s="48"/>
      <c r="AV195" s="50">
        <v>1.0</v>
      </c>
      <c r="AW195" s="50">
        <v>6.0</v>
      </c>
      <c r="AX195" s="48"/>
      <c r="AY195" s="48"/>
      <c r="AZ195" s="48"/>
      <c r="BA195" s="48"/>
      <c r="BB195" s="50">
        <v>5.0</v>
      </c>
      <c r="BC195" s="48"/>
      <c r="BD195" s="50">
        <v>1.0</v>
      </c>
      <c r="BE195" s="50">
        <v>0.0</v>
      </c>
      <c r="BF195" s="50">
        <v>0.0</v>
      </c>
      <c r="BG195" s="50">
        <v>0.0</v>
      </c>
      <c r="BH195" s="50">
        <v>1.0</v>
      </c>
      <c r="BI195" s="50">
        <v>0.0</v>
      </c>
      <c r="BJ195" s="50">
        <v>0.0</v>
      </c>
      <c r="BK195" s="50">
        <v>0.0</v>
      </c>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50">
        <v>6.97836263E8</v>
      </c>
      <c r="CL195" s="48" t="s">
        <v>3787</v>
      </c>
      <c r="CM195" s="47">
        <v>46097.32334490741</v>
      </c>
      <c r="CN195" s="48"/>
      <c r="CO195" s="48"/>
      <c r="CP195" s="48" t="s">
        <v>1954</v>
      </c>
      <c r="CQ195" s="48"/>
      <c r="CR195" s="48" t="s">
        <v>3014</v>
      </c>
      <c r="CS195" s="48"/>
      <c r="CT195" s="48" t="s">
        <v>3788</v>
      </c>
      <c r="CU195" s="50">
        <v>194.0</v>
      </c>
    </row>
    <row r="196">
      <c r="A196" s="47">
        <v>46097.61498268518</v>
      </c>
      <c r="B196" s="47">
        <v>46097.63079712963</v>
      </c>
      <c r="C196" s="48" t="s">
        <v>3789</v>
      </c>
      <c r="D196" s="48" t="s">
        <v>3733</v>
      </c>
      <c r="E196" s="48" t="s">
        <v>3734</v>
      </c>
      <c r="F196" s="48" t="s">
        <v>3735</v>
      </c>
      <c r="G196" s="49" t="s">
        <v>3790</v>
      </c>
      <c r="H196" s="48" t="s">
        <v>3743</v>
      </c>
      <c r="I196" s="50">
        <v>0.0</v>
      </c>
      <c r="J196" s="50">
        <v>1.0</v>
      </c>
      <c r="K196" s="50">
        <v>0.0</v>
      </c>
      <c r="L196" s="50">
        <v>0.0</v>
      </c>
      <c r="M196" s="50">
        <v>0.0</v>
      </c>
      <c r="N196" s="50">
        <v>0.0</v>
      </c>
      <c r="O196" s="50">
        <v>1.0</v>
      </c>
      <c r="P196" s="50">
        <v>0.0</v>
      </c>
      <c r="Q196" s="50">
        <v>0.0</v>
      </c>
      <c r="R196" s="48" t="s">
        <v>3743</v>
      </c>
      <c r="S196" s="50">
        <v>0.0</v>
      </c>
      <c r="T196" s="50">
        <v>1.0</v>
      </c>
      <c r="U196" s="50">
        <v>0.0</v>
      </c>
      <c r="V196" s="50">
        <v>0.0</v>
      </c>
      <c r="W196" s="50">
        <v>0.0</v>
      </c>
      <c r="X196" s="50">
        <v>0.0</v>
      </c>
      <c r="Y196" s="50">
        <v>1.0</v>
      </c>
      <c r="Z196" s="50">
        <v>0.0</v>
      </c>
      <c r="AA196" s="50">
        <v>0.0</v>
      </c>
      <c r="AB196" s="48" t="s">
        <v>3034</v>
      </c>
      <c r="AC196" s="50">
        <v>0.0</v>
      </c>
      <c r="AD196" s="50">
        <v>0.0</v>
      </c>
      <c r="AE196" s="50">
        <v>0.0</v>
      </c>
      <c r="AF196" s="50">
        <v>0.0</v>
      </c>
      <c r="AG196" s="50">
        <v>0.0</v>
      </c>
      <c r="AH196" s="50">
        <v>0.0</v>
      </c>
      <c r="AI196" s="50">
        <v>1.0</v>
      </c>
      <c r="AJ196" s="50">
        <v>0.0</v>
      </c>
      <c r="AK196" s="50">
        <v>0.0</v>
      </c>
      <c r="AL196" s="48"/>
      <c r="AM196" s="48"/>
      <c r="AN196" s="50">
        <v>7.0</v>
      </c>
      <c r="AO196" s="48"/>
      <c r="AP196" s="48"/>
      <c r="AQ196" s="48"/>
      <c r="AR196" s="48"/>
      <c r="AS196" s="50">
        <v>4.0</v>
      </c>
      <c r="AT196" s="48"/>
      <c r="AU196" s="48"/>
      <c r="AV196" s="48"/>
      <c r="AW196" s="50">
        <v>2.0</v>
      </c>
      <c r="AX196" s="48"/>
      <c r="AY196" s="48"/>
      <c r="AZ196" s="48"/>
      <c r="BA196" s="48"/>
      <c r="BB196" s="50">
        <v>4.0</v>
      </c>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50">
        <v>0.0</v>
      </c>
      <c r="CC196" s="50">
        <v>0.0</v>
      </c>
      <c r="CD196" s="50">
        <v>4.0</v>
      </c>
      <c r="CE196" s="50">
        <v>4.0</v>
      </c>
      <c r="CF196" s="48"/>
      <c r="CG196" s="48"/>
      <c r="CH196" s="48"/>
      <c r="CI196" s="48"/>
      <c r="CJ196" s="48" t="s">
        <v>3791</v>
      </c>
      <c r="CK196" s="50">
        <v>6.97868389E8</v>
      </c>
      <c r="CL196" s="48" t="s">
        <v>3792</v>
      </c>
      <c r="CM196" s="47">
        <v>46097.3391550926</v>
      </c>
      <c r="CN196" s="48"/>
      <c r="CO196" s="48"/>
      <c r="CP196" s="48" t="s">
        <v>1954</v>
      </c>
      <c r="CQ196" s="48"/>
      <c r="CR196" s="48" t="s">
        <v>3014</v>
      </c>
      <c r="CS196" s="48"/>
      <c r="CT196" s="48" t="s">
        <v>3793</v>
      </c>
      <c r="CU196" s="50">
        <v>195.0</v>
      </c>
    </row>
    <row r="197">
      <c r="A197" s="47">
        <v>46097.63079810185</v>
      </c>
      <c r="B197" s="47">
        <v>46097.66955432871</v>
      </c>
      <c r="C197" s="48" t="s">
        <v>3794</v>
      </c>
      <c r="D197" s="48" t="s">
        <v>3733</v>
      </c>
      <c r="E197" s="48" t="s">
        <v>3734</v>
      </c>
      <c r="F197" s="48" t="s">
        <v>3735</v>
      </c>
      <c r="G197" s="49" t="s">
        <v>3795</v>
      </c>
      <c r="H197" s="48" t="s">
        <v>3765</v>
      </c>
      <c r="I197" s="50">
        <v>0.0</v>
      </c>
      <c r="J197" s="50">
        <v>1.0</v>
      </c>
      <c r="K197" s="50">
        <v>0.0</v>
      </c>
      <c r="L197" s="50">
        <v>0.0</v>
      </c>
      <c r="M197" s="50">
        <v>0.0</v>
      </c>
      <c r="N197" s="50">
        <v>0.0</v>
      </c>
      <c r="O197" s="50">
        <v>1.0</v>
      </c>
      <c r="P197" s="50">
        <v>1.0</v>
      </c>
      <c r="Q197" s="50">
        <v>0.0</v>
      </c>
      <c r="R197" s="48" t="s">
        <v>2949</v>
      </c>
      <c r="S197" s="50">
        <v>1.0</v>
      </c>
      <c r="T197" s="50">
        <v>1.0</v>
      </c>
      <c r="U197" s="50">
        <v>0.0</v>
      </c>
      <c r="V197" s="50">
        <v>0.0</v>
      </c>
      <c r="W197" s="50">
        <v>0.0</v>
      </c>
      <c r="X197" s="50">
        <v>0.0</v>
      </c>
      <c r="Y197" s="50">
        <v>0.0</v>
      </c>
      <c r="Z197" s="50">
        <v>0.0</v>
      </c>
      <c r="AA197" s="50">
        <v>0.0</v>
      </c>
      <c r="AB197" s="48" t="s">
        <v>2949</v>
      </c>
      <c r="AC197" s="50">
        <v>1.0</v>
      </c>
      <c r="AD197" s="50">
        <v>1.0</v>
      </c>
      <c r="AE197" s="50">
        <v>0.0</v>
      </c>
      <c r="AF197" s="50">
        <v>0.0</v>
      </c>
      <c r="AG197" s="50">
        <v>0.0</v>
      </c>
      <c r="AH197" s="50">
        <v>0.0</v>
      </c>
      <c r="AI197" s="50">
        <v>0.0</v>
      </c>
      <c r="AJ197" s="50">
        <v>0.0</v>
      </c>
      <c r="AK197" s="50">
        <v>0.0</v>
      </c>
      <c r="AL197" s="48"/>
      <c r="AM197" s="48"/>
      <c r="AN197" s="50">
        <v>6.0</v>
      </c>
      <c r="AO197" s="48"/>
      <c r="AP197" s="48"/>
      <c r="AQ197" s="48"/>
      <c r="AR197" s="48"/>
      <c r="AS197" s="50">
        <v>30.0</v>
      </c>
      <c r="AT197" s="50">
        <v>15.0</v>
      </c>
      <c r="AU197" s="48"/>
      <c r="AV197" s="50">
        <v>4.0</v>
      </c>
      <c r="AW197" s="50">
        <v>6.0</v>
      </c>
      <c r="AX197" s="48"/>
      <c r="AY197" s="48"/>
      <c r="AZ197" s="48"/>
      <c r="BA197" s="48"/>
      <c r="BB197" s="48"/>
      <c r="BC197" s="48"/>
      <c r="BD197" s="50">
        <v>1.0</v>
      </c>
      <c r="BE197" s="50">
        <v>2.0</v>
      </c>
      <c r="BF197" s="50">
        <v>0.0</v>
      </c>
      <c r="BG197" s="50">
        <v>0.0</v>
      </c>
      <c r="BH197" s="50">
        <v>1.0</v>
      </c>
      <c r="BI197" s="50">
        <v>0.0</v>
      </c>
      <c r="BJ197" s="50">
        <v>0.0</v>
      </c>
      <c r="BK197" s="50">
        <v>1.0</v>
      </c>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50">
        <v>6.97936378E8</v>
      </c>
      <c r="CL197" s="48" t="s">
        <v>3796</v>
      </c>
      <c r="CM197" s="47">
        <v>46097.3779050926</v>
      </c>
      <c r="CN197" s="48"/>
      <c r="CO197" s="48"/>
      <c r="CP197" s="48" t="s">
        <v>1954</v>
      </c>
      <c r="CQ197" s="48"/>
      <c r="CR197" s="48" t="s">
        <v>3014</v>
      </c>
      <c r="CS197" s="48"/>
      <c r="CT197" s="48" t="s">
        <v>3797</v>
      </c>
      <c r="CU197" s="50">
        <v>196.0</v>
      </c>
    </row>
    <row r="198">
      <c r="A198" s="47">
        <v>46097.66955518519</v>
      </c>
      <c r="B198" s="47">
        <v>46097.77997298611</v>
      </c>
      <c r="C198" s="48" t="s">
        <v>3798</v>
      </c>
      <c r="D198" s="48" t="s">
        <v>3733</v>
      </c>
      <c r="E198" s="48" t="s">
        <v>3734</v>
      </c>
      <c r="F198" s="48" t="s">
        <v>3735</v>
      </c>
      <c r="G198" s="49" t="s">
        <v>3799</v>
      </c>
      <c r="H198" s="48" t="s">
        <v>3743</v>
      </c>
      <c r="I198" s="50">
        <v>0.0</v>
      </c>
      <c r="J198" s="50">
        <v>1.0</v>
      </c>
      <c r="K198" s="50">
        <v>0.0</v>
      </c>
      <c r="L198" s="50">
        <v>0.0</v>
      </c>
      <c r="M198" s="50">
        <v>0.0</v>
      </c>
      <c r="N198" s="50">
        <v>0.0</v>
      </c>
      <c r="O198" s="50">
        <v>1.0</v>
      </c>
      <c r="P198" s="50">
        <v>0.0</v>
      </c>
      <c r="Q198" s="50">
        <v>0.0</v>
      </c>
      <c r="R198" s="48" t="s">
        <v>2948</v>
      </c>
      <c r="S198" s="50">
        <v>0.0</v>
      </c>
      <c r="T198" s="50">
        <v>1.0</v>
      </c>
      <c r="U198" s="50">
        <v>0.0</v>
      </c>
      <c r="V198" s="50">
        <v>0.0</v>
      </c>
      <c r="W198" s="50">
        <v>0.0</v>
      </c>
      <c r="X198" s="50">
        <v>0.0</v>
      </c>
      <c r="Y198" s="50">
        <v>0.0</v>
      </c>
      <c r="Z198" s="50">
        <v>0.0</v>
      </c>
      <c r="AA198" s="50">
        <v>0.0</v>
      </c>
      <c r="AB198" s="48" t="s">
        <v>2949</v>
      </c>
      <c r="AC198" s="50">
        <v>1.0</v>
      </c>
      <c r="AD198" s="50">
        <v>1.0</v>
      </c>
      <c r="AE198" s="50">
        <v>0.0</v>
      </c>
      <c r="AF198" s="50">
        <v>0.0</v>
      </c>
      <c r="AG198" s="50">
        <v>0.0</v>
      </c>
      <c r="AH198" s="50">
        <v>0.0</v>
      </c>
      <c r="AI198" s="50">
        <v>0.0</v>
      </c>
      <c r="AJ198" s="50">
        <v>0.0</v>
      </c>
      <c r="AK198" s="50">
        <v>0.0</v>
      </c>
      <c r="AL198" s="48"/>
      <c r="AM198" s="48"/>
      <c r="AN198" s="50">
        <v>3.0</v>
      </c>
      <c r="AO198" s="48"/>
      <c r="AP198" s="48"/>
      <c r="AQ198" s="48"/>
      <c r="AR198" s="48"/>
      <c r="AS198" s="50">
        <v>5.0</v>
      </c>
      <c r="AT198" s="48"/>
      <c r="AU198" s="48"/>
      <c r="AV198" s="48"/>
      <c r="AW198" s="50">
        <v>6.0</v>
      </c>
      <c r="AX198" s="48"/>
      <c r="AY198" s="48"/>
      <c r="AZ198" s="48"/>
      <c r="BA198" s="48"/>
      <c r="BB198" s="48"/>
      <c r="BC198" s="48"/>
      <c r="BD198" s="50">
        <v>1.0</v>
      </c>
      <c r="BE198" s="50">
        <v>0.0</v>
      </c>
      <c r="BF198" s="50">
        <v>1.0</v>
      </c>
      <c r="BG198" s="50">
        <v>0.0</v>
      </c>
      <c r="BH198" s="50">
        <v>1.0</v>
      </c>
      <c r="BI198" s="50">
        <v>0.0</v>
      </c>
      <c r="BJ198" s="50">
        <v>2.0</v>
      </c>
      <c r="BK198" s="50">
        <v>0.0</v>
      </c>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50">
        <v>6.9809892E8</v>
      </c>
      <c r="CL198" s="48" t="s">
        <v>3800</v>
      </c>
      <c r="CM198" s="47">
        <v>46097.48833333333</v>
      </c>
      <c r="CN198" s="48"/>
      <c r="CO198" s="48"/>
      <c r="CP198" s="48" t="s">
        <v>1954</v>
      </c>
      <c r="CQ198" s="48"/>
      <c r="CR198" s="48" t="s">
        <v>3014</v>
      </c>
      <c r="CS198" s="48"/>
      <c r="CT198" s="48" t="s">
        <v>3801</v>
      </c>
      <c r="CU198" s="50">
        <v>197.0</v>
      </c>
    </row>
    <row r="199">
      <c r="A199" s="47">
        <v>46097.77997364583</v>
      </c>
      <c r="B199" s="47">
        <v>46097.78295954861</v>
      </c>
      <c r="C199" s="48" t="s">
        <v>3802</v>
      </c>
      <c r="D199" s="48" t="s">
        <v>3733</v>
      </c>
      <c r="E199" s="48" t="s">
        <v>3734</v>
      </c>
      <c r="F199" s="48" t="s">
        <v>3735</v>
      </c>
      <c r="G199" s="49" t="s">
        <v>3803</v>
      </c>
      <c r="H199" s="48" t="s">
        <v>2948</v>
      </c>
      <c r="I199" s="50">
        <v>0.0</v>
      </c>
      <c r="J199" s="50">
        <v>1.0</v>
      </c>
      <c r="K199" s="50">
        <v>0.0</v>
      </c>
      <c r="L199" s="50">
        <v>0.0</v>
      </c>
      <c r="M199" s="50">
        <v>0.0</v>
      </c>
      <c r="N199" s="50">
        <v>0.0</v>
      </c>
      <c r="O199" s="50">
        <v>0.0</v>
      </c>
      <c r="P199" s="50">
        <v>0.0</v>
      </c>
      <c r="Q199" s="50">
        <v>0.0</v>
      </c>
      <c r="R199" s="48" t="s">
        <v>2949</v>
      </c>
      <c r="S199" s="50">
        <v>1.0</v>
      </c>
      <c r="T199" s="50">
        <v>1.0</v>
      </c>
      <c r="U199" s="50">
        <v>0.0</v>
      </c>
      <c r="V199" s="50">
        <v>0.0</v>
      </c>
      <c r="W199" s="50">
        <v>0.0</v>
      </c>
      <c r="X199" s="50">
        <v>0.0</v>
      </c>
      <c r="Y199" s="50">
        <v>0.0</v>
      </c>
      <c r="Z199" s="50">
        <v>0.0</v>
      </c>
      <c r="AA199" s="50">
        <v>0.0</v>
      </c>
      <c r="AB199" s="48" t="s">
        <v>2947</v>
      </c>
      <c r="AC199" s="50">
        <v>1.0</v>
      </c>
      <c r="AD199" s="50">
        <v>0.0</v>
      </c>
      <c r="AE199" s="50">
        <v>0.0</v>
      </c>
      <c r="AF199" s="50">
        <v>0.0</v>
      </c>
      <c r="AG199" s="50">
        <v>0.0</v>
      </c>
      <c r="AH199" s="50">
        <v>0.0</v>
      </c>
      <c r="AI199" s="50">
        <v>0.0</v>
      </c>
      <c r="AJ199" s="50">
        <v>0.0</v>
      </c>
      <c r="AK199" s="50">
        <v>0.0</v>
      </c>
      <c r="AL199" s="48"/>
      <c r="AM199" s="48"/>
      <c r="AN199" s="50">
        <v>5.0</v>
      </c>
      <c r="AO199" s="48"/>
      <c r="AP199" s="48"/>
      <c r="AQ199" s="48"/>
      <c r="AR199" s="48"/>
      <c r="AS199" s="48"/>
      <c r="AT199" s="48"/>
      <c r="AU199" s="48"/>
      <c r="AV199" s="50">
        <v>1.0</v>
      </c>
      <c r="AW199" s="50">
        <v>7.0</v>
      </c>
      <c r="AX199" s="48"/>
      <c r="AY199" s="48"/>
      <c r="AZ199" s="48"/>
      <c r="BA199" s="48"/>
      <c r="BB199" s="48"/>
      <c r="BC199" s="48"/>
      <c r="BD199" s="50">
        <v>3.0</v>
      </c>
      <c r="BE199" s="50">
        <v>0.0</v>
      </c>
      <c r="BF199" s="50">
        <v>4.0</v>
      </c>
      <c r="BG199" s="50">
        <v>0.0</v>
      </c>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50">
        <v>6.98103191E8</v>
      </c>
      <c r="CL199" s="48" t="s">
        <v>3804</v>
      </c>
      <c r="CM199" s="47">
        <v>46097.49131944445</v>
      </c>
      <c r="CN199" s="48"/>
      <c r="CO199" s="48"/>
      <c r="CP199" s="48" t="s">
        <v>1954</v>
      </c>
      <c r="CQ199" s="48"/>
      <c r="CR199" s="48" t="s">
        <v>3014</v>
      </c>
      <c r="CS199" s="48"/>
      <c r="CT199" s="48" t="s">
        <v>3805</v>
      </c>
      <c r="CU199" s="50">
        <v>198.0</v>
      </c>
    </row>
    <row r="200">
      <c r="A200" s="47">
        <v>46097.78296078704</v>
      </c>
      <c r="B200" s="47">
        <v>46097.78772212963</v>
      </c>
      <c r="C200" s="48" t="s">
        <v>3806</v>
      </c>
      <c r="D200" s="48" t="s">
        <v>3733</v>
      </c>
      <c r="E200" s="48" t="s">
        <v>3734</v>
      </c>
      <c r="F200" s="48" t="s">
        <v>3735</v>
      </c>
      <c r="G200" s="49" t="s">
        <v>3807</v>
      </c>
      <c r="H200" s="48" t="s">
        <v>3808</v>
      </c>
      <c r="I200" s="50">
        <v>0.0</v>
      </c>
      <c r="J200" s="50">
        <v>1.0</v>
      </c>
      <c r="K200" s="50">
        <v>0.0</v>
      </c>
      <c r="L200" s="50">
        <v>0.0</v>
      </c>
      <c r="M200" s="50">
        <v>0.0</v>
      </c>
      <c r="N200" s="50">
        <v>1.0</v>
      </c>
      <c r="O200" s="50">
        <v>1.0</v>
      </c>
      <c r="P200" s="50">
        <v>0.0</v>
      </c>
      <c r="Q200" s="50">
        <v>0.0</v>
      </c>
      <c r="R200" s="48" t="s">
        <v>3742</v>
      </c>
      <c r="S200" s="50">
        <v>1.0</v>
      </c>
      <c r="T200" s="50">
        <v>1.0</v>
      </c>
      <c r="U200" s="50">
        <v>0.0</v>
      </c>
      <c r="V200" s="50">
        <v>0.0</v>
      </c>
      <c r="W200" s="50">
        <v>0.0</v>
      </c>
      <c r="X200" s="50">
        <v>0.0</v>
      </c>
      <c r="Y200" s="50">
        <v>1.0</v>
      </c>
      <c r="Z200" s="50">
        <v>0.0</v>
      </c>
      <c r="AA200" s="50">
        <v>0.0</v>
      </c>
      <c r="AB200" s="48" t="s">
        <v>3742</v>
      </c>
      <c r="AC200" s="50">
        <v>1.0</v>
      </c>
      <c r="AD200" s="50">
        <v>1.0</v>
      </c>
      <c r="AE200" s="50">
        <v>0.0</v>
      </c>
      <c r="AF200" s="50">
        <v>0.0</v>
      </c>
      <c r="AG200" s="50">
        <v>0.0</v>
      </c>
      <c r="AH200" s="50">
        <v>0.0</v>
      </c>
      <c r="AI200" s="50">
        <v>1.0</v>
      </c>
      <c r="AJ200" s="50">
        <v>0.0</v>
      </c>
      <c r="AK200" s="50">
        <v>0.0</v>
      </c>
      <c r="AL200" s="48"/>
      <c r="AM200" s="48"/>
      <c r="AN200" s="50">
        <v>3.0</v>
      </c>
      <c r="AO200" s="48"/>
      <c r="AP200" s="48"/>
      <c r="AQ200" s="48"/>
      <c r="AR200" s="50">
        <v>4.0</v>
      </c>
      <c r="AS200" s="50">
        <v>10.0</v>
      </c>
      <c r="AT200" s="48"/>
      <c r="AU200" s="48"/>
      <c r="AV200" s="50">
        <v>1.0</v>
      </c>
      <c r="AW200" s="50">
        <v>6.0</v>
      </c>
      <c r="AX200" s="48"/>
      <c r="AY200" s="48"/>
      <c r="AZ200" s="48"/>
      <c r="BA200" s="48"/>
      <c r="BB200" s="50">
        <v>8.0</v>
      </c>
      <c r="BC200" s="48"/>
      <c r="BD200" s="50">
        <v>3.0</v>
      </c>
      <c r="BE200" s="50">
        <v>0.0</v>
      </c>
      <c r="BF200" s="50">
        <v>4.0</v>
      </c>
      <c r="BG200" s="50">
        <v>0.0</v>
      </c>
      <c r="BH200" s="50">
        <v>0.0</v>
      </c>
      <c r="BI200" s="50">
        <v>1.0</v>
      </c>
      <c r="BJ200" s="50">
        <v>0.0</v>
      </c>
      <c r="BK200" s="50">
        <v>0.0</v>
      </c>
      <c r="BL200" s="48"/>
      <c r="BM200" s="48"/>
      <c r="BN200" s="48"/>
      <c r="BO200" s="48"/>
      <c r="BP200" s="48"/>
      <c r="BQ200" s="48"/>
      <c r="BR200" s="48"/>
      <c r="BS200" s="48"/>
      <c r="BT200" s="48"/>
      <c r="BU200" s="48"/>
      <c r="BV200" s="48"/>
      <c r="BW200" s="48"/>
      <c r="BX200" s="48"/>
      <c r="BY200" s="48"/>
      <c r="BZ200" s="48"/>
      <c r="CA200" s="48"/>
      <c r="CB200" s="50">
        <v>10.0</v>
      </c>
      <c r="CC200" s="50">
        <v>1.0</v>
      </c>
      <c r="CD200" s="50">
        <v>20.0</v>
      </c>
      <c r="CE200" s="50">
        <v>1.0</v>
      </c>
      <c r="CF200" s="48"/>
      <c r="CG200" s="48"/>
      <c r="CH200" s="48"/>
      <c r="CI200" s="48"/>
      <c r="CJ200" s="48"/>
      <c r="CK200" s="50">
        <v>6.98110371E8</v>
      </c>
      <c r="CL200" s="48" t="s">
        <v>3809</v>
      </c>
      <c r="CM200" s="47">
        <v>46097.49607638889</v>
      </c>
      <c r="CN200" s="48"/>
      <c r="CO200" s="48"/>
      <c r="CP200" s="48" t="s">
        <v>1954</v>
      </c>
      <c r="CQ200" s="48"/>
      <c r="CR200" s="48" t="s">
        <v>3014</v>
      </c>
      <c r="CS200" s="48"/>
      <c r="CT200" s="48" t="s">
        <v>3810</v>
      </c>
      <c r="CU200" s="50">
        <v>199.0</v>
      </c>
    </row>
    <row r="201">
      <c r="A201" s="47">
        <v>46097.7877228125</v>
      </c>
      <c r="B201" s="47">
        <v>46098.65138798611</v>
      </c>
      <c r="C201" s="48" t="s">
        <v>3811</v>
      </c>
      <c r="D201" s="48" t="s">
        <v>3733</v>
      </c>
      <c r="E201" s="48" t="s">
        <v>3734</v>
      </c>
      <c r="F201" s="48" t="s">
        <v>3735</v>
      </c>
      <c r="G201" s="49" t="s">
        <v>3812</v>
      </c>
      <c r="H201" s="48" t="s">
        <v>3743</v>
      </c>
      <c r="I201" s="50">
        <v>0.0</v>
      </c>
      <c r="J201" s="50">
        <v>1.0</v>
      </c>
      <c r="K201" s="50">
        <v>0.0</v>
      </c>
      <c r="L201" s="50">
        <v>0.0</v>
      </c>
      <c r="M201" s="50">
        <v>0.0</v>
      </c>
      <c r="N201" s="50">
        <v>0.0</v>
      </c>
      <c r="O201" s="50">
        <v>1.0</v>
      </c>
      <c r="P201" s="50">
        <v>0.0</v>
      </c>
      <c r="Q201" s="50">
        <v>0.0</v>
      </c>
      <c r="R201" s="48" t="s">
        <v>3369</v>
      </c>
      <c r="S201" s="50">
        <v>1.0</v>
      </c>
      <c r="T201" s="50">
        <v>0.0</v>
      </c>
      <c r="U201" s="50">
        <v>0.0</v>
      </c>
      <c r="V201" s="50">
        <v>0.0</v>
      </c>
      <c r="W201" s="50">
        <v>0.0</v>
      </c>
      <c r="X201" s="50">
        <v>0.0</v>
      </c>
      <c r="Y201" s="50">
        <v>1.0</v>
      </c>
      <c r="Z201" s="50">
        <v>0.0</v>
      </c>
      <c r="AA201" s="50">
        <v>0.0</v>
      </c>
      <c r="AB201" s="48" t="s">
        <v>3742</v>
      </c>
      <c r="AC201" s="50">
        <v>1.0</v>
      </c>
      <c r="AD201" s="50">
        <v>1.0</v>
      </c>
      <c r="AE201" s="50">
        <v>0.0</v>
      </c>
      <c r="AF201" s="50">
        <v>0.0</v>
      </c>
      <c r="AG201" s="50">
        <v>0.0</v>
      </c>
      <c r="AH201" s="50">
        <v>0.0</v>
      </c>
      <c r="AI201" s="50">
        <v>1.0</v>
      </c>
      <c r="AJ201" s="50">
        <v>0.0</v>
      </c>
      <c r="AK201" s="50">
        <v>0.0</v>
      </c>
      <c r="AL201" s="48"/>
      <c r="AM201" s="48"/>
      <c r="AN201" s="50">
        <v>1.0</v>
      </c>
      <c r="AO201" s="48"/>
      <c r="AP201" s="48"/>
      <c r="AQ201" s="48"/>
      <c r="AR201" s="48"/>
      <c r="AS201" s="50">
        <v>15.0</v>
      </c>
      <c r="AT201" s="48"/>
      <c r="AU201" s="48"/>
      <c r="AV201" s="50">
        <v>1.0</v>
      </c>
      <c r="AW201" s="48"/>
      <c r="AX201" s="48"/>
      <c r="AY201" s="48"/>
      <c r="AZ201" s="48"/>
      <c r="BA201" s="48"/>
      <c r="BB201" s="50">
        <v>2.0</v>
      </c>
      <c r="BC201" s="48"/>
      <c r="BD201" s="50">
        <v>0.0</v>
      </c>
      <c r="BE201" s="50">
        <v>0.0</v>
      </c>
      <c r="BF201" s="50">
        <v>1.0</v>
      </c>
      <c r="BG201" s="50">
        <v>0.0</v>
      </c>
      <c r="BH201" s="50">
        <v>2.0</v>
      </c>
      <c r="BI201" s="50">
        <v>0.0</v>
      </c>
      <c r="BJ201" s="50">
        <v>0.0</v>
      </c>
      <c r="BK201" s="50">
        <v>0.0</v>
      </c>
      <c r="BL201" s="48"/>
      <c r="BM201" s="48"/>
      <c r="BN201" s="48"/>
      <c r="BO201" s="48"/>
      <c r="BP201" s="48"/>
      <c r="BQ201" s="48"/>
      <c r="BR201" s="48"/>
      <c r="BS201" s="48"/>
      <c r="BT201" s="48"/>
      <c r="BU201" s="48"/>
      <c r="BV201" s="48"/>
      <c r="BW201" s="48"/>
      <c r="BX201" s="48"/>
      <c r="BY201" s="48"/>
      <c r="BZ201" s="48"/>
      <c r="CA201" s="48"/>
      <c r="CB201" s="50">
        <v>0.0</v>
      </c>
      <c r="CC201" s="50">
        <v>0.0</v>
      </c>
      <c r="CD201" s="50">
        <v>0.0</v>
      </c>
      <c r="CE201" s="50">
        <v>15.0</v>
      </c>
      <c r="CF201" s="48"/>
      <c r="CG201" s="48"/>
      <c r="CH201" s="48"/>
      <c r="CI201" s="48"/>
      <c r="CJ201" s="48" t="s">
        <v>3813</v>
      </c>
      <c r="CK201" s="50">
        <v>6.98979367E8</v>
      </c>
      <c r="CL201" s="48" t="s">
        <v>3814</v>
      </c>
      <c r="CM201" s="47">
        <v>46098.35974537037</v>
      </c>
      <c r="CN201" s="48"/>
      <c r="CO201" s="48"/>
      <c r="CP201" s="48" t="s">
        <v>1954</v>
      </c>
      <c r="CQ201" s="48"/>
      <c r="CR201" s="48" t="s">
        <v>3014</v>
      </c>
      <c r="CS201" s="48"/>
      <c r="CT201" s="48" t="s">
        <v>3815</v>
      </c>
      <c r="CU201" s="50">
        <v>200.0</v>
      </c>
    </row>
    <row r="202">
      <c r="A202" s="47">
        <v>46098.35543412037</v>
      </c>
      <c r="B202" s="47">
        <v>46100.66423682871</v>
      </c>
      <c r="C202" s="48" t="s">
        <v>3816</v>
      </c>
      <c r="D202" s="48" t="s">
        <v>1923</v>
      </c>
      <c r="E202" s="48" t="s">
        <v>2113</v>
      </c>
      <c r="F202" s="48" t="s">
        <v>2566</v>
      </c>
      <c r="G202" s="49" t="s">
        <v>2668</v>
      </c>
      <c r="H202" s="48" t="s">
        <v>3817</v>
      </c>
      <c r="I202" s="50">
        <v>1.0</v>
      </c>
      <c r="J202" s="50">
        <v>0.0</v>
      </c>
      <c r="K202" s="50">
        <v>0.0</v>
      </c>
      <c r="L202" s="50">
        <v>0.0</v>
      </c>
      <c r="M202" s="50">
        <v>0.0</v>
      </c>
      <c r="N202" s="50">
        <v>0.0</v>
      </c>
      <c r="O202" s="50">
        <v>0.0</v>
      </c>
      <c r="P202" s="50">
        <v>1.0</v>
      </c>
      <c r="Q202" s="50">
        <v>0.0</v>
      </c>
      <c r="R202" s="48" t="s">
        <v>3817</v>
      </c>
      <c r="S202" s="50">
        <v>1.0</v>
      </c>
      <c r="T202" s="50">
        <v>0.0</v>
      </c>
      <c r="U202" s="50">
        <v>0.0</v>
      </c>
      <c r="V202" s="50">
        <v>0.0</v>
      </c>
      <c r="W202" s="50">
        <v>0.0</v>
      </c>
      <c r="X202" s="50">
        <v>0.0</v>
      </c>
      <c r="Y202" s="50">
        <v>0.0</v>
      </c>
      <c r="Z202" s="50">
        <v>1.0</v>
      </c>
      <c r="AA202" s="50">
        <v>0.0</v>
      </c>
      <c r="AB202" s="48" t="s">
        <v>3817</v>
      </c>
      <c r="AC202" s="50">
        <v>1.0</v>
      </c>
      <c r="AD202" s="50">
        <v>0.0</v>
      </c>
      <c r="AE202" s="50">
        <v>0.0</v>
      </c>
      <c r="AF202" s="50">
        <v>0.0</v>
      </c>
      <c r="AG202" s="50">
        <v>0.0</v>
      </c>
      <c r="AH202" s="50">
        <v>0.0</v>
      </c>
      <c r="AI202" s="50">
        <v>0.0</v>
      </c>
      <c r="AJ202" s="50">
        <v>1.0</v>
      </c>
      <c r="AK202" s="50">
        <v>0.0</v>
      </c>
      <c r="AL202" s="48"/>
      <c r="AM202" s="50">
        <v>6.0</v>
      </c>
      <c r="AN202" s="48"/>
      <c r="AO202" s="48"/>
      <c r="AP202" s="48"/>
      <c r="AQ202" s="48"/>
      <c r="AR202" s="48"/>
      <c r="AS202" s="48"/>
      <c r="AT202" s="50">
        <v>4.0</v>
      </c>
      <c r="AU202" s="48"/>
      <c r="AV202" s="50">
        <v>6.0</v>
      </c>
      <c r="AW202" s="48"/>
      <c r="AX202" s="48"/>
      <c r="AY202" s="48"/>
      <c r="AZ202" s="48"/>
      <c r="BA202" s="48"/>
      <c r="BB202" s="48"/>
      <c r="BC202" s="50">
        <v>30.0</v>
      </c>
      <c r="BD202" s="50">
        <v>0.0</v>
      </c>
      <c r="BE202" s="50">
        <v>0.0</v>
      </c>
      <c r="BF202" s="50">
        <v>0.0</v>
      </c>
      <c r="BG202" s="50">
        <v>0.0</v>
      </c>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50">
        <v>0.0</v>
      </c>
      <c r="CG202" s="50">
        <v>0.0</v>
      </c>
      <c r="CH202" s="50">
        <v>0.0</v>
      </c>
      <c r="CI202" s="50">
        <v>0.0</v>
      </c>
      <c r="CJ202" s="48"/>
      <c r="CK202" s="50">
        <v>7.0109602E8</v>
      </c>
      <c r="CL202" s="48" t="s">
        <v>3818</v>
      </c>
      <c r="CM202" s="47">
        <v>46100.33091435185</v>
      </c>
      <c r="CN202" s="48"/>
      <c r="CO202" s="48"/>
      <c r="CP202" s="48" t="s">
        <v>1954</v>
      </c>
      <c r="CQ202" s="48"/>
      <c r="CR202" s="48" t="s">
        <v>3014</v>
      </c>
      <c r="CS202" s="48"/>
      <c r="CT202" s="48" t="s">
        <v>3819</v>
      </c>
      <c r="CU202" s="50">
        <v>201.0</v>
      </c>
    </row>
    <row r="203">
      <c r="A203" s="47">
        <v>46100.66423722222</v>
      </c>
      <c r="B203" s="47">
        <v>46100.66631990741</v>
      </c>
      <c r="C203" s="48" t="s">
        <v>3820</v>
      </c>
      <c r="D203" s="48" t="s">
        <v>1923</v>
      </c>
      <c r="E203" s="48" t="s">
        <v>2113</v>
      </c>
      <c r="F203" s="48" t="s">
        <v>2566</v>
      </c>
      <c r="G203" s="49" t="s">
        <v>2569</v>
      </c>
      <c r="H203" s="48" t="s">
        <v>3369</v>
      </c>
      <c r="I203" s="50">
        <v>1.0</v>
      </c>
      <c r="J203" s="50">
        <v>0.0</v>
      </c>
      <c r="K203" s="50">
        <v>0.0</v>
      </c>
      <c r="L203" s="50">
        <v>0.0</v>
      </c>
      <c r="M203" s="50">
        <v>0.0</v>
      </c>
      <c r="N203" s="50">
        <v>0.0</v>
      </c>
      <c r="O203" s="50">
        <v>1.0</v>
      </c>
      <c r="P203" s="50">
        <v>0.0</v>
      </c>
      <c r="Q203" s="50">
        <v>0.0</v>
      </c>
      <c r="R203" s="48" t="s">
        <v>3369</v>
      </c>
      <c r="S203" s="50">
        <v>1.0</v>
      </c>
      <c r="T203" s="50">
        <v>0.0</v>
      </c>
      <c r="U203" s="50">
        <v>0.0</v>
      </c>
      <c r="V203" s="50">
        <v>0.0</v>
      </c>
      <c r="W203" s="50">
        <v>0.0</v>
      </c>
      <c r="X203" s="50">
        <v>0.0</v>
      </c>
      <c r="Y203" s="50">
        <v>1.0</v>
      </c>
      <c r="Z203" s="50">
        <v>0.0</v>
      </c>
      <c r="AA203" s="50">
        <v>0.0</v>
      </c>
      <c r="AB203" s="48" t="s">
        <v>3034</v>
      </c>
      <c r="AC203" s="50">
        <v>0.0</v>
      </c>
      <c r="AD203" s="50">
        <v>0.0</v>
      </c>
      <c r="AE203" s="50">
        <v>0.0</v>
      </c>
      <c r="AF203" s="50">
        <v>0.0</v>
      </c>
      <c r="AG203" s="50">
        <v>0.0</v>
      </c>
      <c r="AH203" s="50">
        <v>0.0</v>
      </c>
      <c r="AI203" s="50">
        <v>1.0</v>
      </c>
      <c r="AJ203" s="50">
        <v>0.0</v>
      </c>
      <c r="AK203" s="50">
        <v>0.0</v>
      </c>
      <c r="AL203" s="48"/>
      <c r="AM203" s="50">
        <v>4.0</v>
      </c>
      <c r="AN203" s="48"/>
      <c r="AO203" s="48"/>
      <c r="AP203" s="48"/>
      <c r="AQ203" s="48"/>
      <c r="AR203" s="48"/>
      <c r="AS203" s="50">
        <v>10.0</v>
      </c>
      <c r="AT203" s="48"/>
      <c r="AU203" s="48"/>
      <c r="AV203" s="50">
        <v>4.0</v>
      </c>
      <c r="AW203" s="48"/>
      <c r="AX203" s="48"/>
      <c r="AY203" s="48"/>
      <c r="AZ203" s="48"/>
      <c r="BA203" s="48"/>
      <c r="BB203" s="50">
        <v>10.0</v>
      </c>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50">
        <v>0.0</v>
      </c>
      <c r="CC203" s="50">
        <v>0.0</v>
      </c>
      <c r="CD203" s="50">
        <v>0.0</v>
      </c>
      <c r="CE203" s="50">
        <v>5.0</v>
      </c>
      <c r="CF203" s="48"/>
      <c r="CG203" s="48"/>
      <c r="CH203" s="48"/>
      <c r="CI203" s="48"/>
      <c r="CJ203" s="48"/>
      <c r="CK203" s="50">
        <v>7.01099326E8</v>
      </c>
      <c r="CL203" s="48" t="s">
        <v>3821</v>
      </c>
      <c r="CM203" s="47">
        <v>46100.33299768518</v>
      </c>
      <c r="CN203" s="48"/>
      <c r="CO203" s="48"/>
      <c r="CP203" s="48" t="s">
        <v>1954</v>
      </c>
      <c r="CQ203" s="48"/>
      <c r="CR203" s="48" t="s">
        <v>3014</v>
      </c>
      <c r="CS203" s="48"/>
      <c r="CT203" s="48" t="s">
        <v>3822</v>
      </c>
      <c r="CU203" s="50">
        <v>202.0</v>
      </c>
    </row>
    <row r="204">
      <c r="A204" s="47">
        <v>46100.66632082176</v>
      </c>
      <c r="B204" s="47">
        <v>46100.670485</v>
      </c>
      <c r="C204" s="48" t="s">
        <v>3823</v>
      </c>
      <c r="D204" s="48" t="s">
        <v>1923</v>
      </c>
      <c r="E204" s="48" t="s">
        <v>2492</v>
      </c>
      <c r="F204" s="48" t="s">
        <v>2493</v>
      </c>
      <c r="G204" s="49" t="s">
        <v>2495</v>
      </c>
      <c r="H204" s="48" t="s">
        <v>3711</v>
      </c>
      <c r="I204" s="50">
        <v>1.0</v>
      </c>
      <c r="J204" s="50">
        <v>0.0</v>
      </c>
      <c r="K204" s="50">
        <v>0.0</v>
      </c>
      <c r="L204" s="50">
        <v>0.0</v>
      </c>
      <c r="M204" s="50">
        <v>0.0</v>
      </c>
      <c r="N204" s="50">
        <v>0.0</v>
      </c>
      <c r="O204" s="50">
        <v>1.0</v>
      </c>
      <c r="P204" s="50">
        <v>1.0</v>
      </c>
      <c r="Q204" s="50">
        <v>0.0</v>
      </c>
      <c r="R204" s="48" t="s">
        <v>3711</v>
      </c>
      <c r="S204" s="50">
        <v>1.0</v>
      </c>
      <c r="T204" s="50">
        <v>0.0</v>
      </c>
      <c r="U204" s="50">
        <v>0.0</v>
      </c>
      <c r="V204" s="50">
        <v>0.0</v>
      </c>
      <c r="W204" s="50">
        <v>0.0</v>
      </c>
      <c r="X204" s="50">
        <v>0.0</v>
      </c>
      <c r="Y204" s="50">
        <v>1.0</v>
      </c>
      <c r="Z204" s="50">
        <v>1.0</v>
      </c>
      <c r="AA204" s="50">
        <v>0.0</v>
      </c>
      <c r="AB204" s="48" t="s">
        <v>3711</v>
      </c>
      <c r="AC204" s="50">
        <v>1.0</v>
      </c>
      <c r="AD204" s="50">
        <v>0.0</v>
      </c>
      <c r="AE204" s="50">
        <v>0.0</v>
      </c>
      <c r="AF204" s="50">
        <v>0.0</v>
      </c>
      <c r="AG204" s="50">
        <v>0.0</v>
      </c>
      <c r="AH204" s="50">
        <v>0.0</v>
      </c>
      <c r="AI204" s="50">
        <v>1.0</v>
      </c>
      <c r="AJ204" s="50">
        <v>1.0</v>
      </c>
      <c r="AK204" s="50">
        <v>0.0</v>
      </c>
      <c r="AL204" s="48"/>
      <c r="AM204" s="50">
        <v>12.0</v>
      </c>
      <c r="AN204" s="48"/>
      <c r="AO204" s="48"/>
      <c r="AP204" s="48"/>
      <c r="AQ204" s="48"/>
      <c r="AR204" s="48"/>
      <c r="AS204" s="50">
        <v>160.0</v>
      </c>
      <c r="AT204" s="50">
        <v>11.0</v>
      </c>
      <c r="AU204" s="48"/>
      <c r="AV204" s="50">
        <v>12.0</v>
      </c>
      <c r="AW204" s="48"/>
      <c r="AX204" s="48"/>
      <c r="AY204" s="48"/>
      <c r="AZ204" s="48"/>
      <c r="BA204" s="48"/>
      <c r="BB204" s="50">
        <v>100.0</v>
      </c>
      <c r="BC204" s="50">
        <v>11.0</v>
      </c>
      <c r="BD204" s="50">
        <v>10.0</v>
      </c>
      <c r="BE204" s="50">
        <v>0.0</v>
      </c>
      <c r="BF204" s="50">
        <v>8.0</v>
      </c>
      <c r="BG204" s="50">
        <v>1.0</v>
      </c>
      <c r="BH204" s="48"/>
      <c r="BI204" s="48"/>
      <c r="BJ204" s="48"/>
      <c r="BK204" s="48"/>
      <c r="BL204" s="48"/>
      <c r="BM204" s="48"/>
      <c r="BN204" s="48"/>
      <c r="BO204" s="48"/>
      <c r="BP204" s="48"/>
      <c r="BQ204" s="48"/>
      <c r="BR204" s="48"/>
      <c r="BS204" s="48"/>
      <c r="BT204" s="48"/>
      <c r="BU204" s="48"/>
      <c r="BV204" s="48"/>
      <c r="BW204" s="48"/>
      <c r="BX204" s="48"/>
      <c r="BY204" s="48"/>
      <c r="BZ204" s="48"/>
      <c r="CA204" s="48"/>
      <c r="CB204" s="50">
        <v>10.0</v>
      </c>
      <c r="CC204" s="50">
        <v>0.0</v>
      </c>
      <c r="CD204" s="50">
        <v>8.0</v>
      </c>
      <c r="CE204" s="50">
        <v>0.0</v>
      </c>
      <c r="CF204" s="50">
        <v>0.0</v>
      </c>
      <c r="CG204" s="50">
        <v>0.0</v>
      </c>
      <c r="CH204" s="50">
        <v>0.0</v>
      </c>
      <c r="CI204" s="50">
        <v>0.0</v>
      </c>
      <c r="CJ204" s="48"/>
      <c r="CK204" s="50">
        <v>7.01105402E8</v>
      </c>
      <c r="CL204" s="48" t="s">
        <v>3824</v>
      </c>
      <c r="CM204" s="47">
        <v>46100.33717592592</v>
      </c>
      <c r="CN204" s="48"/>
      <c r="CO204" s="48"/>
      <c r="CP204" s="48" t="s">
        <v>1954</v>
      </c>
      <c r="CQ204" s="48"/>
      <c r="CR204" s="48" t="s">
        <v>3014</v>
      </c>
      <c r="CS204" s="48"/>
      <c r="CT204" s="48" t="s">
        <v>3825</v>
      </c>
      <c r="CU204" s="50">
        <v>203.0</v>
      </c>
    </row>
    <row r="205">
      <c r="A205" s="47">
        <v>46100.67048592593</v>
      </c>
      <c r="B205" s="47">
        <v>46100.67347228009</v>
      </c>
      <c r="C205" s="48" t="s">
        <v>2110</v>
      </c>
      <c r="D205" s="48" t="s">
        <v>1923</v>
      </c>
      <c r="E205" s="48" t="s">
        <v>2113</v>
      </c>
      <c r="F205" s="48" t="s">
        <v>2114</v>
      </c>
      <c r="G205" s="49" t="s">
        <v>2117</v>
      </c>
      <c r="H205" s="48" t="s">
        <v>3369</v>
      </c>
      <c r="I205" s="50">
        <v>1.0</v>
      </c>
      <c r="J205" s="50">
        <v>0.0</v>
      </c>
      <c r="K205" s="50">
        <v>0.0</v>
      </c>
      <c r="L205" s="50">
        <v>0.0</v>
      </c>
      <c r="M205" s="50">
        <v>0.0</v>
      </c>
      <c r="N205" s="50">
        <v>0.0</v>
      </c>
      <c r="O205" s="50">
        <v>1.0</v>
      </c>
      <c r="P205" s="50">
        <v>0.0</v>
      </c>
      <c r="Q205" s="50">
        <v>0.0</v>
      </c>
      <c r="R205" s="48" t="s">
        <v>3369</v>
      </c>
      <c r="S205" s="50">
        <v>1.0</v>
      </c>
      <c r="T205" s="50">
        <v>0.0</v>
      </c>
      <c r="U205" s="50">
        <v>0.0</v>
      </c>
      <c r="V205" s="50">
        <v>0.0</v>
      </c>
      <c r="W205" s="50">
        <v>0.0</v>
      </c>
      <c r="X205" s="50">
        <v>0.0</v>
      </c>
      <c r="Y205" s="50">
        <v>1.0</v>
      </c>
      <c r="Z205" s="50">
        <v>0.0</v>
      </c>
      <c r="AA205" s="50">
        <v>0.0</v>
      </c>
      <c r="AB205" s="48" t="s">
        <v>3369</v>
      </c>
      <c r="AC205" s="50">
        <v>1.0</v>
      </c>
      <c r="AD205" s="50">
        <v>0.0</v>
      </c>
      <c r="AE205" s="50">
        <v>0.0</v>
      </c>
      <c r="AF205" s="50">
        <v>0.0</v>
      </c>
      <c r="AG205" s="50">
        <v>0.0</v>
      </c>
      <c r="AH205" s="50">
        <v>0.0</v>
      </c>
      <c r="AI205" s="50">
        <v>1.0</v>
      </c>
      <c r="AJ205" s="50">
        <v>0.0</v>
      </c>
      <c r="AK205" s="50">
        <v>0.0</v>
      </c>
      <c r="AL205" s="48"/>
      <c r="AM205" s="50">
        <v>15.0</v>
      </c>
      <c r="AN205" s="48"/>
      <c r="AO205" s="48"/>
      <c r="AP205" s="48"/>
      <c r="AQ205" s="48"/>
      <c r="AR205" s="48"/>
      <c r="AS205" s="50">
        <v>6.0</v>
      </c>
      <c r="AT205" s="48"/>
      <c r="AU205" s="48"/>
      <c r="AV205" s="50">
        <v>13.0</v>
      </c>
      <c r="AW205" s="48"/>
      <c r="AX205" s="48"/>
      <c r="AY205" s="48"/>
      <c r="AZ205" s="48"/>
      <c r="BA205" s="48"/>
      <c r="BB205" s="50">
        <v>6.0</v>
      </c>
      <c r="BC205" s="48"/>
      <c r="BD205" s="50">
        <v>2.0</v>
      </c>
      <c r="BE205" s="50">
        <v>0.0</v>
      </c>
      <c r="BF205" s="50">
        <v>0.0</v>
      </c>
      <c r="BG205" s="50">
        <v>0.0</v>
      </c>
      <c r="BH205" s="48"/>
      <c r="BI205" s="48"/>
      <c r="BJ205" s="48"/>
      <c r="BK205" s="48"/>
      <c r="BL205" s="48"/>
      <c r="BM205" s="48"/>
      <c r="BN205" s="48"/>
      <c r="BO205" s="48"/>
      <c r="BP205" s="48"/>
      <c r="BQ205" s="48"/>
      <c r="BR205" s="48"/>
      <c r="BS205" s="48"/>
      <c r="BT205" s="48"/>
      <c r="BU205" s="48"/>
      <c r="BV205" s="48"/>
      <c r="BW205" s="48"/>
      <c r="BX205" s="48"/>
      <c r="BY205" s="48"/>
      <c r="BZ205" s="48"/>
      <c r="CA205" s="48"/>
      <c r="CB205" s="50">
        <v>0.0</v>
      </c>
      <c r="CC205" s="50">
        <v>0.0</v>
      </c>
      <c r="CD205" s="50">
        <v>0.0</v>
      </c>
      <c r="CE205" s="50">
        <v>0.0</v>
      </c>
      <c r="CF205" s="48"/>
      <c r="CG205" s="48"/>
      <c r="CH205" s="48"/>
      <c r="CI205" s="48"/>
      <c r="CJ205" s="48" t="s">
        <v>3826</v>
      </c>
      <c r="CK205" s="50">
        <v>7.01109762E8</v>
      </c>
      <c r="CL205" s="48" t="s">
        <v>3827</v>
      </c>
      <c r="CM205" s="47">
        <v>46100.34015046297</v>
      </c>
      <c r="CN205" s="48"/>
      <c r="CO205" s="48"/>
      <c r="CP205" s="48" t="s">
        <v>1954</v>
      </c>
      <c r="CQ205" s="48"/>
      <c r="CR205" s="48" t="s">
        <v>3014</v>
      </c>
      <c r="CS205" s="48"/>
      <c r="CT205" s="48" t="s">
        <v>3828</v>
      </c>
      <c r="CU205" s="50">
        <v>204.0</v>
      </c>
    </row>
    <row r="206">
      <c r="A206" s="47">
        <v>46100.67347266203</v>
      </c>
      <c r="B206" s="47">
        <v>46100.67581446759</v>
      </c>
      <c r="C206" s="48" t="s">
        <v>3829</v>
      </c>
      <c r="D206" s="48" t="s">
        <v>1923</v>
      </c>
      <c r="E206" s="48" t="s">
        <v>2113</v>
      </c>
      <c r="F206" s="48" t="s">
        <v>2137</v>
      </c>
      <c r="G206" s="49" t="s">
        <v>2139</v>
      </c>
      <c r="H206" s="48" t="s">
        <v>3369</v>
      </c>
      <c r="I206" s="50">
        <v>1.0</v>
      </c>
      <c r="J206" s="50">
        <v>0.0</v>
      </c>
      <c r="K206" s="50">
        <v>0.0</v>
      </c>
      <c r="L206" s="50">
        <v>0.0</v>
      </c>
      <c r="M206" s="50">
        <v>0.0</v>
      </c>
      <c r="N206" s="50">
        <v>0.0</v>
      </c>
      <c r="O206" s="50">
        <v>1.0</v>
      </c>
      <c r="P206" s="50">
        <v>0.0</v>
      </c>
      <c r="Q206" s="50">
        <v>0.0</v>
      </c>
      <c r="R206" s="48" t="s">
        <v>3369</v>
      </c>
      <c r="S206" s="50">
        <v>1.0</v>
      </c>
      <c r="T206" s="50">
        <v>0.0</v>
      </c>
      <c r="U206" s="50">
        <v>0.0</v>
      </c>
      <c r="V206" s="50">
        <v>0.0</v>
      </c>
      <c r="W206" s="50">
        <v>0.0</v>
      </c>
      <c r="X206" s="50">
        <v>0.0</v>
      </c>
      <c r="Y206" s="50">
        <v>1.0</v>
      </c>
      <c r="Z206" s="50">
        <v>0.0</v>
      </c>
      <c r="AA206" s="50">
        <v>0.0</v>
      </c>
      <c r="AB206" s="48" t="s">
        <v>3369</v>
      </c>
      <c r="AC206" s="50">
        <v>1.0</v>
      </c>
      <c r="AD206" s="50">
        <v>0.0</v>
      </c>
      <c r="AE206" s="50">
        <v>0.0</v>
      </c>
      <c r="AF206" s="50">
        <v>0.0</v>
      </c>
      <c r="AG206" s="50">
        <v>0.0</v>
      </c>
      <c r="AH206" s="50">
        <v>0.0</v>
      </c>
      <c r="AI206" s="50">
        <v>1.0</v>
      </c>
      <c r="AJ206" s="50">
        <v>0.0</v>
      </c>
      <c r="AK206" s="50">
        <v>0.0</v>
      </c>
      <c r="AL206" s="48"/>
      <c r="AM206" s="50">
        <v>7.0</v>
      </c>
      <c r="AN206" s="48"/>
      <c r="AO206" s="48"/>
      <c r="AP206" s="48"/>
      <c r="AQ206" s="48"/>
      <c r="AR206" s="48"/>
      <c r="AS206" s="50">
        <v>10.0</v>
      </c>
      <c r="AT206" s="48"/>
      <c r="AU206" s="48"/>
      <c r="AV206" s="50">
        <v>25.0</v>
      </c>
      <c r="AW206" s="48"/>
      <c r="AX206" s="48"/>
      <c r="AY206" s="48"/>
      <c r="AZ206" s="48"/>
      <c r="BA206" s="48"/>
      <c r="BB206" s="50">
        <v>40.0</v>
      </c>
      <c r="BC206" s="48"/>
      <c r="BD206" s="50">
        <v>6.0</v>
      </c>
      <c r="BE206" s="50">
        <v>0.0</v>
      </c>
      <c r="BF206" s="50">
        <v>4.0</v>
      </c>
      <c r="BG206" s="50">
        <v>2.0</v>
      </c>
      <c r="BH206" s="48"/>
      <c r="BI206" s="48"/>
      <c r="BJ206" s="48"/>
      <c r="BK206" s="48"/>
      <c r="BL206" s="48"/>
      <c r="BM206" s="48"/>
      <c r="BN206" s="48"/>
      <c r="BO206" s="48"/>
      <c r="BP206" s="48"/>
      <c r="BQ206" s="48"/>
      <c r="BR206" s="48"/>
      <c r="BS206" s="48"/>
      <c r="BT206" s="48"/>
      <c r="BU206" s="48"/>
      <c r="BV206" s="48"/>
      <c r="BW206" s="48"/>
      <c r="BX206" s="48"/>
      <c r="BY206" s="48"/>
      <c r="BZ206" s="48"/>
      <c r="CA206" s="48"/>
      <c r="CB206" s="50">
        <v>0.0</v>
      </c>
      <c r="CC206" s="50">
        <v>0.0</v>
      </c>
      <c r="CD206" s="50">
        <v>0.0</v>
      </c>
      <c r="CE206" s="50">
        <v>0.0</v>
      </c>
      <c r="CF206" s="48"/>
      <c r="CG206" s="48"/>
      <c r="CH206" s="48"/>
      <c r="CI206" s="48"/>
      <c r="CJ206" s="48"/>
      <c r="CK206" s="50">
        <v>7.01113518E8</v>
      </c>
      <c r="CL206" s="48" t="s">
        <v>3830</v>
      </c>
      <c r="CM206" s="47">
        <v>46100.34248842593</v>
      </c>
      <c r="CN206" s="48"/>
      <c r="CO206" s="48"/>
      <c r="CP206" s="48" t="s">
        <v>1954</v>
      </c>
      <c r="CQ206" s="48"/>
      <c r="CR206" s="48" t="s">
        <v>3014</v>
      </c>
      <c r="CS206" s="48"/>
      <c r="CT206" s="48" t="s">
        <v>3831</v>
      </c>
      <c r="CU206" s="50">
        <v>205.0</v>
      </c>
    </row>
    <row r="207">
      <c r="A207" s="47">
        <v>46100.67581540509</v>
      </c>
      <c r="B207" s="47">
        <v>46100.67740461806</v>
      </c>
      <c r="C207" s="48" t="s">
        <v>2605</v>
      </c>
      <c r="D207" s="48" t="s">
        <v>1923</v>
      </c>
      <c r="E207" s="48" t="s">
        <v>2608</v>
      </c>
      <c r="F207" s="48" t="s">
        <v>2609</v>
      </c>
      <c r="G207" s="49" t="s">
        <v>2612</v>
      </c>
      <c r="H207" s="48" t="s">
        <v>999</v>
      </c>
      <c r="I207" s="50">
        <v>0.0</v>
      </c>
      <c r="J207" s="50">
        <v>0.0</v>
      </c>
      <c r="K207" s="50">
        <v>0.0</v>
      </c>
      <c r="L207" s="50">
        <v>0.0</v>
      </c>
      <c r="M207" s="50">
        <v>0.0</v>
      </c>
      <c r="N207" s="50">
        <v>0.0</v>
      </c>
      <c r="O207" s="50">
        <v>0.0</v>
      </c>
      <c r="P207" s="50">
        <v>0.0</v>
      </c>
      <c r="Q207" s="50">
        <v>1.0</v>
      </c>
      <c r="R207" s="48" t="s">
        <v>999</v>
      </c>
      <c r="S207" s="50">
        <v>0.0</v>
      </c>
      <c r="T207" s="50">
        <v>0.0</v>
      </c>
      <c r="U207" s="50">
        <v>0.0</v>
      </c>
      <c r="V207" s="50">
        <v>0.0</v>
      </c>
      <c r="W207" s="50">
        <v>0.0</v>
      </c>
      <c r="X207" s="50">
        <v>0.0</v>
      </c>
      <c r="Y207" s="50">
        <v>0.0</v>
      </c>
      <c r="Z207" s="50">
        <v>0.0</v>
      </c>
      <c r="AA207" s="50">
        <v>1.0</v>
      </c>
      <c r="AB207" s="48" t="s">
        <v>999</v>
      </c>
      <c r="AC207" s="50">
        <v>0.0</v>
      </c>
      <c r="AD207" s="50">
        <v>0.0</v>
      </c>
      <c r="AE207" s="50">
        <v>0.0</v>
      </c>
      <c r="AF207" s="50">
        <v>0.0</v>
      </c>
      <c r="AG207" s="50">
        <v>0.0</v>
      </c>
      <c r="AH207" s="50">
        <v>0.0</v>
      </c>
      <c r="AI207" s="50">
        <v>0.0</v>
      </c>
      <c r="AJ207" s="50">
        <v>0.0</v>
      </c>
      <c r="AK207" s="50">
        <v>1.0</v>
      </c>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t="s">
        <v>3832</v>
      </c>
      <c r="CK207" s="50">
        <v>7.01115385E8</v>
      </c>
      <c r="CL207" s="48" t="s">
        <v>3833</v>
      </c>
      <c r="CM207" s="47">
        <v>46100.34407407408</v>
      </c>
      <c r="CN207" s="48"/>
      <c r="CO207" s="48"/>
      <c r="CP207" s="48" t="s">
        <v>1954</v>
      </c>
      <c r="CQ207" s="48"/>
      <c r="CR207" s="48" t="s">
        <v>3014</v>
      </c>
      <c r="CS207" s="48"/>
      <c r="CT207" s="48" t="s">
        <v>3834</v>
      </c>
      <c r="CU207" s="50">
        <v>206.0</v>
      </c>
    </row>
    <row r="208">
      <c r="A208" s="47">
        <v>46100.67740518518</v>
      </c>
      <c r="B208" s="47">
        <v>46100.67972399305</v>
      </c>
      <c r="C208" s="48" t="s">
        <v>2585</v>
      </c>
      <c r="D208" s="48" t="s">
        <v>1923</v>
      </c>
      <c r="E208" s="48" t="s">
        <v>2113</v>
      </c>
      <c r="F208" s="48" t="s">
        <v>2566</v>
      </c>
      <c r="G208" s="49" t="s">
        <v>2590</v>
      </c>
      <c r="H208" s="48" t="s">
        <v>3711</v>
      </c>
      <c r="I208" s="50">
        <v>1.0</v>
      </c>
      <c r="J208" s="50">
        <v>0.0</v>
      </c>
      <c r="K208" s="50">
        <v>0.0</v>
      </c>
      <c r="L208" s="50">
        <v>0.0</v>
      </c>
      <c r="M208" s="50">
        <v>0.0</v>
      </c>
      <c r="N208" s="50">
        <v>0.0</v>
      </c>
      <c r="O208" s="50">
        <v>1.0</v>
      </c>
      <c r="P208" s="50">
        <v>1.0</v>
      </c>
      <c r="Q208" s="50">
        <v>0.0</v>
      </c>
      <c r="R208" s="48" t="s">
        <v>3711</v>
      </c>
      <c r="S208" s="50">
        <v>1.0</v>
      </c>
      <c r="T208" s="50">
        <v>0.0</v>
      </c>
      <c r="U208" s="50">
        <v>0.0</v>
      </c>
      <c r="V208" s="50">
        <v>0.0</v>
      </c>
      <c r="W208" s="50">
        <v>0.0</v>
      </c>
      <c r="X208" s="50">
        <v>0.0</v>
      </c>
      <c r="Y208" s="50">
        <v>1.0</v>
      </c>
      <c r="Z208" s="50">
        <v>1.0</v>
      </c>
      <c r="AA208" s="50">
        <v>0.0</v>
      </c>
      <c r="AB208" s="48" t="s">
        <v>3835</v>
      </c>
      <c r="AC208" s="50">
        <v>0.0</v>
      </c>
      <c r="AD208" s="50">
        <v>0.0</v>
      </c>
      <c r="AE208" s="50">
        <v>0.0</v>
      </c>
      <c r="AF208" s="50">
        <v>0.0</v>
      </c>
      <c r="AG208" s="50">
        <v>0.0</v>
      </c>
      <c r="AH208" s="50">
        <v>0.0</v>
      </c>
      <c r="AI208" s="50">
        <v>1.0</v>
      </c>
      <c r="AJ208" s="50">
        <v>1.0</v>
      </c>
      <c r="AK208" s="50">
        <v>0.0</v>
      </c>
      <c r="AL208" s="48"/>
      <c r="AM208" s="50">
        <v>4.0</v>
      </c>
      <c r="AN208" s="48"/>
      <c r="AO208" s="48"/>
      <c r="AP208" s="48"/>
      <c r="AQ208" s="48"/>
      <c r="AR208" s="48"/>
      <c r="AS208" s="50">
        <v>7.0</v>
      </c>
      <c r="AT208" s="50">
        <v>20.0</v>
      </c>
      <c r="AU208" s="48"/>
      <c r="AV208" s="50">
        <v>4.0</v>
      </c>
      <c r="AW208" s="48"/>
      <c r="AX208" s="48"/>
      <c r="AY208" s="48"/>
      <c r="AZ208" s="48"/>
      <c r="BA208" s="48"/>
      <c r="BB208" s="50">
        <v>12.0</v>
      </c>
      <c r="BC208" s="50">
        <v>20.0</v>
      </c>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50">
        <v>0.0</v>
      </c>
      <c r="CC208" s="50">
        <v>0.0</v>
      </c>
      <c r="CD208" s="50">
        <v>0.0</v>
      </c>
      <c r="CE208" s="50">
        <v>7.0</v>
      </c>
      <c r="CF208" s="50">
        <v>0.0</v>
      </c>
      <c r="CG208" s="50">
        <v>0.0</v>
      </c>
      <c r="CH208" s="50">
        <v>0.0</v>
      </c>
      <c r="CI208" s="50">
        <v>0.0</v>
      </c>
      <c r="CJ208" s="48"/>
      <c r="CK208" s="50">
        <v>7.01118698E8</v>
      </c>
      <c r="CL208" s="48" t="s">
        <v>3836</v>
      </c>
      <c r="CM208" s="47">
        <v>46100.34638888889</v>
      </c>
      <c r="CN208" s="48"/>
      <c r="CO208" s="48"/>
      <c r="CP208" s="48" t="s">
        <v>1954</v>
      </c>
      <c r="CQ208" s="48"/>
      <c r="CR208" s="48" t="s">
        <v>3014</v>
      </c>
      <c r="CS208" s="48"/>
      <c r="CT208" s="48" t="s">
        <v>3837</v>
      </c>
      <c r="CU208" s="50">
        <v>207.0</v>
      </c>
    </row>
    <row r="209">
      <c r="A209" s="47">
        <v>46100.67972474537</v>
      </c>
      <c r="B209" s="47">
        <v>46100.68265494213</v>
      </c>
      <c r="C209" s="48" t="s">
        <v>3838</v>
      </c>
      <c r="D209" s="48" t="s">
        <v>1923</v>
      </c>
      <c r="E209" s="48" t="s">
        <v>1995</v>
      </c>
      <c r="F209" s="48" t="s">
        <v>3839</v>
      </c>
      <c r="G209" s="49" t="s">
        <v>2027</v>
      </c>
      <c r="H209" s="48" t="s">
        <v>3711</v>
      </c>
      <c r="I209" s="50">
        <v>1.0</v>
      </c>
      <c r="J209" s="50">
        <v>0.0</v>
      </c>
      <c r="K209" s="50">
        <v>0.0</v>
      </c>
      <c r="L209" s="50">
        <v>0.0</v>
      </c>
      <c r="M209" s="50">
        <v>0.0</v>
      </c>
      <c r="N209" s="50">
        <v>0.0</v>
      </c>
      <c r="O209" s="50">
        <v>1.0</v>
      </c>
      <c r="P209" s="50">
        <v>1.0</v>
      </c>
      <c r="Q209" s="50">
        <v>0.0</v>
      </c>
      <c r="R209" s="48" t="s">
        <v>3711</v>
      </c>
      <c r="S209" s="50">
        <v>1.0</v>
      </c>
      <c r="T209" s="50">
        <v>0.0</v>
      </c>
      <c r="U209" s="50">
        <v>0.0</v>
      </c>
      <c r="V209" s="50">
        <v>0.0</v>
      </c>
      <c r="W209" s="50">
        <v>0.0</v>
      </c>
      <c r="X209" s="50">
        <v>0.0</v>
      </c>
      <c r="Y209" s="50">
        <v>1.0</v>
      </c>
      <c r="Z209" s="50">
        <v>1.0</v>
      </c>
      <c r="AA209" s="50">
        <v>0.0</v>
      </c>
      <c r="AB209" s="48" t="s">
        <v>3711</v>
      </c>
      <c r="AC209" s="50">
        <v>1.0</v>
      </c>
      <c r="AD209" s="50">
        <v>0.0</v>
      </c>
      <c r="AE209" s="50">
        <v>0.0</v>
      </c>
      <c r="AF209" s="50">
        <v>0.0</v>
      </c>
      <c r="AG209" s="50">
        <v>0.0</v>
      </c>
      <c r="AH209" s="50">
        <v>0.0</v>
      </c>
      <c r="AI209" s="50">
        <v>1.0</v>
      </c>
      <c r="AJ209" s="50">
        <v>1.0</v>
      </c>
      <c r="AK209" s="50">
        <v>0.0</v>
      </c>
      <c r="AL209" s="48"/>
      <c r="AM209" s="50">
        <v>3.0</v>
      </c>
      <c r="AN209" s="48"/>
      <c r="AO209" s="48"/>
      <c r="AP209" s="48"/>
      <c r="AQ209" s="48"/>
      <c r="AR209" s="48"/>
      <c r="AS209" s="50">
        <v>5.0</v>
      </c>
      <c r="AT209" s="50">
        <v>5.0</v>
      </c>
      <c r="AU209" s="48"/>
      <c r="AV209" s="50">
        <v>2.0</v>
      </c>
      <c r="AW209" s="48"/>
      <c r="AX209" s="48"/>
      <c r="AY209" s="48"/>
      <c r="AZ209" s="48"/>
      <c r="BA209" s="48"/>
      <c r="BB209" s="50">
        <v>5.0</v>
      </c>
      <c r="BC209" s="50">
        <v>5.0</v>
      </c>
      <c r="BD209" s="50">
        <v>0.0</v>
      </c>
      <c r="BE209" s="50">
        <v>0.0</v>
      </c>
      <c r="BF209" s="50">
        <v>0.0</v>
      </c>
      <c r="BG209" s="50">
        <v>2.0</v>
      </c>
      <c r="BH209" s="48"/>
      <c r="BI209" s="48"/>
      <c r="BJ209" s="48"/>
      <c r="BK209" s="48"/>
      <c r="BL209" s="48"/>
      <c r="BM209" s="48"/>
      <c r="BN209" s="48"/>
      <c r="BO209" s="48"/>
      <c r="BP209" s="48"/>
      <c r="BQ209" s="48"/>
      <c r="BR209" s="48"/>
      <c r="BS209" s="48"/>
      <c r="BT209" s="48"/>
      <c r="BU209" s="48"/>
      <c r="BV209" s="48"/>
      <c r="BW209" s="48"/>
      <c r="BX209" s="48"/>
      <c r="BY209" s="48"/>
      <c r="BZ209" s="48"/>
      <c r="CA209" s="48"/>
      <c r="CB209" s="50">
        <v>0.0</v>
      </c>
      <c r="CC209" s="50">
        <v>0.0</v>
      </c>
      <c r="CD209" s="50">
        <v>0.0</v>
      </c>
      <c r="CE209" s="50">
        <v>0.0</v>
      </c>
      <c r="CF209" s="50">
        <v>0.0</v>
      </c>
      <c r="CG209" s="50">
        <v>0.0</v>
      </c>
      <c r="CH209" s="50">
        <v>0.0</v>
      </c>
      <c r="CI209" s="50">
        <v>0.0</v>
      </c>
      <c r="CJ209" s="48" t="s">
        <v>3840</v>
      </c>
      <c r="CK209" s="50">
        <v>7.01122681E8</v>
      </c>
      <c r="CL209" s="48" t="s">
        <v>3841</v>
      </c>
      <c r="CM209" s="47">
        <v>46100.34934027777</v>
      </c>
      <c r="CN209" s="48"/>
      <c r="CO209" s="48"/>
      <c r="CP209" s="48" t="s">
        <v>1954</v>
      </c>
      <c r="CQ209" s="48"/>
      <c r="CR209" s="48" t="s">
        <v>3014</v>
      </c>
      <c r="CS209" s="48"/>
      <c r="CT209" s="48" t="s">
        <v>3842</v>
      </c>
      <c r="CU209" s="50">
        <v>208.0</v>
      </c>
    </row>
    <row r="210">
      <c r="A210" s="47">
        <v>46100.68265574074</v>
      </c>
      <c r="B210" s="47">
        <v>46100.6853294213</v>
      </c>
      <c r="C210" s="48" t="s">
        <v>1992</v>
      </c>
      <c r="D210" s="48" t="s">
        <v>1923</v>
      </c>
      <c r="E210" s="48" t="s">
        <v>1995</v>
      </c>
      <c r="F210" s="48" t="s">
        <v>1996</v>
      </c>
      <c r="G210" s="49" t="s">
        <v>1999</v>
      </c>
      <c r="H210" s="48" t="s">
        <v>3835</v>
      </c>
      <c r="I210" s="50">
        <v>0.0</v>
      </c>
      <c r="J210" s="50">
        <v>0.0</v>
      </c>
      <c r="K210" s="50">
        <v>0.0</v>
      </c>
      <c r="L210" s="50">
        <v>0.0</v>
      </c>
      <c r="M210" s="50">
        <v>0.0</v>
      </c>
      <c r="N210" s="50">
        <v>0.0</v>
      </c>
      <c r="O210" s="50">
        <v>1.0</v>
      </c>
      <c r="P210" s="50">
        <v>1.0</v>
      </c>
      <c r="Q210" s="50">
        <v>0.0</v>
      </c>
      <c r="R210" s="48" t="s">
        <v>3711</v>
      </c>
      <c r="S210" s="50">
        <v>1.0</v>
      </c>
      <c r="T210" s="50">
        <v>0.0</v>
      </c>
      <c r="U210" s="50">
        <v>0.0</v>
      </c>
      <c r="V210" s="50">
        <v>0.0</v>
      </c>
      <c r="W210" s="50">
        <v>0.0</v>
      </c>
      <c r="X210" s="50">
        <v>0.0</v>
      </c>
      <c r="Y210" s="50">
        <v>1.0</v>
      </c>
      <c r="Z210" s="50">
        <v>1.0</v>
      </c>
      <c r="AA210" s="50">
        <v>0.0</v>
      </c>
      <c r="AB210" s="48" t="s">
        <v>3711</v>
      </c>
      <c r="AC210" s="50">
        <v>1.0</v>
      </c>
      <c r="AD210" s="50">
        <v>0.0</v>
      </c>
      <c r="AE210" s="50">
        <v>0.0</v>
      </c>
      <c r="AF210" s="50">
        <v>0.0</v>
      </c>
      <c r="AG210" s="50">
        <v>0.0</v>
      </c>
      <c r="AH210" s="50">
        <v>0.0</v>
      </c>
      <c r="AI210" s="50">
        <v>1.0</v>
      </c>
      <c r="AJ210" s="50">
        <v>1.0</v>
      </c>
      <c r="AK210" s="50">
        <v>0.0</v>
      </c>
      <c r="AL210" s="48"/>
      <c r="AM210" s="48"/>
      <c r="AN210" s="48"/>
      <c r="AO210" s="48"/>
      <c r="AP210" s="48"/>
      <c r="AQ210" s="48"/>
      <c r="AR210" s="48"/>
      <c r="AS210" s="50">
        <v>7.0</v>
      </c>
      <c r="AT210" s="50">
        <v>20.0</v>
      </c>
      <c r="AU210" s="48"/>
      <c r="AV210" s="50">
        <v>2.0</v>
      </c>
      <c r="AW210" s="48"/>
      <c r="AX210" s="48"/>
      <c r="AY210" s="48"/>
      <c r="AZ210" s="48"/>
      <c r="BA210" s="48"/>
      <c r="BB210" s="50">
        <v>20.0</v>
      </c>
      <c r="BC210" s="50">
        <v>20.0</v>
      </c>
      <c r="BD210" s="50">
        <v>0.0</v>
      </c>
      <c r="BE210" s="50">
        <v>0.0</v>
      </c>
      <c r="BF210" s="50">
        <v>0.0</v>
      </c>
      <c r="BG210" s="50">
        <v>0.0</v>
      </c>
      <c r="BH210" s="48"/>
      <c r="BI210" s="48"/>
      <c r="BJ210" s="48"/>
      <c r="BK210" s="48"/>
      <c r="BL210" s="48"/>
      <c r="BM210" s="48"/>
      <c r="BN210" s="48"/>
      <c r="BO210" s="48"/>
      <c r="BP210" s="48"/>
      <c r="BQ210" s="48"/>
      <c r="BR210" s="48"/>
      <c r="BS210" s="48"/>
      <c r="BT210" s="48"/>
      <c r="BU210" s="48"/>
      <c r="BV210" s="48"/>
      <c r="BW210" s="48"/>
      <c r="BX210" s="48"/>
      <c r="BY210" s="48"/>
      <c r="BZ210" s="48"/>
      <c r="CA210" s="48"/>
      <c r="CB210" s="50">
        <v>0.0</v>
      </c>
      <c r="CC210" s="50">
        <v>0.0</v>
      </c>
      <c r="CD210" s="50">
        <v>7.0</v>
      </c>
      <c r="CE210" s="50">
        <v>20.0</v>
      </c>
      <c r="CF210" s="50">
        <v>0.0</v>
      </c>
      <c r="CG210" s="50">
        <v>0.0</v>
      </c>
      <c r="CH210" s="50">
        <v>0.0</v>
      </c>
      <c r="CI210" s="50">
        <v>0.0</v>
      </c>
      <c r="CJ210" s="48" t="s">
        <v>3843</v>
      </c>
      <c r="CK210" s="50">
        <v>7.01127052E8</v>
      </c>
      <c r="CL210" s="48" t="s">
        <v>3844</v>
      </c>
      <c r="CM210" s="47">
        <v>46100.35200231482</v>
      </c>
      <c r="CN210" s="48"/>
      <c r="CO210" s="48"/>
      <c r="CP210" s="48" t="s">
        <v>1954</v>
      </c>
      <c r="CQ210" s="48"/>
      <c r="CR210" s="48" t="s">
        <v>3014</v>
      </c>
      <c r="CS210" s="48"/>
      <c r="CT210" s="48" t="s">
        <v>3845</v>
      </c>
      <c r="CU210" s="50">
        <v>209.0</v>
      </c>
    </row>
    <row r="211">
      <c r="A211" s="47">
        <v>46100.68533002315</v>
      </c>
      <c r="B211" s="47">
        <v>46100.68874372685</v>
      </c>
      <c r="C211" s="48" t="s">
        <v>2167</v>
      </c>
      <c r="D211" s="48" t="s">
        <v>1923</v>
      </c>
      <c r="E211" s="48" t="s">
        <v>1962</v>
      </c>
      <c r="F211" s="48" t="s">
        <v>1963</v>
      </c>
      <c r="G211" s="49" t="s">
        <v>2171</v>
      </c>
      <c r="H211" s="48" t="s">
        <v>2947</v>
      </c>
      <c r="I211" s="50">
        <v>1.0</v>
      </c>
      <c r="J211" s="50">
        <v>0.0</v>
      </c>
      <c r="K211" s="50">
        <v>0.0</v>
      </c>
      <c r="L211" s="50">
        <v>0.0</v>
      </c>
      <c r="M211" s="50">
        <v>0.0</v>
      </c>
      <c r="N211" s="50">
        <v>0.0</v>
      </c>
      <c r="O211" s="50">
        <v>0.0</v>
      </c>
      <c r="P211" s="50">
        <v>0.0</v>
      </c>
      <c r="Q211" s="50">
        <v>0.0</v>
      </c>
      <c r="R211" s="48" t="s">
        <v>2947</v>
      </c>
      <c r="S211" s="50">
        <v>1.0</v>
      </c>
      <c r="T211" s="50">
        <v>0.0</v>
      </c>
      <c r="U211" s="50">
        <v>0.0</v>
      </c>
      <c r="V211" s="50">
        <v>0.0</v>
      </c>
      <c r="W211" s="50">
        <v>0.0</v>
      </c>
      <c r="X211" s="50">
        <v>0.0</v>
      </c>
      <c r="Y211" s="50">
        <v>0.0</v>
      </c>
      <c r="Z211" s="50">
        <v>0.0</v>
      </c>
      <c r="AA211" s="50">
        <v>0.0</v>
      </c>
      <c r="AB211" s="48" t="s">
        <v>999</v>
      </c>
      <c r="AC211" s="50">
        <v>0.0</v>
      </c>
      <c r="AD211" s="50">
        <v>0.0</v>
      </c>
      <c r="AE211" s="50">
        <v>0.0</v>
      </c>
      <c r="AF211" s="50">
        <v>0.0</v>
      </c>
      <c r="AG211" s="50">
        <v>0.0</v>
      </c>
      <c r="AH211" s="50">
        <v>0.0</v>
      </c>
      <c r="AI211" s="50">
        <v>0.0</v>
      </c>
      <c r="AJ211" s="50">
        <v>0.0</v>
      </c>
      <c r="AK211" s="50">
        <v>1.0</v>
      </c>
      <c r="AL211" s="48"/>
      <c r="AM211" s="50">
        <v>3.0</v>
      </c>
      <c r="AN211" s="48"/>
      <c r="AO211" s="48"/>
      <c r="AP211" s="48"/>
      <c r="AQ211" s="48"/>
      <c r="AR211" s="48"/>
      <c r="AS211" s="48"/>
      <c r="AT211" s="48"/>
      <c r="AU211" s="48"/>
      <c r="AV211" s="50">
        <v>3.0</v>
      </c>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t="s">
        <v>3846</v>
      </c>
      <c r="CK211" s="50">
        <v>7.01132342E8</v>
      </c>
      <c r="CL211" s="48" t="s">
        <v>3847</v>
      </c>
      <c r="CM211" s="47">
        <v>46100.35541666667</v>
      </c>
      <c r="CN211" s="48"/>
      <c r="CO211" s="48"/>
      <c r="CP211" s="48" t="s">
        <v>1954</v>
      </c>
      <c r="CQ211" s="48"/>
      <c r="CR211" s="48" t="s">
        <v>3014</v>
      </c>
      <c r="CS211" s="48"/>
      <c r="CT211" s="48" t="s">
        <v>3848</v>
      </c>
      <c r="CU211" s="50">
        <v>210.0</v>
      </c>
    </row>
    <row r="212">
      <c r="A212" s="47">
        <v>46100.68874415509</v>
      </c>
      <c r="B212" s="47">
        <v>46100.69230083333</v>
      </c>
      <c r="C212" s="48" t="s">
        <v>2190</v>
      </c>
      <c r="D212" s="48" t="s">
        <v>1923</v>
      </c>
      <c r="E212" s="48" t="s">
        <v>1962</v>
      </c>
      <c r="F212" s="48" t="s">
        <v>3849</v>
      </c>
      <c r="G212" s="49" t="s">
        <v>2193</v>
      </c>
      <c r="H212" s="48" t="s">
        <v>3369</v>
      </c>
      <c r="I212" s="50">
        <v>1.0</v>
      </c>
      <c r="J212" s="50">
        <v>0.0</v>
      </c>
      <c r="K212" s="50">
        <v>0.0</v>
      </c>
      <c r="L212" s="50">
        <v>0.0</v>
      </c>
      <c r="M212" s="50">
        <v>0.0</v>
      </c>
      <c r="N212" s="50">
        <v>0.0</v>
      </c>
      <c r="O212" s="50">
        <v>1.0</v>
      </c>
      <c r="P212" s="50">
        <v>0.0</v>
      </c>
      <c r="Q212" s="50">
        <v>0.0</v>
      </c>
      <c r="R212" s="48" t="s">
        <v>3369</v>
      </c>
      <c r="S212" s="50">
        <v>1.0</v>
      </c>
      <c r="T212" s="50">
        <v>0.0</v>
      </c>
      <c r="U212" s="50">
        <v>0.0</v>
      </c>
      <c r="V212" s="50">
        <v>0.0</v>
      </c>
      <c r="W212" s="50">
        <v>0.0</v>
      </c>
      <c r="X212" s="50">
        <v>0.0</v>
      </c>
      <c r="Y212" s="50">
        <v>1.0</v>
      </c>
      <c r="Z212" s="50">
        <v>0.0</v>
      </c>
      <c r="AA212" s="50">
        <v>0.0</v>
      </c>
      <c r="AB212" s="48" t="s">
        <v>3369</v>
      </c>
      <c r="AC212" s="50">
        <v>1.0</v>
      </c>
      <c r="AD212" s="50">
        <v>0.0</v>
      </c>
      <c r="AE212" s="50">
        <v>0.0</v>
      </c>
      <c r="AF212" s="50">
        <v>0.0</v>
      </c>
      <c r="AG212" s="50">
        <v>0.0</v>
      </c>
      <c r="AH212" s="50">
        <v>0.0</v>
      </c>
      <c r="AI212" s="50">
        <v>1.0</v>
      </c>
      <c r="AJ212" s="50">
        <v>0.0</v>
      </c>
      <c r="AK212" s="50">
        <v>0.0</v>
      </c>
      <c r="AL212" s="48"/>
      <c r="AM212" s="50">
        <v>6.0</v>
      </c>
      <c r="AN212" s="48"/>
      <c r="AO212" s="48"/>
      <c r="AP212" s="48"/>
      <c r="AQ212" s="48"/>
      <c r="AR212" s="48"/>
      <c r="AS212" s="50">
        <v>2.0</v>
      </c>
      <c r="AT212" s="48"/>
      <c r="AU212" s="48"/>
      <c r="AV212" s="50">
        <v>6.0</v>
      </c>
      <c r="AW212" s="48"/>
      <c r="AX212" s="48"/>
      <c r="AY212" s="48"/>
      <c r="AZ212" s="48"/>
      <c r="BA212" s="48"/>
      <c r="BB212" s="50">
        <v>2.0</v>
      </c>
      <c r="BC212" s="48"/>
      <c r="BD212" s="50">
        <v>0.0</v>
      </c>
      <c r="BE212" s="50">
        <v>0.0</v>
      </c>
      <c r="BF212" s="50">
        <v>0.0</v>
      </c>
      <c r="BG212" s="50">
        <v>0.0</v>
      </c>
      <c r="BH212" s="48"/>
      <c r="BI212" s="48"/>
      <c r="BJ212" s="48"/>
      <c r="BK212" s="48"/>
      <c r="BL212" s="48"/>
      <c r="BM212" s="48"/>
      <c r="BN212" s="48"/>
      <c r="BO212" s="48"/>
      <c r="BP212" s="48"/>
      <c r="BQ212" s="48"/>
      <c r="BR212" s="48"/>
      <c r="BS212" s="48"/>
      <c r="BT212" s="48"/>
      <c r="BU212" s="48"/>
      <c r="BV212" s="48"/>
      <c r="BW212" s="48"/>
      <c r="BX212" s="48"/>
      <c r="BY212" s="48"/>
      <c r="BZ212" s="48"/>
      <c r="CA212" s="48"/>
      <c r="CB212" s="50">
        <v>0.0</v>
      </c>
      <c r="CC212" s="50">
        <v>0.0</v>
      </c>
      <c r="CD212" s="50">
        <v>0.0</v>
      </c>
      <c r="CE212" s="50">
        <v>0.0</v>
      </c>
      <c r="CF212" s="48"/>
      <c r="CG212" s="48"/>
      <c r="CH212" s="48"/>
      <c r="CI212" s="48"/>
      <c r="CJ212" s="48"/>
      <c r="CK212" s="50">
        <v>7.01137446E8</v>
      </c>
      <c r="CL212" s="48" t="s">
        <v>3850</v>
      </c>
      <c r="CM212" s="47">
        <v>46100.35903935185</v>
      </c>
      <c r="CN212" s="48"/>
      <c r="CO212" s="48"/>
      <c r="CP212" s="48" t="s">
        <v>1954</v>
      </c>
      <c r="CQ212" s="48"/>
      <c r="CR212" s="48" t="s">
        <v>3014</v>
      </c>
      <c r="CS212" s="48"/>
      <c r="CT212" s="48" t="s">
        <v>3851</v>
      </c>
      <c r="CU212" s="50">
        <v>211.0</v>
      </c>
    </row>
    <row r="213">
      <c r="A213" s="47">
        <v>46100.69230153935</v>
      </c>
      <c r="B213" s="47">
        <v>46100.69437533565</v>
      </c>
      <c r="C213" s="48" t="s">
        <v>2695</v>
      </c>
      <c r="D213" s="48" t="s">
        <v>1923</v>
      </c>
      <c r="E213" s="48" t="s">
        <v>2113</v>
      </c>
      <c r="F213" s="48" t="s">
        <v>3852</v>
      </c>
      <c r="G213" s="49" t="s">
        <v>2700</v>
      </c>
      <c r="H213" s="48" t="s">
        <v>3711</v>
      </c>
      <c r="I213" s="50">
        <v>1.0</v>
      </c>
      <c r="J213" s="50">
        <v>0.0</v>
      </c>
      <c r="K213" s="50">
        <v>0.0</v>
      </c>
      <c r="L213" s="50">
        <v>0.0</v>
      </c>
      <c r="M213" s="50">
        <v>0.0</v>
      </c>
      <c r="N213" s="50">
        <v>0.0</v>
      </c>
      <c r="O213" s="50">
        <v>1.0</v>
      </c>
      <c r="P213" s="50">
        <v>1.0</v>
      </c>
      <c r="Q213" s="50">
        <v>0.0</v>
      </c>
      <c r="R213" s="48" t="s">
        <v>3711</v>
      </c>
      <c r="S213" s="50">
        <v>1.0</v>
      </c>
      <c r="T213" s="50">
        <v>0.0</v>
      </c>
      <c r="U213" s="50">
        <v>0.0</v>
      </c>
      <c r="V213" s="50">
        <v>0.0</v>
      </c>
      <c r="W213" s="50">
        <v>0.0</v>
      </c>
      <c r="X213" s="50">
        <v>0.0</v>
      </c>
      <c r="Y213" s="50">
        <v>1.0</v>
      </c>
      <c r="Z213" s="50">
        <v>1.0</v>
      </c>
      <c r="AA213" s="50">
        <v>0.0</v>
      </c>
      <c r="AB213" s="48" t="s">
        <v>3034</v>
      </c>
      <c r="AC213" s="50">
        <v>0.0</v>
      </c>
      <c r="AD213" s="50">
        <v>0.0</v>
      </c>
      <c r="AE213" s="50">
        <v>0.0</v>
      </c>
      <c r="AF213" s="50">
        <v>0.0</v>
      </c>
      <c r="AG213" s="50">
        <v>0.0</v>
      </c>
      <c r="AH213" s="50">
        <v>0.0</v>
      </c>
      <c r="AI213" s="50">
        <v>1.0</v>
      </c>
      <c r="AJ213" s="50">
        <v>0.0</v>
      </c>
      <c r="AK213" s="50">
        <v>0.0</v>
      </c>
      <c r="AL213" s="48"/>
      <c r="AM213" s="50">
        <v>10.0</v>
      </c>
      <c r="AN213" s="48"/>
      <c r="AO213" s="48"/>
      <c r="AP213" s="48"/>
      <c r="AQ213" s="48"/>
      <c r="AR213" s="48"/>
      <c r="AS213" s="50">
        <v>10.0</v>
      </c>
      <c r="AT213" s="50">
        <v>5.0</v>
      </c>
      <c r="AU213" s="48"/>
      <c r="AV213" s="50">
        <v>7.0</v>
      </c>
      <c r="AW213" s="48"/>
      <c r="AX213" s="48"/>
      <c r="AY213" s="48"/>
      <c r="AZ213" s="48"/>
      <c r="BA213" s="48"/>
      <c r="BB213" s="50">
        <v>5.0</v>
      </c>
      <c r="BC213" s="50">
        <v>10.0</v>
      </c>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50">
        <v>0.0</v>
      </c>
      <c r="CC213" s="50">
        <v>0.0</v>
      </c>
      <c r="CD213" s="50">
        <v>5.0</v>
      </c>
      <c r="CE213" s="50">
        <v>10.0</v>
      </c>
      <c r="CF213" s="48"/>
      <c r="CG213" s="48"/>
      <c r="CH213" s="48"/>
      <c r="CI213" s="48"/>
      <c r="CJ213" s="48"/>
      <c r="CK213" s="50">
        <v>7.01140041E8</v>
      </c>
      <c r="CL213" s="48" t="s">
        <v>3853</v>
      </c>
      <c r="CM213" s="47">
        <v>46100.36104166666</v>
      </c>
      <c r="CN213" s="48"/>
      <c r="CO213" s="48"/>
      <c r="CP213" s="48" t="s">
        <v>1954</v>
      </c>
      <c r="CQ213" s="48"/>
      <c r="CR213" s="48" t="s">
        <v>3014</v>
      </c>
      <c r="CS213" s="48"/>
      <c r="CT213" s="48" t="s">
        <v>3854</v>
      </c>
      <c r="CU213" s="50">
        <v>212.0</v>
      </c>
    </row>
    <row r="214">
      <c r="A214" s="47">
        <v>46100.69437606481</v>
      </c>
      <c r="B214" s="47">
        <v>46100.69955074074</v>
      </c>
      <c r="C214" s="48" t="s">
        <v>3855</v>
      </c>
      <c r="D214" s="48" t="s">
        <v>1923</v>
      </c>
      <c r="E214" s="48" t="s">
        <v>2113</v>
      </c>
      <c r="F214" s="48" t="s">
        <v>2632</v>
      </c>
      <c r="G214" s="49" t="s">
        <v>2634</v>
      </c>
      <c r="H214" s="48" t="s">
        <v>3034</v>
      </c>
      <c r="I214" s="50">
        <v>0.0</v>
      </c>
      <c r="J214" s="50">
        <v>0.0</v>
      </c>
      <c r="K214" s="50">
        <v>0.0</v>
      </c>
      <c r="L214" s="50">
        <v>0.0</v>
      </c>
      <c r="M214" s="50">
        <v>0.0</v>
      </c>
      <c r="N214" s="50">
        <v>0.0</v>
      </c>
      <c r="O214" s="50">
        <v>1.0</v>
      </c>
      <c r="P214" s="50">
        <v>0.0</v>
      </c>
      <c r="Q214" s="50">
        <v>0.0</v>
      </c>
      <c r="R214" s="48" t="s">
        <v>3369</v>
      </c>
      <c r="S214" s="50">
        <v>1.0</v>
      </c>
      <c r="T214" s="50">
        <v>0.0</v>
      </c>
      <c r="U214" s="50">
        <v>0.0</v>
      </c>
      <c r="V214" s="50">
        <v>0.0</v>
      </c>
      <c r="W214" s="50">
        <v>0.0</v>
      </c>
      <c r="X214" s="50">
        <v>0.0</v>
      </c>
      <c r="Y214" s="50">
        <v>1.0</v>
      </c>
      <c r="Z214" s="50">
        <v>0.0</v>
      </c>
      <c r="AA214" s="50">
        <v>0.0</v>
      </c>
      <c r="AB214" s="48" t="s">
        <v>3369</v>
      </c>
      <c r="AC214" s="50">
        <v>1.0</v>
      </c>
      <c r="AD214" s="50">
        <v>0.0</v>
      </c>
      <c r="AE214" s="50">
        <v>0.0</v>
      </c>
      <c r="AF214" s="50">
        <v>0.0</v>
      </c>
      <c r="AG214" s="50">
        <v>0.0</v>
      </c>
      <c r="AH214" s="50">
        <v>0.0</v>
      </c>
      <c r="AI214" s="50">
        <v>1.0</v>
      </c>
      <c r="AJ214" s="50">
        <v>0.0</v>
      </c>
      <c r="AK214" s="50">
        <v>0.0</v>
      </c>
      <c r="AL214" s="48"/>
      <c r="AM214" s="48"/>
      <c r="AN214" s="48"/>
      <c r="AO214" s="48"/>
      <c r="AP214" s="48"/>
      <c r="AQ214" s="48"/>
      <c r="AR214" s="48"/>
      <c r="AS214" s="50">
        <v>12.0</v>
      </c>
      <c r="AT214" s="48"/>
      <c r="AU214" s="48"/>
      <c r="AV214" s="50">
        <v>15.0</v>
      </c>
      <c r="AW214" s="48"/>
      <c r="AX214" s="48"/>
      <c r="AY214" s="48"/>
      <c r="AZ214" s="48"/>
      <c r="BA214" s="48"/>
      <c r="BB214" s="50">
        <v>5.0</v>
      </c>
      <c r="BC214" s="48"/>
      <c r="BD214" s="50">
        <v>3.0</v>
      </c>
      <c r="BE214" s="50">
        <v>8.0</v>
      </c>
      <c r="BF214" s="50">
        <v>0.0</v>
      </c>
      <c r="BG214" s="50">
        <v>4.0</v>
      </c>
      <c r="BH214" s="48"/>
      <c r="BI214" s="48"/>
      <c r="BJ214" s="48"/>
      <c r="BK214" s="48"/>
      <c r="BL214" s="48"/>
      <c r="BM214" s="48"/>
      <c r="BN214" s="48"/>
      <c r="BO214" s="48"/>
      <c r="BP214" s="48"/>
      <c r="BQ214" s="48"/>
      <c r="BR214" s="48"/>
      <c r="BS214" s="48"/>
      <c r="BT214" s="48"/>
      <c r="BU214" s="48"/>
      <c r="BV214" s="48"/>
      <c r="BW214" s="48"/>
      <c r="BX214" s="48"/>
      <c r="BY214" s="48"/>
      <c r="BZ214" s="48"/>
      <c r="CA214" s="48"/>
      <c r="CB214" s="50">
        <v>0.0</v>
      </c>
      <c r="CC214" s="50">
        <v>0.0</v>
      </c>
      <c r="CD214" s="50">
        <v>0.0</v>
      </c>
      <c r="CE214" s="50">
        <v>5.0</v>
      </c>
      <c r="CF214" s="48"/>
      <c r="CG214" s="48"/>
      <c r="CH214" s="48"/>
      <c r="CI214" s="48"/>
      <c r="CJ214" s="48"/>
      <c r="CK214" s="50">
        <v>7.01147705E8</v>
      </c>
      <c r="CL214" s="48" t="s">
        <v>3856</v>
      </c>
      <c r="CM214" s="47">
        <v>46100.36627314815</v>
      </c>
      <c r="CN214" s="48"/>
      <c r="CO214" s="48"/>
      <c r="CP214" s="48" t="s">
        <v>1954</v>
      </c>
      <c r="CQ214" s="48"/>
      <c r="CR214" s="48" t="s">
        <v>3014</v>
      </c>
      <c r="CS214" s="48"/>
      <c r="CT214" s="48" t="s">
        <v>3857</v>
      </c>
      <c r="CU214" s="50">
        <v>213.0</v>
      </c>
    </row>
    <row r="215">
      <c r="A215" s="47">
        <v>46100.01546033565</v>
      </c>
      <c r="B215" s="47">
        <v>46100.83832707176</v>
      </c>
      <c r="C215" s="48" t="s">
        <v>1919</v>
      </c>
      <c r="D215" s="48" t="s">
        <v>1923</v>
      </c>
      <c r="E215" s="48" t="s">
        <v>1924</v>
      </c>
      <c r="F215" s="48" t="s">
        <v>2085</v>
      </c>
      <c r="G215" s="49" t="s">
        <v>2091</v>
      </c>
      <c r="H215" s="48" t="s">
        <v>3369</v>
      </c>
      <c r="I215" s="50">
        <v>1.0</v>
      </c>
      <c r="J215" s="50">
        <v>0.0</v>
      </c>
      <c r="K215" s="50">
        <v>0.0</v>
      </c>
      <c r="L215" s="50">
        <v>0.0</v>
      </c>
      <c r="M215" s="50">
        <v>0.0</v>
      </c>
      <c r="N215" s="50">
        <v>0.0</v>
      </c>
      <c r="O215" s="50">
        <v>1.0</v>
      </c>
      <c r="P215" s="50">
        <v>0.0</v>
      </c>
      <c r="Q215" s="50">
        <v>0.0</v>
      </c>
      <c r="R215" s="48" t="s">
        <v>3369</v>
      </c>
      <c r="S215" s="50">
        <v>1.0</v>
      </c>
      <c r="T215" s="50">
        <v>0.0</v>
      </c>
      <c r="U215" s="50">
        <v>0.0</v>
      </c>
      <c r="V215" s="50">
        <v>0.0</v>
      </c>
      <c r="W215" s="50">
        <v>0.0</v>
      </c>
      <c r="X215" s="50">
        <v>0.0</v>
      </c>
      <c r="Y215" s="50">
        <v>1.0</v>
      </c>
      <c r="Z215" s="50">
        <v>0.0</v>
      </c>
      <c r="AA215" s="50">
        <v>0.0</v>
      </c>
      <c r="AB215" s="48" t="s">
        <v>3369</v>
      </c>
      <c r="AC215" s="50">
        <v>1.0</v>
      </c>
      <c r="AD215" s="50">
        <v>0.0</v>
      </c>
      <c r="AE215" s="50">
        <v>0.0</v>
      </c>
      <c r="AF215" s="50">
        <v>0.0</v>
      </c>
      <c r="AG215" s="50">
        <v>0.0</v>
      </c>
      <c r="AH215" s="50">
        <v>0.0</v>
      </c>
      <c r="AI215" s="50">
        <v>1.0</v>
      </c>
      <c r="AJ215" s="50">
        <v>0.0</v>
      </c>
      <c r="AK215" s="50">
        <v>0.0</v>
      </c>
      <c r="AL215" s="48"/>
      <c r="AM215" s="50">
        <v>4.0</v>
      </c>
      <c r="AN215" s="48"/>
      <c r="AO215" s="48"/>
      <c r="AP215" s="48"/>
      <c r="AQ215" s="48"/>
      <c r="AR215" s="48"/>
      <c r="AS215" s="50">
        <v>3.0</v>
      </c>
      <c r="AT215" s="48"/>
      <c r="AU215" s="48"/>
      <c r="AV215" s="50">
        <v>9.0</v>
      </c>
      <c r="AW215" s="48"/>
      <c r="AX215" s="48"/>
      <c r="AY215" s="48"/>
      <c r="AZ215" s="48"/>
      <c r="BA215" s="48"/>
      <c r="BB215" s="50">
        <v>20.0</v>
      </c>
      <c r="BC215" s="48"/>
      <c r="BD215" s="50">
        <v>9.0</v>
      </c>
      <c r="BE215" s="50">
        <v>0.0</v>
      </c>
      <c r="BF215" s="50">
        <v>0.0</v>
      </c>
      <c r="BG215" s="50">
        <v>0.0</v>
      </c>
      <c r="BH215" s="48"/>
      <c r="BI215" s="48"/>
      <c r="BJ215" s="48"/>
      <c r="BK215" s="48"/>
      <c r="BL215" s="48"/>
      <c r="BM215" s="48"/>
      <c r="BN215" s="48"/>
      <c r="BO215" s="48"/>
      <c r="BP215" s="48"/>
      <c r="BQ215" s="48"/>
      <c r="BR215" s="48"/>
      <c r="BS215" s="48"/>
      <c r="BT215" s="48"/>
      <c r="BU215" s="48"/>
      <c r="BV215" s="48"/>
      <c r="BW215" s="48"/>
      <c r="BX215" s="48"/>
      <c r="BY215" s="48"/>
      <c r="BZ215" s="48"/>
      <c r="CA215" s="48"/>
      <c r="CB215" s="50">
        <v>0.0</v>
      </c>
      <c r="CC215" s="50">
        <v>0.0</v>
      </c>
      <c r="CD215" s="50">
        <v>0.0</v>
      </c>
      <c r="CE215" s="50">
        <v>0.0</v>
      </c>
      <c r="CF215" s="48"/>
      <c r="CG215" s="48"/>
      <c r="CH215" s="48"/>
      <c r="CI215" s="48"/>
      <c r="CJ215" s="48"/>
      <c r="CK215" s="50">
        <v>7.01310025E8</v>
      </c>
      <c r="CL215" s="48" t="s">
        <v>3858</v>
      </c>
      <c r="CM215" s="47">
        <v>46100.505</v>
      </c>
      <c r="CN215" s="48"/>
      <c r="CO215" s="48"/>
      <c r="CP215" s="48" t="s">
        <v>1954</v>
      </c>
      <c r="CQ215" s="48"/>
      <c r="CR215" s="48" t="s">
        <v>3014</v>
      </c>
      <c r="CS215" s="48"/>
      <c r="CT215" s="48" t="s">
        <v>3859</v>
      </c>
      <c r="CU215" s="50">
        <v>214.0</v>
      </c>
    </row>
    <row r="216">
      <c r="A216" s="47">
        <v>46100.83832731481</v>
      </c>
      <c r="B216" s="47">
        <v>46100.84317938657</v>
      </c>
      <c r="C216" s="48" t="s">
        <v>2431</v>
      </c>
      <c r="D216" s="48" t="s">
        <v>1923</v>
      </c>
      <c r="E216" s="48" t="s">
        <v>1924</v>
      </c>
      <c r="F216" s="48" t="s">
        <v>2088</v>
      </c>
      <c r="G216" s="49" t="s">
        <v>2434</v>
      </c>
      <c r="H216" s="48" t="s">
        <v>2947</v>
      </c>
      <c r="I216" s="50">
        <v>1.0</v>
      </c>
      <c r="J216" s="50">
        <v>0.0</v>
      </c>
      <c r="K216" s="50">
        <v>0.0</v>
      </c>
      <c r="L216" s="50">
        <v>0.0</v>
      </c>
      <c r="M216" s="50">
        <v>0.0</v>
      </c>
      <c r="N216" s="50">
        <v>0.0</v>
      </c>
      <c r="O216" s="50">
        <v>0.0</v>
      </c>
      <c r="P216" s="50">
        <v>0.0</v>
      </c>
      <c r="Q216" s="50">
        <v>0.0</v>
      </c>
      <c r="R216" s="48" t="s">
        <v>2947</v>
      </c>
      <c r="S216" s="50">
        <v>1.0</v>
      </c>
      <c r="T216" s="50">
        <v>0.0</v>
      </c>
      <c r="U216" s="50">
        <v>0.0</v>
      </c>
      <c r="V216" s="50">
        <v>0.0</v>
      </c>
      <c r="W216" s="50">
        <v>0.0</v>
      </c>
      <c r="X216" s="50">
        <v>0.0</v>
      </c>
      <c r="Y216" s="50">
        <v>0.0</v>
      </c>
      <c r="Z216" s="50">
        <v>0.0</v>
      </c>
      <c r="AA216" s="50">
        <v>0.0</v>
      </c>
      <c r="AB216" s="48" t="s">
        <v>2947</v>
      </c>
      <c r="AC216" s="50">
        <v>1.0</v>
      </c>
      <c r="AD216" s="50">
        <v>0.0</v>
      </c>
      <c r="AE216" s="50">
        <v>0.0</v>
      </c>
      <c r="AF216" s="50">
        <v>0.0</v>
      </c>
      <c r="AG216" s="50">
        <v>0.0</v>
      </c>
      <c r="AH216" s="50">
        <v>0.0</v>
      </c>
      <c r="AI216" s="50">
        <v>0.0</v>
      </c>
      <c r="AJ216" s="50">
        <v>0.0</v>
      </c>
      <c r="AK216" s="50">
        <v>0.0</v>
      </c>
      <c r="AL216" s="48"/>
      <c r="AM216" s="50">
        <v>10.0</v>
      </c>
      <c r="AN216" s="48"/>
      <c r="AO216" s="48"/>
      <c r="AP216" s="48"/>
      <c r="AQ216" s="48"/>
      <c r="AR216" s="48"/>
      <c r="AS216" s="48"/>
      <c r="AT216" s="48"/>
      <c r="AU216" s="48"/>
      <c r="AV216" s="50">
        <v>6.0</v>
      </c>
      <c r="AW216" s="48"/>
      <c r="AX216" s="48"/>
      <c r="AY216" s="48"/>
      <c r="AZ216" s="48"/>
      <c r="BA216" s="48"/>
      <c r="BB216" s="48"/>
      <c r="BC216" s="48"/>
      <c r="BD216" s="50">
        <v>4.0</v>
      </c>
      <c r="BE216" s="50">
        <v>0.0</v>
      </c>
      <c r="BF216" s="50">
        <v>0.0</v>
      </c>
      <c r="BG216" s="50">
        <v>0.0</v>
      </c>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50">
        <v>7.01315745E8</v>
      </c>
      <c r="CL216" s="48" t="s">
        <v>3860</v>
      </c>
      <c r="CM216" s="47">
        <v>46100.50986111111</v>
      </c>
      <c r="CN216" s="48"/>
      <c r="CO216" s="48"/>
      <c r="CP216" s="48" t="s">
        <v>1954</v>
      </c>
      <c r="CQ216" s="48"/>
      <c r="CR216" s="48" t="s">
        <v>3014</v>
      </c>
      <c r="CS216" s="48"/>
      <c r="CT216" s="48" t="s">
        <v>3861</v>
      </c>
      <c r="CU216" s="50">
        <v>215.0</v>
      </c>
    </row>
    <row r="217">
      <c r="A217" s="47">
        <v>46100.84317997685</v>
      </c>
      <c r="B217" s="47">
        <v>46100.84658876157</v>
      </c>
      <c r="C217" s="48" t="s">
        <v>2206</v>
      </c>
      <c r="D217" s="48" t="s">
        <v>1923</v>
      </c>
      <c r="E217" s="48" t="s">
        <v>1924</v>
      </c>
      <c r="F217" s="48" t="s">
        <v>2209</v>
      </c>
      <c r="G217" s="49" t="s">
        <v>2212</v>
      </c>
      <c r="H217" s="48" t="s">
        <v>3369</v>
      </c>
      <c r="I217" s="50">
        <v>1.0</v>
      </c>
      <c r="J217" s="50">
        <v>0.0</v>
      </c>
      <c r="K217" s="50">
        <v>0.0</v>
      </c>
      <c r="L217" s="50">
        <v>0.0</v>
      </c>
      <c r="M217" s="50">
        <v>0.0</v>
      </c>
      <c r="N217" s="50">
        <v>0.0</v>
      </c>
      <c r="O217" s="50">
        <v>1.0</v>
      </c>
      <c r="P217" s="50">
        <v>0.0</v>
      </c>
      <c r="Q217" s="50">
        <v>0.0</v>
      </c>
      <c r="R217" s="48" t="s">
        <v>3369</v>
      </c>
      <c r="S217" s="50">
        <v>1.0</v>
      </c>
      <c r="T217" s="50">
        <v>0.0</v>
      </c>
      <c r="U217" s="50">
        <v>0.0</v>
      </c>
      <c r="V217" s="50">
        <v>0.0</v>
      </c>
      <c r="W217" s="50">
        <v>0.0</v>
      </c>
      <c r="X217" s="50">
        <v>0.0</v>
      </c>
      <c r="Y217" s="50">
        <v>1.0</v>
      </c>
      <c r="Z217" s="50">
        <v>0.0</v>
      </c>
      <c r="AA217" s="50">
        <v>0.0</v>
      </c>
      <c r="AB217" s="48" t="s">
        <v>3369</v>
      </c>
      <c r="AC217" s="50">
        <v>1.0</v>
      </c>
      <c r="AD217" s="50">
        <v>0.0</v>
      </c>
      <c r="AE217" s="50">
        <v>0.0</v>
      </c>
      <c r="AF217" s="50">
        <v>0.0</v>
      </c>
      <c r="AG217" s="50">
        <v>0.0</v>
      </c>
      <c r="AH217" s="50">
        <v>0.0</v>
      </c>
      <c r="AI217" s="50">
        <v>1.0</v>
      </c>
      <c r="AJ217" s="50">
        <v>0.0</v>
      </c>
      <c r="AK217" s="50">
        <v>0.0</v>
      </c>
      <c r="AL217" s="48"/>
      <c r="AM217" s="50">
        <v>2.0</v>
      </c>
      <c r="AN217" s="48"/>
      <c r="AO217" s="48"/>
      <c r="AP217" s="48"/>
      <c r="AQ217" s="48"/>
      <c r="AR217" s="48"/>
      <c r="AS217" s="50">
        <v>10.0</v>
      </c>
      <c r="AT217" s="48"/>
      <c r="AU217" s="48"/>
      <c r="AV217" s="50">
        <v>4.0</v>
      </c>
      <c r="AW217" s="48"/>
      <c r="AX217" s="48"/>
      <c r="AY217" s="48"/>
      <c r="AZ217" s="48"/>
      <c r="BA217" s="48"/>
      <c r="BB217" s="50">
        <v>30.0</v>
      </c>
      <c r="BC217" s="48"/>
      <c r="BD217" s="50">
        <v>0.0</v>
      </c>
      <c r="BE217" s="50">
        <v>0.0</v>
      </c>
      <c r="BF217" s="50">
        <v>2.0</v>
      </c>
      <c r="BG217" s="50">
        <v>0.0</v>
      </c>
      <c r="BH217" s="48"/>
      <c r="BI217" s="48"/>
      <c r="BJ217" s="48"/>
      <c r="BK217" s="48"/>
      <c r="BL217" s="48"/>
      <c r="BM217" s="48"/>
      <c r="BN217" s="48"/>
      <c r="BO217" s="48"/>
      <c r="BP217" s="48"/>
      <c r="BQ217" s="48"/>
      <c r="BR217" s="48"/>
      <c r="BS217" s="48"/>
      <c r="BT217" s="48"/>
      <c r="BU217" s="48"/>
      <c r="BV217" s="48"/>
      <c r="BW217" s="48"/>
      <c r="BX217" s="48"/>
      <c r="BY217" s="48"/>
      <c r="BZ217" s="48"/>
      <c r="CA217" s="48"/>
      <c r="CB217" s="50">
        <v>0.0</v>
      </c>
      <c r="CC217" s="50">
        <v>0.0</v>
      </c>
      <c r="CD217" s="50">
        <v>20.0</v>
      </c>
      <c r="CE217" s="50">
        <v>0.0</v>
      </c>
      <c r="CF217" s="48"/>
      <c r="CG217" s="48"/>
      <c r="CH217" s="48"/>
      <c r="CI217" s="48"/>
      <c r="CJ217" s="48"/>
      <c r="CK217" s="50">
        <v>7.01319935E8</v>
      </c>
      <c r="CL217" s="48" t="s">
        <v>3862</v>
      </c>
      <c r="CM217" s="47">
        <v>46100.51326388889</v>
      </c>
      <c r="CN217" s="48"/>
      <c r="CO217" s="48"/>
      <c r="CP217" s="48" t="s">
        <v>1954</v>
      </c>
      <c r="CQ217" s="48"/>
      <c r="CR217" s="48" t="s">
        <v>3014</v>
      </c>
      <c r="CS217" s="48"/>
      <c r="CT217" s="48" t="s">
        <v>3863</v>
      </c>
      <c r="CU217" s="50">
        <v>216.0</v>
      </c>
    </row>
    <row r="218">
      <c r="A218" s="47">
        <v>46100.84658908565</v>
      </c>
      <c r="B218" s="47">
        <v>46100.8500231713</v>
      </c>
      <c r="C218" s="48" t="s">
        <v>3864</v>
      </c>
      <c r="D218" s="48" t="s">
        <v>1923</v>
      </c>
      <c r="E218" s="48" t="s">
        <v>1924</v>
      </c>
      <c r="F218" s="48" t="s">
        <v>2209</v>
      </c>
      <c r="G218" s="49" t="s">
        <v>2342</v>
      </c>
      <c r="H218" s="48" t="s">
        <v>2947</v>
      </c>
      <c r="I218" s="50">
        <v>1.0</v>
      </c>
      <c r="J218" s="50">
        <v>0.0</v>
      </c>
      <c r="K218" s="50">
        <v>0.0</v>
      </c>
      <c r="L218" s="50">
        <v>0.0</v>
      </c>
      <c r="M218" s="50">
        <v>0.0</v>
      </c>
      <c r="N218" s="50">
        <v>0.0</v>
      </c>
      <c r="O218" s="50">
        <v>0.0</v>
      </c>
      <c r="P218" s="50">
        <v>0.0</v>
      </c>
      <c r="Q218" s="50">
        <v>0.0</v>
      </c>
      <c r="R218" s="48" t="s">
        <v>2947</v>
      </c>
      <c r="S218" s="50">
        <v>1.0</v>
      </c>
      <c r="T218" s="50">
        <v>0.0</v>
      </c>
      <c r="U218" s="50">
        <v>0.0</v>
      </c>
      <c r="V218" s="50">
        <v>0.0</v>
      </c>
      <c r="W218" s="50">
        <v>0.0</v>
      </c>
      <c r="X218" s="50">
        <v>0.0</v>
      </c>
      <c r="Y218" s="50">
        <v>0.0</v>
      </c>
      <c r="Z218" s="50">
        <v>0.0</v>
      </c>
      <c r="AA218" s="50">
        <v>0.0</v>
      </c>
      <c r="AB218" s="48" t="s">
        <v>2947</v>
      </c>
      <c r="AC218" s="50">
        <v>1.0</v>
      </c>
      <c r="AD218" s="50">
        <v>0.0</v>
      </c>
      <c r="AE218" s="50">
        <v>0.0</v>
      </c>
      <c r="AF218" s="50">
        <v>0.0</v>
      </c>
      <c r="AG218" s="50">
        <v>0.0</v>
      </c>
      <c r="AH218" s="50">
        <v>0.0</v>
      </c>
      <c r="AI218" s="50">
        <v>0.0</v>
      </c>
      <c r="AJ218" s="50">
        <v>0.0</v>
      </c>
      <c r="AK218" s="50">
        <v>0.0</v>
      </c>
      <c r="AL218" s="48"/>
      <c r="AM218" s="50">
        <v>2.0</v>
      </c>
      <c r="AN218" s="48"/>
      <c r="AO218" s="48"/>
      <c r="AP218" s="48"/>
      <c r="AQ218" s="48"/>
      <c r="AR218" s="48"/>
      <c r="AS218" s="48"/>
      <c r="AT218" s="48"/>
      <c r="AU218" s="48"/>
      <c r="AV218" s="50">
        <v>1.0</v>
      </c>
      <c r="AW218" s="48"/>
      <c r="AX218" s="48"/>
      <c r="AY218" s="48"/>
      <c r="AZ218" s="48"/>
      <c r="BA218" s="48"/>
      <c r="BB218" s="48"/>
      <c r="BC218" s="48"/>
      <c r="BD218" s="50">
        <v>1.0</v>
      </c>
      <c r="BE218" s="50">
        <v>0.0</v>
      </c>
      <c r="BF218" s="50">
        <v>0.0</v>
      </c>
      <c r="BG218" s="50">
        <v>0.0</v>
      </c>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50">
        <v>7.01325008E8</v>
      </c>
      <c r="CL218" s="48" t="s">
        <v>3865</v>
      </c>
      <c r="CM218" s="47">
        <v>46100.51670138889</v>
      </c>
      <c r="CN218" s="48"/>
      <c r="CO218" s="48"/>
      <c r="CP218" s="48" t="s">
        <v>1954</v>
      </c>
      <c r="CQ218" s="48"/>
      <c r="CR218" s="48" t="s">
        <v>3014</v>
      </c>
      <c r="CS218" s="48"/>
      <c r="CT218" s="48" t="s">
        <v>3866</v>
      </c>
      <c r="CU218" s="50">
        <v>217.0</v>
      </c>
    </row>
    <row r="219">
      <c r="A219" s="47">
        <v>46100.85002371528</v>
      </c>
      <c r="B219" s="47">
        <v>46100.85214577546</v>
      </c>
      <c r="C219" s="48" t="s">
        <v>3867</v>
      </c>
      <c r="D219" s="48" t="s">
        <v>1923</v>
      </c>
      <c r="E219" s="48" t="s">
        <v>1924</v>
      </c>
      <c r="F219" s="48" t="s">
        <v>2209</v>
      </c>
      <c r="G219" s="49" t="s">
        <v>2376</v>
      </c>
      <c r="H219" s="48" t="s">
        <v>2947</v>
      </c>
      <c r="I219" s="50">
        <v>1.0</v>
      </c>
      <c r="J219" s="50">
        <v>0.0</v>
      </c>
      <c r="K219" s="50">
        <v>0.0</v>
      </c>
      <c r="L219" s="50">
        <v>0.0</v>
      </c>
      <c r="M219" s="50">
        <v>0.0</v>
      </c>
      <c r="N219" s="50">
        <v>0.0</v>
      </c>
      <c r="O219" s="50">
        <v>0.0</v>
      </c>
      <c r="P219" s="50">
        <v>0.0</v>
      </c>
      <c r="Q219" s="50">
        <v>0.0</v>
      </c>
      <c r="R219" s="48" t="s">
        <v>2947</v>
      </c>
      <c r="S219" s="50">
        <v>1.0</v>
      </c>
      <c r="T219" s="50">
        <v>0.0</v>
      </c>
      <c r="U219" s="50">
        <v>0.0</v>
      </c>
      <c r="V219" s="50">
        <v>0.0</v>
      </c>
      <c r="W219" s="50">
        <v>0.0</v>
      </c>
      <c r="X219" s="50">
        <v>0.0</v>
      </c>
      <c r="Y219" s="50">
        <v>0.0</v>
      </c>
      <c r="Z219" s="50">
        <v>0.0</v>
      </c>
      <c r="AA219" s="50">
        <v>0.0</v>
      </c>
      <c r="AB219" s="48" t="s">
        <v>2947</v>
      </c>
      <c r="AC219" s="50">
        <v>1.0</v>
      </c>
      <c r="AD219" s="50">
        <v>0.0</v>
      </c>
      <c r="AE219" s="50">
        <v>0.0</v>
      </c>
      <c r="AF219" s="50">
        <v>0.0</v>
      </c>
      <c r="AG219" s="50">
        <v>0.0</v>
      </c>
      <c r="AH219" s="50">
        <v>0.0</v>
      </c>
      <c r="AI219" s="50">
        <v>0.0</v>
      </c>
      <c r="AJ219" s="50">
        <v>0.0</v>
      </c>
      <c r="AK219" s="50">
        <v>0.0</v>
      </c>
      <c r="AL219" s="48"/>
      <c r="AM219" s="50">
        <v>7.0</v>
      </c>
      <c r="AN219" s="48"/>
      <c r="AO219" s="48"/>
      <c r="AP219" s="48"/>
      <c r="AQ219" s="48"/>
      <c r="AR219" s="48"/>
      <c r="AS219" s="48"/>
      <c r="AT219" s="48"/>
      <c r="AU219" s="48"/>
      <c r="AV219" s="50">
        <v>3.0</v>
      </c>
      <c r="AW219" s="48"/>
      <c r="AX219" s="48"/>
      <c r="AY219" s="48"/>
      <c r="AZ219" s="48"/>
      <c r="BA219" s="48"/>
      <c r="BB219" s="48"/>
      <c r="BC219" s="48"/>
      <c r="BD219" s="50">
        <v>4.0</v>
      </c>
      <c r="BE219" s="50">
        <v>0.0</v>
      </c>
      <c r="BF219" s="50">
        <v>0.0</v>
      </c>
      <c r="BG219" s="50">
        <v>0.0</v>
      </c>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50">
        <v>7.01328139E8</v>
      </c>
      <c r="CL219" s="48" t="s">
        <v>3868</v>
      </c>
      <c r="CM219" s="47">
        <v>46100.51881944444</v>
      </c>
      <c r="CN219" s="48"/>
      <c r="CO219" s="48"/>
      <c r="CP219" s="48" t="s">
        <v>1954</v>
      </c>
      <c r="CQ219" s="48"/>
      <c r="CR219" s="48" t="s">
        <v>3014</v>
      </c>
      <c r="CS219" s="48"/>
      <c r="CT219" s="48" t="s">
        <v>3869</v>
      </c>
      <c r="CU219" s="50">
        <v>218.0</v>
      </c>
    </row>
    <row r="220">
      <c r="A220" s="47">
        <v>46100.85214607639</v>
      </c>
      <c r="B220" s="47">
        <v>46101.41440037037</v>
      </c>
      <c r="C220" s="48" t="s">
        <v>3870</v>
      </c>
      <c r="D220" s="48" t="s">
        <v>1923</v>
      </c>
      <c r="E220" s="48" t="s">
        <v>1924</v>
      </c>
      <c r="F220" s="48" t="s">
        <v>2447</v>
      </c>
      <c r="G220" s="49" t="s">
        <v>2553</v>
      </c>
      <c r="H220" s="48" t="s">
        <v>3871</v>
      </c>
      <c r="I220" s="50">
        <v>1.0</v>
      </c>
      <c r="J220" s="50">
        <v>0.0</v>
      </c>
      <c r="K220" s="50">
        <v>0.0</v>
      </c>
      <c r="L220" s="50">
        <v>0.0</v>
      </c>
      <c r="M220" s="50">
        <v>1.0</v>
      </c>
      <c r="N220" s="50">
        <v>1.0</v>
      </c>
      <c r="O220" s="50">
        <v>1.0</v>
      </c>
      <c r="P220" s="50">
        <v>1.0</v>
      </c>
      <c r="Q220" s="50">
        <v>0.0</v>
      </c>
      <c r="R220" s="48" t="s">
        <v>3369</v>
      </c>
      <c r="S220" s="50">
        <v>1.0</v>
      </c>
      <c r="T220" s="50">
        <v>0.0</v>
      </c>
      <c r="U220" s="50">
        <v>0.0</v>
      </c>
      <c r="V220" s="50">
        <v>0.0</v>
      </c>
      <c r="W220" s="50">
        <v>0.0</v>
      </c>
      <c r="X220" s="50">
        <v>0.0</v>
      </c>
      <c r="Y220" s="50">
        <v>1.0</v>
      </c>
      <c r="Z220" s="50">
        <v>0.0</v>
      </c>
      <c r="AA220" s="50">
        <v>0.0</v>
      </c>
      <c r="AB220" s="48" t="s">
        <v>3369</v>
      </c>
      <c r="AC220" s="50">
        <v>1.0</v>
      </c>
      <c r="AD220" s="50">
        <v>0.0</v>
      </c>
      <c r="AE220" s="50">
        <v>0.0</v>
      </c>
      <c r="AF220" s="50">
        <v>0.0</v>
      </c>
      <c r="AG220" s="50">
        <v>0.0</v>
      </c>
      <c r="AH220" s="50">
        <v>0.0</v>
      </c>
      <c r="AI220" s="50">
        <v>1.0</v>
      </c>
      <c r="AJ220" s="50">
        <v>0.0</v>
      </c>
      <c r="AK220" s="50">
        <v>0.0</v>
      </c>
      <c r="AL220" s="48"/>
      <c r="AM220" s="50">
        <v>8.0</v>
      </c>
      <c r="AN220" s="48"/>
      <c r="AO220" s="48"/>
      <c r="AP220" s="48"/>
      <c r="AQ220" s="50">
        <v>5.0</v>
      </c>
      <c r="AR220" s="50">
        <v>8.0</v>
      </c>
      <c r="AS220" s="50">
        <v>5.0</v>
      </c>
      <c r="AT220" s="50">
        <v>3.0</v>
      </c>
      <c r="AU220" s="48"/>
      <c r="AV220" s="50">
        <v>3.0</v>
      </c>
      <c r="AW220" s="48"/>
      <c r="AX220" s="48"/>
      <c r="AY220" s="48"/>
      <c r="AZ220" s="48"/>
      <c r="BA220" s="48"/>
      <c r="BB220" s="50">
        <v>10.0</v>
      </c>
      <c r="BC220" s="48"/>
      <c r="BD220" s="50">
        <v>5.0</v>
      </c>
      <c r="BE220" s="50">
        <v>0.0</v>
      </c>
      <c r="BF220" s="50">
        <v>0.0</v>
      </c>
      <c r="BG220" s="50">
        <v>0.0</v>
      </c>
      <c r="BH220" s="48"/>
      <c r="BI220" s="48"/>
      <c r="BJ220" s="48"/>
      <c r="BK220" s="48"/>
      <c r="BL220" s="48"/>
      <c r="BM220" s="48"/>
      <c r="BN220" s="48"/>
      <c r="BO220" s="48"/>
      <c r="BP220" s="48"/>
      <c r="BQ220" s="48"/>
      <c r="BR220" s="48"/>
      <c r="BS220" s="48"/>
      <c r="BT220" s="48"/>
      <c r="BU220" s="48"/>
      <c r="BV220" s="48"/>
      <c r="BW220" s="48"/>
      <c r="BX220" s="48"/>
      <c r="BY220" s="48"/>
      <c r="BZ220" s="48"/>
      <c r="CA220" s="48"/>
      <c r="CB220" s="50">
        <v>0.0</v>
      </c>
      <c r="CC220" s="50">
        <v>0.0</v>
      </c>
      <c r="CD220" s="50">
        <v>5.0</v>
      </c>
      <c r="CE220" s="50">
        <v>0.0</v>
      </c>
      <c r="CF220" s="48"/>
      <c r="CG220" s="48"/>
      <c r="CH220" s="48"/>
      <c r="CI220" s="48"/>
      <c r="CJ220" s="48"/>
      <c r="CK220" s="50">
        <v>7.01848354E8</v>
      </c>
      <c r="CL220" s="48" t="s">
        <v>3872</v>
      </c>
      <c r="CM220" s="47">
        <v>46101.08107638889</v>
      </c>
      <c r="CN220" s="48"/>
      <c r="CO220" s="48"/>
      <c r="CP220" s="48" t="s">
        <v>1954</v>
      </c>
      <c r="CQ220" s="48"/>
      <c r="CR220" s="48" t="s">
        <v>3014</v>
      </c>
      <c r="CS220" s="48"/>
      <c r="CT220" s="48" t="s">
        <v>3873</v>
      </c>
      <c r="CU220" s="50">
        <v>219.0</v>
      </c>
    </row>
    <row r="221">
      <c r="A221" s="47">
        <v>46101.4144006713</v>
      </c>
      <c r="B221" s="47">
        <v>46101.42371931713</v>
      </c>
      <c r="C221" s="48" t="s">
        <v>2388</v>
      </c>
      <c r="D221" s="48" t="s">
        <v>1923</v>
      </c>
      <c r="E221" s="48" t="s">
        <v>1924</v>
      </c>
      <c r="F221" s="48" t="s">
        <v>2088</v>
      </c>
      <c r="G221" s="49" t="s">
        <v>2390</v>
      </c>
      <c r="H221" s="48" t="s">
        <v>3369</v>
      </c>
      <c r="I221" s="50">
        <v>1.0</v>
      </c>
      <c r="J221" s="50">
        <v>0.0</v>
      </c>
      <c r="K221" s="50">
        <v>0.0</v>
      </c>
      <c r="L221" s="50">
        <v>0.0</v>
      </c>
      <c r="M221" s="50">
        <v>0.0</v>
      </c>
      <c r="N221" s="50">
        <v>0.0</v>
      </c>
      <c r="O221" s="50">
        <v>1.0</v>
      </c>
      <c r="P221" s="50">
        <v>0.0</v>
      </c>
      <c r="Q221" s="50">
        <v>0.0</v>
      </c>
      <c r="R221" s="48" t="s">
        <v>3369</v>
      </c>
      <c r="S221" s="50">
        <v>1.0</v>
      </c>
      <c r="T221" s="50">
        <v>0.0</v>
      </c>
      <c r="U221" s="50">
        <v>0.0</v>
      </c>
      <c r="V221" s="50">
        <v>0.0</v>
      </c>
      <c r="W221" s="50">
        <v>0.0</v>
      </c>
      <c r="X221" s="50">
        <v>0.0</v>
      </c>
      <c r="Y221" s="50">
        <v>1.0</v>
      </c>
      <c r="Z221" s="50">
        <v>0.0</v>
      </c>
      <c r="AA221" s="50">
        <v>0.0</v>
      </c>
      <c r="AB221" s="48" t="s">
        <v>3369</v>
      </c>
      <c r="AC221" s="50">
        <v>1.0</v>
      </c>
      <c r="AD221" s="50">
        <v>0.0</v>
      </c>
      <c r="AE221" s="50">
        <v>0.0</v>
      </c>
      <c r="AF221" s="50">
        <v>0.0</v>
      </c>
      <c r="AG221" s="50">
        <v>0.0</v>
      </c>
      <c r="AH221" s="50">
        <v>0.0</v>
      </c>
      <c r="AI221" s="50">
        <v>1.0</v>
      </c>
      <c r="AJ221" s="50">
        <v>0.0</v>
      </c>
      <c r="AK221" s="50">
        <v>0.0</v>
      </c>
      <c r="AL221" s="48"/>
      <c r="AM221" s="50">
        <v>2.0</v>
      </c>
      <c r="AN221" s="48"/>
      <c r="AO221" s="48"/>
      <c r="AP221" s="48"/>
      <c r="AQ221" s="48"/>
      <c r="AR221" s="48"/>
      <c r="AS221" s="50">
        <v>5.0</v>
      </c>
      <c r="AT221" s="48"/>
      <c r="AU221" s="48"/>
      <c r="AV221" s="50">
        <v>0.0</v>
      </c>
      <c r="AW221" s="48"/>
      <c r="AX221" s="48"/>
      <c r="AY221" s="48"/>
      <c r="AZ221" s="48"/>
      <c r="BA221" s="48"/>
      <c r="BB221" s="50">
        <v>5.0</v>
      </c>
      <c r="BC221" s="48"/>
      <c r="BD221" s="50">
        <v>2.0</v>
      </c>
      <c r="BE221" s="50">
        <v>0.0</v>
      </c>
      <c r="BF221" s="50">
        <v>0.0</v>
      </c>
      <c r="BG221" s="50">
        <v>0.0</v>
      </c>
      <c r="BH221" s="48"/>
      <c r="BI221" s="48"/>
      <c r="BJ221" s="48"/>
      <c r="BK221" s="48"/>
      <c r="BL221" s="48"/>
      <c r="BM221" s="48"/>
      <c r="BN221" s="48"/>
      <c r="BO221" s="48"/>
      <c r="BP221" s="48"/>
      <c r="BQ221" s="48"/>
      <c r="BR221" s="48"/>
      <c r="BS221" s="48"/>
      <c r="BT221" s="48"/>
      <c r="BU221" s="48"/>
      <c r="BV221" s="48"/>
      <c r="BW221" s="48"/>
      <c r="BX221" s="48"/>
      <c r="BY221" s="48"/>
      <c r="BZ221" s="48"/>
      <c r="CA221" s="48"/>
      <c r="CB221" s="50">
        <v>0.0</v>
      </c>
      <c r="CC221" s="50">
        <v>0.0</v>
      </c>
      <c r="CD221" s="50">
        <v>0.0</v>
      </c>
      <c r="CE221" s="50">
        <v>0.0</v>
      </c>
      <c r="CF221" s="48"/>
      <c r="CG221" s="48"/>
      <c r="CH221" s="48"/>
      <c r="CI221" s="48"/>
      <c r="CJ221" s="48"/>
      <c r="CK221" s="50">
        <v>7.01853984E8</v>
      </c>
      <c r="CL221" s="48" t="s">
        <v>3874</v>
      </c>
      <c r="CM221" s="47">
        <v>46101.09039351852</v>
      </c>
      <c r="CN221" s="48"/>
      <c r="CO221" s="48"/>
      <c r="CP221" s="48" t="s">
        <v>1954</v>
      </c>
      <c r="CQ221" s="48"/>
      <c r="CR221" s="48" t="s">
        <v>3014</v>
      </c>
      <c r="CS221" s="48"/>
      <c r="CT221" s="48" t="s">
        <v>3875</v>
      </c>
      <c r="CU221" s="50">
        <v>220.0</v>
      </c>
    </row>
    <row r="222">
      <c r="A222" s="47">
        <v>46101.42371987268</v>
      </c>
      <c r="B222" s="47">
        <v>46101.4290030324</v>
      </c>
      <c r="C222" s="48" t="s">
        <v>2415</v>
      </c>
      <c r="D222" s="48" t="s">
        <v>1923</v>
      </c>
      <c r="E222" s="48" t="s">
        <v>1924</v>
      </c>
      <c r="F222" s="48" t="s">
        <v>2209</v>
      </c>
      <c r="G222" s="49" t="s">
        <v>2418</v>
      </c>
      <c r="H222" s="48" t="s">
        <v>2947</v>
      </c>
      <c r="I222" s="50">
        <v>1.0</v>
      </c>
      <c r="J222" s="50">
        <v>0.0</v>
      </c>
      <c r="K222" s="50">
        <v>0.0</v>
      </c>
      <c r="L222" s="50">
        <v>0.0</v>
      </c>
      <c r="M222" s="50">
        <v>0.0</v>
      </c>
      <c r="N222" s="50">
        <v>0.0</v>
      </c>
      <c r="O222" s="50">
        <v>0.0</v>
      </c>
      <c r="P222" s="50">
        <v>0.0</v>
      </c>
      <c r="Q222" s="50">
        <v>0.0</v>
      </c>
      <c r="R222" s="48" t="s">
        <v>2947</v>
      </c>
      <c r="S222" s="50">
        <v>1.0</v>
      </c>
      <c r="T222" s="50">
        <v>0.0</v>
      </c>
      <c r="U222" s="50">
        <v>0.0</v>
      </c>
      <c r="V222" s="50">
        <v>0.0</v>
      </c>
      <c r="W222" s="50">
        <v>0.0</v>
      </c>
      <c r="X222" s="50">
        <v>0.0</v>
      </c>
      <c r="Y222" s="50">
        <v>0.0</v>
      </c>
      <c r="Z222" s="50">
        <v>0.0</v>
      </c>
      <c r="AA222" s="50">
        <v>0.0</v>
      </c>
      <c r="AB222" s="48" t="s">
        <v>2947</v>
      </c>
      <c r="AC222" s="50">
        <v>1.0</v>
      </c>
      <c r="AD222" s="50">
        <v>0.0</v>
      </c>
      <c r="AE222" s="50">
        <v>0.0</v>
      </c>
      <c r="AF222" s="50">
        <v>0.0</v>
      </c>
      <c r="AG222" s="50">
        <v>0.0</v>
      </c>
      <c r="AH222" s="50">
        <v>0.0</v>
      </c>
      <c r="AI222" s="50">
        <v>0.0</v>
      </c>
      <c r="AJ222" s="50">
        <v>0.0</v>
      </c>
      <c r="AK222" s="50">
        <v>0.0</v>
      </c>
      <c r="AL222" s="48"/>
      <c r="AM222" s="50">
        <v>4.0</v>
      </c>
      <c r="AN222" s="48"/>
      <c r="AO222" s="48"/>
      <c r="AP222" s="48"/>
      <c r="AQ222" s="48"/>
      <c r="AR222" s="48"/>
      <c r="AS222" s="48"/>
      <c r="AT222" s="48"/>
      <c r="AU222" s="48"/>
      <c r="AV222" s="50">
        <v>0.0</v>
      </c>
      <c r="AW222" s="48"/>
      <c r="AX222" s="48"/>
      <c r="AY222" s="48"/>
      <c r="AZ222" s="48"/>
      <c r="BA222" s="48"/>
      <c r="BB222" s="48"/>
      <c r="BC222" s="48"/>
      <c r="BD222" s="50">
        <v>3.0</v>
      </c>
      <c r="BE222" s="50">
        <v>0.0</v>
      </c>
      <c r="BF222" s="50">
        <v>0.0</v>
      </c>
      <c r="BG222" s="50">
        <v>1.0</v>
      </c>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50">
        <v>7.01856153E8</v>
      </c>
      <c r="CL222" s="48" t="s">
        <v>3876</v>
      </c>
      <c r="CM222" s="47">
        <v>46101.09568287037</v>
      </c>
      <c r="CN222" s="48"/>
      <c r="CO222" s="48"/>
      <c r="CP222" s="48" t="s">
        <v>1954</v>
      </c>
      <c r="CQ222" s="48"/>
      <c r="CR222" s="48" t="s">
        <v>3014</v>
      </c>
      <c r="CS222" s="48"/>
      <c r="CT222" s="48" t="s">
        <v>3877</v>
      </c>
      <c r="CU222" s="50">
        <v>221.0</v>
      </c>
    </row>
    <row r="223">
      <c r="A223" s="47">
        <v>46101.42900363426</v>
      </c>
      <c r="B223" s="47">
        <v>46101.4310908912</v>
      </c>
      <c r="C223" s="48" t="s">
        <v>3878</v>
      </c>
      <c r="D223" s="48" t="s">
        <v>1923</v>
      </c>
      <c r="E223" s="48" t="s">
        <v>1924</v>
      </c>
      <c r="F223" s="48" t="s">
        <v>2088</v>
      </c>
      <c r="G223" s="49" t="s">
        <v>2463</v>
      </c>
      <c r="H223" s="48" t="s">
        <v>3369</v>
      </c>
      <c r="I223" s="50">
        <v>1.0</v>
      </c>
      <c r="J223" s="50">
        <v>0.0</v>
      </c>
      <c r="K223" s="50">
        <v>0.0</v>
      </c>
      <c r="L223" s="50">
        <v>0.0</v>
      </c>
      <c r="M223" s="50">
        <v>0.0</v>
      </c>
      <c r="N223" s="50">
        <v>0.0</v>
      </c>
      <c r="O223" s="50">
        <v>1.0</v>
      </c>
      <c r="P223" s="50">
        <v>0.0</v>
      </c>
      <c r="Q223" s="50">
        <v>0.0</v>
      </c>
      <c r="R223" s="48" t="s">
        <v>3369</v>
      </c>
      <c r="S223" s="50">
        <v>1.0</v>
      </c>
      <c r="T223" s="50">
        <v>0.0</v>
      </c>
      <c r="U223" s="50">
        <v>0.0</v>
      </c>
      <c r="V223" s="50">
        <v>0.0</v>
      </c>
      <c r="W223" s="50">
        <v>0.0</v>
      </c>
      <c r="X223" s="50">
        <v>0.0</v>
      </c>
      <c r="Y223" s="50">
        <v>1.0</v>
      </c>
      <c r="Z223" s="50">
        <v>0.0</v>
      </c>
      <c r="AA223" s="50">
        <v>0.0</v>
      </c>
      <c r="AB223" s="48" t="s">
        <v>999</v>
      </c>
      <c r="AC223" s="50">
        <v>0.0</v>
      </c>
      <c r="AD223" s="50">
        <v>0.0</v>
      </c>
      <c r="AE223" s="50">
        <v>0.0</v>
      </c>
      <c r="AF223" s="50">
        <v>0.0</v>
      </c>
      <c r="AG223" s="50">
        <v>0.0</v>
      </c>
      <c r="AH223" s="50">
        <v>0.0</v>
      </c>
      <c r="AI223" s="50">
        <v>0.0</v>
      </c>
      <c r="AJ223" s="50">
        <v>0.0</v>
      </c>
      <c r="AK223" s="50">
        <v>1.0</v>
      </c>
      <c r="AL223" s="48"/>
      <c r="AM223" s="50">
        <v>1.0</v>
      </c>
      <c r="AN223" s="48"/>
      <c r="AO223" s="48"/>
      <c r="AP223" s="48"/>
      <c r="AQ223" s="48"/>
      <c r="AR223" s="48"/>
      <c r="AS223" s="50">
        <v>15.0</v>
      </c>
      <c r="AT223" s="48"/>
      <c r="AU223" s="48"/>
      <c r="AV223" s="50">
        <v>1.0</v>
      </c>
      <c r="AW223" s="48"/>
      <c r="AX223" s="48"/>
      <c r="AY223" s="48"/>
      <c r="AZ223" s="48"/>
      <c r="BA223" s="48"/>
      <c r="BB223" s="50">
        <v>15.0</v>
      </c>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50">
        <v>7.01857057E8</v>
      </c>
      <c r="CL223" s="48" t="s">
        <v>3879</v>
      </c>
      <c r="CM223" s="47">
        <v>46101.09777777778</v>
      </c>
      <c r="CN223" s="48"/>
      <c r="CO223" s="48"/>
      <c r="CP223" s="48" t="s">
        <v>1954</v>
      </c>
      <c r="CQ223" s="48"/>
      <c r="CR223" s="48" t="s">
        <v>3014</v>
      </c>
      <c r="CS223" s="48"/>
      <c r="CT223" s="48" t="s">
        <v>3880</v>
      </c>
      <c r="CU223" s="50">
        <v>222.0</v>
      </c>
    </row>
    <row r="224">
      <c r="A224" s="47">
        <v>46101.43109116898</v>
      </c>
      <c r="B224" s="47">
        <v>46101.43412996528</v>
      </c>
      <c r="C224" s="48" t="s">
        <v>2868</v>
      </c>
      <c r="D224" s="48" t="s">
        <v>1923</v>
      </c>
      <c r="E224" s="48" t="s">
        <v>2871</v>
      </c>
      <c r="F224" s="48" t="s">
        <v>3881</v>
      </c>
      <c r="G224" s="49" t="s">
        <v>2874</v>
      </c>
      <c r="H224" s="48" t="s">
        <v>2947</v>
      </c>
      <c r="I224" s="50">
        <v>1.0</v>
      </c>
      <c r="J224" s="50">
        <v>0.0</v>
      </c>
      <c r="K224" s="50">
        <v>0.0</v>
      </c>
      <c r="L224" s="50">
        <v>0.0</v>
      </c>
      <c r="M224" s="50">
        <v>0.0</v>
      </c>
      <c r="N224" s="50">
        <v>0.0</v>
      </c>
      <c r="O224" s="50">
        <v>0.0</v>
      </c>
      <c r="P224" s="50">
        <v>0.0</v>
      </c>
      <c r="Q224" s="50">
        <v>0.0</v>
      </c>
      <c r="R224" s="48" t="s">
        <v>2947</v>
      </c>
      <c r="S224" s="50">
        <v>1.0</v>
      </c>
      <c r="T224" s="50">
        <v>0.0</v>
      </c>
      <c r="U224" s="50">
        <v>0.0</v>
      </c>
      <c r="V224" s="50">
        <v>0.0</v>
      </c>
      <c r="W224" s="50">
        <v>0.0</v>
      </c>
      <c r="X224" s="50">
        <v>0.0</v>
      </c>
      <c r="Y224" s="50">
        <v>0.0</v>
      </c>
      <c r="Z224" s="50">
        <v>0.0</v>
      </c>
      <c r="AA224" s="50">
        <v>0.0</v>
      </c>
      <c r="AB224" s="48" t="s">
        <v>999</v>
      </c>
      <c r="AC224" s="50">
        <v>0.0</v>
      </c>
      <c r="AD224" s="50">
        <v>0.0</v>
      </c>
      <c r="AE224" s="50">
        <v>0.0</v>
      </c>
      <c r="AF224" s="50">
        <v>0.0</v>
      </c>
      <c r="AG224" s="50">
        <v>0.0</v>
      </c>
      <c r="AH224" s="50">
        <v>0.0</v>
      </c>
      <c r="AI224" s="50">
        <v>0.0</v>
      </c>
      <c r="AJ224" s="50">
        <v>0.0</v>
      </c>
      <c r="AK224" s="50">
        <v>1.0</v>
      </c>
      <c r="AL224" s="48"/>
      <c r="AM224" s="50">
        <v>4.0</v>
      </c>
      <c r="AN224" s="48"/>
      <c r="AO224" s="48"/>
      <c r="AP224" s="48"/>
      <c r="AQ224" s="48"/>
      <c r="AR224" s="48"/>
      <c r="AS224" s="48"/>
      <c r="AT224" s="48"/>
      <c r="AU224" s="48"/>
      <c r="AV224" s="50">
        <v>4.0</v>
      </c>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50">
        <v>7.01858129E8</v>
      </c>
      <c r="CL224" s="48" t="s">
        <v>3882</v>
      </c>
      <c r="CM224" s="47">
        <v>46101.10082175926</v>
      </c>
      <c r="CN224" s="48"/>
      <c r="CO224" s="48"/>
      <c r="CP224" s="48" t="s">
        <v>1954</v>
      </c>
      <c r="CQ224" s="48"/>
      <c r="CR224" s="48" t="s">
        <v>3014</v>
      </c>
      <c r="CS224" s="48"/>
      <c r="CT224" s="48" t="s">
        <v>3883</v>
      </c>
      <c r="CU224" s="50">
        <v>223.0</v>
      </c>
    </row>
    <row r="225">
      <c r="A225" s="47">
        <v>46101.43413030093</v>
      </c>
      <c r="B225" s="47">
        <v>46101.44050994213</v>
      </c>
      <c r="C225" s="48" t="s">
        <v>3884</v>
      </c>
      <c r="D225" s="48" t="s">
        <v>1923</v>
      </c>
      <c r="E225" s="48" t="s">
        <v>1924</v>
      </c>
      <c r="F225" s="48" t="s">
        <v>2447</v>
      </c>
      <c r="G225" s="49" t="s">
        <v>2523</v>
      </c>
      <c r="H225" s="48" t="s">
        <v>3711</v>
      </c>
      <c r="I225" s="50">
        <v>1.0</v>
      </c>
      <c r="J225" s="50">
        <v>0.0</v>
      </c>
      <c r="K225" s="50">
        <v>0.0</v>
      </c>
      <c r="L225" s="50">
        <v>0.0</v>
      </c>
      <c r="M225" s="50">
        <v>0.0</v>
      </c>
      <c r="N225" s="50">
        <v>0.0</v>
      </c>
      <c r="O225" s="50">
        <v>1.0</v>
      </c>
      <c r="P225" s="50">
        <v>1.0</v>
      </c>
      <c r="Q225" s="50">
        <v>0.0</v>
      </c>
      <c r="R225" s="48" t="s">
        <v>3711</v>
      </c>
      <c r="S225" s="50">
        <v>1.0</v>
      </c>
      <c r="T225" s="50">
        <v>0.0</v>
      </c>
      <c r="U225" s="50">
        <v>0.0</v>
      </c>
      <c r="V225" s="50">
        <v>0.0</v>
      </c>
      <c r="W225" s="50">
        <v>0.0</v>
      </c>
      <c r="X225" s="50">
        <v>0.0</v>
      </c>
      <c r="Y225" s="50">
        <v>1.0</v>
      </c>
      <c r="Z225" s="50">
        <v>1.0</v>
      </c>
      <c r="AA225" s="50">
        <v>0.0</v>
      </c>
      <c r="AB225" s="48" t="s">
        <v>3835</v>
      </c>
      <c r="AC225" s="50">
        <v>0.0</v>
      </c>
      <c r="AD225" s="50">
        <v>0.0</v>
      </c>
      <c r="AE225" s="50">
        <v>0.0</v>
      </c>
      <c r="AF225" s="50">
        <v>0.0</v>
      </c>
      <c r="AG225" s="50">
        <v>0.0</v>
      </c>
      <c r="AH225" s="50">
        <v>0.0</v>
      </c>
      <c r="AI225" s="50">
        <v>1.0</v>
      </c>
      <c r="AJ225" s="50">
        <v>1.0</v>
      </c>
      <c r="AK225" s="50">
        <v>0.0</v>
      </c>
      <c r="AL225" s="48"/>
      <c r="AM225" s="50">
        <v>10.0</v>
      </c>
      <c r="AN225" s="48"/>
      <c r="AO225" s="48"/>
      <c r="AP225" s="48"/>
      <c r="AQ225" s="48"/>
      <c r="AR225" s="48"/>
      <c r="AS225" s="50">
        <v>30.0</v>
      </c>
      <c r="AT225" s="50">
        <v>10.0</v>
      </c>
      <c r="AU225" s="48"/>
      <c r="AV225" s="50">
        <v>10.0</v>
      </c>
      <c r="AW225" s="48"/>
      <c r="AX225" s="48"/>
      <c r="AY225" s="48"/>
      <c r="AZ225" s="48"/>
      <c r="BA225" s="48"/>
      <c r="BB225" s="50">
        <v>60.0</v>
      </c>
      <c r="BC225" s="50">
        <v>10.0</v>
      </c>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50">
        <v>0.0</v>
      </c>
      <c r="CC225" s="50">
        <v>0.0</v>
      </c>
      <c r="CD225" s="50">
        <v>0.0</v>
      </c>
      <c r="CE225" s="50">
        <v>40.0</v>
      </c>
      <c r="CF225" s="50">
        <v>0.0</v>
      </c>
      <c r="CG225" s="50">
        <v>0.0</v>
      </c>
      <c r="CH225" s="50">
        <v>0.0</v>
      </c>
      <c r="CI225" s="50">
        <v>0.0</v>
      </c>
      <c r="CJ225" s="48"/>
      <c r="CK225" s="50">
        <v>7.01860686E8</v>
      </c>
      <c r="CL225" s="48" t="s">
        <v>3885</v>
      </c>
      <c r="CM225" s="47">
        <v>46101.1071875</v>
      </c>
      <c r="CN225" s="48"/>
      <c r="CO225" s="48"/>
      <c r="CP225" s="48" t="s">
        <v>1954</v>
      </c>
      <c r="CQ225" s="48"/>
      <c r="CR225" s="48" t="s">
        <v>3014</v>
      </c>
      <c r="CS225" s="48"/>
      <c r="CT225" s="48" t="s">
        <v>3886</v>
      </c>
      <c r="CU225" s="50">
        <v>224.0</v>
      </c>
    </row>
    <row r="226">
      <c r="A226" s="47">
        <v>46101.44051045139</v>
      </c>
      <c r="B226" s="47">
        <v>46101.44805425926</v>
      </c>
      <c r="C226" s="48" t="s">
        <v>2353</v>
      </c>
      <c r="D226" s="48" t="s">
        <v>1923</v>
      </c>
      <c r="E226" s="48" t="s">
        <v>1924</v>
      </c>
      <c r="F226" s="48" t="s">
        <v>2209</v>
      </c>
      <c r="G226" s="49" t="s">
        <v>2355</v>
      </c>
      <c r="H226" s="48" t="s">
        <v>3369</v>
      </c>
      <c r="I226" s="50">
        <v>1.0</v>
      </c>
      <c r="J226" s="50">
        <v>0.0</v>
      </c>
      <c r="K226" s="50">
        <v>0.0</v>
      </c>
      <c r="L226" s="50">
        <v>0.0</v>
      </c>
      <c r="M226" s="50">
        <v>0.0</v>
      </c>
      <c r="N226" s="50">
        <v>0.0</v>
      </c>
      <c r="O226" s="50">
        <v>1.0</v>
      </c>
      <c r="P226" s="50">
        <v>0.0</v>
      </c>
      <c r="Q226" s="50">
        <v>0.0</v>
      </c>
      <c r="R226" s="48" t="s">
        <v>999</v>
      </c>
      <c r="S226" s="50">
        <v>0.0</v>
      </c>
      <c r="T226" s="50">
        <v>0.0</v>
      </c>
      <c r="U226" s="50">
        <v>0.0</v>
      </c>
      <c r="V226" s="50">
        <v>0.0</v>
      </c>
      <c r="W226" s="50">
        <v>0.0</v>
      </c>
      <c r="X226" s="50">
        <v>0.0</v>
      </c>
      <c r="Y226" s="50">
        <v>0.0</v>
      </c>
      <c r="Z226" s="50">
        <v>0.0</v>
      </c>
      <c r="AA226" s="50">
        <v>1.0</v>
      </c>
      <c r="AB226" s="48" t="s">
        <v>3369</v>
      </c>
      <c r="AC226" s="50">
        <v>1.0</v>
      </c>
      <c r="AD226" s="50">
        <v>0.0</v>
      </c>
      <c r="AE226" s="50">
        <v>0.0</v>
      </c>
      <c r="AF226" s="50">
        <v>0.0</v>
      </c>
      <c r="AG226" s="50">
        <v>0.0</v>
      </c>
      <c r="AH226" s="50">
        <v>0.0</v>
      </c>
      <c r="AI226" s="50">
        <v>1.0</v>
      </c>
      <c r="AJ226" s="50">
        <v>0.0</v>
      </c>
      <c r="AK226" s="50">
        <v>0.0</v>
      </c>
      <c r="AL226" s="48"/>
      <c r="AM226" s="50">
        <v>7.0</v>
      </c>
      <c r="AN226" s="48"/>
      <c r="AO226" s="48"/>
      <c r="AP226" s="48"/>
      <c r="AQ226" s="48"/>
      <c r="AR226" s="48"/>
      <c r="AS226" s="50">
        <v>10.0</v>
      </c>
      <c r="AT226" s="48"/>
      <c r="AU226" s="48"/>
      <c r="AV226" s="48"/>
      <c r="AW226" s="48"/>
      <c r="AX226" s="48"/>
      <c r="AY226" s="48"/>
      <c r="AZ226" s="48"/>
      <c r="BA226" s="48"/>
      <c r="BB226" s="48"/>
      <c r="BC226" s="48"/>
      <c r="BD226" s="50">
        <v>5.0</v>
      </c>
      <c r="BE226" s="50">
        <v>0.0</v>
      </c>
      <c r="BF226" s="50">
        <v>0.0</v>
      </c>
      <c r="BG226" s="50">
        <v>0.0</v>
      </c>
      <c r="BH226" s="48"/>
      <c r="BI226" s="48"/>
      <c r="BJ226" s="48"/>
      <c r="BK226" s="48"/>
      <c r="BL226" s="48"/>
      <c r="BM226" s="48"/>
      <c r="BN226" s="48"/>
      <c r="BO226" s="48"/>
      <c r="BP226" s="48"/>
      <c r="BQ226" s="48"/>
      <c r="BR226" s="48"/>
      <c r="BS226" s="48"/>
      <c r="BT226" s="48"/>
      <c r="BU226" s="48"/>
      <c r="BV226" s="48"/>
      <c r="BW226" s="48"/>
      <c r="BX226" s="48"/>
      <c r="BY226" s="48"/>
      <c r="BZ226" s="48"/>
      <c r="CA226" s="48"/>
      <c r="CB226" s="50">
        <v>0.0</v>
      </c>
      <c r="CC226" s="50">
        <v>0.0</v>
      </c>
      <c r="CD226" s="50">
        <v>0.0</v>
      </c>
      <c r="CE226" s="50">
        <v>0.0</v>
      </c>
      <c r="CF226" s="48"/>
      <c r="CG226" s="48"/>
      <c r="CH226" s="48"/>
      <c r="CI226" s="48"/>
      <c r="CJ226" s="48"/>
      <c r="CK226" s="50">
        <v>7.01863762E8</v>
      </c>
      <c r="CL226" s="48" t="s">
        <v>3887</v>
      </c>
      <c r="CM226" s="47">
        <v>46101.1147337963</v>
      </c>
      <c r="CN226" s="48"/>
      <c r="CO226" s="48"/>
      <c r="CP226" s="48" t="s">
        <v>1954</v>
      </c>
      <c r="CQ226" s="48"/>
      <c r="CR226" s="48" t="s">
        <v>3014</v>
      </c>
      <c r="CS226" s="48"/>
      <c r="CT226" s="48" t="s">
        <v>3888</v>
      </c>
      <c r="CU226" s="50">
        <v>225.0</v>
      </c>
    </row>
    <row r="227">
      <c r="A227" s="47">
        <v>46101.44805493056</v>
      </c>
      <c r="B227" s="47">
        <v>46101.45144806713</v>
      </c>
      <c r="C227" s="48" t="s">
        <v>2444</v>
      </c>
      <c r="D227" s="48" t="s">
        <v>1923</v>
      </c>
      <c r="E227" s="48" t="s">
        <v>1924</v>
      </c>
      <c r="F227" s="48" t="s">
        <v>2447</v>
      </c>
      <c r="G227" s="49" t="s">
        <v>2449</v>
      </c>
      <c r="H227" s="48" t="s">
        <v>3369</v>
      </c>
      <c r="I227" s="50">
        <v>1.0</v>
      </c>
      <c r="J227" s="50">
        <v>0.0</v>
      </c>
      <c r="K227" s="50">
        <v>0.0</v>
      </c>
      <c r="L227" s="50">
        <v>0.0</v>
      </c>
      <c r="M227" s="50">
        <v>0.0</v>
      </c>
      <c r="N227" s="50">
        <v>0.0</v>
      </c>
      <c r="O227" s="50">
        <v>1.0</v>
      </c>
      <c r="P227" s="50">
        <v>0.0</v>
      </c>
      <c r="Q227" s="50">
        <v>0.0</v>
      </c>
      <c r="R227" s="48" t="s">
        <v>3369</v>
      </c>
      <c r="S227" s="50">
        <v>1.0</v>
      </c>
      <c r="T227" s="50">
        <v>0.0</v>
      </c>
      <c r="U227" s="50">
        <v>0.0</v>
      </c>
      <c r="V227" s="50">
        <v>0.0</v>
      </c>
      <c r="W227" s="50">
        <v>0.0</v>
      </c>
      <c r="X227" s="50">
        <v>0.0</v>
      </c>
      <c r="Y227" s="50">
        <v>1.0</v>
      </c>
      <c r="Z227" s="50">
        <v>0.0</v>
      </c>
      <c r="AA227" s="50">
        <v>0.0</v>
      </c>
      <c r="AB227" s="48" t="s">
        <v>3369</v>
      </c>
      <c r="AC227" s="50">
        <v>1.0</v>
      </c>
      <c r="AD227" s="50">
        <v>0.0</v>
      </c>
      <c r="AE227" s="50">
        <v>0.0</v>
      </c>
      <c r="AF227" s="50">
        <v>0.0</v>
      </c>
      <c r="AG227" s="50">
        <v>0.0</v>
      </c>
      <c r="AH227" s="50">
        <v>0.0</v>
      </c>
      <c r="AI227" s="50">
        <v>1.0</v>
      </c>
      <c r="AJ227" s="50">
        <v>0.0</v>
      </c>
      <c r="AK227" s="50">
        <v>0.0</v>
      </c>
      <c r="AL227" s="48"/>
      <c r="AM227" s="50">
        <v>5.0</v>
      </c>
      <c r="AN227" s="48"/>
      <c r="AO227" s="48"/>
      <c r="AP227" s="48"/>
      <c r="AQ227" s="48"/>
      <c r="AR227" s="48"/>
      <c r="AS227" s="50">
        <v>12.0</v>
      </c>
      <c r="AT227" s="48"/>
      <c r="AU227" s="48"/>
      <c r="AV227" s="50">
        <v>2.0</v>
      </c>
      <c r="AW227" s="48"/>
      <c r="AX227" s="48"/>
      <c r="AY227" s="48"/>
      <c r="AZ227" s="48"/>
      <c r="BA227" s="48"/>
      <c r="BB227" s="50">
        <v>7.0</v>
      </c>
      <c r="BC227" s="48"/>
      <c r="BD227" s="50">
        <v>2.0</v>
      </c>
      <c r="BE227" s="50">
        <v>0.0</v>
      </c>
      <c r="BF227" s="50">
        <v>1.0</v>
      </c>
      <c r="BG227" s="50">
        <v>2.0</v>
      </c>
      <c r="BH227" s="48"/>
      <c r="BI227" s="48"/>
      <c r="BJ227" s="48"/>
      <c r="BK227" s="48"/>
      <c r="BL227" s="48"/>
      <c r="BM227" s="48"/>
      <c r="BN227" s="48"/>
      <c r="BO227" s="48"/>
      <c r="BP227" s="48"/>
      <c r="BQ227" s="48"/>
      <c r="BR227" s="48"/>
      <c r="BS227" s="48"/>
      <c r="BT227" s="48"/>
      <c r="BU227" s="48"/>
      <c r="BV227" s="48"/>
      <c r="BW227" s="48"/>
      <c r="BX227" s="48"/>
      <c r="BY227" s="48"/>
      <c r="BZ227" s="48"/>
      <c r="CA227" s="48"/>
      <c r="CB227" s="50">
        <v>0.0</v>
      </c>
      <c r="CC227" s="50">
        <v>0.0</v>
      </c>
      <c r="CD227" s="50">
        <v>0.0</v>
      </c>
      <c r="CE227" s="50">
        <v>2.0</v>
      </c>
      <c r="CF227" s="48"/>
      <c r="CG227" s="48"/>
      <c r="CH227" s="48"/>
      <c r="CI227" s="48"/>
      <c r="CJ227" s="48"/>
      <c r="CK227" s="50">
        <v>7.01864898E8</v>
      </c>
      <c r="CL227" s="48" t="s">
        <v>3889</v>
      </c>
      <c r="CM227" s="47">
        <v>46101.118125</v>
      </c>
      <c r="CN227" s="48"/>
      <c r="CO227" s="48"/>
      <c r="CP227" s="48" t="s">
        <v>1954</v>
      </c>
      <c r="CQ227" s="48"/>
      <c r="CR227" s="48" t="s">
        <v>3014</v>
      </c>
      <c r="CS227" s="48"/>
      <c r="CT227" s="48" t="s">
        <v>3890</v>
      </c>
      <c r="CU227" s="50">
        <v>226.0</v>
      </c>
    </row>
    <row r="228">
      <c r="A228" s="47">
        <v>46101.45144862268</v>
      </c>
      <c r="B228" s="47">
        <v>46101.47163045139</v>
      </c>
      <c r="C228" s="48" t="s">
        <v>2401</v>
      </c>
      <c r="D228" s="48" t="s">
        <v>1923</v>
      </c>
      <c r="E228" s="48" t="s">
        <v>1924</v>
      </c>
      <c r="F228" s="48" t="s">
        <v>2088</v>
      </c>
      <c r="G228" s="49" t="s">
        <v>2404</v>
      </c>
      <c r="H228" s="48" t="s">
        <v>3369</v>
      </c>
      <c r="I228" s="50">
        <v>1.0</v>
      </c>
      <c r="J228" s="50">
        <v>0.0</v>
      </c>
      <c r="K228" s="50">
        <v>0.0</v>
      </c>
      <c r="L228" s="50">
        <v>0.0</v>
      </c>
      <c r="M228" s="50">
        <v>0.0</v>
      </c>
      <c r="N228" s="50">
        <v>0.0</v>
      </c>
      <c r="O228" s="50">
        <v>1.0</v>
      </c>
      <c r="P228" s="50">
        <v>0.0</v>
      </c>
      <c r="Q228" s="50">
        <v>0.0</v>
      </c>
      <c r="R228" s="48" t="s">
        <v>999</v>
      </c>
      <c r="S228" s="50">
        <v>0.0</v>
      </c>
      <c r="T228" s="50">
        <v>0.0</v>
      </c>
      <c r="U228" s="50">
        <v>0.0</v>
      </c>
      <c r="V228" s="50">
        <v>0.0</v>
      </c>
      <c r="W228" s="50">
        <v>0.0</v>
      </c>
      <c r="X228" s="50">
        <v>0.0</v>
      </c>
      <c r="Y228" s="50">
        <v>0.0</v>
      </c>
      <c r="Z228" s="50">
        <v>0.0</v>
      </c>
      <c r="AA228" s="50">
        <v>1.0</v>
      </c>
      <c r="AB228" s="48" t="s">
        <v>999</v>
      </c>
      <c r="AC228" s="50">
        <v>0.0</v>
      </c>
      <c r="AD228" s="50">
        <v>0.0</v>
      </c>
      <c r="AE228" s="50">
        <v>0.0</v>
      </c>
      <c r="AF228" s="50">
        <v>0.0</v>
      </c>
      <c r="AG228" s="50">
        <v>0.0</v>
      </c>
      <c r="AH228" s="50">
        <v>0.0</v>
      </c>
      <c r="AI228" s="50">
        <v>0.0</v>
      </c>
      <c r="AJ228" s="50">
        <v>0.0</v>
      </c>
      <c r="AK228" s="50">
        <v>1.0</v>
      </c>
      <c r="AL228" s="48"/>
      <c r="AM228" s="50">
        <v>7.0</v>
      </c>
      <c r="AN228" s="48"/>
      <c r="AO228" s="48"/>
      <c r="AP228" s="48"/>
      <c r="AQ228" s="48"/>
      <c r="AR228" s="48"/>
      <c r="AS228" s="50">
        <v>10.0</v>
      </c>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50">
        <v>7.0187286E8</v>
      </c>
      <c r="CL228" s="48" t="s">
        <v>3891</v>
      </c>
      <c r="CM228" s="47">
        <v>46101.13835648148</v>
      </c>
      <c r="CN228" s="48"/>
      <c r="CO228" s="48"/>
      <c r="CP228" s="48" t="s">
        <v>1954</v>
      </c>
      <c r="CQ228" s="48"/>
      <c r="CR228" s="48" t="s">
        <v>3014</v>
      </c>
      <c r="CS228" s="48"/>
      <c r="CT228" s="48" t="s">
        <v>3892</v>
      </c>
      <c r="CU228" s="50">
        <v>227.0</v>
      </c>
    </row>
    <row r="229">
      <c r="A229" s="47">
        <v>46101.47163086806</v>
      </c>
      <c r="B229" s="47">
        <v>46101.47393609954</v>
      </c>
      <c r="C229" s="48" t="s">
        <v>3893</v>
      </c>
      <c r="D229" s="48" t="s">
        <v>1923</v>
      </c>
      <c r="E229" s="48" t="s">
        <v>1924</v>
      </c>
      <c r="F229" s="48" t="s">
        <v>2088</v>
      </c>
      <c r="G229" s="49" t="s">
        <v>2480</v>
      </c>
      <c r="H229" s="48" t="s">
        <v>2947</v>
      </c>
      <c r="I229" s="50">
        <v>1.0</v>
      </c>
      <c r="J229" s="50">
        <v>0.0</v>
      </c>
      <c r="K229" s="50">
        <v>0.0</v>
      </c>
      <c r="L229" s="50">
        <v>0.0</v>
      </c>
      <c r="M229" s="50">
        <v>0.0</v>
      </c>
      <c r="N229" s="50">
        <v>0.0</v>
      </c>
      <c r="O229" s="50">
        <v>0.0</v>
      </c>
      <c r="P229" s="50">
        <v>0.0</v>
      </c>
      <c r="Q229" s="50">
        <v>0.0</v>
      </c>
      <c r="R229" s="48" t="s">
        <v>2947</v>
      </c>
      <c r="S229" s="50">
        <v>1.0</v>
      </c>
      <c r="T229" s="50">
        <v>0.0</v>
      </c>
      <c r="U229" s="50">
        <v>0.0</v>
      </c>
      <c r="V229" s="50">
        <v>0.0</v>
      </c>
      <c r="W229" s="50">
        <v>0.0</v>
      </c>
      <c r="X229" s="50">
        <v>0.0</v>
      </c>
      <c r="Y229" s="50">
        <v>0.0</v>
      </c>
      <c r="Z229" s="50">
        <v>0.0</v>
      </c>
      <c r="AA229" s="50">
        <v>0.0</v>
      </c>
      <c r="AB229" s="48" t="s">
        <v>2947</v>
      </c>
      <c r="AC229" s="50">
        <v>1.0</v>
      </c>
      <c r="AD229" s="50">
        <v>0.0</v>
      </c>
      <c r="AE229" s="50">
        <v>0.0</v>
      </c>
      <c r="AF229" s="50">
        <v>0.0</v>
      </c>
      <c r="AG229" s="50">
        <v>0.0</v>
      </c>
      <c r="AH229" s="50">
        <v>0.0</v>
      </c>
      <c r="AI229" s="50">
        <v>0.0</v>
      </c>
      <c r="AJ229" s="50">
        <v>0.0</v>
      </c>
      <c r="AK229" s="50">
        <v>0.0</v>
      </c>
      <c r="AL229" s="48"/>
      <c r="AM229" s="50">
        <v>2.0</v>
      </c>
      <c r="AN229" s="48"/>
      <c r="AO229" s="48"/>
      <c r="AP229" s="48"/>
      <c r="AQ229" s="48"/>
      <c r="AR229" s="48"/>
      <c r="AS229" s="48"/>
      <c r="AT229" s="48"/>
      <c r="AU229" s="48"/>
      <c r="AV229" s="50">
        <v>2.0</v>
      </c>
      <c r="AW229" s="48"/>
      <c r="AX229" s="48"/>
      <c r="AY229" s="48"/>
      <c r="AZ229" s="48"/>
      <c r="BA229" s="48"/>
      <c r="BB229" s="48"/>
      <c r="BC229" s="48"/>
      <c r="BD229" s="50">
        <v>2.0</v>
      </c>
      <c r="BE229" s="50">
        <v>0.0</v>
      </c>
      <c r="BF229" s="50">
        <v>0.0</v>
      </c>
      <c r="BG229" s="50">
        <v>0.0</v>
      </c>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50">
        <v>7.01873911E8</v>
      </c>
      <c r="CL229" s="48" t="s">
        <v>3894</v>
      </c>
      <c r="CM229" s="47">
        <v>46101.14061342592</v>
      </c>
      <c r="CN229" s="48"/>
      <c r="CO229" s="48"/>
      <c r="CP229" s="48" t="s">
        <v>1954</v>
      </c>
      <c r="CQ229" s="48"/>
      <c r="CR229" s="48" t="s">
        <v>3014</v>
      </c>
      <c r="CS229" s="48"/>
      <c r="CT229" s="48" t="s">
        <v>3895</v>
      </c>
      <c r="CU229" s="50">
        <v>228.0</v>
      </c>
    </row>
    <row r="230">
      <c r="A230" s="47">
        <v>46101.47393673611</v>
      </c>
      <c r="B230" s="47">
        <v>46101.47479693287</v>
      </c>
      <c r="C230" s="48" t="s">
        <v>3896</v>
      </c>
      <c r="D230" s="48" t="s">
        <v>1923</v>
      </c>
      <c r="E230" s="48" t="s">
        <v>1924</v>
      </c>
      <c r="F230" s="48" t="s">
        <v>2088</v>
      </c>
      <c r="G230" s="49" t="s">
        <v>2537</v>
      </c>
      <c r="H230" s="48" t="s">
        <v>2947</v>
      </c>
      <c r="I230" s="50">
        <v>1.0</v>
      </c>
      <c r="J230" s="50">
        <v>0.0</v>
      </c>
      <c r="K230" s="50">
        <v>0.0</v>
      </c>
      <c r="L230" s="50">
        <v>0.0</v>
      </c>
      <c r="M230" s="50">
        <v>0.0</v>
      </c>
      <c r="N230" s="50">
        <v>0.0</v>
      </c>
      <c r="O230" s="50">
        <v>0.0</v>
      </c>
      <c r="P230" s="50">
        <v>0.0</v>
      </c>
      <c r="Q230" s="50">
        <v>0.0</v>
      </c>
      <c r="R230" s="48" t="s">
        <v>999</v>
      </c>
      <c r="S230" s="50">
        <v>0.0</v>
      </c>
      <c r="T230" s="50">
        <v>0.0</v>
      </c>
      <c r="U230" s="50">
        <v>0.0</v>
      </c>
      <c r="V230" s="50">
        <v>0.0</v>
      </c>
      <c r="W230" s="50">
        <v>0.0</v>
      </c>
      <c r="X230" s="50">
        <v>0.0</v>
      </c>
      <c r="Y230" s="50">
        <v>0.0</v>
      </c>
      <c r="Z230" s="50">
        <v>0.0</v>
      </c>
      <c r="AA230" s="50">
        <v>1.0</v>
      </c>
      <c r="AB230" s="48" t="s">
        <v>2947</v>
      </c>
      <c r="AC230" s="50">
        <v>1.0</v>
      </c>
      <c r="AD230" s="50">
        <v>0.0</v>
      </c>
      <c r="AE230" s="50">
        <v>0.0</v>
      </c>
      <c r="AF230" s="50">
        <v>0.0</v>
      </c>
      <c r="AG230" s="50">
        <v>0.0</v>
      </c>
      <c r="AH230" s="50">
        <v>0.0</v>
      </c>
      <c r="AI230" s="50">
        <v>0.0</v>
      </c>
      <c r="AJ230" s="50">
        <v>0.0</v>
      </c>
      <c r="AK230" s="50">
        <v>0.0</v>
      </c>
      <c r="AL230" s="48"/>
      <c r="AM230" s="50">
        <v>7.0</v>
      </c>
      <c r="AN230" s="48"/>
      <c r="AO230" s="48"/>
      <c r="AP230" s="48"/>
      <c r="AQ230" s="48"/>
      <c r="AR230" s="48"/>
      <c r="AS230" s="48"/>
      <c r="AT230" s="48"/>
      <c r="AU230" s="48"/>
      <c r="AV230" s="48"/>
      <c r="AW230" s="48"/>
      <c r="AX230" s="48"/>
      <c r="AY230" s="48"/>
      <c r="AZ230" s="48"/>
      <c r="BA230" s="48"/>
      <c r="BB230" s="48"/>
      <c r="BC230" s="48"/>
      <c r="BD230" s="50">
        <v>7.0</v>
      </c>
      <c r="BE230" s="50">
        <v>0.0</v>
      </c>
      <c r="BF230" s="50">
        <v>0.0</v>
      </c>
      <c r="BG230" s="50">
        <v>0.0</v>
      </c>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50">
        <v>7.01874302E8</v>
      </c>
      <c r="CL230" s="48" t="s">
        <v>3897</v>
      </c>
      <c r="CM230" s="47">
        <v>46101.14146990741</v>
      </c>
      <c r="CN230" s="48"/>
      <c r="CO230" s="48"/>
      <c r="CP230" s="48" t="s">
        <v>1954</v>
      </c>
      <c r="CQ230" s="48"/>
      <c r="CR230" s="48" t="s">
        <v>3014</v>
      </c>
      <c r="CS230" s="48"/>
      <c r="CT230" s="48" t="s">
        <v>3898</v>
      </c>
      <c r="CU230" s="50">
        <v>229.0</v>
      </c>
    </row>
    <row r="231">
      <c r="A231" s="47">
        <v>46101.47479744213</v>
      </c>
      <c r="B231" s="47">
        <v>46101.47623442129</v>
      </c>
      <c r="C231" s="48" t="s">
        <v>3899</v>
      </c>
      <c r="D231" s="48" t="s">
        <v>1923</v>
      </c>
      <c r="E231" s="48" t="s">
        <v>1924</v>
      </c>
      <c r="F231" s="48" t="s">
        <v>2088</v>
      </c>
      <c r="G231" s="49" t="s">
        <v>2768</v>
      </c>
      <c r="H231" s="48" t="s">
        <v>3369</v>
      </c>
      <c r="I231" s="50">
        <v>1.0</v>
      </c>
      <c r="J231" s="50">
        <v>0.0</v>
      </c>
      <c r="K231" s="50">
        <v>0.0</v>
      </c>
      <c r="L231" s="50">
        <v>0.0</v>
      </c>
      <c r="M231" s="50">
        <v>0.0</v>
      </c>
      <c r="N231" s="50">
        <v>0.0</v>
      </c>
      <c r="O231" s="50">
        <v>1.0</v>
      </c>
      <c r="P231" s="50">
        <v>0.0</v>
      </c>
      <c r="Q231" s="50">
        <v>0.0</v>
      </c>
      <c r="R231" s="48" t="s">
        <v>999</v>
      </c>
      <c r="S231" s="50">
        <v>0.0</v>
      </c>
      <c r="T231" s="50">
        <v>0.0</v>
      </c>
      <c r="U231" s="50">
        <v>0.0</v>
      </c>
      <c r="V231" s="50">
        <v>0.0</v>
      </c>
      <c r="W231" s="50">
        <v>0.0</v>
      </c>
      <c r="X231" s="50">
        <v>0.0</v>
      </c>
      <c r="Y231" s="50">
        <v>0.0</v>
      </c>
      <c r="Z231" s="50">
        <v>0.0</v>
      </c>
      <c r="AA231" s="50">
        <v>1.0</v>
      </c>
      <c r="AB231" s="48" t="s">
        <v>3369</v>
      </c>
      <c r="AC231" s="50">
        <v>1.0</v>
      </c>
      <c r="AD231" s="50">
        <v>0.0</v>
      </c>
      <c r="AE231" s="50">
        <v>0.0</v>
      </c>
      <c r="AF231" s="50">
        <v>0.0</v>
      </c>
      <c r="AG231" s="50">
        <v>0.0</v>
      </c>
      <c r="AH231" s="50">
        <v>0.0</v>
      </c>
      <c r="AI231" s="50">
        <v>1.0</v>
      </c>
      <c r="AJ231" s="50">
        <v>0.0</v>
      </c>
      <c r="AK231" s="50">
        <v>0.0</v>
      </c>
      <c r="AL231" s="48"/>
      <c r="AM231" s="50">
        <v>1.0</v>
      </c>
      <c r="AN231" s="48"/>
      <c r="AO231" s="48"/>
      <c r="AP231" s="48"/>
      <c r="AQ231" s="48"/>
      <c r="AR231" s="48"/>
      <c r="AS231" s="50">
        <v>10.0</v>
      </c>
      <c r="AT231" s="48"/>
      <c r="AU231" s="48"/>
      <c r="AV231" s="48"/>
      <c r="AW231" s="48"/>
      <c r="AX231" s="48"/>
      <c r="AY231" s="48"/>
      <c r="AZ231" s="48"/>
      <c r="BA231" s="48"/>
      <c r="BB231" s="48"/>
      <c r="BC231" s="48"/>
      <c r="BD231" s="50">
        <v>1.0</v>
      </c>
      <c r="BE231" s="50">
        <v>0.0</v>
      </c>
      <c r="BF231" s="50">
        <v>0.0</v>
      </c>
      <c r="BG231" s="50">
        <v>0.0</v>
      </c>
      <c r="BH231" s="48"/>
      <c r="BI231" s="48"/>
      <c r="BJ231" s="48"/>
      <c r="BK231" s="48"/>
      <c r="BL231" s="48"/>
      <c r="BM231" s="48"/>
      <c r="BN231" s="48"/>
      <c r="BO231" s="48"/>
      <c r="BP231" s="48"/>
      <c r="BQ231" s="48"/>
      <c r="BR231" s="48"/>
      <c r="BS231" s="48"/>
      <c r="BT231" s="48"/>
      <c r="BU231" s="48"/>
      <c r="BV231" s="48"/>
      <c r="BW231" s="48"/>
      <c r="BX231" s="48"/>
      <c r="BY231" s="48"/>
      <c r="BZ231" s="48"/>
      <c r="CA231" s="48"/>
      <c r="CB231" s="50">
        <v>0.0</v>
      </c>
      <c r="CC231" s="50">
        <v>0.0</v>
      </c>
      <c r="CD231" s="50">
        <v>10.0</v>
      </c>
      <c r="CE231" s="50">
        <v>0.0</v>
      </c>
      <c r="CF231" s="48"/>
      <c r="CG231" s="48"/>
      <c r="CH231" s="48"/>
      <c r="CI231" s="48"/>
      <c r="CJ231" s="48"/>
      <c r="CK231" s="50">
        <v>7.0187506E8</v>
      </c>
      <c r="CL231" s="48" t="s">
        <v>3900</v>
      </c>
      <c r="CM231" s="47">
        <v>46101.14291666666</v>
      </c>
      <c r="CN231" s="48"/>
      <c r="CO231" s="48"/>
      <c r="CP231" s="48" t="s">
        <v>1954</v>
      </c>
      <c r="CQ231" s="48"/>
      <c r="CR231" s="48" t="s">
        <v>3014</v>
      </c>
      <c r="CS231" s="48"/>
      <c r="CT231" s="48" t="s">
        <v>3901</v>
      </c>
      <c r="CU231" s="50">
        <v>230.0</v>
      </c>
    </row>
    <row r="232">
      <c r="A232" s="47">
        <v>46101.47623496528</v>
      </c>
      <c r="B232" s="47">
        <v>46101.47821420139</v>
      </c>
      <c r="C232" s="48" t="s">
        <v>2778</v>
      </c>
      <c r="D232" s="48" t="s">
        <v>1923</v>
      </c>
      <c r="E232" s="48" t="s">
        <v>1924</v>
      </c>
      <c r="F232" s="48" t="s">
        <v>2088</v>
      </c>
      <c r="G232" s="49" t="s">
        <v>2781</v>
      </c>
      <c r="H232" s="48" t="s">
        <v>3369</v>
      </c>
      <c r="I232" s="50">
        <v>1.0</v>
      </c>
      <c r="J232" s="50">
        <v>0.0</v>
      </c>
      <c r="K232" s="50">
        <v>0.0</v>
      </c>
      <c r="L232" s="50">
        <v>0.0</v>
      </c>
      <c r="M232" s="50">
        <v>0.0</v>
      </c>
      <c r="N232" s="50">
        <v>0.0</v>
      </c>
      <c r="O232" s="50">
        <v>1.0</v>
      </c>
      <c r="P232" s="50">
        <v>0.0</v>
      </c>
      <c r="Q232" s="50">
        <v>0.0</v>
      </c>
      <c r="R232" s="48" t="s">
        <v>999</v>
      </c>
      <c r="S232" s="50">
        <v>0.0</v>
      </c>
      <c r="T232" s="50">
        <v>0.0</v>
      </c>
      <c r="U232" s="50">
        <v>0.0</v>
      </c>
      <c r="V232" s="50">
        <v>0.0</v>
      </c>
      <c r="W232" s="50">
        <v>0.0</v>
      </c>
      <c r="X232" s="50">
        <v>0.0</v>
      </c>
      <c r="Y232" s="50">
        <v>0.0</v>
      </c>
      <c r="Z232" s="50">
        <v>0.0</v>
      </c>
      <c r="AA232" s="50">
        <v>1.0</v>
      </c>
      <c r="AB232" s="48" t="s">
        <v>3369</v>
      </c>
      <c r="AC232" s="50">
        <v>1.0</v>
      </c>
      <c r="AD232" s="50">
        <v>0.0</v>
      </c>
      <c r="AE232" s="50">
        <v>0.0</v>
      </c>
      <c r="AF232" s="50">
        <v>0.0</v>
      </c>
      <c r="AG232" s="50">
        <v>0.0</v>
      </c>
      <c r="AH232" s="50">
        <v>0.0</v>
      </c>
      <c r="AI232" s="50">
        <v>1.0</v>
      </c>
      <c r="AJ232" s="50">
        <v>0.0</v>
      </c>
      <c r="AK232" s="50">
        <v>0.0</v>
      </c>
      <c r="AL232" s="48"/>
      <c r="AM232" s="50">
        <v>4.0</v>
      </c>
      <c r="AN232" s="48"/>
      <c r="AO232" s="48"/>
      <c r="AP232" s="48"/>
      <c r="AQ232" s="48"/>
      <c r="AR232" s="48"/>
      <c r="AS232" s="50">
        <v>7.0</v>
      </c>
      <c r="AT232" s="48"/>
      <c r="AU232" s="48"/>
      <c r="AV232" s="48"/>
      <c r="AW232" s="48"/>
      <c r="AX232" s="48"/>
      <c r="AY232" s="48"/>
      <c r="AZ232" s="48"/>
      <c r="BA232" s="48"/>
      <c r="BB232" s="48"/>
      <c r="BC232" s="48"/>
      <c r="BD232" s="50">
        <v>3.0</v>
      </c>
      <c r="BE232" s="50">
        <v>0.0</v>
      </c>
      <c r="BF232" s="50">
        <v>0.0</v>
      </c>
      <c r="BG232" s="50">
        <v>0.0</v>
      </c>
      <c r="BH232" s="48"/>
      <c r="BI232" s="48"/>
      <c r="BJ232" s="48"/>
      <c r="BK232" s="48"/>
      <c r="BL232" s="48"/>
      <c r="BM232" s="48"/>
      <c r="BN232" s="48"/>
      <c r="BO232" s="48"/>
      <c r="BP232" s="48"/>
      <c r="BQ232" s="48"/>
      <c r="BR232" s="48"/>
      <c r="BS232" s="48"/>
      <c r="BT232" s="48"/>
      <c r="BU232" s="48"/>
      <c r="BV232" s="48"/>
      <c r="BW232" s="48"/>
      <c r="BX232" s="48"/>
      <c r="BY232" s="48"/>
      <c r="BZ232" s="48"/>
      <c r="CA232" s="48"/>
      <c r="CB232" s="50">
        <v>0.0</v>
      </c>
      <c r="CC232" s="50">
        <v>0.0</v>
      </c>
      <c r="CD232" s="50">
        <v>0.0</v>
      </c>
      <c r="CE232" s="50">
        <v>0.0</v>
      </c>
      <c r="CF232" s="48"/>
      <c r="CG232" s="48"/>
      <c r="CH232" s="48"/>
      <c r="CI232" s="48"/>
      <c r="CJ232" s="48"/>
      <c r="CK232" s="50">
        <v>7.01876082E8</v>
      </c>
      <c r="CL232" s="48" t="s">
        <v>3902</v>
      </c>
      <c r="CM232" s="47">
        <v>46101.14488425926</v>
      </c>
      <c r="CN232" s="48"/>
      <c r="CO232" s="48"/>
      <c r="CP232" s="48" t="s">
        <v>1954</v>
      </c>
      <c r="CQ232" s="48"/>
      <c r="CR232" s="48" t="s">
        <v>3014</v>
      </c>
      <c r="CS232" s="48"/>
      <c r="CT232" s="48" t="s">
        <v>3903</v>
      </c>
      <c r="CU232" s="50">
        <v>231.0</v>
      </c>
    </row>
    <row r="233">
      <c r="A233" s="47">
        <v>46101.47821451389</v>
      </c>
      <c r="B233" s="47">
        <v>46101.48072092592</v>
      </c>
      <c r="C233" s="48" t="s">
        <v>2791</v>
      </c>
      <c r="D233" s="48" t="s">
        <v>1923</v>
      </c>
      <c r="E233" s="48" t="s">
        <v>1924</v>
      </c>
      <c r="F233" s="48" t="s">
        <v>2088</v>
      </c>
      <c r="G233" s="49" t="s">
        <v>2794</v>
      </c>
      <c r="H233" s="48" t="s">
        <v>3369</v>
      </c>
      <c r="I233" s="50">
        <v>1.0</v>
      </c>
      <c r="J233" s="50">
        <v>0.0</v>
      </c>
      <c r="K233" s="50">
        <v>0.0</v>
      </c>
      <c r="L233" s="50">
        <v>0.0</v>
      </c>
      <c r="M233" s="50">
        <v>0.0</v>
      </c>
      <c r="N233" s="50">
        <v>0.0</v>
      </c>
      <c r="O233" s="50">
        <v>1.0</v>
      </c>
      <c r="P233" s="50">
        <v>0.0</v>
      </c>
      <c r="Q233" s="50">
        <v>0.0</v>
      </c>
      <c r="R233" s="48" t="s">
        <v>999</v>
      </c>
      <c r="S233" s="50">
        <v>0.0</v>
      </c>
      <c r="T233" s="50">
        <v>0.0</v>
      </c>
      <c r="U233" s="50">
        <v>0.0</v>
      </c>
      <c r="V233" s="50">
        <v>0.0</v>
      </c>
      <c r="W233" s="50">
        <v>0.0</v>
      </c>
      <c r="X233" s="50">
        <v>0.0</v>
      </c>
      <c r="Y233" s="50">
        <v>0.0</v>
      </c>
      <c r="Z233" s="50">
        <v>0.0</v>
      </c>
      <c r="AA233" s="50">
        <v>1.0</v>
      </c>
      <c r="AB233" s="48" t="s">
        <v>3369</v>
      </c>
      <c r="AC233" s="50">
        <v>1.0</v>
      </c>
      <c r="AD233" s="50">
        <v>0.0</v>
      </c>
      <c r="AE233" s="50">
        <v>0.0</v>
      </c>
      <c r="AF233" s="50">
        <v>0.0</v>
      </c>
      <c r="AG233" s="50">
        <v>0.0</v>
      </c>
      <c r="AH233" s="50">
        <v>0.0</v>
      </c>
      <c r="AI233" s="50">
        <v>1.0</v>
      </c>
      <c r="AJ233" s="50">
        <v>0.0</v>
      </c>
      <c r="AK233" s="50">
        <v>0.0</v>
      </c>
      <c r="AL233" s="48"/>
      <c r="AM233" s="50">
        <v>3.0</v>
      </c>
      <c r="AN233" s="48"/>
      <c r="AO233" s="48"/>
      <c r="AP233" s="48"/>
      <c r="AQ233" s="48"/>
      <c r="AR233" s="48"/>
      <c r="AS233" s="50">
        <v>6.0</v>
      </c>
      <c r="AT233" s="48"/>
      <c r="AU233" s="48"/>
      <c r="AV233" s="48"/>
      <c r="AW233" s="48"/>
      <c r="AX233" s="48"/>
      <c r="AY233" s="48"/>
      <c r="AZ233" s="48"/>
      <c r="BA233" s="48"/>
      <c r="BB233" s="48"/>
      <c r="BC233" s="48"/>
      <c r="BD233" s="50">
        <v>0.0</v>
      </c>
      <c r="BE233" s="50">
        <v>0.0</v>
      </c>
      <c r="BF233" s="50">
        <v>4.0</v>
      </c>
      <c r="BG233" s="50">
        <v>0.0</v>
      </c>
      <c r="BH233" s="48"/>
      <c r="BI233" s="48"/>
      <c r="BJ233" s="48"/>
      <c r="BK233" s="48"/>
      <c r="BL233" s="48"/>
      <c r="BM233" s="48"/>
      <c r="BN233" s="48"/>
      <c r="BO233" s="48"/>
      <c r="BP233" s="48"/>
      <c r="BQ233" s="48"/>
      <c r="BR233" s="48"/>
      <c r="BS233" s="48"/>
      <c r="BT233" s="48"/>
      <c r="BU233" s="48"/>
      <c r="BV233" s="48"/>
      <c r="BW233" s="48"/>
      <c r="BX233" s="48"/>
      <c r="BY233" s="48"/>
      <c r="BZ233" s="48"/>
      <c r="CA233" s="48"/>
      <c r="CB233" s="50">
        <v>0.0</v>
      </c>
      <c r="CC233" s="50">
        <v>0.0</v>
      </c>
      <c r="CD233" s="50">
        <v>0.0</v>
      </c>
      <c r="CE233" s="50">
        <v>0.0</v>
      </c>
      <c r="CF233" s="48"/>
      <c r="CG233" s="48"/>
      <c r="CH233" s="48"/>
      <c r="CI233" s="48"/>
      <c r="CJ233" s="48"/>
      <c r="CK233" s="50">
        <v>7.01877271E8</v>
      </c>
      <c r="CL233" s="48" t="s">
        <v>3904</v>
      </c>
      <c r="CM233" s="47">
        <v>46101.14739583333</v>
      </c>
      <c r="CN233" s="48"/>
      <c r="CO233" s="48"/>
      <c r="CP233" s="48" t="s">
        <v>1954</v>
      </c>
      <c r="CQ233" s="48"/>
      <c r="CR233" s="48" t="s">
        <v>3014</v>
      </c>
      <c r="CS233" s="48"/>
      <c r="CT233" s="48" t="s">
        <v>3905</v>
      </c>
      <c r="CU233" s="50">
        <v>232.0</v>
      </c>
    </row>
    <row r="234">
      <c r="A234" s="47">
        <v>46101.48072122685</v>
      </c>
      <c r="B234" s="47">
        <v>46101.48394001157</v>
      </c>
      <c r="C234" s="48" t="s">
        <v>3906</v>
      </c>
      <c r="D234" s="48" t="s">
        <v>1923</v>
      </c>
      <c r="E234" s="48" t="s">
        <v>1924</v>
      </c>
      <c r="F234" s="48" t="s">
        <v>2209</v>
      </c>
      <c r="G234" s="49" t="s">
        <v>2812</v>
      </c>
      <c r="H234" s="48" t="s">
        <v>3369</v>
      </c>
      <c r="I234" s="50">
        <v>1.0</v>
      </c>
      <c r="J234" s="50">
        <v>0.0</v>
      </c>
      <c r="K234" s="50">
        <v>0.0</v>
      </c>
      <c r="L234" s="50">
        <v>0.0</v>
      </c>
      <c r="M234" s="50">
        <v>0.0</v>
      </c>
      <c r="N234" s="50">
        <v>0.0</v>
      </c>
      <c r="O234" s="50">
        <v>1.0</v>
      </c>
      <c r="P234" s="50">
        <v>0.0</v>
      </c>
      <c r="Q234" s="50">
        <v>0.0</v>
      </c>
      <c r="R234" s="48" t="s">
        <v>999</v>
      </c>
      <c r="S234" s="50">
        <v>0.0</v>
      </c>
      <c r="T234" s="50">
        <v>0.0</v>
      </c>
      <c r="U234" s="50">
        <v>0.0</v>
      </c>
      <c r="V234" s="50">
        <v>0.0</v>
      </c>
      <c r="W234" s="50">
        <v>0.0</v>
      </c>
      <c r="X234" s="50">
        <v>0.0</v>
      </c>
      <c r="Y234" s="50">
        <v>0.0</v>
      </c>
      <c r="Z234" s="50">
        <v>0.0</v>
      </c>
      <c r="AA234" s="50">
        <v>1.0</v>
      </c>
      <c r="AB234" s="48" t="s">
        <v>999</v>
      </c>
      <c r="AC234" s="50">
        <v>0.0</v>
      </c>
      <c r="AD234" s="50">
        <v>0.0</v>
      </c>
      <c r="AE234" s="50">
        <v>0.0</v>
      </c>
      <c r="AF234" s="50">
        <v>0.0</v>
      </c>
      <c r="AG234" s="50">
        <v>0.0</v>
      </c>
      <c r="AH234" s="50">
        <v>0.0</v>
      </c>
      <c r="AI234" s="50">
        <v>0.0</v>
      </c>
      <c r="AJ234" s="50">
        <v>0.0</v>
      </c>
      <c r="AK234" s="50">
        <v>1.0</v>
      </c>
      <c r="AL234" s="48"/>
      <c r="AM234" s="50">
        <v>2.0</v>
      </c>
      <c r="AN234" s="48"/>
      <c r="AO234" s="48"/>
      <c r="AP234" s="48"/>
      <c r="AQ234" s="48"/>
      <c r="AR234" s="48"/>
      <c r="AS234" s="50">
        <v>3000.0</v>
      </c>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t="s">
        <v>3907</v>
      </c>
      <c r="CK234" s="50">
        <v>7.01878297E8</v>
      </c>
      <c r="CL234" s="48" t="s">
        <v>3908</v>
      </c>
      <c r="CM234" s="47">
        <v>46101.150625</v>
      </c>
      <c r="CN234" s="48"/>
      <c r="CO234" s="48"/>
      <c r="CP234" s="48" t="s">
        <v>1954</v>
      </c>
      <c r="CQ234" s="48"/>
      <c r="CR234" s="48" t="s">
        <v>3014</v>
      </c>
      <c r="CS234" s="48"/>
      <c r="CT234" s="48" t="s">
        <v>3909</v>
      </c>
      <c r="CU234" s="50">
        <v>233.0</v>
      </c>
    </row>
    <row r="235">
      <c r="A235" s="47">
        <v>46103.73678746528</v>
      </c>
      <c r="B235" s="47">
        <v>46103.77441471065</v>
      </c>
      <c r="C235" s="48" t="s">
        <v>2727</v>
      </c>
      <c r="D235" s="48" t="s">
        <v>1923</v>
      </c>
      <c r="E235" s="48" t="s">
        <v>1924</v>
      </c>
      <c r="F235" s="48" t="s">
        <v>2088</v>
      </c>
      <c r="G235" s="49" t="s">
        <v>2730</v>
      </c>
      <c r="H235" s="48" t="s">
        <v>2947</v>
      </c>
      <c r="I235" s="50">
        <v>1.0</v>
      </c>
      <c r="J235" s="50">
        <v>0.0</v>
      </c>
      <c r="K235" s="50">
        <v>0.0</v>
      </c>
      <c r="L235" s="50">
        <v>0.0</v>
      </c>
      <c r="M235" s="50">
        <v>0.0</v>
      </c>
      <c r="N235" s="50">
        <v>0.0</v>
      </c>
      <c r="O235" s="50">
        <v>0.0</v>
      </c>
      <c r="P235" s="50">
        <v>0.0</v>
      </c>
      <c r="Q235" s="50">
        <v>0.0</v>
      </c>
      <c r="R235" s="48" t="s">
        <v>2947</v>
      </c>
      <c r="S235" s="50">
        <v>1.0</v>
      </c>
      <c r="T235" s="50">
        <v>0.0</v>
      </c>
      <c r="U235" s="50">
        <v>0.0</v>
      </c>
      <c r="V235" s="50">
        <v>0.0</v>
      </c>
      <c r="W235" s="50">
        <v>0.0</v>
      </c>
      <c r="X235" s="50">
        <v>0.0</v>
      </c>
      <c r="Y235" s="50">
        <v>0.0</v>
      </c>
      <c r="Z235" s="50">
        <v>0.0</v>
      </c>
      <c r="AA235" s="50">
        <v>0.0</v>
      </c>
      <c r="AB235" s="48" t="s">
        <v>2947</v>
      </c>
      <c r="AC235" s="50">
        <v>1.0</v>
      </c>
      <c r="AD235" s="50">
        <v>0.0</v>
      </c>
      <c r="AE235" s="50">
        <v>0.0</v>
      </c>
      <c r="AF235" s="50">
        <v>0.0</v>
      </c>
      <c r="AG235" s="50">
        <v>0.0</v>
      </c>
      <c r="AH235" s="50">
        <v>0.0</v>
      </c>
      <c r="AI235" s="50">
        <v>0.0</v>
      </c>
      <c r="AJ235" s="50">
        <v>0.0</v>
      </c>
      <c r="AK235" s="50">
        <v>0.0</v>
      </c>
      <c r="AL235" s="48"/>
      <c r="AM235" s="50">
        <v>25.0</v>
      </c>
      <c r="AN235" s="48"/>
      <c r="AO235" s="48"/>
      <c r="AP235" s="48"/>
      <c r="AQ235" s="48"/>
      <c r="AR235" s="48"/>
      <c r="AS235" s="48"/>
      <c r="AT235" s="48"/>
      <c r="AU235" s="48"/>
      <c r="AV235" s="50">
        <v>20.0</v>
      </c>
      <c r="AW235" s="48"/>
      <c r="AX235" s="48"/>
      <c r="AY235" s="48"/>
      <c r="AZ235" s="48"/>
      <c r="BA235" s="48"/>
      <c r="BB235" s="48"/>
      <c r="BC235" s="48"/>
      <c r="BD235" s="50">
        <v>2.0</v>
      </c>
      <c r="BE235" s="50">
        <v>8.0</v>
      </c>
      <c r="BF235" s="50">
        <v>0.0</v>
      </c>
      <c r="BG235" s="50">
        <v>0.0</v>
      </c>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50">
        <v>7.03415322E8</v>
      </c>
      <c r="CL235" s="48" t="s">
        <v>3910</v>
      </c>
      <c r="CM235" s="47">
        <v>46103.44109953703</v>
      </c>
      <c r="CN235" s="48"/>
      <c r="CO235" s="48"/>
      <c r="CP235" s="48" t="s">
        <v>1954</v>
      </c>
      <c r="CQ235" s="48"/>
      <c r="CR235" s="48" t="s">
        <v>3014</v>
      </c>
      <c r="CS235" s="48"/>
      <c r="CT235" s="48" t="s">
        <v>3911</v>
      </c>
      <c r="CU235" s="50">
        <v>234.0</v>
      </c>
    </row>
    <row r="236">
      <c r="A236" s="47">
        <v>46103.77441552083</v>
      </c>
      <c r="B236" s="47">
        <v>46103.77892581018</v>
      </c>
      <c r="C236" s="48" t="s">
        <v>3912</v>
      </c>
      <c r="D236" s="48" t="s">
        <v>1923</v>
      </c>
      <c r="E236" s="48" t="s">
        <v>1924</v>
      </c>
      <c r="F236" s="48" t="s">
        <v>2088</v>
      </c>
      <c r="G236" s="49" t="s">
        <v>2826</v>
      </c>
      <c r="H236" s="48" t="s">
        <v>2947</v>
      </c>
      <c r="I236" s="50">
        <v>1.0</v>
      </c>
      <c r="J236" s="50">
        <v>0.0</v>
      </c>
      <c r="K236" s="50">
        <v>0.0</v>
      </c>
      <c r="L236" s="50">
        <v>0.0</v>
      </c>
      <c r="M236" s="50">
        <v>0.0</v>
      </c>
      <c r="N236" s="50">
        <v>0.0</v>
      </c>
      <c r="O236" s="50">
        <v>0.0</v>
      </c>
      <c r="P236" s="50">
        <v>0.0</v>
      </c>
      <c r="Q236" s="50">
        <v>0.0</v>
      </c>
      <c r="R236" s="48" t="s">
        <v>2947</v>
      </c>
      <c r="S236" s="50">
        <v>1.0</v>
      </c>
      <c r="T236" s="50">
        <v>0.0</v>
      </c>
      <c r="U236" s="50">
        <v>0.0</v>
      </c>
      <c r="V236" s="50">
        <v>0.0</v>
      </c>
      <c r="W236" s="50">
        <v>0.0</v>
      </c>
      <c r="X236" s="50">
        <v>0.0</v>
      </c>
      <c r="Y236" s="50">
        <v>0.0</v>
      </c>
      <c r="Z236" s="50">
        <v>0.0</v>
      </c>
      <c r="AA236" s="50">
        <v>0.0</v>
      </c>
      <c r="AB236" s="48" t="s">
        <v>2947</v>
      </c>
      <c r="AC236" s="50">
        <v>1.0</v>
      </c>
      <c r="AD236" s="50">
        <v>0.0</v>
      </c>
      <c r="AE236" s="50">
        <v>0.0</v>
      </c>
      <c r="AF236" s="50">
        <v>0.0</v>
      </c>
      <c r="AG236" s="50">
        <v>0.0</v>
      </c>
      <c r="AH236" s="50">
        <v>0.0</v>
      </c>
      <c r="AI236" s="50">
        <v>0.0</v>
      </c>
      <c r="AJ236" s="50">
        <v>0.0</v>
      </c>
      <c r="AK236" s="50">
        <v>0.0</v>
      </c>
      <c r="AL236" s="48"/>
      <c r="AM236" s="50">
        <v>3.0</v>
      </c>
      <c r="AN236" s="48"/>
      <c r="AO236" s="48"/>
      <c r="AP236" s="48"/>
      <c r="AQ236" s="48"/>
      <c r="AR236" s="48"/>
      <c r="AS236" s="48"/>
      <c r="AT236" s="48"/>
      <c r="AU236" s="48"/>
      <c r="AV236" s="50">
        <v>3.0</v>
      </c>
      <c r="AW236" s="48"/>
      <c r="AX236" s="48"/>
      <c r="AY236" s="48"/>
      <c r="AZ236" s="48"/>
      <c r="BA236" s="48"/>
      <c r="BB236" s="48"/>
      <c r="BC236" s="48"/>
      <c r="BD236" s="50">
        <v>0.0</v>
      </c>
      <c r="BE236" s="50">
        <v>0.0</v>
      </c>
      <c r="BF236" s="50">
        <v>0.0</v>
      </c>
      <c r="BG236" s="50">
        <v>0.0</v>
      </c>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50">
        <v>7.0341775E8</v>
      </c>
      <c r="CL236" s="48" t="s">
        <v>3913</v>
      </c>
      <c r="CM236" s="47">
        <v>46103.44561342592</v>
      </c>
      <c r="CN236" s="48"/>
      <c r="CO236" s="48"/>
      <c r="CP236" s="48" t="s">
        <v>1954</v>
      </c>
      <c r="CQ236" s="48"/>
      <c r="CR236" s="48" t="s">
        <v>3014</v>
      </c>
      <c r="CS236" s="48"/>
      <c r="CT236" s="48" t="s">
        <v>3914</v>
      </c>
      <c r="CU236" s="50">
        <v>235.0</v>
      </c>
    </row>
    <row r="237">
      <c r="A237" s="47">
        <v>46103.77892671296</v>
      </c>
      <c r="B237" s="47">
        <v>46103.78046796296</v>
      </c>
      <c r="C237" s="48" t="s">
        <v>3915</v>
      </c>
      <c r="D237" s="48" t="s">
        <v>1923</v>
      </c>
      <c r="E237" s="48" t="s">
        <v>1924</v>
      </c>
      <c r="F237" s="48" t="s">
        <v>2088</v>
      </c>
      <c r="G237" s="49" t="s">
        <v>2756</v>
      </c>
      <c r="H237" s="48" t="s">
        <v>3369</v>
      </c>
      <c r="I237" s="50">
        <v>1.0</v>
      </c>
      <c r="J237" s="50">
        <v>0.0</v>
      </c>
      <c r="K237" s="50">
        <v>0.0</v>
      </c>
      <c r="L237" s="50">
        <v>0.0</v>
      </c>
      <c r="M237" s="50">
        <v>0.0</v>
      </c>
      <c r="N237" s="50">
        <v>0.0</v>
      </c>
      <c r="O237" s="50">
        <v>1.0</v>
      </c>
      <c r="P237" s="50">
        <v>0.0</v>
      </c>
      <c r="Q237" s="50">
        <v>0.0</v>
      </c>
      <c r="R237" s="48" t="s">
        <v>3369</v>
      </c>
      <c r="S237" s="50">
        <v>1.0</v>
      </c>
      <c r="T237" s="50">
        <v>0.0</v>
      </c>
      <c r="U237" s="50">
        <v>0.0</v>
      </c>
      <c r="V237" s="50">
        <v>0.0</v>
      </c>
      <c r="W237" s="50">
        <v>0.0</v>
      </c>
      <c r="X237" s="50">
        <v>0.0</v>
      </c>
      <c r="Y237" s="50">
        <v>1.0</v>
      </c>
      <c r="Z237" s="50">
        <v>0.0</v>
      </c>
      <c r="AA237" s="50">
        <v>0.0</v>
      </c>
      <c r="AB237" s="48" t="s">
        <v>999</v>
      </c>
      <c r="AC237" s="50">
        <v>0.0</v>
      </c>
      <c r="AD237" s="50">
        <v>0.0</v>
      </c>
      <c r="AE237" s="50">
        <v>0.0</v>
      </c>
      <c r="AF237" s="50">
        <v>0.0</v>
      </c>
      <c r="AG237" s="50">
        <v>0.0</v>
      </c>
      <c r="AH237" s="50">
        <v>0.0</v>
      </c>
      <c r="AI237" s="50">
        <v>0.0</v>
      </c>
      <c r="AJ237" s="50">
        <v>0.0</v>
      </c>
      <c r="AK237" s="50">
        <v>1.0</v>
      </c>
      <c r="AL237" s="48"/>
      <c r="AM237" s="50">
        <v>3.0</v>
      </c>
      <c r="AN237" s="48"/>
      <c r="AO237" s="48"/>
      <c r="AP237" s="48"/>
      <c r="AQ237" s="48"/>
      <c r="AR237" s="48"/>
      <c r="AS237" s="50">
        <v>10.0</v>
      </c>
      <c r="AT237" s="48"/>
      <c r="AU237" s="48"/>
      <c r="AV237" s="50">
        <v>3.0</v>
      </c>
      <c r="AW237" s="48"/>
      <c r="AX237" s="48"/>
      <c r="AY237" s="48"/>
      <c r="AZ237" s="48"/>
      <c r="BA237" s="48"/>
      <c r="BB237" s="50">
        <v>2.0</v>
      </c>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50">
        <v>7.03418594E8</v>
      </c>
      <c r="CL237" s="48" t="s">
        <v>3916</v>
      </c>
      <c r="CM237" s="47">
        <v>46103.4471412037</v>
      </c>
      <c r="CN237" s="48"/>
      <c r="CO237" s="48"/>
      <c r="CP237" s="48" t="s">
        <v>1954</v>
      </c>
      <c r="CQ237" s="48"/>
      <c r="CR237" s="48" t="s">
        <v>3014</v>
      </c>
      <c r="CS237" s="48"/>
      <c r="CT237" s="48" t="s">
        <v>3917</v>
      </c>
      <c r="CU237" s="50">
        <v>236.0</v>
      </c>
    </row>
    <row r="238">
      <c r="A238" s="47">
        <v>46103.78046822917</v>
      </c>
      <c r="B238" s="47">
        <v>46103.78373327546</v>
      </c>
      <c r="C238" s="48" t="s">
        <v>3918</v>
      </c>
      <c r="D238" s="48" t="s">
        <v>1923</v>
      </c>
      <c r="E238" s="48" t="s">
        <v>1924</v>
      </c>
      <c r="F238" s="48" t="s">
        <v>2088</v>
      </c>
      <c r="G238" s="49" t="s">
        <v>2744</v>
      </c>
      <c r="H238" s="48" t="s">
        <v>3369</v>
      </c>
      <c r="I238" s="50">
        <v>1.0</v>
      </c>
      <c r="J238" s="50">
        <v>0.0</v>
      </c>
      <c r="K238" s="50">
        <v>0.0</v>
      </c>
      <c r="L238" s="50">
        <v>0.0</v>
      </c>
      <c r="M238" s="50">
        <v>0.0</v>
      </c>
      <c r="N238" s="50">
        <v>0.0</v>
      </c>
      <c r="O238" s="50">
        <v>1.0</v>
      </c>
      <c r="P238" s="50">
        <v>0.0</v>
      </c>
      <c r="Q238" s="50">
        <v>0.0</v>
      </c>
      <c r="R238" s="48" t="s">
        <v>3369</v>
      </c>
      <c r="S238" s="50">
        <v>1.0</v>
      </c>
      <c r="T238" s="50">
        <v>0.0</v>
      </c>
      <c r="U238" s="50">
        <v>0.0</v>
      </c>
      <c r="V238" s="50">
        <v>0.0</v>
      </c>
      <c r="W238" s="50">
        <v>0.0</v>
      </c>
      <c r="X238" s="50">
        <v>0.0</v>
      </c>
      <c r="Y238" s="50">
        <v>1.0</v>
      </c>
      <c r="Z238" s="50">
        <v>0.0</v>
      </c>
      <c r="AA238" s="50">
        <v>0.0</v>
      </c>
      <c r="AB238" s="48" t="s">
        <v>3369</v>
      </c>
      <c r="AC238" s="50">
        <v>1.0</v>
      </c>
      <c r="AD238" s="50">
        <v>0.0</v>
      </c>
      <c r="AE238" s="50">
        <v>0.0</v>
      </c>
      <c r="AF238" s="50">
        <v>0.0</v>
      </c>
      <c r="AG238" s="50">
        <v>0.0</v>
      </c>
      <c r="AH238" s="50">
        <v>0.0</v>
      </c>
      <c r="AI238" s="50">
        <v>1.0</v>
      </c>
      <c r="AJ238" s="50">
        <v>0.0</v>
      </c>
      <c r="AK238" s="50">
        <v>0.0</v>
      </c>
      <c r="AL238" s="48"/>
      <c r="AM238" s="50">
        <v>6.0</v>
      </c>
      <c r="AN238" s="48"/>
      <c r="AO238" s="48"/>
      <c r="AP238" s="48"/>
      <c r="AQ238" s="48"/>
      <c r="AR238" s="48"/>
      <c r="AS238" s="50">
        <v>10.0</v>
      </c>
      <c r="AT238" s="48"/>
      <c r="AU238" s="48"/>
      <c r="AV238" s="50">
        <v>8.0</v>
      </c>
      <c r="AW238" s="48"/>
      <c r="AX238" s="48"/>
      <c r="AY238" s="48"/>
      <c r="AZ238" s="48"/>
      <c r="BA238" s="48"/>
      <c r="BB238" s="50">
        <v>5.0</v>
      </c>
      <c r="BC238" s="48"/>
      <c r="BD238" s="50">
        <v>1.0</v>
      </c>
      <c r="BE238" s="50">
        <v>0.0</v>
      </c>
      <c r="BF238" s="50">
        <v>3.0</v>
      </c>
      <c r="BG238" s="50">
        <v>0.0</v>
      </c>
      <c r="BH238" s="48"/>
      <c r="BI238" s="48"/>
      <c r="BJ238" s="48"/>
      <c r="BK238" s="48"/>
      <c r="BL238" s="48"/>
      <c r="BM238" s="48"/>
      <c r="BN238" s="48"/>
      <c r="BO238" s="48"/>
      <c r="BP238" s="48"/>
      <c r="BQ238" s="48"/>
      <c r="BR238" s="48"/>
      <c r="BS238" s="48"/>
      <c r="BT238" s="48"/>
      <c r="BU238" s="48"/>
      <c r="BV238" s="48"/>
      <c r="BW238" s="48"/>
      <c r="BX238" s="48"/>
      <c r="BY238" s="48"/>
      <c r="BZ238" s="48"/>
      <c r="CA238" s="48"/>
      <c r="CB238" s="50">
        <v>0.0</v>
      </c>
      <c r="CC238" s="50">
        <v>0.0</v>
      </c>
      <c r="CD238" s="50">
        <v>2.0</v>
      </c>
      <c r="CE238" s="50">
        <v>20.0</v>
      </c>
      <c r="CF238" s="48"/>
      <c r="CG238" s="48"/>
      <c r="CH238" s="48"/>
      <c r="CI238" s="48"/>
      <c r="CJ238" s="48"/>
      <c r="CK238" s="50">
        <v>7.03420364E8</v>
      </c>
      <c r="CL238" s="48" t="s">
        <v>3919</v>
      </c>
      <c r="CM238" s="47">
        <v>46103.45041666667</v>
      </c>
      <c r="CN238" s="48"/>
      <c r="CO238" s="48"/>
      <c r="CP238" s="48" t="s">
        <v>1954</v>
      </c>
      <c r="CQ238" s="48"/>
      <c r="CR238" s="48" t="s">
        <v>3014</v>
      </c>
      <c r="CS238" s="48"/>
      <c r="CT238" s="48" t="s">
        <v>3920</v>
      </c>
      <c r="CU238" s="50">
        <v>237.0</v>
      </c>
    </row>
    <row r="239">
      <c r="A239" s="47">
        <v>46098.65138884259</v>
      </c>
      <c r="B239" s="47">
        <v>46104.51529760416</v>
      </c>
      <c r="C239" s="48" t="s">
        <v>3921</v>
      </c>
      <c r="D239" s="48" t="s">
        <v>3733</v>
      </c>
      <c r="E239" s="48" t="s">
        <v>3734</v>
      </c>
      <c r="F239" s="48" t="s">
        <v>3735</v>
      </c>
      <c r="G239" s="49" t="s">
        <v>3922</v>
      </c>
      <c r="H239" s="48" t="s">
        <v>3743</v>
      </c>
      <c r="I239" s="50">
        <v>0.0</v>
      </c>
      <c r="J239" s="50">
        <v>1.0</v>
      </c>
      <c r="K239" s="50">
        <v>0.0</v>
      </c>
      <c r="L239" s="50">
        <v>0.0</v>
      </c>
      <c r="M239" s="50">
        <v>0.0</v>
      </c>
      <c r="N239" s="50">
        <v>0.0</v>
      </c>
      <c r="O239" s="50">
        <v>1.0</v>
      </c>
      <c r="P239" s="50">
        <v>0.0</v>
      </c>
      <c r="Q239" s="50">
        <v>0.0</v>
      </c>
      <c r="R239" s="48" t="s">
        <v>3743</v>
      </c>
      <c r="S239" s="50">
        <v>0.0</v>
      </c>
      <c r="T239" s="50">
        <v>1.0</v>
      </c>
      <c r="U239" s="50">
        <v>0.0</v>
      </c>
      <c r="V239" s="50">
        <v>0.0</v>
      </c>
      <c r="W239" s="50">
        <v>0.0</v>
      </c>
      <c r="X239" s="50">
        <v>0.0</v>
      </c>
      <c r="Y239" s="50">
        <v>1.0</v>
      </c>
      <c r="Z239" s="50">
        <v>0.0</v>
      </c>
      <c r="AA239" s="50">
        <v>0.0</v>
      </c>
      <c r="AB239" s="48" t="s">
        <v>999</v>
      </c>
      <c r="AC239" s="50">
        <v>0.0</v>
      </c>
      <c r="AD239" s="50">
        <v>0.0</v>
      </c>
      <c r="AE239" s="50">
        <v>0.0</v>
      </c>
      <c r="AF239" s="50">
        <v>0.0</v>
      </c>
      <c r="AG239" s="50">
        <v>0.0</v>
      </c>
      <c r="AH239" s="50">
        <v>0.0</v>
      </c>
      <c r="AI239" s="50">
        <v>0.0</v>
      </c>
      <c r="AJ239" s="50">
        <v>0.0</v>
      </c>
      <c r="AK239" s="50">
        <v>1.0</v>
      </c>
      <c r="AL239" s="48"/>
      <c r="AM239" s="48"/>
      <c r="AN239" s="50">
        <v>5.0</v>
      </c>
      <c r="AO239" s="48"/>
      <c r="AP239" s="48"/>
      <c r="AQ239" s="48"/>
      <c r="AR239" s="48"/>
      <c r="AS239" s="50">
        <v>10.0</v>
      </c>
      <c r="AT239" s="48"/>
      <c r="AU239" s="48"/>
      <c r="AV239" s="48"/>
      <c r="AW239" s="50">
        <v>9.0</v>
      </c>
      <c r="AX239" s="48"/>
      <c r="AY239" s="48"/>
      <c r="AZ239" s="48"/>
      <c r="BA239" s="48"/>
      <c r="BB239" s="50">
        <v>20.0</v>
      </c>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t="s">
        <v>3923</v>
      </c>
      <c r="CK239" s="50">
        <v>7.03886829E8</v>
      </c>
      <c r="CL239" s="48" t="s">
        <v>3924</v>
      </c>
      <c r="CM239" s="47">
        <v>46104.2236574074</v>
      </c>
      <c r="CN239" s="48"/>
      <c r="CO239" s="48"/>
      <c r="CP239" s="48" t="s">
        <v>1954</v>
      </c>
      <c r="CQ239" s="48"/>
      <c r="CR239" s="48" t="s">
        <v>3014</v>
      </c>
      <c r="CS239" s="48"/>
      <c r="CT239" s="48" t="s">
        <v>3925</v>
      </c>
      <c r="CU239" s="50">
        <v>238.0</v>
      </c>
    </row>
    <row r="240">
      <c r="A240" s="47">
        <v>46104.51529827547</v>
      </c>
      <c r="B240" s="47">
        <v>46104.51771924768</v>
      </c>
      <c r="C240" s="48" t="s">
        <v>3926</v>
      </c>
      <c r="D240" s="48" t="s">
        <v>3733</v>
      </c>
      <c r="E240" s="48" t="s">
        <v>3734</v>
      </c>
      <c r="F240" s="48" t="s">
        <v>3735</v>
      </c>
      <c r="G240" s="49" t="s">
        <v>3927</v>
      </c>
      <c r="H240" s="48" t="s">
        <v>3765</v>
      </c>
      <c r="I240" s="50">
        <v>0.0</v>
      </c>
      <c r="J240" s="50">
        <v>1.0</v>
      </c>
      <c r="K240" s="50">
        <v>0.0</v>
      </c>
      <c r="L240" s="50">
        <v>0.0</v>
      </c>
      <c r="M240" s="50">
        <v>0.0</v>
      </c>
      <c r="N240" s="50">
        <v>0.0</v>
      </c>
      <c r="O240" s="50">
        <v>1.0</v>
      </c>
      <c r="P240" s="50">
        <v>1.0</v>
      </c>
      <c r="Q240" s="50">
        <v>0.0</v>
      </c>
      <c r="R240" s="48" t="s">
        <v>3928</v>
      </c>
      <c r="S240" s="50">
        <v>0.0</v>
      </c>
      <c r="T240" s="50">
        <v>1.0</v>
      </c>
      <c r="U240" s="50">
        <v>0.0</v>
      </c>
      <c r="V240" s="50">
        <v>0.0</v>
      </c>
      <c r="W240" s="50">
        <v>0.0</v>
      </c>
      <c r="X240" s="50">
        <v>1.0</v>
      </c>
      <c r="Y240" s="50">
        <v>1.0</v>
      </c>
      <c r="Z240" s="50">
        <v>1.0</v>
      </c>
      <c r="AA240" s="50">
        <v>0.0</v>
      </c>
      <c r="AB240" s="48" t="s">
        <v>999</v>
      </c>
      <c r="AC240" s="50">
        <v>0.0</v>
      </c>
      <c r="AD240" s="50">
        <v>0.0</v>
      </c>
      <c r="AE240" s="50">
        <v>0.0</v>
      </c>
      <c r="AF240" s="50">
        <v>0.0</v>
      </c>
      <c r="AG240" s="50">
        <v>0.0</v>
      </c>
      <c r="AH240" s="50">
        <v>0.0</v>
      </c>
      <c r="AI240" s="50">
        <v>0.0</v>
      </c>
      <c r="AJ240" s="50">
        <v>0.0</v>
      </c>
      <c r="AK240" s="50">
        <v>1.0</v>
      </c>
      <c r="AL240" s="48"/>
      <c r="AM240" s="48"/>
      <c r="AN240" s="50">
        <v>4.0</v>
      </c>
      <c r="AO240" s="48"/>
      <c r="AP240" s="48"/>
      <c r="AQ240" s="48"/>
      <c r="AR240" s="48"/>
      <c r="AS240" s="50">
        <v>17.0</v>
      </c>
      <c r="AT240" s="50">
        <v>10.0</v>
      </c>
      <c r="AU240" s="48"/>
      <c r="AV240" s="48"/>
      <c r="AW240" s="50">
        <v>6.0</v>
      </c>
      <c r="AX240" s="48"/>
      <c r="AY240" s="48"/>
      <c r="AZ240" s="48"/>
      <c r="BA240" s="50">
        <v>6.0</v>
      </c>
      <c r="BB240" s="50">
        <v>15.0</v>
      </c>
      <c r="BC240" s="50">
        <v>15.0</v>
      </c>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t="s">
        <v>3929</v>
      </c>
      <c r="CK240" s="50">
        <v>7.03889669E8</v>
      </c>
      <c r="CL240" s="48" t="s">
        <v>3930</v>
      </c>
      <c r="CM240" s="47">
        <v>46104.22606481481</v>
      </c>
      <c r="CN240" s="48"/>
      <c r="CO240" s="48"/>
      <c r="CP240" s="48" t="s">
        <v>1954</v>
      </c>
      <c r="CQ240" s="48"/>
      <c r="CR240" s="48" t="s">
        <v>3014</v>
      </c>
      <c r="CS240" s="48"/>
      <c r="CT240" s="48" t="s">
        <v>3931</v>
      </c>
      <c r="CU240" s="50">
        <v>239.0</v>
      </c>
    </row>
    <row r="241">
      <c r="A241" s="47">
        <v>46104.51772002315</v>
      </c>
      <c r="B241" s="47">
        <v>46104.51975113426</v>
      </c>
      <c r="C241" s="48" t="s">
        <v>3932</v>
      </c>
      <c r="D241" s="48" t="s">
        <v>3733</v>
      </c>
      <c r="E241" s="48" t="s">
        <v>3734</v>
      </c>
      <c r="F241" s="48" t="s">
        <v>3735</v>
      </c>
      <c r="G241" s="49" t="s">
        <v>3933</v>
      </c>
      <c r="H241" s="48" t="s">
        <v>3743</v>
      </c>
      <c r="I241" s="50">
        <v>0.0</v>
      </c>
      <c r="J241" s="50">
        <v>1.0</v>
      </c>
      <c r="K241" s="50">
        <v>0.0</v>
      </c>
      <c r="L241" s="50">
        <v>0.0</v>
      </c>
      <c r="M241" s="50">
        <v>0.0</v>
      </c>
      <c r="N241" s="50">
        <v>0.0</v>
      </c>
      <c r="O241" s="50">
        <v>1.0</v>
      </c>
      <c r="P241" s="50">
        <v>0.0</v>
      </c>
      <c r="Q241" s="50">
        <v>0.0</v>
      </c>
      <c r="R241" s="48" t="s">
        <v>3743</v>
      </c>
      <c r="S241" s="50">
        <v>0.0</v>
      </c>
      <c r="T241" s="50">
        <v>1.0</v>
      </c>
      <c r="U241" s="50">
        <v>0.0</v>
      </c>
      <c r="V241" s="50">
        <v>0.0</v>
      </c>
      <c r="W241" s="50">
        <v>0.0</v>
      </c>
      <c r="X241" s="50">
        <v>0.0</v>
      </c>
      <c r="Y241" s="50">
        <v>1.0</v>
      </c>
      <c r="Z241" s="50">
        <v>0.0</v>
      </c>
      <c r="AA241" s="50">
        <v>0.0</v>
      </c>
      <c r="AB241" s="48" t="s">
        <v>999</v>
      </c>
      <c r="AC241" s="50">
        <v>0.0</v>
      </c>
      <c r="AD241" s="50">
        <v>0.0</v>
      </c>
      <c r="AE241" s="50">
        <v>0.0</v>
      </c>
      <c r="AF241" s="50">
        <v>0.0</v>
      </c>
      <c r="AG241" s="50">
        <v>0.0</v>
      </c>
      <c r="AH241" s="50">
        <v>0.0</v>
      </c>
      <c r="AI241" s="50">
        <v>0.0</v>
      </c>
      <c r="AJ241" s="50">
        <v>0.0</v>
      </c>
      <c r="AK241" s="50">
        <v>1.0</v>
      </c>
      <c r="AL241" s="48"/>
      <c r="AM241" s="48"/>
      <c r="AN241" s="50">
        <v>6.0</v>
      </c>
      <c r="AO241" s="48"/>
      <c r="AP241" s="48"/>
      <c r="AQ241" s="48"/>
      <c r="AR241" s="48"/>
      <c r="AS241" s="50">
        <v>7.0</v>
      </c>
      <c r="AT241" s="48"/>
      <c r="AU241" s="48"/>
      <c r="AV241" s="48"/>
      <c r="AW241" s="50">
        <v>2.0</v>
      </c>
      <c r="AX241" s="48"/>
      <c r="AY241" s="48"/>
      <c r="AZ241" s="48"/>
      <c r="BA241" s="48"/>
      <c r="BB241" s="50">
        <v>4.0</v>
      </c>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t="s">
        <v>3934</v>
      </c>
      <c r="CK241" s="50">
        <v>7.03892714E8</v>
      </c>
      <c r="CL241" s="48" t="s">
        <v>3935</v>
      </c>
      <c r="CM241" s="47">
        <v>46104.22809027778</v>
      </c>
      <c r="CN241" s="48"/>
      <c r="CO241" s="48"/>
      <c r="CP241" s="48" t="s">
        <v>1954</v>
      </c>
      <c r="CQ241" s="48"/>
      <c r="CR241" s="48" t="s">
        <v>3014</v>
      </c>
      <c r="CS241" s="48"/>
      <c r="CT241" s="48" t="s">
        <v>3936</v>
      </c>
      <c r="CU241" s="50">
        <v>240.0</v>
      </c>
    </row>
    <row r="242">
      <c r="A242" s="47">
        <v>46107.73387011574</v>
      </c>
      <c r="B242" s="47">
        <v>46107.75452589121</v>
      </c>
      <c r="C242" s="48" t="s">
        <v>3937</v>
      </c>
      <c r="D242" s="48" t="s">
        <v>3938</v>
      </c>
      <c r="E242" s="48" t="s">
        <v>3939</v>
      </c>
      <c r="F242" s="48" t="s">
        <v>3940</v>
      </c>
      <c r="G242" s="49" t="s">
        <v>3941</v>
      </c>
      <c r="H242" s="48" t="s">
        <v>3711</v>
      </c>
      <c r="I242" s="50">
        <v>1.0</v>
      </c>
      <c r="J242" s="50">
        <v>0.0</v>
      </c>
      <c r="K242" s="50">
        <v>0.0</v>
      </c>
      <c r="L242" s="50">
        <v>0.0</v>
      </c>
      <c r="M242" s="50">
        <v>0.0</v>
      </c>
      <c r="N242" s="50">
        <v>0.0</v>
      </c>
      <c r="O242" s="50">
        <v>1.0</v>
      </c>
      <c r="P242" s="50">
        <v>1.0</v>
      </c>
      <c r="Q242" s="50">
        <v>0.0</v>
      </c>
      <c r="R242" s="48" t="s">
        <v>3711</v>
      </c>
      <c r="S242" s="50">
        <v>1.0</v>
      </c>
      <c r="T242" s="50">
        <v>0.0</v>
      </c>
      <c r="U242" s="50">
        <v>0.0</v>
      </c>
      <c r="V242" s="50">
        <v>0.0</v>
      </c>
      <c r="W242" s="50">
        <v>0.0</v>
      </c>
      <c r="X242" s="50">
        <v>0.0</v>
      </c>
      <c r="Y242" s="50">
        <v>1.0</v>
      </c>
      <c r="Z242" s="50">
        <v>1.0</v>
      </c>
      <c r="AA242" s="50">
        <v>0.0</v>
      </c>
      <c r="AB242" s="48" t="s">
        <v>3711</v>
      </c>
      <c r="AC242" s="50">
        <v>1.0</v>
      </c>
      <c r="AD242" s="50">
        <v>0.0</v>
      </c>
      <c r="AE242" s="50">
        <v>0.0</v>
      </c>
      <c r="AF242" s="50">
        <v>0.0</v>
      </c>
      <c r="AG242" s="50">
        <v>0.0</v>
      </c>
      <c r="AH242" s="50">
        <v>0.0</v>
      </c>
      <c r="AI242" s="50">
        <v>1.0</v>
      </c>
      <c r="AJ242" s="50">
        <v>1.0</v>
      </c>
      <c r="AK242" s="50">
        <v>0.0</v>
      </c>
      <c r="AL242" s="48"/>
      <c r="AM242" s="50">
        <v>4.0</v>
      </c>
      <c r="AN242" s="48"/>
      <c r="AO242" s="48"/>
      <c r="AP242" s="48"/>
      <c r="AQ242" s="48"/>
      <c r="AR242" s="48"/>
      <c r="AS242" s="50">
        <v>4.0</v>
      </c>
      <c r="AT242" s="50">
        <v>0.0</v>
      </c>
      <c r="AU242" s="48"/>
      <c r="AV242" s="50">
        <v>8.0</v>
      </c>
      <c r="AW242" s="48"/>
      <c r="AX242" s="48"/>
      <c r="AY242" s="48"/>
      <c r="AZ242" s="48"/>
      <c r="BA242" s="48"/>
      <c r="BB242" s="50">
        <v>24.0</v>
      </c>
      <c r="BC242" s="50">
        <v>70.0</v>
      </c>
      <c r="BD242" s="50">
        <v>8.0</v>
      </c>
      <c r="BE242" s="50">
        <v>0.0</v>
      </c>
      <c r="BF242" s="50">
        <v>0.0</v>
      </c>
      <c r="BG242" s="50">
        <v>0.0</v>
      </c>
      <c r="BH242" s="48"/>
      <c r="BI242" s="48"/>
      <c r="BJ242" s="48"/>
      <c r="BK242" s="48"/>
      <c r="BL242" s="48"/>
      <c r="BM242" s="48"/>
      <c r="BN242" s="48"/>
      <c r="BO242" s="48"/>
      <c r="BP242" s="48"/>
      <c r="BQ242" s="48"/>
      <c r="BR242" s="48"/>
      <c r="BS242" s="48"/>
      <c r="BT242" s="48"/>
      <c r="BU242" s="48"/>
      <c r="BV242" s="48"/>
      <c r="BW242" s="48"/>
      <c r="BX242" s="48"/>
      <c r="BY242" s="48"/>
      <c r="BZ242" s="48"/>
      <c r="CA242" s="48"/>
      <c r="CB242" s="50">
        <v>10.0</v>
      </c>
      <c r="CC242" s="50">
        <v>0.0</v>
      </c>
      <c r="CD242" s="50">
        <v>30.0</v>
      </c>
      <c r="CE242" s="50">
        <v>20.0</v>
      </c>
      <c r="CF242" s="50">
        <v>0.0</v>
      </c>
      <c r="CG242" s="50">
        <v>0.0</v>
      </c>
      <c r="CH242" s="50">
        <v>0.0</v>
      </c>
      <c r="CI242" s="50">
        <v>0.0</v>
      </c>
      <c r="CJ242" s="48"/>
      <c r="CK242" s="50">
        <v>7.07664607E8</v>
      </c>
      <c r="CL242" s="48" t="s">
        <v>3942</v>
      </c>
      <c r="CM242" s="47">
        <v>46107.46289351852</v>
      </c>
      <c r="CN242" s="48"/>
      <c r="CO242" s="48"/>
      <c r="CP242" s="48" t="s">
        <v>1954</v>
      </c>
      <c r="CQ242" s="48"/>
      <c r="CR242" s="48" t="s">
        <v>3014</v>
      </c>
      <c r="CS242" s="48"/>
      <c r="CT242" s="48" t="s">
        <v>3943</v>
      </c>
      <c r="CU242" s="50">
        <v>241.0</v>
      </c>
    </row>
    <row r="243">
      <c r="A243" s="47">
        <v>46107.75452868055</v>
      </c>
      <c r="B243" s="47">
        <v>46107.7624500463</v>
      </c>
      <c r="C243" s="48" t="s">
        <v>3944</v>
      </c>
      <c r="D243" s="48" t="s">
        <v>3938</v>
      </c>
      <c r="E243" s="48" t="s">
        <v>3939</v>
      </c>
      <c r="F243" s="48" t="s">
        <v>3940</v>
      </c>
      <c r="G243" s="49" t="s">
        <v>3945</v>
      </c>
      <c r="H243" s="48" t="s">
        <v>3711</v>
      </c>
      <c r="I243" s="50">
        <v>1.0</v>
      </c>
      <c r="J243" s="50">
        <v>0.0</v>
      </c>
      <c r="K243" s="50">
        <v>0.0</v>
      </c>
      <c r="L243" s="50">
        <v>0.0</v>
      </c>
      <c r="M243" s="50">
        <v>0.0</v>
      </c>
      <c r="N243" s="50">
        <v>0.0</v>
      </c>
      <c r="O243" s="50">
        <v>1.0</v>
      </c>
      <c r="P243" s="50">
        <v>1.0</v>
      </c>
      <c r="Q243" s="50">
        <v>0.0</v>
      </c>
      <c r="R243" s="48" t="s">
        <v>3711</v>
      </c>
      <c r="S243" s="50">
        <v>1.0</v>
      </c>
      <c r="T243" s="50">
        <v>0.0</v>
      </c>
      <c r="U243" s="50">
        <v>0.0</v>
      </c>
      <c r="V243" s="50">
        <v>0.0</v>
      </c>
      <c r="W243" s="50">
        <v>0.0</v>
      </c>
      <c r="X243" s="50">
        <v>0.0</v>
      </c>
      <c r="Y243" s="50">
        <v>1.0</v>
      </c>
      <c r="Z243" s="50">
        <v>1.0</v>
      </c>
      <c r="AA243" s="50">
        <v>0.0</v>
      </c>
      <c r="AB243" s="48" t="s">
        <v>3711</v>
      </c>
      <c r="AC243" s="50">
        <v>1.0</v>
      </c>
      <c r="AD243" s="50">
        <v>0.0</v>
      </c>
      <c r="AE243" s="50">
        <v>0.0</v>
      </c>
      <c r="AF243" s="50">
        <v>0.0</v>
      </c>
      <c r="AG243" s="50">
        <v>0.0</v>
      </c>
      <c r="AH243" s="50">
        <v>0.0</v>
      </c>
      <c r="AI243" s="50">
        <v>1.0</v>
      </c>
      <c r="AJ243" s="50">
        <v>1.0</v>
      </c>
      <c r="AK243" s="50">
        <v>0.0</v>
      </c>
      <c r="AL243" s="48"/>
      <c r="AM243" s="50">
        <v>3.0</v>
      </c>
      <c r="AN243" s="48"/>
      <c r="AO243" s="48"/>
      <c r="AP243" s="48"/>
      <c r="AQ243" s="48"/>
      <c r="AR243" s="48"/>
      <c r="AS243" s="50">
        <v>2.0</v>
      </c>
      <c r="AT243" s="50">
        <v>6.0</v>
      </c>
      <c r="AU243" s="48"/>
      <c r="AV243" s="50">
        <v>3.0</v>
      </c>
      <c r="AW243" s="48"/>
      <c r="AX243" s="48"/>
      <c r="AY243" s="48"/>
      <c r="AZ243" s="48"/>
      <c r="BA243" s="48"/>
      <c r="BB243" s="50">
        <v>2.0</v>
      </c>
      <c r="BC243" s="50">
        <v>5.0</v>
      </c>
      <c r="BD243" s="50">
        <v>1.0</v>
      </c>
      <c r="BE243" s="50">
        <v>2.0</v>
      </c>
      <c r="BF243" s="50">
        <v>0.0</v>
      </c>
      <c r="BG243" s="50">
        <v>0.0</v>
      </c>
      <c r="BH243" s="48"/>
      <c r="BI243" s="48"/>
      <c r="BJ243" s="48"/>
      <c r="BK243" s="48"/>
      <c r="BL243" s="48"/>
      <c r="BM243" s="48"/>
      <c r="BN243" s="48"/>
      <c r="BO243" s="48"/>
      <c r="BP243" s="48"/>
      <c r="BQ243" s="48"/>
      <c r="BR243" s="48"/>
      <c r="BS243" s="48"/>
      <c r="BT243" s="48"/>
      <c r="BU243" s="48"/>
      <c r="BV243" s="48"/>
      <c r="BW243" s="48"/>
      <c r="BX243" s="48"/>
      <c r="BY243" s="48"/>
      <c r="BZ243" s="48"/>
      <c r="CA243" s="48"/>
      <c r="CB243" s="50">
        <v>0.0</v>
      </c>
      <c r="CC243" s="50">
        <v>0.0</v>
      </c>
      <c r="CD243" s="50">
        <v>0.0</v>
      </c>
      <c r="CE243" s="50">
        <v>0.0</v>
      </c>
      <c r="CF243" s="50">
        <v>0.0</v>
      </c>
      <c r="CG243" s="50">
        <v>0.0</v>
      </c>
      <c r="CH243" s="50">
        <v>0.0</v>
      </c>
      <c r="CI243" s="50">
        <v>1.0</v>
      </c>
      <c r="CJ243" s="48"/>
      <c r="CK243" s="50">
        <v>7.07676253E8</v>
      </c>
      <c r="CL243" s="48" t="s">
        <v>3946</v>
      </c>
      <c r="CM243" s="47">
        <v>46107.47081018519</v>
      </c>
      <c r="CN243" s="48"/>
      <c r="CO243" s="48"/>
      <c r="CP243" s="48" t="s">
        <v>1954</v>
      </c>
      <c r="CQ243" s="48"/>
      <c r="CR243" s="48" t="s">
        <v>3014</v>
      </c>
      <c r="CS243" s="48"/>
      <c r="CT243" s="48" t="s">
        <v>3947</v>
      </c>
      <c r="CU243" s="50">
        <v>242.0</v>
      </c>
    </row>
    <row r="244">
      <c r="A244" s="47">
        <v>46107.76245178241</v>
      </c>
      <c r="B244" s="47">
        <v>46107.7685891088</v>
      </c>
      <c r="C244" s="48" t="s">
        <v>3948</v>
      </c>
      <c r="D244" s="48" t="s">
        <v>3938</v>
      </c>
      <c r="E244" s="48" t="s">
        <v>3939</v>
      </c>
      <c r="F244" s="48" t="s">
        <v>3940</v>
      </c>
      <c r="G244" s="49" t="s">
        <v>3949</v>
      </c>
      <c r="H244" s="48" t="s">
        <v>3711</v>
      </c>
      <c r="I244" s="50">
        <v>1.0</v>
      </c>
      <c r="J244" s="50">
        <v>0.0</v>
      </c>
      <c r="K244" s="50">
        <v>0.0</v>
      </c>
      <c r="L244" s="50">
        <v>0.0</v>
      </c>
      <c r="M244" s="50">
        <v>0.0</v>
      </c>
      <c r="N244" s="50">
        <v>0.0</v>
      </c>
      <c r="O244" s="50">
        <v>1.0</v>
      </c>
      <c r="P244" s="50">
        <v>1.0</v>
      </c>
      <c r="Q244" s="50">
        <v>0.0</v>
      </c>
      <c r="R244" s="48" t="s">
        <v>3711</v>
      </c>
      <c r="S244" s="50">
        <v>1.0</v>
      </c>
      <c r="T244" s="50">
        <v>0.0</v>
      </c>
      <c r="U244" s="50">
        <v>0.0</v>
      </c>
      <c r="V244" s="50">
        <v>0.0</v>
      </c>
      <c r="W244" s="50">
        <v>0.0</v>
      </c>
      <c r="X244" s="50">
        <v>0.0</v>
      </c>
      <c r="Y244" s="50">
        <v>1.0</v>
      </c>
      <c r="Z244" s="50">
        <v>1.0</v>
      </c>
      <c r="AA244" s="50">
        <v>0.0</v>
      </c>
      <c r="AB244" s="48" t="s">
        <v>3711</v>
      </c>
      <c r="AC244" s="50">
        <v>1.0</v>
      </c>
      <c r="AD244" s="50">
        <v>0.0</v>
      </c>
      <c r="AE244" s="50">
        <v>0.0</v>
      </c>
      <c r="AF244" s="50">
        <v>0.0</v>
      </c>
      <c r="AG244" s="50">
        <v>0.0</v>
      </c>
      <c r="AH244" s="50">
        <v>0.0</v>
      </c>
      <c r="AI244" s="50">
        <v>1.0</v>
      </c>
      <c r="AJ244" s="50">
        <v>1.0</v>
      </c>
      <c r="AK244" s="50">
        <v>0.0</v>
      </c>
      <c r="AL244" s="48"/>
      <c r="AM244" s="50">
        <v>5.0</v>
      </c>
      <c r="AN244" s="48"/>
      <c r="AO244" s="48"/>
      <c r="AP244" s="48"/>
      <c r="AQ244" s="48"/>
      <c r="AR244" s="48"/>
      <c r="AS244" s="50">
        <v>10.0</v>
      </c>
      <c r="AT244" s="50">
        <v>2.0</v>
      </c>
      <c r="AU244" s="48"/>
      <c r="AV244" s="50">
        <v>5.0</v>
      </c>
      <c r="AW244" s="48"/>
      <c r="AX244" s="48"/>
      <c r="AY244" s="48"/>
      <c r="AZ244" s="48"/>
      <c r="BA244" s="48"/>
      <c r="BB244" s="50">
        <v>10.0</v>
      </c>
      <c r="BC244" s="50">
        <v>2.0</v>
      </c>
      <c r="BD244" s="50">
        <v>1.0</v>
      </c>
      <c r="BE244" s="50">
        <v>0.0</v>
      </c>
      <c r="BF244" s="50">
        <v>1.0</v>
      </c>
      <c r="BG244" s="50">
        <v>0.0</v>
      </c>
      <c r="BH244" s="48"/>
      <c r="BI244" s="48"/>
      <c r="BJ244" s="48"/>
      <c r="BK244" s="48"/>
      <c r="BL244" s="48"/>
      <c r="BM244" s="48"/>
      <c r="BN244" s="48"/>
      <c r="BO244" s="48"/>
      <c r="BP244" s="48"/>
      <c r="BQ244" s="48"/>
      <c r="BR244" s="48"/>
      <c r="BS244" s="48"/>
      <c r="BT244" s="48"/>
      <c r="BU244" s="48"/>
      <c r="BV244" s="48"/>
      <c r="BW244" s="48"/>
      <c r="BX244" s="48"/>
      <c r="BY244" s="48"/>
      <c r="BZ244" s="48"/>
      <c r="CA244" s="48"/>
      <c r="CB244" s="50">
        <v>0.0</v>
      </c>
      <c r="CC244" s="50">
        <v>2.0</v>
      </c>
      <c r="CD244" s="50">
        <v>0.0</v>
      </c>
      <c r="CE244" s="50">
        <v>0.0</v>
      </c>
      <c r="CF244" s="50">
        <v>2.0</v>
      </c>
      <c r="CG244" s="50">
        <v>0.0</v>
      </c>
      <c r="CH244" s="50">
        <v>0.0</v>
      </c>
      <c r="CI244" s="50">
        <v>0.0</v>
      </c>
      <c r="CJ244" s="48"/>
      <c r="CK244" s="50">
        <v>7.07684688E8</v>
      </c>
      <c r="CL244" s="48" t="s">
        <v>3950</v>
      </c>
      <c r="CM244" s="47">
        <v>46107.47695601852</v>
      </c>
      <c r="CN244" s="48"/>
      <c r="CO244" s="48"/>
      <c r="CP244" s="48" t="s">
        <v>1954</v>
      </c>
      <c r="CQ244" s="48"/>
      <c r="CR244" s="48" t="s">
        <v>3014</v>
      </c>
      <c r="CS244" s="48"/>
      <c r="CT244" s="48" t="s">
        <v>3951</v>
      </c>
      <c r="CU244" s="50">
        <v>243.0</v>
      </c>
    </row>
    <row r="245">
      <c r="A245" s="47">
        <v>46107.76859090278</v>
      </c>
      <c r="B245" s="47">
        <v>46107.77553896991</v>
      </c>
      <c r="C245" s="48" t="s">
        <v>3952</v>
      </c>
      <c r="D245" s="48" t="s">
        <v>3938</v>
      </c>
      <c r="E245" s="48" t="s">
        <v>3939</v>
      </c>
      <c r="F245" s="48" t="s">
        <v>3940</v>
      </c>
      <c r="G245" s="49" t="s">
        <v>3953</v>
      </c>
      <c r="H245" s="48" t="s">
        <v>3711</v>
      </c>
      <c r="I245" s="50">
        <v>1.0</v>
      </c>
      <c r="J245" s="50">
        <v>0.0</v>
      </c>
      <c r="K245" s="50">
        <v>0.0</v>
      </c>
      <c r="L245" s="50">
        <v>0.0</v>
      </c>
      <c r="M245" s="50">
        <v>0.0</v>
      </c>
      <c r="N245" s="50">
        <v>0.0</v>
      </c>
      <c r="O245" s="50">
        <v>1.0</v>
      </c>
      <c r="P245" s="50">
        <v>1.0</v>
      </c>
      <c r="Q245" s="50">
        <v>0.0</v>
      </c>
      <c r="R245" s="48" t="s">
        <v>3711</v>
      </c>
      <c r="S245" s="50">
        <v>1.0</v>
      </c>
      <c r="T245" s="50">
        <v>0.0</v>
      </c>
      <c r="U245" s="50">
        <v>0.0</v>
      </c>
      <c r="V245" s="50">
        <v>0.0</v>
      </c>
      <c r="W245" s="50">
        <v>0.0</v>
      </c>
      <c r="X245" s="50">
        <v>0.0</v>
      </c>
      <c r="Y245" s="50">
        <v>1.0</v>
      </c>
      <c r="Z245" s="50">
        <v>1.0</v>
      </c>
      <c r="AA245" s="50">
        <v>0.0</v>
      </c>
      <c r="AB245" s="48" t="s">
        <v>3711</v>
      </c>
      <c r="AC245" s="50">
        <v>1.0</v>
      </c>
      <c r="AD245" s="50">
        <v>0.0</v>
      </c>
      <c r="AE245" s="50">
        <v>0.0</v>
      </c>
      <c r="AF245" s="50">
        <v>0.0</v>
      </c>
      <c r="AG245" s="50">
        <v>0.0</v>
      </c>
      <c r="AH245" s="50">
        <v>0.0</v>
      </c>
      <c r="AI245" s="50">
        <v>1.0</v>
      </c>
      <c r="AJ245" s="50">
        <v>1.0</v>
      </c>
      <c r="AK245" s="50">
        <v>0.0</v>
      </c>
      <c r="AL245" s="48"/>
      <c r="AM245" s="50">
        <v>2.0</v>
      </c>
      <c r="AN245" s="48"/>
      <c r="AO245" s="48"/>
      <c r="AP245" s="48"/>
      <c r="AQ245" s="48"/>
      <c r="AR245" s="48"/>
      <c r="AS245" s="50">
        <v>1.0</v>
      </c>
      <c r="AT245" s="50">
        <v>3.0</v>
      </c>
      <c r="AU245" s="48"/>
      <c r="AV245" s="50">
        <v>3.0</v>
      </c>
      <c r="AW245" s="48"/>
      <c r="AX245" s="48"/>
      <c r="AY245" s="48"/>
      <c r="AZ245" s="48"/>
      <c r="BA245" s="48"/>
      <c r="BB245" s="50">
        <v>1.0</v>
      </c>
      <c r="BC245" s="50">
        <v>3.0</v>
      </c>
      <c r="BD245" s="50">
        <v>2.0</v>
      </c>
      <c r="BE245" s="50">
        <v>0.0</v>
      </c>
      <c r="BF245" s="50">
        <v>1.0</v>
      </c>
      <c r="BG245" s="50">
        <v>0.0</v>
      </c>
      <c r="BH245" s="48"/>
      <c r="BI245" s="48"/>
      <c r="BJ245" s="48"/>
      <c r="BK245" s="48"/>
      <c r="BL245" s="48"/>
      <c r="BM245" s="48"/>
      <c r="BN245" s="48"/>
      <c r="BO245" s="48"/>
      <c r="BP245" s="48"/>
      <c r="BQ245" s="48"/>
      <c r="BR245" s="48"/>
      <c r="BS245" s="48"/>
      <c r="BT245" s="48"/>
      <c r="BU245" s="48"/>
      <c r="BV245" s="48"/>
      <c r="BW245" s="48"/>
      <c r="BX245" s="48"/>
      <c r="BY245" s="48"/>
      <c r="BZ245" s="48"/>
      <c r="CA245" s="48"/>
      <c r="CB245" s="50">
        <v>0.0</v>
      </c>
      <c r="CC245" s="50">
        <v>0.0</v>
      </c>
      <c r="CD245" s="50">
        <v>7.0</v>
      </c>
      <c r="CE245" s="50">
        <v>0.0</v>
      </c>
      <c r="CF245" s="50">
        <v>0.0</v>
      </c>
      <c r="CG245" s="50">
        <v>0.0</v>
      </c>
      <c r="CH245" s="50">
        <v>8.0</v>
      </c>
      <c r="CI245" s="50">
        <v>0.0</v>
      </c>
      <c r="CJ245" s="48"/>
      <c r="CK245" s="50">
        <v>7.07694333E8</v>
      </c>
      <c r="CL245" s="48" t="s">
        <v>3954</v>
      </c>
      <c r="CM245" s="47">
        <v>46107.48390046296</v>
      </c>
      <c r="CN245" s="48"/>
      <c r="CO245" s="48"/>
      <c r="CP245" s="48" t="s">
        <v>1954</v>
      </c>
      <c r="CQ245" s="48"/>
      <c r="CR245" s="48" t="s">
        <v>3014</v>
      </c>
      <c r="CS245" s="48"/>
      <c r="CT245" s="48" t="s">
        <v>3955</v>
      </c>
      <c r="CU245" s="50">
        <v>244.0</v>
      </c>
    </row>
    <row r="246">
      <c r="A246" s="47">
        <v>46107.77554042824</v>
      </c>
      <c r="B246" s="47">
        <v>46107.86731574074</v>
      </c>
      <c r="C246" s="48" t="s">
        <v>3956</v>
      </c>
      <c r="D246" s="48" t="s">
        <v>3938</v>
      </c>
      <c r="E246" s="48" t="s">
        <v>3939</v>
      </c>
      <c r="F246" s="48" t="s">
        <v>3940</v>
      </c>
      <c r="G246" s="49" t="s">
        <v>3957</v>
      </c>
      <c r="H246" s="48" t="s">
        <v>3369</v>
      </c>
      <c r="I246" s="50">
        <v>1.0</v>
      </c>
      <c r="J246" s="50">
        <v>0.0</v>
      </c>
      <c r="K246" s="50">
        <v>0.0</v>
      </c>
      <c r="L246" s="50">
        <v>0.0</v>
      </c>
      <c r="M246" s="50">
        <v>0.0</v>
      </c>
      <c r="N246" s="50">
        <v>0.0</v>
      </c>
      <c r="O246" s="50">
        <v>1.0</v>
      </c>
      <c r="P246" s="50">
        <v>0.0</v>
      </c>
      <c r="Q246" s="50">
        <v>0.0</v>
      </c>
      <c r="R246" s="48" t="s">
        <v>3369</v>
      </c>
      <c r="S246" s="50">
        <v>1.0</v>
      </c>
      <c r="T246" s="50">
        <v>0.0</v>
      </c>
      <c r="U246" s="50">
        <v>0.0</v>
      </c>
      <c r="V246" s="50">
        <v>0.0</v>
      </c>
      <c r="W246" s="50">
        <v>0.0</v>
      </c>
      <c r="X246" s="50">
        <v>0.0</v>
      </c>
      <c r="Y246" s="50">
        <v>1.0</v>
      </c>
      <c r="Z246" s="50">
        <v>0.0</v>
      </c>
      <c r="AA246" s="50">
        <v>0.0</v>
      </c>
      <c r="AB246" s="48" t="s">
        <v>3369</v>
      </c>
      <c r="AC246" s="50">
        <v>1.0</v>
      </c>
      <c r="AD246" s="50">
        <v>0.0</v>
      </c>
      <c r="AE246" s="50">
        <v>0.0</v>
      </c>
      <c r="AF246" s="50">
        <v>0.0</v>
      </c>
      <c r="AG246" s="50">
        <v>0.0</v>
      </c>
      <c r="AH246" s="50">
        <v>0.0</v>
      </c>
      <c r="AI246" s="50">
        <v>1.0</v>
      </c>
      <c r="AJ246" s="50">
        <v>0.0</v>
      </c>
      <c r="AK246" s="50">
        <v>0.0</v>
      </c>
      <c r="AL246" s="48"/>
      <c r="AM246" s="50">
        <v>2.0</v>
      </c>
      <c r="AN246" s="48"/>
      <c r="AO246" s="48"/>
      <c r="AP246" s="48"/>
      <c r="AQ246" s="48"/>
      <c r="AR246" s="48"/>
      <c r="AS246" s="50">
        <v>4.0</v>
      </c>
      <c r="AT246" s="48"/>
      <c r="AU246" s="48"/>
      <c r="AV246" s="50">
        <v>4.0</v>
      </c>
      <c r="AW246" s="48"/>
      <c r="AX246" s="48"/>
      <c r="AY246" s="48"/>
      <c r="AZ246" s="48"/>
      <c r="BA246" s="48"/>
      <c r="BB246" s="50">
        <v>10.0</v>
      </c>
      <c r="BC246" s="48"/>
      <c r="BD246" s="50">
        <v>0.0</v>
      </c>
      <c r="BE246" s="50">
        <v>0.0</v>
      </c>
      <c r="BF246" s="50">
        <v>0.0</v>
      </c>
      <c r="BG246" s="50">
        <v>0.0</v>
      </c>
      <c r="BH246" s="48"/>
      <c r="BI246" s="48"/>
      <c r="BJ246" s="48"/>
      <c r="BK246" s="48"/>
      <c r="BL246" s="48"/>
      <c r="BM246" s="48"/>
      <c r="BN246" s="48"/>
      <c r="BO246" s="48"/>
      <c r="BP246" s="48"/>
      <c r="BQ246" s="48"/>
      <c r="BR246" s="48"/>
      <c r="BS246" s="48"/>
      <c r="BT246" s="48"/>
      <c r="BU246" s="48"/>
      <c r="BV246" s="48"/>
      <c r="BW246" s="48"/>
      <c r="BX246" s="48"/>
      <c r="BY246" s="48"/>
      <c r="BZ246" s="48"/>
      <c r="CA246" s="48"/>
      <c r="CB246" s="50">
        <v>0.0</v>
      </c>
      <c r="CC246" s="50">
        <v>0.0</v>
      </c>
      <c r="CD246" s="50">
        <v>0.0</v>
      </c>
      <c r="CE246" s="50">
        <v>0.0</v>
      </c>
      <c r="CF246" s="48"/>
      <c r="CG246" s="48"/>
      <c r="CH246" s="48"/>
      <c r="CI246" s="48"/>
      <c r="CJ246" s="48"/>
      <c r="CK246" s="50">
        <v>7.07818218E8</v>
      </c>
      <c r="CL246" s="48" t="s">
        <v>3958</v>
      </c>
      <c r="CM246" s="47">
        <v>46107.57570601852</v>
      </c>
      <c r="CN246" s="48"/>
      <c r="CO246" s="48"/>
      <c r="CP246" s="48" t="s">
        <v>1954</v>
      </c>
      <c r="CQ246" s="48"/>
      <c r="CR246" s="48" t="s">
        <v>3014</v>
      </c>
      <c r="CS246" s="48"/>
      <c r="CT246" s="48" t="s">
        <v>3959</v>
      </c>
      <c r="CU246" s="50">
        <v>245.0</v>
      </c>
    </row>
    <row r="247">
      <c r="A247" s="47">
        <v>46107.8673190162</v>
      </c>
      <c r="B247" s="47">
        <v>46107.87309005787</v>
      </c>
      <c r="C247" s="48" t="s">
        <v>3960</v>
      </c>
      <c r="D247" s="48" t="s">
        <v>3938</v>
      </c>
      <c r="E247" s="48" t="s">
        <v>3939</v>
      </c>
      <c r="F247" s="48" t="s">
        <v>3961</v>
      </c>
      <c r="G247" s="49" t="s">
        <v>3962</v>
      </c>
      <c r="H247" s="48" t="s">
        <v>3835</v>
      </c>
      <c r="I247" s="50">
        <v>0.0</v>
      </c>
      <c r="J247" s="50">
        <v>0.0</v>
      </c>
      <c r="K247" s="50">
        <v>0.0</v>
      </c>
      <c r="L247" s="50">
        <v>0.0</v>
      </c>
      <c r="M247" s="50">
        <v>0.0</v>
      </c>
      <c r="N247" s="50">
        <v>0.0</v>
      </c>
      <c r="O247" s="50">
        <v>1.0</v>
      </c>
      <c r="P247" s="50">
        <v>1.0</v>
      </c>
      <c r="Q247" s="50">
        <v>0.0</v>
      </c>
      <c r="R247" s="48" t="s">
        <v>3711</v>
      </c>
      <c r="S247" s="50">
        <v>1.0</v>
      </c>
      <c r="T247" s="50">
        <v>0.0</v>
      </c>
      <c r="U247" s="50">
        <v>0.0</v>
      </c>
      <c r="V247" s="50">
        <v>0.0</v>
      </c>
      <c r="W247" s="50">
        <v>0.0</v>
      </c>
      <c r="X247" s="50">
        <v>0.0</v>
      </c>
      <c r="Y247" s="50">
        <v>1.0</v>
      </c>
      <c r="Z247" s="50">
        <v>1.0</v>
      </c>
      <c r="AA247" s="50">
        <v>0.0</v>
      </c>
      <c r="AB247" s="48" t="s">
        <v>3711</v>
      </c>
      <c r="AC247" s="50">
        <v>1.0</v>
      </c>
      <c r="AD247" s="50">
        <v>0.0</v>
      </c>
      <c r="AE247" s="50">
        <v>0.0</v>
      </c>
      <c r="AF247" s="50">
        <v>0.0</v>
      </c>
      <c r="AG247" s="50">
        <v>0.0</v>
      </c>
      <c r="AH247" s="50">
        <v>0.0</v>
      </c>
      <c r="AI247" s="50">
        <v>1.0</v>
      </c>
      <c r="AJ247" s="50">
        <v>1.0</v>
      </c>
      <c r="AK247" s="50">
        <v>0.0</v>
      </c>
      <c r="AL247" s="48"/>
      <c r="AM247" s="48"/>
      <c r="AN247" s="48"/>
      <c r="AO247" s="48"/>
      <c r="AP247" s="48"/>
      <c r="AQ247" s="48"/>
      <c r="AR247" s="48"/>
      <c r="AS247" s="50">
        <v>10.0</v>
      </c>
      <c r="AT247" s="50">
        <v>10.0</v>
      </c>
      <c r="AU247" s="48"/>
      <c r="AV247" s="50">
        <v>1.0</v>
      </c>
      <c r="AW247" s="48"/>
      <c r="AX247" s="48"/>
      <c r="AY247" s="48"/>
      <c r="AZ247" s="48"/>
      <c r="BA247" s="48"/>
      <c r="BB247" s="50">
        <v>10.0</v>
      </c>
      <c r="BC247" s="50">
        <v>10.0</v>
      </c>
      <c r="BD247" s="50">
        <v>0.0</v>
      </c>
      <c r="BE247" s="50">
        <v>0.0</v>
      </c>
      <c r="BF247" s="50">
        <v>0.0</v>
      </c>
      <c r="BG247" s="50">
        <v>0.0</v>
      </c>
      <c r="BH247" s="48"/>
      <c r="BI247" s="48"/>
      <c r="BJ247" s="48"/>
      <c r="BK247" s="48"/>
      <c r="BL247" s="48"/>
      <c r="BM247" s="48"/>
      <c r="BN247" s="48"/>
      <c r="BO247" s="48"/>
      <c r="BP247" s="48"/>
      <c r="BQ247" s="48"/>
      <c r="BR247" s="48"/>
      <c r="BS247" s="48"/>
      <c r="BT247" s="48"/>
      <c r="BU247" s="48"/>
      <c r="BV247" s="48"/>
      <c r="BW247" s="48"/>
      <c r="BX247" s="48"/>
      <c r="BY247" s="48"/>
      <c r="BZ247" s="48"/>
      <c r="CA247" s="48"/>
      <c r="CB247" s="50">
        <v>0.0</v>
      </c>
      <c r="CC247" s="50">
        <v>0.0</v>
      </c>
      <c r="CD247" s="50">
        <v>7.0</v>
      </c>
      <c r="CE247" s="50">
        <v>0.0</v>
      </c>
      <c r="CF247" s="50">
        <v>0.0</v>
      </c>
      <c r="CG247" s="50">
        <v>0.0</v>
      </c>
      <c r="CH247" s="50">
        <v>7.0</v>
      </c>
      <c r="CI247" s="50">
        <v>1.0</v>
      </c>
      <c r="CJ247" s="48"/>
      <c r="CK247" s="50">
        <v>7.07826484E8</v>
      </c>
      <c r="CL247" s="48" t="s">
        <v>3963</v>
      </c>
      <c r="CM247" s="47">
        <v>46107.58145833333</v>
      </c>
      <c r="CN247" s="48"/>
      <c r="CO247" s="48"/>
      <c r="CP247" s="48" t="s">
        <v>1954</v>
      </c>
      <c r="CQ247" s="48"/>
      <c r="CR247" s="48" t="s">
        <v>3014</v>
      </c>
      <c r="CS247" s="48"/>
      <c r="CT247" s="48" t="s">
        <v>3964</v>
      </c>
      <c r="CU247" s="50">
        <v>246.0</v>
      </c>
    </row>
    <row r="248">
      <c r="A248" s="47">
        <v>46107.8730927662</v>
      </c>
      <c r="B248" s="47">
        <v>46107.87904697916</v>
      </c>
      <c r="C248" s="48" t="s">
        <v>3965</v>
      </c>
      <c r="D248" s="48" t="s">
        <v>3938</v>
      </c>
      <c r="E248" s="48" t="s">
        <v>3939</v>
      </c>
      <c r="F248" s="48" t="s">
        <v>3961</v>
      </c>
      <c r="G248" s="49" t="s">
        <v>3966</v>
      </c>
      <c r="H248" s="48" t="s">
        <v>2947</v>
      </c>
      <c r="I248" s="50">
        <v>1.0</v>
      </c>
      <c r="J248" s="50">
        <v>0.0</v>
      </c>
      <c r="K248" s="50">
        <v>0.0</v>
      </c>
      <c r="L248" s="50">
        <v>0.0</v>
      </c>
      <c r="M248" s="50">
        <v>0.0</v>
      </c>
      <c r="N248" s="50">
        <v>0.0</v>
      </c>
      <c r="O248" s="50">
        <v>0.0</v>
      </c>
      <c r="P248" s="50">
        <v>0.0</v>
      </c>
      <c r="Q248" s="50">
        <v>0.0</v>
      </c>
      <c r="R248" s="48" t="s">
        <v>2947</v>
      </c>
      <c r="S248" s="50">
        <v>1.0</v>
      </c>
      <c r="T248" s="50">
        <v>0.0</v>
      </c>
      <c r="U248" s="50">
        <v>0.0</v>
      </c>
      <c r="V248" s="50">
        <v>0.0</v>
      </c>
      <c r="W248" s="50">
        <v>0.0</v>
      </c>
      <c r="X248" s="50">
        <v>0.0</v>
      </c>
      <c r="Y248" s="50">
        <v>0.0</v>
      </c>
      <c r="Z248" s="50">
        <v>0.0</v>
      </c>
      <c r="AA248" s="50">
        <v>0.0</v>
      </c>
      <c r="AB248" s="48" t="s">
        <v>2947</v>
      </c>
      <c r="AC248" s="50">
        <v>1.0</v>
      </c>
      <c r="AD248" s="50">
        <v>0.0</v>
      </c>
      <c r="AE248" s="50">
        <v>0.0</v>
      </c>
      <c r="AF248" s="50">
        <v>0.0</v>
      </c>
      <c r="AG248" s="50">
        <v>0.0</v>
      </c>
      <c r="AH248" s="50">
        <v>0.0</v>
      </c>
      <c r="AI248" s="50">
        <v>0.0</v>
      </c>
      <c r="AJ248" s="50">
        <v>0.0</v>
      </c>
      <c r="AK248" s="50">
        <v>0.0</v>
      </c>
      <c r="AL248" s="48"/>
      <c r="AM248" s="50">
        <v>5.0</v>
      </c>
      <c r="AN248" s="48"/>
      <c r="AO248" s="48"/>
      <c r="AP248" s="48"/>
      <c r="AQ248" s="48"/>
      <c r="AR248" s="48"/>
      <c r="AS248" s="48"/>
      <c r="AT248" s="48"/>
      <c r="AU248" s="48"/>
      <c r="AV248" s="50">
        <v>3.0</v>
      </c>
      <c r="AW248" s="48"/>
      <c r="AX248" s="48"/>
      <c r="AY248" s="48"/>
      <c r="AZ248" s="48"/>
      <c r="BA248" s="48"/>
      <c r="BB248" s="48"/>
      <c r="BC248" s="48"/>
      <c r="BD248" s="50">
        <v>0.0</v>
      </c>
      <c r="BE248" s="50">
        <v>0.0</v>
      </c>
      <c r="BF248" s="50">
        <v>0.0</v>
      </c>
      <c r="BG248" s="50">
        <v>0.0</v>
      </c>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50">
        <v>7.07835452E8</v>
      </c>
      <c r="CL248" s="48" t="s">
        <v>3967</v>
      </c>
      <c r="CM248" s="47">
        <v>46107.58740740741</v>
      </c>
      <c r="CN248" s="48"/>
      <c r="CO248" s="48"/>
      <c r="CP248" s="48" t="s">
        <v>1954</v>
      </c>
      <c r="CQ248" s="48"/>
      <c r="CR248" s="48" t="s">
        <v>3014</v>
      </c>
      <c r="CS248" s="48"/>
      <c r="CT248" s="48" t="s">
        <v>3968</v>
      </c>
      <c r="CU248" s="50">
        <v>247.0</v>
      </c>
    </row>
    <row r="249">
      <c r="A249" s="47">
        <v>46107.87904837963</v>
      </c>
      <c r="B249" s="47">
        <v>46107.91120244213</v>
      </c>
      <c r="C249" s="48" t="s">
        <v>3969</v>
      </c>
      <c r="D249" s="48" t="s">
        <v>3938</v>
      </c>
      <c r="E249" s="48" t="s">
        <v>3939</v>
      </c>
      <c r="F249" s="48" t="s">
        <v>3961</v>
      </c>
      <c r="G249" s="49" t="s">
        <v>3970</v>
      </c>
      <c r="H249" s="48" t="s">
        <v>2947</v>
      </c>
      <c r="I249" s="50">
        <v>1.0</v>
      </c>
      <c r="J249" s="50">
        <v>0.0</v>
      </c>
      <c r="K249" s="50">
        <v>0.0</v>
      </c>
      <c r="L249" s="50">
        <v>0.0</v>
      </c>
      <c r="M249" s="50">
        <v>0.0</v>
      </c>
      <c r="N249" s="50">
        <v>0.0</v>
      </c>
      <c r="O249" s="50">
        <v>0.0</v>
      </c>
      <c r="P249" s="50">
        <v>0.0</v>
      </c>
      <c r="Q249" s="50">
        <v>0.0</v>
      </c>
      <c r="R249" s="48" t="s">
        <v>999</v>
      </c>
      <c r="S249" s="50">
        <v>0.0</v>
      </c>
      <c r="T249" s="50">
        <v>0.0</v>
      </c>
      <c r="U249" s="50">
        <v>0.0</v>
      </c>
      <c r="V249" s="50">
        <v>0.0</v>
      </c>
      <c r="W249" s="50">
        <v>0.0</v>
      </c>
      <c r="X249" s="50">
        <v>0.0</v>
      </c>
      <c r="Y249" s="50">
        <v>0.0</v>
      </c>
      <c r="Z249" s="50">
        <v>0.0</v>
      </c>
      <c r="AA249" s="50">
        <v>1.0</v>
      </c>
      <c r="AB249" s="48" t="s">
        <v>999</v>
      </c>
      <c r="AC249" s="50">
        <v>0.0</v>
      </c>
      <c r="AD249" s="50">
        <v>0.0</v>
      </c>
      <c r="AE249" s="50">
        <v>0.0</v>
      </c>
      <c r="AF249" s="50">
        <v>0.0</v>
      </c>
      <c r="AG249" s="50">
        <v>0.0</v>
      </c>
      <c r="AH249" s="50">
        <v>0.0</v>
      </c>
      <c r="AI249" s="50">
        <v>0.0</v>
      </c>
      <c r="AJ249" s="50">
        <v>0.0</v>
      </c>
      <c r="AK249" s="50">
        <v>1.0</v>
      </c>
      <c r="AL249" s="48"/>
      <c r="AM249" s="50">
        <v>5.0</v>
      </c>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50">
        <v>7.07882365E8</v>
      </c>
      <c r="CL249" s="48" t="s">
        <v>3971</v>
      </c>
      <c r="CM249" s="47">
        <v>46107.61965277778</v>
      </c>
      <c r="CN249" s="48"/>
      <c r="CO249" s="48"/>
      <c r="CP249" s="48" t="s">
        <v>1954</v>
      </c>
      <c r="CQ249" s="48"/>
      <c r="CR249" s="48" t="s">
        <v>3014</v>
      </c>
      <c r="CS249" s="48"/>
      <c r="CT249" s="48" t="s">
        <v>3972</v>
      </c>
      <c r="CU249" s="50">
        <v>248.0</v>
      </c>
    </row>
    <row r="250">
      <c r="A250" s="47">
        <v>46107.91120510417</v>
      </c>
      <c r="B250" s="47">
        <v>46107.91516030092</v>
      </c>
      <c r="C250" s="48" t="s">
        <v>3973</v>
      </c>
      <c r="D250" s="48" t="s">
        <v>3938</v>
      </c>
      <c r="E250" s="48" t="s">
        <v>3939</v>
      </c>
      <c r="F250" s="48" t="s">
        <v>3961</v>
      </c>
      <c r="G250" s="49" t="s">
        <v>3974</v>
      </c>
      <c r="H250" s="48" t="s">
        <v>2947</v>
      </c>
      <c r="I250" s="50">
        <v>1.0</v>
      </c>
      <c r="J250" s="50">
        <v>0.0</v>
      </c>
      <c r="K250" s="50">
        <v>0.0</v>
      </c>
      <c r="L250" s="50">
        <v>0.0</v>
      </c>
      <c r="M250" s="50">
        <v>0.0</v>
      </c>
      <c r="N250" s="50">
        <v>0.0</v>
      </c>
      <c r="O250" s="50">
        <v>0.0</v>
      </c>
      <c r="P250" s="50">
        <v>0.0</v>
      </c>
      <c r="Q250" s="50">
        <v>0.0</v>
      </c>
      <c r="R250" s="48" t="s">
        <v>3480</v>
      </c>
      <c r="S250" s="50">
        <v>0.0</v>
      </c>
      <c r="T250" s="50">
        <v>0.0</v>
      </c>
      <c r="U250" s="50">
        <v>0.0</v>
      </c>
      <c r="V250" s="50">
        <v>0.0</v>
      </c>
      <c r="W250" s="50">
        <v>0.0</v>
      </c>
      <c r="X250" s="50">
        <v>1.0</v>
      </c>
      <c r="Y250" s="50">
        <v>0.0</v>
      </c>
      <c r="Z250" s="50">
        <v>0.0</v>
      </c>
      <c r="AA250" s="50">
        <v>0.0</v>
      </c>
      <c r="AB250" s="48" t="s">
        <v>3480</v>
      </c>
      <c r="AC250" s="50">
        <v>0.0</v>
      </c>
      <c r="AD250" s="50">
        <v>0.0</v>
      </c>
      <c r="AE250" s="50">
        <v>0.0</v>
      </c>
      <c r="AF250" s="50">
        <v>0.0</v>
      </c>
      <c r="AG250" s="50">
        <v>0.0</v>
      </c>
      <c r="AH250" s="50">
        <v>1.0</v>
      </c>
      <c r="AI250" s="50">
        <v>0.0</v>
      </c>
      <c r="AJ250" s="50">
        <v>0.0</v>
      </c>
      <c r="AK250" s="50">
        <v>0.0</v>
      </c>
      <c r="AL250" s="48"/>
      <c r="AM250" s="50">
        <v>6.0</v>
      </c>
      <c r="AN250" s="48"/>
      <c r="AO250" s="48"/>
      <c r="AP250" s="48"/>
      <c r="AQ250" s="48"/>
      <c r="AR250" s="48"/>
      <c r="AS250" s="48"/>
      <c r="AT250" s="48"/>
      <c r="AU250" s="48"/>
      <c r="AV250" s="48"/>
      <c r="AW250" s="48"/>
      <c r="AX250" s="48"/>
      <c r="AY250" s="48"/>
      <c r="AZ250" s="48"/>
      <c r="BA250" s="50">
        <v>35.0</v>
      </c>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50">
        <v>0.0</v>
      </c>
      <c r="BY250" s="50">
        <v>0.0</v>
      </c>
      <c r="BZ250" s="50">
        <v>0.0</v>
      </c>
      <c r="CA250" s="50">
        <v>0.0</v>
      </c>
      <c r="CB250" s="48"/>
      <c r="CC250" s="48"/>
      <c r="CD250" s="48"/>
      <c r="CE250" s="48"/>
      <c r="CF250" s="48"/>
      <c r="CG250" s="48"/>
      <c r="CH250" s="48"/>
      <c r="CI250" s="48"/>
      <c r="CJ250" s="48"/>
      <c r="CK250" s="50">
        <v>7.07887103E8</v>
      </c>
      <c r="CL250" s="48" t="s">
        <v>3975</v>
      </c>
      <c r="CM250" s="47">
        <v>46107.62351851852</v>
      </c>
      <c r="CN250" s="48"/>
      <c r="CO250" s="48"/>
      <c r="CP250" s="48" t="s">
        <v>1954</v>
      </c>
      <c r="CQ250" s="48"/>
      <c r="CR250" s="48" t="s">
        <v>3014</v>
      </c>
      <c r="CS250" s="48"/>
      <c r="CT250" s="48" t="s">
        <v>3976</v>
      </c>
      <c r="CU250" s="50">
        <v>249.0</v>
      </c>
    </row>
    <row r="251">
      <c r="A251" s="47">
        <v>46107.91516251158</v>
      </c>
      <c r="B251" s="47">
        <v>46107.91892894676</v>
      </c>
      <c r="C251" s="48" t="s">
        <v>3977</v>
      </c>
      <c r="D251" s="48" t="s">
        <v>3938</v>
      </c>
      <c r="E251" s="48" t="s">
        <v>3939</v>
      </c>
      <c r="F251" s="48" t="s">
        <v>3961</v>
      </c>
      <c r="G251" s="49" t="s">
        <v>3978</v>
      </c>
      <c r="H251" s="48" t="s">
        <v>3369</v>
      </c>
      <c r="I251" s="50">
        <v>1.0</v>
      </c>
      <c r="J251" s="50">
        <v>0.0</v>
      </c>
      <c r="K251" s="50">
        <v>0.0</v>
      </c>
      <c r="L251" s="50">
        <v>0.0</v>
      </c>
      <c r="M251" s="50">
        <v>0.0</v>
      </c>
      <c r="N251" s="50">
        <v>0.0</v>
      </c>
      <c r="O251" s="50">
        <v>1.0</v>
      </c>
      <c r="P251" s="50">
        <v>0.0</v>
      </c>
      <c r="Q251" s="50">
        <v>0.0</v>
      </c>
      <c r="R251" s="48" t="s">
        <v>3979</v>
      </c>
      <c r="S251" s="50">
        <v>0.0</v>
      </c>
      <c r="T251" s="50">
        <v>0.0</v>
      </c>
      <c r="U251" s="50">
        <v>0.0</v>
      </c>
      <c r="V251" s="50">
        <v>0.0</v>
      </c>
      <c r="W251" s="50">
        <v>0.0</v>
      </c>
      <c r="X251" s="50">
        <v>1.0</v>
      </c>
      <c r="Y251" s="50">
        <v>0.0</v>
      </c>
      <c r="Z251" s="50">
        <v>1.0</v>
      </c>
      <c r="AA251" s="50">
        <v>0.0</v>
      </c>
      <c r="AB251" s="48" t="s">
        <v>3480</v>
      </c>
      <c r="AC251" s="50">
        <v>0.0</v>
      </c>
      <c r="AD251" s="50">
        <v>0.0</v>
      </c>
      <c r="AE251" s="50">
        <v>0.0</v>
      </c>
      <c r="AF251" s="50">
        <v>0.0</v>
      </c>
      <c r="AG251" s="50">
        <v>0.0</v>
      </c>
      <c r="AH251" s="50">
        <v>1.0</v>
      </c>
      <c r="AI251" s="50">
        <v>0.0</v>
      </c>
      <c r="AJ251" s="50">
        <v>0.0</v>
      </c>
      <c r="AK251" s="50">
        <v>0.0</v>
      </c>
      <c r="AL251" s="48"/>
      <c r="AM251" s="50">
        <v>20.0</v>
      </c>
      <c r="AN251" s="48"/>
      <c r="AO251" s="48"/>
      <c r="AP251" s="48"/>
      <c r="AQ251" s="48"/>
      <c r="AR251" s="48"/>
      <c r="AS251" s="50">
        <v>10.0</v>
      </c>
      <c r="AT251" s="48"/>
      <c r="AU251" s="48"/>
      <c r="AV251" s="48"/>
      <c r="AW251" s="48"/>
      <c r="AX251" s="48"/>
      <c r="AY251" s="48"/>
      <c r="AZ251" s="48"/>
      <c r="BA251" s="50">
        <v>30.0</v>
      </c>
      <c r="BB251" s="48"/>
      <c r="BC251" s="50">
        <v>5.0</v>
      </c>
      <c r="BD251" s="48"/>
      <c r="BE251" s="48"/>
      <c r="BF251" s="48"/>
      <c r="BG251" s="48"/>
      <c r="BH251" s="48"/>
      <c r="BI251" s="48"/>
      <c r="BJ251" s="48"/>
      <c r="BK251" s="48"/>
      <c r="BL251" s="48"/>
      <c r="BM251" s="48"/>
      <c r="BN251" s="48"/>
      <c r="BO251" s="48"/>
      <c r="BP251" s="48"/>
      <c r="BQ251" s="48"/>
      <c r="BR251" s="48"/>
      <c r="BS251" s="48"/>
      <c r="BT251" s="48"/>
      <c r="BU251" s="48"/>
      <c r="BV251" s="48"/>
      <c r="BW251" s="48"/>
      <c r="BX251" s="50">
        <v>0.0</v>
      </c>
      <c r="BY251" s="50">
        <v>0.0</v>
      </c>
      <c r="BZ251" s="50">
        <v>2.0</v>
      </c>
      <c r="CA251" s="50">
        <v>2.0</v>
      </c>
      <c r="CB251" s="48"/>
      <c r="CC251" s="48"/>
      <c r="CD251" s="48"/>
      <c r="CE251" s="48"/>
      <c r="CF251" s="48"/>
      <c r="CG251" s="48"/>
      <c r="CH251" s="48"/>
      <c r="CI251" s="48"/>
      <c r="CJ251" s="48"/>
      <c r="CK251" s="50">
        <v>7.07892126E8</v>
      </c>
      <c r="CL251" s="48" t="s">
        <v>3980</v>
      </c>
      <c r="CM251" s="47">
        <v>46107.62730324074</v>
      </c>
      <c r="CN251" s="48"/>
      <c r="CO251" s="48"/>
      <c r="CP251" s="48" t="s">
        <v>1954</v>
      </c>
      <c r="CQ251" s="48"/>
      <c r="CR251" s="48" t="s">
        <v>3014</v>
      </c>
      <c r="CS251" s="48"/>
      <c r="CT251" s="48" t="s">
        <v>3981</v>
      </c>
      <c r="CU251" s="50">
        <v>250.0</v>
      </c>
    </row>
    <row r="252">
      <c r="A252" s="47">
        <v>46107.91893094908</v>
      </c>
      <c r="B252" s="47">
        <v>46107.92449075232</v>
      </c>
      <c r="C252" s="48" t="s">
        <v>3982</v>
      </c>
      <c r="D252" s="48" t="s">
        <v>3938</v>
      </c>
      <c r="E252" s="48" t="s">
        <v>3939</v>
      </c>
      <c r="F252" s="48" t="s">
        <v>3961</v>
      </c>
      <c r="G252" s="49" t="s">
        <v>3983</v>
      </c>
      <c r="H252" s="48" t="s">
        <v>3711</v>
      </c>
      <c r="I252" s="50">
        <v>1.0</v>
      </c>
      <c r="J252" s="50">
        <v>0.0</v>
      </c>
      <c r="K252" s="50">
        <v>0.0</v>
      </c>
      <c r="L252" s="50">
        <v>0.0</v>
      </c>
      <c r="M252" s="50">
        <v>0.0</v>
      </c>
      <c r="N252" s="50">
        <v>0.0</v>
      </c>
      <c r="O252" s="50">
        <v>1.0</v>
      </c>
      <c r="P252" s="50">
        <v>1.0</v>
      </c>
      <c r="Q252" s="50">
        <v>0.0</v>
      </c>
      <c r="R252" s="48" t="s">
        <v>3984</v>
      </c>
      <c r="S252" s="50">
        <v>1.0</v>
      </c>
      <c r="T252" s="50">
        <v>0.0</v>
      </c>
      <c r="U252" s="50">
        <v>0.0</v>
      </c>
      <c r="V252" s="50">
        <v>0.0</v>
      </c>
      <c r="W252" s="50">
        <v>0.0</v>
      </c>
      <c r="X252" s="50">
        <v>1.0</v>
      </c>
      <c r="Y252" s="50">
        <v>1.0</v>
      </c>
      <c r="Z252" s="50">
        <v>0.0</v>
      </c>
      <c r="AA252" s="50">
        <v>0.0</v>
      </c>
      <c r="AB252" s="48" t="s">
        <v>3985</v>
      </c>
      <c r="AC252" s="50">
        <v>1.0</v>
      </c>
      <c r="AD252" s="50">
        <v>0.0</v>
      </c>
      <c r="AE252" s="50">
        <v>0.0</v>
      </c>
      <c r="AF252" s="50">
        <v>0.0</v>
      </c>
      <c r="AG252" s="50">
        <v>0.0</v>
      </c>
      <c r="AH252" s="50">
        <v>1.0</v>
      </c>
      <c r="AI252" s="50">
        <v>1.0</v>
      </c>
      <c r="AJ252" s="50">
        <v>1.0</v>
      </c>
      <c r="AK252" s="50">
        <v>0.0</v>
      </c>
      <c r="AL252" s="48"/>
      <c r="AM252" s="50">
        <v>2.0</v>
      </c>
      <c r="AN252" s="48"/>
      <c r="AO252" s="48"/>
      <c r="AP252" s="48"/>
      <c r="AQ252" s="48"/>
      <c r="AR252" s="48"/>
      <c r="AS252" s="50">
        <v>30.0</v>
      </c>
      <c r="AT252" s="50">
        <v>5.0</v>
      </c>
      <c r="AU252" s="48"/>
      <c r="AV252" s="50">
        <v>2.0</v>
      </c>
      <c r="AW252" s="48"/>
      <c r="AX252" s="48"/>
      <c r="AY252" s="48"/>
      <c r="AZ252" s="48"/>
      <c r="BA252" s="50">
        <v>4.0</v>
      </c>
      <c r="BB252" s="50">
        <v>50.0</v>
      </c>
      <c r="BC252" s="48"/>
      <c r="BD252" s="50">
        <v>0.0</v>
      </c>
      <c r="BE252" s="50">
        <v>0.0</v>
      </c>
      <c r="BF252" s="50">
        <v>0.0</v>
      </c>
      <c r="BG252" s="50">
        <v>0.0</v>
      </c>
      <c r="BH252" s="48"/>
      <c r="BI252" s="48"/>
      <c r="BJ252" s="48"/>
      <c r="BK252" s="48"/>
      <c r="BL252" s="48"/>
      <c r="BM252" s="48"/>
      <c r="BN252" s="48"/>
      <c r="BO252" s="48"/>
      <c r="BP252" s="48"/>
      <c r="BQ252" s="48"/>
      <c r="BR252" s="48"/>
      <c r="BS252" s="48"/>
      <c r="BT252" s="48"/>
      <c r="BU252" s="48"/>
      <c r="BV252" s="48"/>
      <c r="BW252" s="48"/>
      <c r="BX252" s="50">
        <v>0.0</v>
      </c>
      <c r="BY252" s="50">
        <v>0.0</v>
      </c>
      <c r="BZ252" s="50">
        <v>0.0</v>
      </c>
      <c r="CA252" s="50">
        <v>1.0</v>
      </c>
      <c r="CB252" s="50">
        <v>0.0</v>
      </c>
      <c r="CC252" s="50">
        <v>0.0</v>
      </c>
      <c r="CD252" s="50">
        <v>5.0</v>
      </c>
      <c r="CE252" s="50">
        <v>10.0</v>
      </c>
      <c r="CF252" s="50">
        <v>0.0</v>
      </c>
      <c r="CG252" s="50">
        <v>0.0</v>
      </c>
      <c r="CH252" s="50">
        <v>1.0</v>
      </c>
      <c r="CI252" s="50">
        <v>0.0</v>
      </c>
      <c r="CJ252" s="48"/>
      <c r="CK252" s="50">
        <v>7.07898925E8</v>
      </c>
      <c r="CL252" s="48" t="s">
        <v>3986</v>
      </c>
      <c r="CM252" s="47">
        <v>46107.6328587963</v>
      </c>
      <c r="CN252" s="48"/>
      <c r="CO252" s="48"/>
      <c r="CP252" s="48" t="s">
        <v>1954</v>
      </c>
      <c r="CQ252" s="48"/>
      <c r="CR252" s="48" t="s">
        <v>3014</v>
      </c>
      <c r="CS252" s="48"/>
      <c r="CT252" s="48" t="s">
        <v>3987</v>
      </c>
      <c r="CU252" s="50">
        <v>251.0</v>
      </c>
    </row>
    <row r="253">
      <c r="A253" s="47">
        <v>46107.92449256944</v>
      </c>
      <c r="B253" s="47">
        <v>46107.93001269676</v>
      </c>
      <c r="C253" s="48" t="s">
        <v>3988</v>
      </c>
      <c r="D253" s="48" t="s">
        <v>3938</v>
      </c>
      <c r="E253" s="48" t="s">
        <v>3939</v>
      </c>
      <c r="F253" s="48" t="s">
        <v>3961</v>
      </c>
      <c r="G253" s="49" t="s">
        <v>3989</v>
      </c>
      <c r="H253" s="48" t="s">
        <v>3984</v>
      </c>
      <c r="I253" s="50">
        <v>1.0</v>
      </c>
      <c r="J253" s="50">
        <v>0.0</v>
      </c>
      <c r="K253" s="50">
        <v>0.0</v>
      </c>
      <c r="L253" s="50">
        <v>0.0</v>
      </c>
      <c r="M253" s="50">
        <v>0.0</v>
      </c>
      <c r="N253" s="50">
        <v>1.0</v>
      </c>
      <c r="O253" s="50">
        <v>1.0</v>
      </c>
      <c r="P253" s="50">
        <v>0.0</v>
      </c>
      <c r="Q253" s="50">
        <v>0.0</v>
      </c>
      <c r="R253" s="48" t="s">
        <v>2947</v>
      </c>
      <c r="S253" s="50">
        <v>1.0</v>
      </c>
      <c r="T253" s="50">
        <v>0.0</v>
      </c>
      <c r="U253" s="50">
        <v>0.0</v>
      </c>
      <c r="V253" s="50">
        <v>0.0</v>
      </c>
      <c r="W253" s="50">
        <v>0.0</v>
      </c>
      <c r="X253" s="50">
        <v>0.0</v>
      </c>
      <c r="Y253" s="50">
        <v>0.0</v>
      </c>
      <c r="Z253" s="50">
        <v>0.0</v>
      </c>
      <c r="AA253" s="50">
        <v>0.0</v>
      </c>
      <c r="AB253" s="48" t="s">
        <v>2947</v>
      </c>
      <c r="AC253" s="50">
        <v>1.0</v>
      </c>
      <c r="AD253" s="50">
        <v>0.0</v>
      </c>
      <c r="AE253" s="50">
        <v>0.0</v>
      </c>
      <c r="AF253" s="50">
        <v>0.0</v>
      </c>
      <c r="AG253" s="50">
        <v>0.0</v>
      </c>
      <c r="AH253" s="50">
        <v>0.0</v>
      </c>
      <c r="AI253" s="50">
        <v>0.0</v>
      </c>
      <c r="AJ253" s="50">
        <v>0.0</v>
      </c>
      <c r="AK253" s="50">
        <v>0.0</v>
      </c>
      <c r="AL253" s="48"/>
      <c r="AM253" s="50">
        <v>20.0</v>
      </c>
      <c r="AN253" s="48"/>
      <c r="AO253" s="48"/>
      <c r="AP253" s="48"/>
      <c r="AQ253" s="48"/>
      <c r="AR253" s="50">
        <v>10.0</v>
      </c>
      <c r="AS253" s="50">
        <v>15.0</v>
      </c>
      <c r="AT253" s="48"/>
      <c r="AU253" s="48"/>
      <c r="AV253" s="50">
        <v>1.0</v>
      </c>
      <c r="AW253" s="48"/>
      <c r="AX253" s="48"/>
      <c r="AY253" s="48"/>
      <c r="AZ253" s="48"/>
      <c r="BA253" s="48"/>
      <c r="BB253" s="48"/>
      <c r="BC253" s="48"/>
      <c r="BD253" s="50">
        <v>0.0</v>
      </c>
      <c r="BE253" s="50">
        <v>0.0</v>
      </c>
      <c r="BF253" s="50">
        <v>0.0</v>
      </c>
      <c r="BG253" s="50">
        <v>0.0</v>
      </c>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50">
        <v>7.07907317E8</v>
      </c>
      <c r="CL253" s="48" t="s">
        <v>3990</v>
      </c>
      <c r="CM253" s="47">
        <v>46107.63836805556</v>
      </c>
      <c r="CN253" s="48"/>
      <c r="CO253" s="48"/>
      <c r="CP253" s="48" t="s">
        <v>1954</v>
      </c>
      <c r="CQ253" s="48"/>
      <c r="CR253" s="48" t="s">
        <v>3014</v>
      </c>
      <c r="CS253" s="48"/>
      <c r="CT253" s="48" t="s">
        <v>3991</v>
      </c>
      <c r="CU253" s="50">
        <v>252.0</v>
      </c>
    </row>
    <row r="254">
      <c r="A254" s="47">
        <v>46107.93001461805</v>
      </c>
      <c r="B254" s="47">
        <v>46107.93791971065</v>
      </c>
      <c r="C254" s="48" t="s">
        <v>3992</v>
      </c>
      <c r="D254" s="48" t="s">
        <v>3938</v>
      </c>
      <c r="E254" s="48" t="s">
        <v>3939</v>
      </c>
      <c r="F254" s="48" t="s">
        <v>3961</v>
      </c>
      <c r="G254" s="49" t="s">
        <v>3993</v>
      </c>
      <c r="H254" s="48" t="s">
        <v>3369</v>
      </c>
      <c r="I254" s="50">
        <v>1.0</v>
      </c>
      <c r="J254" s="50">
        <v>0.0</v>
      </c>
      <c r="K254" s="50">
        <v>0.0</v>
      </c>
      <c r="L254" s="50">
        <v>0.0</v>
      </c>
      <c r="M254" s="50">
        <v>0.0</v>
      </c>
      <c r="N254" s="50">
        <v>0.0</v>
      </c>
      <c r="O254" s="50">
        <v>1.0</v>
      </c>
      <c r="P254" s="50">
        <v>0.0</v>
      </c>
      <c r="Q254" s="50">
        <v>0.0</v>
      </c>
      <c r="R254" s="48" t="s">
        <v>3369</v>
      </c>
      <c r="S254" s="50">
        <v>1.0</v>
      </c>
      <c r="T254" s="50">
        <v>0.0</v>
      </c>
      <c r="U254" s="50">
        <v>0.0</v>
      </c>
      <c r="V254" s="50">
        <v>0.0</v>
      </c>
      <c r="W254" s="50">
        <v>0.0</v>
      </c>
      <c r="X254" s="50">
        <v>0.0</v>
      </c>
      <c r="Y254" s="50">
        <v>1.0</v>
      </c>
      <c r="Z254" s="50">
        <v>0.0</v>
      </c>
      <c r="AA254" s="50">
        <v>0.0</v>
      </c>
      <c r="AB254" s="48" t="s">
        <v>3369</v>
      </c>
      <c r="AC254" s="50">
        <v>1.0</v>
      </c>
      <c r="AD254" s="50">
        <v>0.0</v>
      </c>
      <c r="AE254" s="50">
        <v>0.0</v>
      </c>
      <c r="AF254" s="50">
        <v>0.0</v>
      </c>
      <c r="AG254" s="50">
        <v>0.0</v>
      </c>
      <c r="AH254" s="50">
        <v>0.0</v>
      </c>
      <c r="AI254" s="50">
        <v>1.0</v>
      </c>
      <c r="AJ254" s="50">
        <v>0.0</v>
      </c>
      <c r="AK254" s="50">
        <v>0.0</v>
      </c>
      <c r="AL254" s="48"/>
      <c r="AM254" s="50">
        <v>3.0</v>
      </c>
      <c r="AN254" s="48"/>
      <c r="AO254" s="48"/>
      <c r="AP254" s="48"/>
      <c r="AQ254" s="48"/>
      <c r="AR254" s="48"/>
      <c r="AS254" s="50">
        <v>4.0</v>
      </c>
      <c r="AT254" s="48"/>
      <c r="AU254" s="48"/>
      <c r="AV254" s="50">
        <v>5.0</v>
      </c>
      <c r="AW254" s="48"/>
      <c r="AX254" s="48"/>
      <c r="AY254" s="48"/>
      <c r="AZ254" s="48"/>
      <c r="BA254" s="48"/>
      <c r="BB254" s="50">
        <v>4.0</v>
      </c>
      <c r="BC254" s="48"/>
      <c r="BD254" s="50">
        <v>0.0</v>
      </c>
      <c r="BE254" s="50">
        <v>0.0</v>
      </c>
      <c r="BF254" s="50">
        <v>1.0</v>
      </c>
      <c r="BG254" s="50">
        <v>0.0</v>
      </c>
      <c r="BH254" s="48"/>
      <c r="BI254" s="48"/>
      <c r="BJ254" s="48"/>
      <c r="BK254" s="48"/>
      <c r="BL254" s="48"/>
      <c r="BM254" s="48"/>
      <c r="BN254" s="48"/>
      <c r="BO254" s="48"/>
      <c r="BP254" s="48"/>
      <c r="BQ254" s="48"/>
      <c r="BR254" s="48"/>
      <c r="BS254" s="48"/>
      <c r="BT254" s="48"/>
      <c r="BU254" s="48"/>
      <c r="BV254" s="48"/>
      <c r="BW254" s="48"/>
      <c r="BX254" s="48"/>
      <c r="BY254" s="48"/>
      <c r="BZ254" s="48"/>
      <c r="CA254" s="48"/>
      <c r="CB254" s="50">
        <v>0.0</v>
      </c>
      <c r="CC254" s="50">
        <v>0.0</v>
      </c>
      <c r="CD254" s="50">
        <v>4.0</v>
      </c>
      <c r="CE254" s="50">
        <v>5.0</v>
      </c>
      <c r="CF254" s="48"/>
      <c r="CG254" s="48"/>
      <c r="CH254" s="48"/>
      <c r="CI254" s="48"/>
      <c r="CJ254" s="48"/>
      <c r="CK254" s="50">
        <v>7.07918751E8</v>
      </c>
      <c r="CL254" s="48" t="s">
        <v>3994</v>
      </c>
      <c r="CM254" s="47">
        <v>46107.64630787037</v>
      </c>
      <c r="CN254" s="48"/>
      <c r="CO254" s="48"/>
      <c r="CP254" s="48" t="s">
        <v>1954</v>
      </c>
      <c r="CQ254" s="48"/>
      <c r="CR254" s="48" t="s">
        <v>3014</v>
      </c>
      <c r="CS254" s="48"/>
      <c r="CT254" s="48" t="s">
        <v>3995</v>
      </c>
      <c r="CU254" s="50">
        <v>253.0</v>
      </c>
    </row>
    <row r="255">
      <c r="A255" s="47">
        <v>46107.93792109954</v>
      </c>
      <c r="B255" s="47">
        <v>46107.94151351852</v>
      </c>
      <c r="C255" s="48" t="s">
        <v>3996</v>
      </c>
      <c r="D255" s="48" t="s">
        <v>3938</v>
      </c>
      <c r="E255" s="48" t="s">
        <v>3939</v>
      </c>
      <c r="F255" s="48" t="s">
        <v>3961</v>
      </c>
      <c r="G255" s="49" t="s">
        <v>3997</v>
      </c>
      <c r="H255" s="48" t="s">
        <v>3369</v>
      </c>
      <c r="I255" s="50">
        <v>1.0</v>
      </c>
      <c r="J255" s="50">
        <v>0.0</v>
      </c>
      <c r="K255" s="50">
        <v>0.0</v>
      </c>
      <c r="L255" s="50">
        <v>0.0</v>
      </c>
      <c r="M255" s="50">
        <v>0.0</v>
      </c>
      <c r="N255" s="50">
        <v>0.0</v>
      </c>
      <c r="O255" s="50">
        <v>1.0</v>
      </c>
      <c r="P255" s="50">
        <v>0.0</v>
      </c>
      <c r="Q255" s="50">
        <v>0.0</v>
      </c>
      <c r="R255" s="48" t="s">
        <v>3369</v>
      </c>
      <c r="S255" s="50">
        <v>1.0</v>
      </c>
      <c r="T255" s="50">
        <v>0.0</v>
      </c>
      <c r="U255" s="50">
        <v>0.0</v>
      </c>
      <c r="V255" s="50">
        <v>0.0</v>
      </c>
      <c r="W255" s="50">
        <v>0.0</v>
      </c>
      <c r="X255" s="50">
        <v>0.0</v>
      </c>
      <c r="Y255" s="50">
        <v>1.0</v>
      </c>
      <c r="Z255" s="50">
        <v>0.0</v>
      </c>
      <c r="AA255" s="50">
        <v>0.0</v>
      </c>
      <c r="AB255" s="48" t="s">
        <v>3369</v>
      </c>
      <c r="AC255" s="50">
        <v>1.0</v>
      </c>
      <c r="AD255" s="50">
        <v>0.0</v>
      </c>
      <c r="AE255" s="50">
        <v>0.0</v>
      </c>
      <c r="AF255" s="50">
        <v>0.0</v>
      </c>
      <c r="AG255" s="50">
        <v>0.0</v>
      </c>
      <c r="AH255" s="50">
        <v>0.0</v>
      </c>
      <c r="AI255" s="50">
        <v>1.0</v>
      </c>
      <c r="AJ255" s="50">
        <v>0.0</v>
      </c>
      <c r="AK255" s="50">
        <v>0.0</v>
      </c>
      <c r="AL255" s="48"/>
      <c r="AM255" s="50">
        <v>4.0</v>
      </c>
      <c r="AN255" s="48"/>
      <c r="AO255" s="48"/>
      <c r="AP255" s="48"/>
      <c r="AQ255" s="48"/>
      <c r="AR255" s="48"/>
      <c r="AS255" s="50">
        <v>30.0</v>
      </c>
      <c r="AT255" s="48"/>
      <c r="AU255" s="48"/>
      <c r="AV255" s="50">
        <v>7.0</v>
      </c>
      <c r="AW255" s="48"/>
      <c r="AX255" s="48"/>
      <c r="AY255" s="48"/>
      <c r="AZ255" s="48"/>
      <c r="BA255" s="48"/>
      <c r="BB255" s="50">
        <v>20.0</v>
      </c>
      <c r="BC255" s="48"/>
      <c r="BD255" s="50">
        <v>0.0</v>
      </c>
      <c r="BE255" s="50">
        <v>0.0</v>
      </c>
      <c r="BF255" s="50">
        <v>1.0</v>
      </c>
      <c r="BG255" s="50">
        <v>2.0</v>
      </c>
      <c r="BH255" s="48"/>
      <c r="BI255" s="48"/>
      <c r="BJ255" s="48"/>
      <c r="BK255" s="48"/>
      <c r="BL255" s="48"/>
      <c r="BM255" s="48"/>
      <c r="BN255" s="48"/>
      <c r="BO255" s="48"/>
      <c r="BP255" s="48"/>
      <c r="BQ255" s="48"/>
      <c r="BR255" s="48"/>
      <c r="BS255" s="48"/>
      <c r="BT255" s="48"/>
      <c r="BU255" s="48"/>
      <c r="BV255" s="48"/>
      <c r="BW255" s="48"/>
      <c r="BX255" s="48"/>
      <c r="BY255" s="48"/>
      <c r="BZ255" s="48"/>
      <c r="CA255" s="48"/>
      <c r="CB255" s="50">
        <v>5.0</v>
      </c>
      <c r="CC255" s="50">
        <v>0.0</v>
      </c>
      <c r="CD255" s="50">
        <v>3.0</v>
      </c>
      <c r="CE255" s="50">
        <v>5.0</v>
      </c>
      <c r="CF255" s="48"/>
      <c r="CG255" s="48"/>
      <c r="CH255" s="48"/>
      <c r="CI255" s="48"/>
      <c r="CJ255" s="48"/>
      <c r="CK255" s="50">
        <v>7.0792307E8</v>
      </c>
      <c r="CL255" s="48" t="s">
        <v>3998</v>
      </c>
      <c r="CM255" s="47">
        <v>46107.64988425926</v>
      </c>
      <c r="CN255" s="48"/>
      <c r="CO255" s="48"/>
      <c r="CP255" s="48" t="s">
        <v>1954</v>
      </c>
      <c r="CQ255" s="48"/>
      <c r="CR255" s="48" t="s">
        <v>3014</v>
      </c>
      <c r="CS255" s="48"/>
      <c r="CT255" s="48" t="s">
        <v>3999</v>
      </c>
      <c r="CU255" s="50">
        <v>254.0</v>
      </c>
    </row>
    <row r="256">
      <c r="A256" s="47">
        <v>46107.94151511574</v>
      </c>
      <c r="B256" s="47">
        <v>46107.94415768518</v>
      </c>
      <c r="C256" s="48" t="s">
        <v>4000</v>
      </c>
      <c r="D256" s="48" t="s">
        <v>3938</v>
      </c>
      <c r="E256" s="48" t="s">
        <v>3939</v>
      </c>
      <c r="F256" s="48" t="s">
        <v>3961</v>
      </c>
      <c r="G256" s="49" t="s">
        <v>4001</v>
      </c>
      <c r="H256" s="48" t="s">
        <v>2947</v>
      </c>
      <c r="I256" s="50">
        <v>1.0</v>
      </c>
      <c r="J256" s="50">
        <v>0.0</v>
      </c>
      <c r="K256" s="50">
        <v>0.0</v>
      </c>
      <c r="L256" s="50">
        <v>0.0</v>
      </c>
      <c r="M256" s="50">
        <v>0.0</v>
      </c>
      <c r="N256" s="50">
        <v>0.0</v>
      </c>
      <c r="O256" s="50">
        <v>0.0</v>
      </c>
      <c r="P256" s="50">
        <v>0.0</v>
      </c>
      <c r="Q256" s="50">
        <v>0.0</v>
      </c>
      <c r="R256" s="48" t="s">
        <v>999</v>
      </c>
      <c r="S256" s="50">
        <v>0.0</v>
      </c>
      <c r="T256" s="50">
        <v>0.0</v>
      </c>
      <c r="U256" s="50">
        <v>0.0</v>
      </c>
      <c r="V256" s="50">
        <v>0.0</v>
      </c>
      <c r="W256" s="50">
        <v>0.0</v>
      </c>
      <c r="X256" s="50">
        <v>0.0</v>
      </c>
      <c r="Y256" s="50">
        <v>0.0</v>
      </c>
      <c r="Z256" s="50">
        <v>0.0</v>
      </c>
      <c r="AA256" s="50">
        <v>1.0</v>
      </c>
      <c r="AB256" s="48" t="s">
        <v>999</v>
      </c>
      <c r="AC256" s="50">
        <v>0.0</v>
      </c>
      <c r="AD256" s="50">
        <v>0.0</v>
      </c>
      <c r="AE256" s="50">
        <v>0.0</v>
      </c>
      <c r="AF256" s="50">
        <v>0.0</v>
      </c>
      <c r="AG256" s="50">
        <v>0.0</v>
      </c>
      <c r="AH256" s="50">
        <v>0.0</v>
      </c>
      <c r="AI256" s="50">
        <v>0.0</v>
      </c>
      <c r="AJ256" s="50">
        <v>0.0</v>
      </c>
      <c r="AK256" s="50">
        <v>1.0</v>
      </c>
      <c r="AL256" s="48"/>
      <c r="AM256" s="50">
        <v>11.0</v>
      </c>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50">
        <v>7.0792634E8</v>
      </c>
      <c r="CL256" s="48" t="s">
        <v>4002</v>
      </c>
      <c r="CM256" s="47">
        <v>46107.6525462963</v>
      </c>
      <c r="CN256" s="48"/>
      <c r="CO256" s="48"/>
      <c r="CP256" s="48" t="s">
        <v>1954</v>
      </c>
      <c r="CQ256" s="48"/>
      <c r="CR256" s="48" t="s">
        <v>3014</v>
      </c>
      <c r="CS256" s="48"/>
      <c r="CT256" s="48" t="s">
        <v>4003</v>
      </c>
      <c r="CU256" s="50">
        <v>255.0</v>
      </c>
    </row>
    <row r="257">
      <c r="A257" s="47">
        <v>46107.94415961805</v>
      </c>
      <c r="B257" s="47">
        <v>46107.94729828704</v>
      </c>
      <c r="C257" s="48" t="s">
        <v>4004</v>
      </c>
      <c r="D257" s="48" t="s">
        <v>3938</v>
      </c>
      <c r="E257" s="48" t="s">
        <v>3939</v>
      </c>
      <c r="F257" s="48" t="s">
        <v>3961</v>
      </c>
      <c r="G257" s="49" t="s">
        <v>4005</v>
      </c>
      <c r="H257" s="48" t="s">
        <v>3369</v>
      </c>
      <c r="I257" s="50">
        <v>1.0</v>
      </c>
      <c r="J257" s="50">
        <v>0.0</v>
      </c>
      <c r="K257" s="50">
        <v>0.0</v>
      </c>
      <c r="L257" s="50">
        <v>0.0</v>
      </c>
      <c r="M257" s="50">
        <v>0.0</v>
      </c>
      <c r="N257" s="50">
        <v>0.0</v>
      </c>
      <c r="O257" s="50">
        <v>1.0</v>
      </c>
      <c r="P257" s="50">
        <v>0.0</v>
      </c>
      <c r="Q257" s="50">
        <v>0.0</v>
      </c>
      <c r="R257" s="48" t="s">
        <v>3369</v>
      </c>
      <c r="S257" s="50">
        <v>1.0</v>
      </c>
      <c r="T257" s="50">
        <v>0.0</v>
      </c>
      <c r="U257" s="50">
        <v>0.0</v>
      </c>
      <c r="V257" s="50">
        <v>0.0</v>
      </c>
      <c r="W257" s="50">
        <v>0.0</v>
      </c>
      <c r="X257" s="50">
        <v>0.0</v>
      </c>
      <c r="Y257" s="50">
        <v>1.0</v>
      </c>
      <c r="Z257" s="50">
        <v>0.0</v>
      </c>
      <c r="AA257" s="50">
        <v>0.0</v>
      </c>
      <c r="AB257" s="48" t="s">
        <v>3369</v>
      </c>
      <c r="AC257" s="50">
        <v>1.0</v>
      </c>
      <c r="AD257" s="50">
        <v>0.0</v>
      </c>
      <c r="AE257" s="50">
        <v>0.0</v>
      </c>
      <c r="AF257" s="50">
        <v>0.0</v>
      </c>
      <c r="AG257" s="50">
        <v>0.0</v>
      </c>
      <c r="AH257" s="50">
        <v>0.0</v>
      </c>
      <c r="AI257" s="50">
        <v>1.0</v>
      </c>
      <c r="AJ257" s="50">
        <v>0.0</v>
      </c>
      <c r="AK257" s="50">
        <v>0.0</v>
      </c>
      <c r="AL257" s="48"/>
      <c r="AM257" s="50">
        <v>3.0</v>
      </c>
      <c r="AN257" s="48"/>
      <c r="AO257" s="48"/>
      <c r="AP257" s="48"/>
      <c r="AQ257" s="48"/>
      <c r="AR257" s="48"/>
      <c r="AS257" s="50">
        <v>5.0</v>
      </c>
      <c r="AT257" s="48"/>
      <c r="AU257" s="48"/>
      <c r="AV257" s="50">
        <v>5.0</v>
      </c>
      <c r="AW257" s="48"/>
      <c r="AX257" s="48"/>
      <c r="AY257" s="48"/>
      <c r="AZ257" s="48"/>
      <c r="BA257" s="48"/>
      <c r="BB257" s="50">
        <v>1.0</v>
      </c>
      <c r="BC257" s="48"/>
      <c r="BD257" s="50">
        <v>0.0</v>
      </c>
      <c r="BE257" s="50">
        <v>0.0</v>
      </c>
      <c r="BF257" s="50">
        <v>1.0</v>
      </c>
      <c r="BG257" s="50">
        <v>0.0</v>
      </c>
      <c r="BH257" s="48"/>
      <c r="BI257" s="48"/>
      <c r="BJ257" s="48"/>
      <c r="BK257" s="48"/>
      <c r="BL257" s="48"/>
      <c r="BM257" s="48"/>
      <c r="BN257" s="48"/>
      <c r="BO257" s="48"/>
      <c r="BP257" s="48"/>
      <c r="BQ257" s="48"/>
      <c r="BR257" s="48"/>
      <c r="BS257" s="48"/>
      <c r="BT257" s="48"/>
      <c r="BU257" s="48"/>
      <c r="BV257" s="48"/>
      <c r="BW257" s="48"/>
      <c r="BX257" s="48"/>
      <c r="BY257" s="48"/>
      <c r="BZ257" s="48"/>
      <c r="CA257" s="48"/>
      <c r="CB257" s="50">
        <v>0.0</v>
      </c>
      <c r="CC257" s="50">
        <v>0.0</v>
      </c>
      <c r="CD257" s="50">
        <v>0.0</v>
      </c>
      <c r="CE257" s="50">
        <v>0.0</v>
      </c>
      <c r="CF257" s="48"/>
      <c r="CG257" s="48"/>
      <c r="CH257" s="48"/>
      <c r="CI257" s="48"/>
      <c r="CJ257" s="48"/>
      <c r="CK257" s="50">
        <v>7.07930142E8</v>
      </c>
      <c r="CL257" s="48" t="s">
        <v>4006</v>
      </c>
      <c r="CM257" s="47">
        <v>46107.65565972222</v>
      </c>
      <c r="CN257" s="48"/>
      <c r="CO257" s="48"/>
      <c r="CP257" s="48" t="s">
        <v>1954</v>
      </c>
      <c r="CQ257" s="48"/>
      <c r="CR257" s="48" t="s">
        <v>3014</v>
      </c>
      <c r="CS257" s="48"/>
      <c r="CT257" s="48" t="s">
        <v>4007</v>
      </c>
      <c r="CU257" s="50">
        <v>256.0</v>
      </c>
    </row>
    <row r="258">
      <c r="A258" s="47">
        <v>46107.94730006944</v>
      </c>
      <c r="B258" s="47">
        <v>46107.95053976852</v>
      </c>
      <c r="C258" s="48" t="s">
        <v>4008</v>
      </c>
      <c r="D258" s="48" t="s">
        <v>3938</v>
      </c>
      <c r="E258" s="48" t="s">
        <v>3939</v>
      </c>
      <c r="F258" s="48" t="s">
        <v>4009</v>
      </c>
      <c r="G258" s="49" t="s">
        <v>4010</v>
      </c>
      <c r="H258" s="48" t="s">
        <v>3984</v>
      </c>
      <c r="I258" s="50">
        <v>1.0</v>
      </c>
      <c r="J258" s="50">
        <v>0.0</v>
      </c>
      <c r="K258" s="50">
        <v>0.0</v>
      </c>
      <c r="L258" s="50">
        <v>0.0</v>
      </c>
      <c r="M258" s="50">
        <v>0.0</v>
      </c>
      <c r="N258" s="50">
        <v>1.0</v>
      </c>
      <c r="O258" s="50">
        <v>1.0</v>
      </c>
      <c r="P258" s="50">
        <v>0.0</v>
      </c>
      <c r="Q258" s="50">
        <v>0.0</v>
      </c>
      <c r="R258" s="48" t="s">
        <v>3034</v>
      </c>
      <c r="S258" s="50">
        <v>0.0</v>
      </c>
      <c r="T258" s="50">
        <v>0.0</v>
      </c>
      <c r="U258" s="50">
        <v>0.0</v>
      </c>
      <c r="V258" s="50">
        <v>0.0</v>
      </c>
      <c r="W258" s="50">
        <v>0.0</v>
      </c>
      <c r="X258" s="50">
        <v>0.0</v>
      </c>
      <c r="Y258" s="50">
        <v>1.0</v>
      </c>
      <c r="Z258" s="50">
        <v>0.0</v>
      </c>
      <c r="AA258" s="50">
        <v>0.0</v>
      </c>
      <c r="AB258" s="48" t="s">
        <v>3034</v>
      </c>
      <c r="AC258" s="50">
        <v>0.0</v>
      </c>
      <c r="AD258" s="50">
        <v>0.0</v>
      </c>
      <c r="AE258" s="50">
        <v>0.0</v>
      </c>
      <c r="AF258" s="50">
        <v>0.0</v>
      </c>
      <c r="AG258" s="50">
        <v>0.0</v>
      </c>
      <c r="AH258" s="50">
        <v>0.0</v>
      </c>
      <c r="AI258" s="50">
        <v>1.0</v>
      </c>
      <c r="AJ258" s="50">
        <v>0.0</v>
      </c>
      <c r="AK258" s="50">
        <v>0.0</v>
      </c>
      <c r="AL258" s="48"/>
      <c r="AM258" s="50">
        <v>4.0</v>
      </c>
      <c r="AN258" s="48"/>
      <c r="AO258" s="48"/>
      <c r="AP258" s="48"/>
      <c r="AQ258" s="48"/>
      <c r="AR258" s="50">
        <v>9.0</v>
      </c>
      <c r="AS258" s="50">
        <v>20.0</v>
      </c>
      <c r="AT258" s="48"/>
      <c r="AU258" s="48"/>
      <c r="AV258" s="48"/>
      <c r="AW258" s="48"/>
      <c r="AX258" s="48"/>
      <c r="AY258" s="48"/>
      <c r="AZ258" s="48"/>
      <c r="BA258" s="48"/>
      <c r="BB258" s="50">
        <v>20.0</v>
      </c>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50">
        <v>5.0</v>
      </c>
      <c r="CC258" s="50">
        <v>0.0</v>
      </c>
      <c r="CD258" s="50">
        <v>30.0</v>
      </c>
      <c r="CE258" s="50">
        <v>17.0</v>
      </c>
      <c r="CF258" s="48"/>
      <c r="CG258" s="48"/>
      <c r="CH258" s="48"/>
      <c r="CI258" s="48"/>
      <c r="CJ258" s="48"/>
      <c r="CK258" s="50">
        <v>7.07934429E8</v>
      </c>
      <c r="CL258" s="48" t="s">
        <v>4011</v>
      </c>
      <c r="CM258" s="47">
        <v>46107.65890046296</v>
      </c>
      <c r="CN258" s="48"/>
      <c r="CO258" s="48"/>
      <c r="CP258" s="48" t="s">
        <v>1954</v>
      </c>
      <c r="CQ258" s="48"/>
      <c r="CR258" s="48" t="s">
        <v>3014</v>
      </c>
      <c r="CS258" s="48"/>
      <c r="CT258" s="48" t="s">
        <v>4012</v>
      </c>
      <c r="CU258" s="50">
        <v>257.0</v>
      </c>
    </row>
    <row r="259">
      <c r="A259" s="47">
        <v>46107.9505416088</v>
      </c>
      <c r="B259" s="47">
        <v>46107.95342101852</v>
      </c>
      <c r="C259" s="48" t="s">
        <v>4013</v>
      </c>
      <c r="D259" s="48" t="s">
        <v>3938</v>
      </c>
      <c r="E259" s="48" t="s">
        <v>4014</v>
      </c>
      <c r="F259" s="48" t="s">
        <v>4015</v>
      </c>
      <c r="G259" s="49" t="s">
        <v>4016</v>
      </c>
      <c r="H259" s="48" t="s">
        <v>2947</v>
      </c>
      <c r="I259" s="50">
        <v>1.0</v>
      </c>
      <c r="J259" s="50">
        <v>0.0</v>
      </c>
      <c r="K259" s="50">
        <v>0.0</v>
      </c>
      <c r="L259" s="50">
        <v>0.0</v>
      </c>
      <c r="M259" s="50">
        <v>0.0</v>
      </c>
      <c r="N259" s="50">
        <v>0.0</v>
      </c>
      <c r="O259" s="50">
        <v>0.0</v>
      </c>
      <c r="P259" s="50">
        <v>0.0</v>
      </c>
      <c r="Q259" s="50">
        <v>0.0</v>
      </c>
      <c r="R259" s="48" t="s">
        <v>2947</v>
      </c>
      <c r="S259" s="50">
        <v>1.0</v>
      </c>
      <c r="T259" s="50">
        <v>0.0</v>
      </c>
      <c r="U259" s="50">
        <v>0.0</v>
      </c>
      <c r="V259" s="50">
        <v>0.0</v>
      </c>
      <c r="W259" s="50">
        <v>0.0</v>
      </c>
      <c r="X259" s="50">
        <v>0.0</v>
      </c>
      <c r="Y259" s="50">
        <v>0.0</v>
      </c>
      <c r="Z259" s="50">
        <v>0.0</v>
      </c>
      <c r="AA259" s="50">
        <v>0.0</v>
      </c>
      <c r="AB259" s="48" t="s">
        <v>2947</v>
      </c>
      <c r="AC259" s="50">
        <v>1.0</v>
      </c>
      <c r="AD259" s="50">
        <v>0.0</v>
      </c>
      <c r="AE259" s="50">
        <v>0.0</v>
      </c>
      <c r="AF259" s="50">
        <v>0.0</v>
      </c>
      <c r="AG259" s="50">
        <v>0.0</v>
      </c>
      <c r="AH259" s="50">
        <v>0.0</v>
      </c>
      <c r="AI259" s="50">
        <v>0.0</v>
      </c>
      <c r="AJ259" s="50">
        <v>0.0</v>
      </c>
      <c r="AK259" s="50">
        <v>0.0</v>
      </c>
      <c r="AL259" s="48"/>
      <c r="AM259" s="50">
        <v>3.0</v>
      </c>
      <c r="AN259" s="48"/>
      <c r="AO259" s="48"/>
      <c r="AP259" s="48"/>
      <c r="AQ259" s="48"/>
      <c r="AR259" s="48"/>
      <c r="AS259" s="48"/>
      <c r="AT259" s="48"/>
      <c r="AU259" s="48"/>
      <c r="AV259" s="50">
        <v>4.0</v>
      </c>
      <c r="AW259" s="48"/>
      <c r="AX259" s="48"/>
      <c r="AY259" s="48"/>
      <c r="AZ259" s="48"/>
      <c r="BA259" s="48"/>
      <c r="BB259" s="48"/>
      <c r="BC259" s="48"/>
      <c r="BD259" s="50">
        <v>0.0</v>
      </c>
      <c r="BE259" s="50">
        <v>0.0</v>
      </c>
      <c r="BF259" s="50">
        <v>0.0</v>
      </c>
      <c r="BG259" s="50">
        <v>0.0</v>
      </c>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50">
        <v>7.07937497E8</v>
      </c>
      <c r="CL259" s="48" t="s">
        <v>4017</v>
      </c>
      <c r="CM259" s="47">
        <v>46107.66179398148</v>
      </c>
      <c r="CN259" s="48"/>
      <c r="CO259" s="48"/>
      <c r="CP259" s="48" t="s">
        <v>1954</v>
      </c>
      <c r="CQ259" s="48"/>
      <c r="CR259" s="48" t="s">
        <v>3014</v>
      </c>
      <c r="CS259" s="48"/>
      <c r="CT259" s="48" t="s">
        <v>4018</v>
      </c>
      <c r="CU259" s="50">
        <v>258.0</v>
      </c>
    </row>
    <row r="260">
      <c r="A260" s="47">
        <v>46108.35649826389</v>
      </c>
      <c r="B260" s="47">
        <v>46108.36028115741</v>
      </c>
      <c r="C260" s="48" t="s">
        <v>4019</v>
      </c>
      <c r="D260" s="48" t="s">
        <v>3733</v>
      </c>
      <c r="E260" s="48" t="s">
        <v>4020</v>
      </c>
      <c r="F260" s="48" t="s">
        <v>4021</v>
      </c>
      <c r="G260" s="49" t="s">
        <v>4022</v>
      </c>
      <c r="H260" s="48" t="s">
        <v>2948</v>
      </c>
      <c r="I260" s="50">
        <v>0.0</v>
      </c>
      <c r="J260" s="50">
        <v>1.0</v>
      </c>
      <c r="K260" s="50">
        <v>0.0</v>
      </c>
      <c r="L260" s="50">
        <v>0.0</v>
      </c>
      <c r="M260" s="50">
        <v>0.0</v>
      </c>
      <c r="N260" s="50">
        <v>0.0</v>
      </c>
      <c r="O260" s="50">
        <v>0.0</v>
      </c>
      <c r="P260" s="50">
        <v>0.0</v>
      </c>
      <c r="Q260" s="50">
        <v>0.0</v>
      </c>
      <c r="R260" s="48" t="s">
        <v>2948</v>
      </c>
      <c r="S260" s="50">
        <v>0.0</v>
      </c>
      <c r="T260" s="50">
        <v>1.0</v>
      </c>
      <c r="U260" s="50">
        <v>0.0</v>
      </c>
      <c r="V260" s="50">
        <v>0.0</v>
      </c>
      <c r="W260" s="50">
        <v>0.0</v>
      </c>
      <c r="X260" s="50">
        <v>0.0</v>
      </c>
      <c r="Y260" s="50">
        <v>0.0</v>
      </c>
      <c r="Z260" s="50">
        <v>0.0</v>
      </c>
      <c r="AA260" s="50">
        <v>0.0</v>
      </c>
      <c r="AB260" s="48" t="s">
        <v>2948</v>
      </c>
      <c r="AC260" s="50">
        <v>0.0</v>
      </c>
      <c r="AD260" s="50">
        <v>1.0</v>
      </c>
      <c r="AE260" s="50">
        <v>0.0</v>
      </c>
      <c r="AF260" s="50">
        <v>0.0</v>
      </c>
      <c r="AG260" s="50">
        <v>0.0</v>
      </c>
      <c r="AH260" s="50">
        <v>0.0</v>
      </c>
      <c r="AI260" s="50">
        <v>0.0</v>
      </c>
      <c r="AJ260" s="50">
        <v>0.0</v>
      </c>
      <c r="AK260" s="50">
        <v>0.0</v>
      </c>
      <c r="AL260" s="48"/>
      <c r="AM260" s="48"/>
      <c r="AN260" s="50">
        <v>7.0</v>
      </c>
      <c r="AO260" s="48"/>
      <c r="AP260" s="48"/>
      <c r="AQ260" s="48"/>
      <c r="AR260" s="48"/>
      <c r="AS260" s="48"/>
      <c r="AT260" s="48"/>
      <c r="AU260" s="48"/>
      <c r="AV260" s="48"/>
      <c r="AW260" s="50">
        <v>6.0</v>
      </c>
      <c r="AX260" s="48"/>
      <c r="AY260" s="48"/>
      <c r="AZ260" s="48"/>
      <c r="BA260" s="48"/>
      <c r="BB260" s="48"/>
      <c r="BC260" s="48"/>
      <c r="BD260" s="48"/>
      <c r="BE260" s="48"/>
      <c r="BF260" s="48"/>
      <c r="BG260" s="48"/>
      <c r="BH260" s="50">
        <v>2.0</v>
      </c>
      <c r="BI260" s="50">
        <v>0.0</v>
      </c>
      <c r="BJ260" s="50">
        <v>1.0</v>
      </c>
      <c r="BK260" s="50">
        <v>0.0</v>
      </c>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50">
        <v>7.0820645E8</v>
      </c>
      <c r="CL260" s="48" t="s">
        <v>4023</v>
      </c>
      <c r="CM260" s="47">
        <v>46108.06864583334</v>
      </c>
      <c r="CN260" s="48"/>
      <c r="CO260" s="48"/>
      <c r="CP260" s="48" t="s">
        <v>1954</v>
      </c>
      <c r="CQ260" s="48"/>
      <c r="CR260" s="48" t="s">
        <v>3014</v>
      </c>
      <c r="CS260" s="48"/>
      <c r="CT260" s="48" t="s">
        <v>4024</v>
      </c>
      <c r="CU260" s="50">
        <v>259.0</v>
      </c>
    </row>
    <row r="261">
      <c r="A261" s="47">
        <v>46108.36028207176</v>
      </c>
      <c r="B261" s="47">
        <v>46108.36144099537</v>
      </c>
      <c r="C261" s="48" t="s">
        <v>4025</v>
      </c>
      <c r="D261" s="48" t="s">
        <v>3733</v>
      </c>
      <c r="E261" s="48" t="s">
        <v>4020</v>
      </c>
      <c r="F261" s="48" t="s">
        <v>4021</v>
      </c>
      <c r="G261" s="49" t="s">
        <v>4026</v>
      </c>
      <c r="H261" s="48" t="s">
        <v>2948</v>
      </c>
      <c r="I261" s="50">
        <v>0.0</v>
      </c>
      <c r="J261" s="50">
        <v>1.0</v>
      </c>
      <c r="K261" s="50">
        <v>0.0</v>
      </c>
      <c r="L261" s="50">
        <v>0.0</v>
      </c>
      <c r="M261" s="50">
        <v>0.0</v>
      </c>
      <c r="N261" s="50">
        <v>0.0</v>
      </c>
      <c r="O261" s="50">
        <v>0.0</v>
      </c>
      <c r="P261" s="50">
        <v>0.0</v>
      </c>
      <c r="Q261" s="50">
        <v>0.0</v>
      </c>
      <c r="R261" s="48" t="s">
        <v>2948</v>
      </c>
      <c r="S261" s="50">
        <v>0.0</v>
      </c>
      <c r="T261" s="50">
        <v>1.0</v>
      </c>
      <c r="U261" s="50">
        <v>0.0</v>
      </c>
      <c r="V261" s="50">
        <v>0.0</v>
      </c>
      <c r="W261" s="50">
        <v>0.0</v>
      </c>
      <c r="X261" s="50">
        <v>0.0</v>
      </c>
      <c r="Y261" s="50">
        <v>0.0</v>
      </c>
      <c r="Z261" s="50">
        <v>0.0</v>
      </c>
      <c r="AA261" s="50">
        <v>0.0</v>
      </c>
      <c r="AB261" s="48" t="s">
        <v>2948</v>
      </c>
      <c r="AC261" s="50">
        <v>0.0</v>
      </c>
      <c r="AD261" s="50">
        <v>1.0</v>
      </c>
      <c r="AE261" s="50">
        <v>0.0</v>
      </c>
      <c r="AF261" s="50">
        <v>0.0</v>
      </c>
      <c r="AG261" s="50">
        <v>0.0</v>
      </c>
      <c r="AH261" s="50">
        <v>0.0</v>
      </c>
      <c r="AI261" s="50">
        <v>0.0</v>
      </c>
      <c r="AJ261" s="50">
        <v>0.0</v>
      </c>
      <c r="AK261" s="50">
        <v>0.0</v>
      </c>
      <c r="AL261" s="48"/>
      <c r="AM261" s="48"/>
      <c r="AN261" s="50">
        <v>9.0</v>
      </c>
      <c r="AO261" s="48"/>
      <c r="AP261" s="48"/>
      <c r="AQ261" s="48"/>
      <c r="AR261" s="48"/>
      <c r="AS261" s="48"/>
      <c r="AT261" s="48"/>
      <c r="AU261" s="48"/>
      <c r="AV261" s="48"/>
      <c r="AW261" s="50">
        <v>9.0</v>
      </c>
      <c r="AX261" s="48"/>
      <c r="AY261" s="48"/>
      <c r="AZ261" s="48"/>
      <c r="BA261" s="48"/>
      <c r="BB261" s="48"/>
      <c r="BC261" s="48"/>
      <c r="BD261" s="48"/>
      <c r="BE261" s="48"/>
      <c r="BF261" s="48"/>
      <c r="BG261" s="48"/>
      <c r="BH261" s="50">
        <v>0.0</v>
      </c>
      <c r="BI261" s="50">
        <v>0.0</v>
      </c>
      <c r="BJ261" s="50">
        <v>0.0</v>
      </c>
      <c r="BK261" s="50">
        <v>0.0</v>
      </c>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50">
        <v>7.08207243E8</v>
      </c>
      <c r="CL261" s="48" t="s">
        <v>4027</v>
      </c>
      <c r="CM261" s="47">
        <v>46108.06978009259</v>
      </c>
      <c r="CN261" s="48"/>
      <c r="CO261" s="48"/>
      <c r="CP261" s="48" t="s">
        <v>1954</v>
      </c>
      <c r="CQ261" s="48"/>
      <c r="CR261" s="48" t="s">
        <v>3014</v>
      </c>
      <c r="CS261" s="48"/>
      <c r="CT261" s="48" t="s">
        <v>4028</v>
      </c>
      <c r="CU261" s="50">
        <v>260.0</v>
      </c>
    </row>
    <row r="262">
      <c r="A262" s="47">
        <v>46108.36144165509</v>
      </c>
      <c r="B262" s="47">
        <v>46108.36228207176</v>
      </c>
      <c r="C262" s="48" t="s">
        <v>4029</v>
      </c>
      <c r="D262" s="48" t="s">
        <v>3733</v>
      </c>
      <c r="E262" s="48" t="s">
        <v>4020</v>
      </c>
      <c r="F262" s="48" t="s">
        <v>4030</v>
      </c>
      <c r="G262" s="49" t="s">
        <v>4031</v>
      </c>
      <c r="H262" s="48" t="s">
        <v>2948</v>
      </c>
      <c r="I262" s="50">
        <v>0.0</v>
      </c>
      <c r="J262" s="50">
        <v>1.0</v>
      </c>
      <c r="K262" s="50">
        <v>0.0</v>
      </c>
      <c r="L262" s="50">
        <v>0.0</v>
      </c>
      <c r="M262" s="50">
        <v>0.0</v>
      </c>
      <c r="N262" s="50">
        <v>0.0</v>
      </c>
      <c r="O262" s="50">
        <v>0.0</v>
      </c>
      <c r="P262" s="50">
        <v>0.0</v>
      </c>
      <c r="Q262" s="50">
        <v>0.0</v>
      </c>
      <c r="R262" s="48" t="s">
        <v>2948</v>
      </c>
      <c r="S262" s="50">
        <v>0.0</v>
      </c>
      <c r="T262" s="50">
        <v>1.0</v>
      </c>
      <c r="U262" s="50">
        <v>0.0</v>
      </c>
      <c r="V262" s="50">
        <v>0.0</v>
      </c>
      <c r="W262" s="50">
        <v>0.0</v>
      </c>
      <c r="X262" s="50">
        <v>0.0</v>
      </c>
      <c r="Y262" s="50">
        <v>0.0</v>
      </c>
      <c r="Z262" s="50">
        <v>0.0</v>
      </c>
      <c r="AA262" s="50">
        <v>0.0</v>
      </c>
      <c r="AB262" s="48" t="s">
        <v>2948</v>
      </c>
      <c r="AC262" s="50">
        <v>0.0</v>
      </c>
      <c r="AD262" s="50">
        <v>1.0</v>
      </c>
      <c r="AE262" s="50">
        <v>0.0</v>
      </c>
      <c r="AF262" s="50">
        <v>0.0</v>
      </c>
      <c r="AG262" s="50">
        <v>0.0</v>
      </c>
      <c r="AH262" s="50">
        <v>0.0</v>
      </c>
      <c r="AI262" s="50">
        <v>0.0</v>
      </c>
      <c r="AJ262" s="50">
        <v>0.0</v>
      </c>
      <c r="AK262" s="50">
        <v>0.0</v>
      </c>
      <c r="AL262" s="48"/>
      <c r="AM262" s="48"/>
      <c r="AN262" s="50">
        <v>7.0</v>
      </c>
      <c r="AO262" s="48"/>
      <c r="AP262" s="48"/>
      <c r="AQ262" s="48"/>
      <c r="AR262" s="48"/>
      <c r="AS262" s="48"/>
      <c r="AT262" s="48"/>
      <c r="AU262" s="48"/>
      <c r="AV262" s="48"/>
      <c r="AW262" s="50">
        <v>7.0</v>
      </c>
      <c r="AX262" s="48"/>
      <c r="AY262" s="48"/>
      <c r="AZ262" s="48"/>
      <c r="BA262" s="48"/>
      <c r="BB262" s="48"/>
      <c r="BC262" s="48"/>
      <c r="BD262" s="48"/>
      <c r="BE262" s="48"/>
      <c r="BF262" s="48"/>
      <c r="BG262" s="48"/>
      <c r="BH262" s="50">
        <v>0.0</v>
      </c>
      <c r="BI262" s="50">
        <v>2.0</v>
      </c>
      <c r="BJ262" s="50">
        <v>2.0</v>
      </c>
      <c r="BK262" s="50">
        <v>0.0</v>
      </c>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50">
        <v>7.08208013E8</v>
      </c>
      <c r="CL262" s="48" t="s">
        <v>4032</v>
      </c>
      <c r="CM262" s="47">
        <v>46108.070625</v>
      </c>
      <c r="CN262" s="48"/>
      <c r="CO262" s="48"/>
      <c r="CP262" s="48" t="s">
        <v>1954</v>
      </c>
      <c r="CQ262" s="48"/>
      <c r="CR262" s="48" t="s">
        <v>3014</v>
      </c>
      <c r="CS262" s="48"/>
      <c r="CT262" s="48" t="s">
        <v>4033</v>
      </c>
      <c r="CU262" s="50">
        <v>261.0</v>
      </c>
    </row>
    <row r="263">
      <c r="A263" s="47">
        <v>46108.36228283565</v>
      </c>
      <c r="B263" s="47">
        <v>46108.36393539352</v>
      </c>
      <c r="C263" s="48" t="s">
        <v>4034</v>
      </c>
      <c r="D263" s="48" t="s">
        <v>3733</v>
      </c>
      <c r="E263" s="48" t="s">
        <v>4020</v>
      </c>
      <c r="F263" s="48" t="s">
        <v>4030</v>
      </c>
      <c r="G263" s="49" t="s">
        <v>4035</v>
      </c>
      <c r="H263" s="48" t="s">
        <v>2948</v>
      </c>
      <c r="I263" s="50">
        <v>0.0</v>
      </c>
      <c r="J263" s="50">
        <v>1.0</v>
      </c>
      <c r="K263" s="50">
        <v>0.0</v>
      </c>
      <c r="L263" s="50">
        <v>0.0</v>
      </c>
      <c r="M263" s="50">
        <v>0.0</v>
      </c>
      <c r="N263" s="50">
        <v>0.0</v>
      </c>
      <c r="O263" s="50">
        <v>0.0</v>
      </c>
      <c r="P263" s="50">
        <v>0.0</v>
      </c>
      <c r="Q263" s="50">
        <v>0.0</v>
      </c>
      <c r="R263" s="48" t="s">
        <v>2948</v>
      </c>
      <c r="S263" s="50">
        <v>0.0</v>
      </c>
      <c r="T263" s="50">
        <v>1.0</v>
      </c>
      <c r="U263" s="50">
        <v>0.0</v>
      </c>
      <c r="V263" s="50">
        <v>0.0</v>
      </c>
      <c r="W263" s="50">
        <v>0.0</v>
      </c>
      <c r="X263" s="50">
        <v>0.0</v>
      </c>
      <c r="Y263" s="50">
        <v>0.0</v>
      </c>
      <c r="Z263" s="50">
        <v>0.0</v>
      </c>
      <c r="AA263" s="50">
        <v>0.0</v>
      </c>
      <c r="AB263" s="48" t="s">
        <v>2948</v>
      </c>
      <c r="AC263" s="50">
        <v>0.0</v>
      </c>
      <c r="AD263" s="50">
        <v>1.0</v>
      </c>
      <c r="AE263" s="50">
        <v>0.0</v>
      </c>
      <c r="AF263" s="50">
        <v>0.0</v>
      </c>
      <c r="AG263" s="50">
        <v>0.0</v>
      </c>
      <c r="AH263" s="50">
        <v>0.0</v>
      </c>
      <c r="AI263" s="50">
        <v>0.0</v>
      </c>
      <c r="AJ263" s="50">
        <v>0.0</v>
      </c>
      <c r="AK263" s="50">
        <v>0.0</v>
      </c>
      <c r="AL263" s="48"/>
      <c r="AM263" s="48"/>
      <c r="AN263" s="50">
        <v>7.0</v>
      </c>
      <c r="AO263" s="48"/>
      <c r="AP263" s="48"/>
      <c r="AQ263" s="48"/>
      <c r="AR263" s="48"/>
      <c r="AS263" s="48"/>
      <c r="AT263" s="48"/>
      <c r="AU263" s="48"/>
      <c r="AV263" s="48"/>
      <c r="AW263" s="50">
        <v>2.0</v>
      </c>
      <c r="AX263" s="48"/>
      <c r="AY263" s="48"/>
      <c r="AZ263" s="48"/>
      <c r="BA263" s="48"/>
      <c r="BB263" s="48"/>
      <c r="BC263" s="48"/>
      <c r="BD263" s="48"/>
      <c r="BE263" s="48"/>
      <c r="BF263" s="48"/>
      <c r="BG263" s="48"/>
      <c r="BH263" s="50">
        <v>2.0</v>
      </c>
      <c r="BI263" s="50">
        <v>8.0</v>
      </c>
      <c r="BJ263" s="50">
        <v>2.0</v>
      </c>
      <c r="BK263" s="50">
        <v>1.0</v>
      </c>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50">
        <v>7.08208959E8</v>
      </c>
      <c r="CL263" s="48" t="s">
        <v>4036</v>
      </c>
      <c r="CM263" s="47">
        <v>46108.07228009259</v>
      </c>
      <c r="CN263" s="48"/>
      <c r="CO263" s="48"/>
      <c r="CP263" s="48" t="s">
        <v>1954</v>
      </c>
      <c r="CQ263" s="48"/>
      <c r="CR263" s="48" t="s">
        <v>3014</v>
      </c>
      <c r="CS263" s="48"/>
      <c r="CT263" s="48" t="s">
        <v>4037</v>
      </c>
      <c r="CU263" s="50">
        <v>262.0</v>
      </c>
    </row>
    <row r="264">
      <c r="A264" s="47">
        <v>46108.36263149306</v>
      </c>
      <c r="B264" s="47">
        <v>46108.36491032408</v>
      </c>
      <c r="C264" s="48" t="s">
        <v>4038</v>
      </c>
      <c r="D264" s="48" t="s">
        <v>3733</v>
      </c>
      <c r="E264" s="48" t="s">
        <v>4020</v>
      </c>
      <c r="F264" s="48" t="s">
        <v>4039</v>
      </c>
      <c r="G264" s="49" t="s">
        <v>4040</v>
      </c>
      <c r="H264" s="48" t="s">
        <v>2948</v>
      </c>
      <c r="I264" s="50">
        <v>0.0</v>
      </c>
      <c r="J264" s="50">
        <v>1.0</v>
      </c>
      <c r="K264" s="50">
        <v>0.0</v>
      </c>
      <c r="L264" s="50">
        <v>0.0</v>
      </c>
      <c r="M264" s="50">
        <v>0.0</v>
      </c>
      <c r="N264" s="50">
        <v>0.0</v>
      </c>
      <c r="O264" s="50">
        <v>0.0</v>
      </c>
      <c r="P264" s="50">
        <v>0.0</v>
      </c>
      <c r="Q264" s="50">
        <v>0.0</v>
      </c>
      <c r="R264" s="48" t="s">
        <v>2948</v>
      </c>
      <c r="S264" s="50">
        <v>0.0</v>
      </c>
      <c r="T264" s="50">
        <v>1.0</v>
      </c>
      <c r="U264" s="50">
        <v>0.0</v>
      </c>
      <c r="V264" s="50">
        <v>0.0</v>
      </c>
      <c r="W264" s="50">
        <v>0.0</v>
      </c>
      <c r="X264" s="50">
        <v>0.0</v>
      </c>
      <c r="Y264" s="50">
        <v>0.0</v>
      </c>
      <c r="Z264" s="50">
        <v>0.0</v>
      </c>
      <c r="AA264" s="50">
        <v>0.0</v>
      </c>
      <c r="AB264" s="48" t="s">
        <v>2948</v>
      </c>
      <c r="AC264" s="50">
        <v>0.0</v>
      </c>
      <c r="AD264" s="50">
        <v>1.0</v>
      </c>
      <c r="AE264" s="50">
        <v>0.0</v>
      </c>
      <c r="AF264" s="50">
        <v>0.0</v>
      </c>
      <c r="AG264" s="50">
        <v>0.0</v>
      </c>
      <c r="AH264" s="50">
        <v>0.0</v>
      </c>
      <c r="AI264" s="50">
        <v>0.0</v>
      </c>
      <c r="AJ264" s="50">
        <v>0.0</v>
      </c>
      <c r="AK264" s="50">
        <v>0.0</v>
      </c>
      <c r="AL264" s="48"/>
      <c r="AM264" s="48"/>
      <c r="AN264" s="50">
        <v>6.0</v>
      </c>
      <c r="AO264" s="48"/>
      <c r="AP264" s="48"/>
      <c r="AQ264" s="48"/>
      <c r="AR264" s="48"/>
      <c r="AS264" s="48"/>
      <c r="AT264" s="48"/>
      <c r="AU264" s="48"/>
      <c r="AV264" s="48"/>
      <c r="AW264" s="50">
        <v>12.0</v>
      </c>
      <c r="AX264" s="48"/>
      <c r="AY264" s="48"/>
      <c r="AZ264" s="48"/>
      <c r="BA264" s="48"/>
      <c r="BB264" s="48"/>
      <c r="BC264" s="48"/>
      <c r="BD264" s="48"/>
      <c r="BE264" s="48"/>
      <c r="BF264" s="48"/>
      <c r="BG264" s="48"/>
      <c r="BH264" s="50">
        <v>10.0</v>
      </c>
      <c r="BI264" s="50">
        <v>2.0</v>
      </c>
      <c r="BJ264" s="50">
        <v>6.0</v>
      </c>
      <c r="BK264" s="50">
        <v>0.0</v>
      </c>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50">
        <v>7.08209433E8</v>
      </c>
      <c r="CL264" s="48" t="s">
        <v>4041</v>
      </c>
      <c r="CM264" s="47">
        <v>46108.07322916666</v>
      </c>
      <c r="CN264" s="48"/>
      <c r="CO264" s="48"/>
      <c r="CP264" s="48" t="s">
        <v>1954</v>
      </c>
      <c r="CQ264" s="48"/>
      <c r="CR264" s="48" t="s">
        <v>3014</v>
      </c>
      <c r="CS264" s="48"/>
      <c r="CT264" s="48" t="s">
        <v>4042</v>
      </c>
      <c r="CU264" s="50">
        <v>263.0</v>
      </c>
    </row>
    <row r="265">
      <c r="A265" s="47">
        <v>46108.36393601852</v>
      </c>
      <c r="B265" s="47">
        <v>46108.36544680555</v>
      </c>
      <c r="C265" s="48" t="s">
        <v>4043</v>
      </c>
      <c r="D265" s="48" t="s">
        <v>3733</v>
      </c>
      <c r="E265" s="48" t="s">
        <v>4020</v>
      </c>
      <c r="F265" s="48" t="s">
        <v>4030</v>
      </c>
      <c r="G265" s="49" t="s">
        <v>4044</v>
      </c>
      <c r="H265" s="48" t="s">
        <v>2948</v>
      </c>
      <c r="I265" s="50">
        <v>0.0</v>
      </c>
      <c r="J265" s="50">
        <v>1.0</v>
      </c>
      <c r="K265" s="50">
        <v>0.0</v>
      </c>
      <c r="L265" s="50">
        <v>0.0</v>
      </c>
      <c r="M265" s="50">
        <v>0.0</v>
      </c>
      <c r="N265" s="50">
        <v>0.0</v>
      </c>
      <c r="O265" s="50">
        <v>0.0</v>
      </c>
      <c r="P265" s="50">
        <v>0.0</v>
      </c>
      <c r="Q265" s="50">
        <v>0.0</v>
      </c>
      <c r="R265" s="48" t="s">
        <v>2948</v>
      </c>
      <c r="S265" s="50">
        <v>0.0</v>
      </c>
      <c r="T265" s="50">
        <v>1.0</v>
      </c>
      <c r="U265" s="50">
        <v>0.0</v>
      </c>
      <c r="V265" s="50">
        <v>0.0</v>
      </c>
      <c r="W265" s="50">
        <v>0.0</v>
      </c>
      <c r="X265" s="50">
        <v>0.0</v>
      </c>
      <c r="Y265" s="50">
        <v>0.0</v>
      </c>
      <c r="Z265" s="50">
        <v>0.0</v>
      </c>
      <c r="AA265" s="50">
        <v>0.0</v>
      </c>
      <c r="AB265" s="48" t="s">
        <v>2948</v>
      </c>
      <c r="AC265" s="50">
        <v>0.0</v>
      </c>
      <c r="AD265" s="50">
        <v>1.0</v>
      </c>
      <c r="AE265" s="50">
        <v>0.0</v>
      </c>
      <c r="AF265" s="50">
        <v>0.0</v>
      </c>
      <c r="AG265" s="50">
        <v>0.0</v>
      </c>
      <c r="AH265" s="50">
        <v>0.0</v>
      </c>
      <c r="AI265" s="50">
        <v>0.0</v>
      </c>
      <c r="AJ265" s="50">
        <v>0.0</v>
      </c>
      <c r="AK265" s="50">
        <v>0.0</v>
      </c>
      <c r="AL265" s="48"/>
      <c r="AM265" s="48"/>
      <c r="AN265" s="50">
        <v>5.0</v>
      </c>
      <c r="AO265" s="48"/>
      <c r="AP265" s="48"/>
      <c r="AQ265" s="48"/>
      <c r="AR265" s="48"/>
      <c r="AS265" s="48"/>
      <c r="AT265" s="48"/>
      <c r="AU265" s="48"/>
      <c r="AV265" s="48"/>
      <c r="AW265" s="50">
        <v>10.0</v>
      </c>
      <c r="AX265" s="48"/>
      <c r="AY265" s="48"/>
      <c r="AZ265" s="48"/>
      <c r="BA265" s="48"/>
      <c r="BB265" s="48"/>
      <c r="BC265" s="48"/>
      <c r="BD265" s="48"/>
      <c r="BE265" s="48"/>
      <c r="BF265" s="48"/>
      <c r="BG265" s="48"/>
      <c r="BH265" s="50">
        <v>2.0</v>
      </c>
      <c r="BI265" s="50">
        <v>2.0</v>
      </c>
      <c r="BJ265" s="50">
        <v>1.0</v>
      </c>
      <c r="BK265" s="50">
        <v>3.0</v>
      </c>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50">
        <v>7.0820978E8</v>
      </c>
      <c r="CL265" s="48" t="s">
        <v>4045</v>
      </c>
      <c r="CM265" s="47">
        <v>46108.07378472222</v>
      </c>
      <c r="CN265" s="48"/>
      <c r="CO265" s="48"/>
      <c r="CP265" s="48" t="s">
        <v>1954</v>
      </c>
      <c r="CQ265" s="48"/>
      <c r="CR265" s="48" t="s">
        <v>3014</v>
      </c>
      <c r="CS265" s="48"/>
      <c r="CT265" s="48" t="s">
        <v>4046</v>
      </c>
      <c r="CU265" s="50">
        <v>264.0</v>
      </c>
    </row>
    <row r="266">
      <c r="A266" s="47">
        <v>46108.36491084491</v>
      </c>
      <c r="B266" s="47">
        <v>46108.3660804051</v>
      </c>
      <c r="C266" s="48" t="s">
        <v>4047</v>
      </c>
      <c r="D266" s="48" t="s">
        <v>3733</v>
      </c>
      <c r="E266" s="48" t="s">
        <v>4020</v>
      </c>
      <c r="F266" s="48" t="s">
        <v>4039</v>
      </c>
      <c r="G266" s="49" t="s">
        <v>4048</v>
      </c>
      <c r="H266" s="48" t="s">
        <v>2948</v>
      </c>
      <c r="I266" s="50">
        <v>0.0</v>
      </c>
      <c r="J266" s="50">
        <v>1.0</v>
      </c>
      <c r="K266" s="50">
        <v>0.0</v>
      </c>
      <c r="L266" s="50">
        <v>0.0</v>
      </c>
      <c r="M266" s="50">
        <v>0.0</v>
      </c>
      <c r="N266" s="50">
        <v>0.0</v>
      </c>
      <c r="O266" s="50">
        <v>0.0</v>
      </c>
      <c r="P266" s="50">
        <v>0.0</v>
      </c>
      <c r="Q266" s="50">
        <v>0.0</v>
      </c>
      <c r="R266" s="48" t="s">
        <v>2948</v>
      </c>
      <c r="S266" s="50">
        <v>0.0</v>
      </c>
      <c r="T266" s="50">
        <v>1.0</v>
      </c>
      <c r="U266" s="50">
        <v>0.0</v>
      </c>
      <c r="V266" s="50">
        <v>0.0</v>
      </c>
      <c r="W266" s="50">
        <v>0.0</v>
      </c>
      <c r="X266" s="50">
        <v>0.0</v>
      </c>
      <c r="Y266" s="50">
        <v>0.0</v>
      </c>
      <c r="Z266" s="50">
        <v>0.0</v>
      </c>
      <c r="AA266" s="50">
        <v>0.0</v>
      </c>
      <c r="AB266" s="48" t="s">
        <v>2948</v>
      </c>
      <c r="AC266" s="50">
        <v>0.0</v>
      </c>
      <c r="AD266" s="50">
        <v>1.0</v>
      </c>
      <c r="AE266" s="50">
        <v>0.0</v>
      </c>
      <c r="AF266" s="50">
        <v>0.0</v>
      </c>
      <c r="AG266" s="50">
        <v>0.0</v>
      </c>
      <c r="AH266" s="50">
        <v>0.0</v>
      </c>
      <c r="AI266" s="50">
        <v>0.0</v>
      </c>
      <c r="AJ266" s="50">
        <v>0.0</v>
      </c>
      <c r="AK266" s="50">
        <v>0.0</v>
      </c>
      <c r="AL266" s="48"/>
      <c r="AM266" s="48"/>
      <c r="AN266" s="50">
        <v>8.0</v>
      </c>
      <c r="AO266" s="48"/>
      <c r="AP266" s="48"/>
      <c r="AQ266" s="48"/>
      <c r="AR266" s="48"/>
      <c r="AS266" s="48"/>
      <c r="AT266" s="48"/>
      <c r="AU266" s="48"/>
      <c r="AV266" s="48"/>
      <c r="AW266" s="50">
        <v>15.0</v>
      </c>
      <c r="AX266" s="48"/>
      <c r="AY266" s="48"/>
      <c r="AZ266" s="48"/>
      <c r="BA266" s="48"/>
      <c r="BB266" s="48"/>
      <c r="BC266" s="48"/>
      <c r="BD266" s="48"/>
      <c r="BE266" s="48"/>
      <c r="BF266" s="48"/>
      <c r="BG266" s="48"/>
      <c r="BH266" s="50">
        <v>10.0</v>
      </c>
      <c r="BI266" s="50">
        <v>0.0</v>
      </c>
      <c r="BJ266" s="50">
        <v>6.0</v>
      </c>
      <c r="BK266" s="50">
        <v>0.0</v>
      </c>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50">
        <v>7.08210176E8</v>
      </c>
      <c r="CL266" s="48" t="s">
        <v>4049</v>
      </c>
      <c r="CM266" s="47">
        <v>46108.07439814815</v>
      </c>
      <c r="CN266" s="48"/>
      <c r="CO266" s="48"/>
      <c r="CP266" s="48" t="s">
        <v>1954</v>
      </c>
      <c r="CQ266" s="48"/>
      <c r="CR266" s="48" t="s">
        <v>3014</v>
      </c>
      <c r="CS266" s="48"/>
      <c r="CT266" s="48" t="s">
        <v>4050</v>
      </c>
      <c r="CU266" s="50">
        <v>265.0</v>
      </c>
    </row>
    <row r="267">
      <c r="A267" s="47">
        <v>46108.36415927083</v>
      </c>
      <c r="B267" s="47">
        <v>46108.36631228009</v>
      </c>
      <c r="C267" s="48" t="s">
        <v>4051</v>
      </c>
      <c r="D267" s="48" t="s">
        <v>3733</v>
      </c>
      <c r="E267" s="48" t="s">
        <v>4020</v>
      </c>
      <c r="F267" s="48" t="s">
        <v>4039</v>
      </c>
      <c r="G267" s="49" t="s">
        <v>4052</v>
      </c>
      <c r="H267" s="48" t="s">
        <v>2947</v>
      </c>
      <c r="I267" s="50">
        <v>1.0</v>
      </c>
      <c r="J267" s="50">
        <v>0.0</v>
      </c>
      <c r="K267" s="50">
        <v>0.0</v>
      </c>
      <c r="L267" s="50">
        <v>0.0</v>
      </c>
      <c r="M267" s="50">
        <v>0.0</v>
      </c>
      <c r="N267" s="50">
        <v>0.0</v>
      </c>
      <c r="O267" s="50">
        <v>0.0</v>
      </c>
      <c r="P267" s="50">
        <v>0.0</v>
      </c>
      <c r="Q267" s="50">
        <v>0.0</v>
      </c>
      <c r="R267" s="48" t="s">
        <v>2948</v>
      </c>
      <c r="S267" s="50">
        <v>0.0</v>
      </c>
      <c r="T267" s="50">
        <v>1.0</v>
      </c>
      <c r="U267" s="50">
        <v>0.0</v>
      </c>
      <c r="V267" s="50">
        <v>0.0</v>
      </c>
      <c r="W267" s="50">
        <v>0.0</v>
      </c>
      <c r="X267" s="50">
        <v>0.0</v>
      </c>
      <c r="Y267" s="50">
        <v>0.0</v>
      </c>
      <c r="Z267" s="50">
        <v>0.0</v>
      </c>
      <c r="AA267" s="50">
        <v>0.0</v>
      </c>
      <c r="AB267" s="48" t="s">
        <v>2948</v>
      </c>
      <c r="AC267" s="50">
        <v>0.0</v>
      </c>
      <c r="AD267" s="50">
        <v>1.0</v>
      </c>
      <c r="AE267" s="50">
        <v>0.0</v>
      </c>
      <c r="AF267" s="50">
        <v>0.0</v>
      </c>
      <c r="AG267" s="50">
        <v>0.0</v>
      </c>
      <c r="AH267" s="50">
        <v>0.0</v>
      </c>
      <c r="AI267" s="50">
        <v>0.0</v>
      </c>
      <c r="AJ267" s="50">
        <v>0.0</v>
      </c>
      <c r="AK267" s="50">
        <v>0.0</v>
      </c>
      <c r="AL267" s="48"/>
      <c r="AM267" s="50">
        <v>1.0</v>
      </c>
      <c r="AN267" s="48"/>
      <c r="AO267" s="48"/>
      <c r="AP267" s="48"/>
      <c r="AQ267" s="48"/>
      <c r="AR267" s="48"/>
      <c r="AS267" s="48"/>
      <c r="AT267" s="48"/>
      <c r="AU267" s="48"/>
      <c r="AV267" s="48"/>
      <c r="AW267" s="50">
        <v>4.0</v>
      </c>
      <c r="AX267" s="48"/>
      <c r="AY267" s="48"/>
      <c r="AZ267" s="48"/>
      <c r="BA267" s="48"/>
      <c r="BB267" s="48"/>
      <c r="BC267" s="48"/>
      <c r="BD267" s="48"/>
      <c r="BE267" s="48"/>
      <c r="BF267" s="48"/>
      <c r="BG267" s="48"/>
      <c r="BH267" s="50">
        <v>4.0</v>
      </c>
      <c r="BI267" s="50">
        <v>1.0</v>
      </c>
      <c r="BJ267" s="50">
        <v>2.0</v>
      </c>
      <c r="BK267" s="50">
        <v>0.0</v>
      </c>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50">
        <v>7.08210301E8</v>
      </c>
      <c r="CL267" s="48" t="s">
        <v>4053</v>
      </c>
      <c r="CM267" s="47">
        <v>46108.07466435185</v>
      </c>
      <c r="CN267" s="48"/>
      <c r="CO267" s="48"/>
      <c r="CP267" s="48" t="s">
        <v>1954</v>
      </c>
      <c r="CQ267" s="48"/>
      <c r="CR267" s="48" t="s">
        <v>3014</v>
      </c>
      <c r="CS267" s="48"/>
      <c r="CT267" s="48" t="s">
        <v>4054</v>
      </c>
      <c r="CU267" s="50">
        <v>266.0</v>
      </c>
    </row>
    <row r="268">
      <c r="A268" s="47">
        <v>46108.33926332176</v>
      </c>
      <c r="B268" s="47">
        <v>46108.36698702546</v>
      </c>
      <c r="C268" s="48" t="s">
        <v>4055</v>
      </c>
      <c r="D268" s="48" t="s">
        <v>3733</v>
      </c>
      <c r="E268" s="48" t="s">
        <v>4020</v>
      </c>
      <c r="F268" s="48" t="s">
        <v>4039</v>
      </c>
      <c r="G268" s="49" t="s">
        <v>4056</v>
      </c>
      <c r="H268" s="48" t="s">
        <v>2948</v>
      </c>
      <c r="I268" s="50">
        <v>0.0</v>
      </c>
      <c r="J268" s="50">
        <v>1.0</v>
      </c>
      <c r="K268" s="50">
        <v>0.0</v>
      </c>
      <c r="L268" s="50">
        <v>0.0</v>
      </c>
      <c r="M268" s="50">
        <v>0.0</v>
      </c>
      <c r="N268" s="50">
        <v>0.0</v>
      </c>
      <c r="O268" s="50">
        <v>0.0</v>
      </c>
      <c r="P268" s="50">
        <v>0.0</v>
      </c>
      <c r="Q268" s="50">
        <v>0.0</v>
      </c>
      <c r="R268" s="48" t="s">
        <v>2948</v>
      </c>
      <c r="S268" s="50">
        <v>0.0</v>
      </c>
      <c r="T268" s="50">
        <v>1.0</v>
      </c>
      <c r="U268" s="50">
        <v>0.0</v>
      </c>
      <c r="V268" s="50">
        <v>0.0</v>
      </c>
      <c r="W268" s="50">
        <v>0.0</v>
      </c>
      <c r="X268" s="50">
        <v>0.0</v>
      </c>
      <c r="Y268" s="50">
        <v>0.0</v>
      </c>
      <c r="Z268" s="50">
        <v>0.0</v>
      </c>
      <c r="AA268" s="50">
        <v>0.0</v>
      </c>
      <c r="AB268" s="48" t="s">
        <v>2948</v>
      </c>
      <c r="AC268" s="50">
        <v>0.0</v>
      </c>
      <c r="AD268" s="50">
        <v>1.0</v>
      </c>
      <c r="AE268" s="50">
        <v>0.0</v>
      </c>
      <c r="AF268" s="50">
        <v>0.0</v>
      </c>
      <c r="AG268" s="50">
        <v>0.0</v>
      </c>
      <c r="AH268" s="50">
        <v>0.0</v>
      </c>
      <c r="AI268" s="50">
        <v>0.0</v>
      </c>
      <c r="AJ268" s="50">
        <v>0.0</v>
      </c>
      <c r="AK268" s="50">
        <v>0.0</v>
      </c>
      <c r="AL268" s="48"/>
      <c r="AM268" s="48"/>
      <c r="AN268" s="50">
        <v>0.0</v>
      </c>
      <c r="AO268" s="48"/>
      <c r="AP268" s="48"/>
      <c r="AQ268" s="48"/>
      <c r="AR268" s="48"/>
      <c r="AS268" s="48"/>
      <c r="AT268" s="48"/>
      <c r="AU268" s="48"/>
      <c r="AV268" s="48"/>
      <c r="AW268" s="50">
        <v>5.0</v>
      </c>
      <c r="AX268" s="48"/>
      <c r="AY268" s="48"/>
      <c r="AZ268" s="48"/>
      <c r="BA268" s="48"/>
      <c r="BB268" s="48"/>
      <c r="BC268" s="48"/>
      <c r="BD268" s="48"/>
      <c r="BE268" s="48"/>
      <c r="BF268" s="48"/>
      <c r="BG268" s="48"/>
      <c r="BH268" s="50">
        <v>10.0</v>
      </c>
      <c r="BI268" s="50">
        <v>2.0</v>
      </c>
      <c r="BJ268" s="50">
        <v>3.0</v>
      </c>
      <c r="BK268" s="50">
        <v>0.0</v>
      </c>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50">
        <v>7.08210727E8</v>
      </c>
      <c r="CL268" s="48" t="s">
        <v>4057</v>
      </c>
      <c r="CM268" s="47">
        <v>46108.0753587963</v>
      </c>
      <c r="CN268" s="48"/>
      <c r="CO268" s="48"/>
      <c r="CP268" s="48" t="s">
        <v>1954</v>
      </c>
      <c r="CQ268" s="48"/>
      <c r="CR268" s="48" t="s">
        <v>3014</v>
      </c>
      <c r="CS268" s="48"/>
      <c r="CT268" s="48" t="s">
        <v>4058</v>
      </c>
      <c r="CU268" s="50">
        <v>267.0</v>
      </c>
    </row>
    <row r="269">
      <c r="A269" s="47">
        <v>46108.36608076389</v>
      </c>
      <c r="B269" s="47">
        <v>46108.36734863426</v>
      </c>
      <c r="C269" s="48" t="s">
        <v>4059</v>
      </c>
      <c r="D269" s="48" t="s">
        <v>3733</v>
      </c>
      <c r="E269" s="48" t="s">
        <v>4020</v>
      </c>
      <c r="F269" s="48" t="s">
        <v>4039</v>
      </c>
      <c r="G269" s="49" t="s">
        <v>4060</v>
      </c>
      <c r="H269" s="48" t="s">
        <v>2948</v>
      </c>
      <c r="I269" s="50">
        <v>0.0</v>
      </c>
      <c r="J269" s="50">
        <v>1.0</v>
      </c>
      <c r="K269" s="50">
        <v>0.0</v>
      </c>
      <c r="L269" s="50">
        <v>0.0</v>
      </c>
      <c r="M269" s="50">
        <v>0.0</v>
      </c>
      <c r="N269" s="50">
        <v>0.0</v>
      </c>
      <c r="O269" s="50">
        <v>0.0</v>
      </c>
      <c r="P269" s="50">
        <v>0.0</v>
      </c>
      <c r="Q269" s="50">
        <v>0.0</v>
      </c>
      <c r="R269" s="48" t="s">
        <v>2948</v>
      </c>
      <c r="S269" s="50">
        <v>0.0</v>
      </c>
      <c r="T269" s="50">
        <v>1.0</v>
      </c>
      <c r="U269" s="50">
        <v>0.0</v>
      </c>
      <c r="V269" s="50">
        <v>0.0</v>
      </c>
      <c r="W269" s="50">
        <v>0.0</v>
      </c>
      <c r="X269" s="50">
        <v>0.0</v>
      </c>
      <c r="Y269" s="50">
        <v>0.0</v>
      </c>
      <c r="Z269" s="50">
        <v>0.0</v>
      </c>
      <c r="AA269" s="50">
        <v>0.0</v>
      </c>
      <c r="AB269" s="48" t="s">
        <v>2948</v>
      </c>
      <c r="AC269" s="50">
        <v>0.0</v>
      </c>
      <c r="AD269" s="50">
        <v>1.0</v>
      </c>
      <c r="AE269" s="50">
        <v>0.0</v>
      </c>
      <c r="AF269" s="50">
        <v>0.0</v>
      </c>
      <c r="AG269" s="50">
        <v>0.0</v>
      </c>
      <c r="AH269" s="50">
        <v>0.0</v>
      </c>
      <c r="AI269" s="50">
        <v>0.0</v>
      </c>
      <c r="AJ269" s="50">
        <v>0.0</v>
      </c>
      <c r="AK269" s="50">
        <v>0.0</v>
      </c>
      <c r="AL269" s="48"/>
      <c r="AM269" s="48"/>
      <c r="AN269" s="50">
        <v>6.0</v>
      </c>
      <c r="AO269" s="48"/>
      <c r="AP269" s="48"/>
      <c r="AQ269" s="48"/>
      <c r="AR269" s="48"/>
      <c r="AS269" s="48"/>
      <c r="AT269" s="48"/>
      <c r="AU269" s="48"/>
      <c r="AV269" s="48"/>
      <c r="AW269" s="50">
        <v>4.0</v>
      </c>
      <c r="AX269" s="48"/>
      <c r="AY269" s="48"/>
      <c r="AZ269" s="48"/>
      <c r="BA269" s="48"/>
      <c r="BB269" s="48"/>
      <c r="BC269" s="48"/>
      <c r="BD269" s="48"/>
      <c r="BE269" s="48"/>
      <c r="BF269" s="48"/>
      <c r="BG269" s="48"/>
      <c r="BH269" s="50">
        <v>2.0</v>
      </c>
      <c r="BI269" s="50">
        <v>2.0</v>
      </c>
      <c r="BJ269" s="50">
        <v>4.0</v>
      </c>
      <c r="BK269" s="50">
        <v>0.0</v>
      </c>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50">
        <v>7.08210921E8</v>
      </c>
      <c r="CL269" s="48" t="s">
        <v>4061</v>
      </c>
      <c r="CM269" s="47">
        <v>46108.0756712963</v>
      </c>
      <c r="CN269" s="48"/>
      <c r="CO269" s="48"/>
      <c r="CP269" s="48" t="s">
        <v>1954</v>
      </c>
      <c r="CQ269" s="48"/>
      <c r="CR269" s="48" t="s">
        <v>3014</v>
      </c>
      <c r="CS269" s="48"/>
      <c r="CT269" s="48" t="s">
        <v>4062</v>
      </c>
      <c r="CU269" s="50">
        <v>268.0</v>
      </c>
    </row>
    <row r="270">
      <c r="A270" s="47">
        <v>46108.36631376157</v>
      </c>
      <c r="B270" s="47">
        <v>46108.36785099537</v>
      </c>
      <c r="C270" s="48" t="s">
        <v>4063</v>
      </c>
      <c r="D270" s="48" t="s">
        <v>3733</v>
      </c>
      <c r="E270" s="48" t="s">
        <v>4020</v>
      </c>
      <c r="F270" s="48" t="s">
        <v>4021</v>
      </c>
      <c r="G270" s="49" t="s">
        <v>4064</v>
      </c>
      <c r="H270" s="48" t="s">
        <v>2949</v>
      </c>
      <c r="I270" s="50">
        <v>1.0</v>
      </c>
      <c r="J270" s="50">
        <v>1.0</v>
      </c>
      <c r="K270" s="50">
        <v>0.0</v>
      </c>
      <c r="L270" s="50">
        <v>0.0</v>
      </c>
      <c r="M270" s="50">
        <v>0.0</v>
      </c>
      <c r="N270" s="50">
        <v>0.0</v>
      </c>
      <c r="O270" s="50">
        <v>0.0</v>
      </c>
      <c r="P270" s="50">
        <v>0.0</v>
      </c>
      <c r="Q270" s="50">
        <v>0.0</v>
      </c>
      <c r="R270" s="48" t="s">
        <v>2948</v>
      </c>
      <c r="S270" s="50">
        <v>0.0</v>
      </c>
      <c r="T270" s="50">
        <v>1.0</v>
      </c>
      <c r="U270" s="50">
        <v>0.0</v>
      </c>
      <c r="V270" s="50">
        <v>0.0</v>
      </c>
      <c r="W270" s="50">
        <v>0.0</v>
      </c>
      <c r="X270" s="50">
        <v>0.0</v>
      </c>
      <c r="Y270" s="50">
        <v>0.0</v>
      </c>
      <c r="Z270" s="50">
        <v>0.0</v>
      </c>
      <c r="AA270" s="50">
        <v>0.0</v>
      </c>
      <c r="AB270" s="48" t="s">
        <v>2948</v>
      </c>
      <c r="AC270" s="50">
        <v>0.0</v>
      </c>
      <c r="AD270" s="50">
        <v>1.0</v>
      </c>
      <c r="AE270" s="50">
        <v>0.0</v>
      </c>
      <c r="AF270" s="50">
        <v>0.0</v>
      </c>
      <c r="AG270" s="50">
        <v>0.0</v>
      </c>
      <c r="AH270" s="50">
        <v>0.0</v>
      </c>
      <c r="AI270" s="50">
        <v>0.0</v>
      </c>
      <c r="AJ270" s="50">
        <v>0.0</v>
      </c>
      <c r="AK270" s="50">
        <v>0.0</v>
      </c>
      <c r="AL270" s="48"/>
      <c r="AM270" s="50">
        <v>1.0</v>
      </c>
      <c r="AN270" s="50">
        <v>4.0</v>
      </c>
      <c r="AO270" s="48"/>
      <c r="AP270" s="48"/>
      <c r="AQ270" s="48"/>
      <c r="AR270" s="48"/>
      <c r="AS270" s="48"/>
      <c r="AT270" s="48"/>
      <c r="AU270" s="48"/>
      <c r="AV270" s="48"/>
      <c r="AW270" s="50">
        <v>4.0</v>
      </c>
      <c r="AX270" s="48"/>
      <c r="AY270" s="48"/>
      <c r="AZ270" s="48"/>
      <c r="BA270" s="48"/>
      <c r="BB270" s="48"/>
      <c r="BC270" s="48"/>
      <c r="BD270" s="48"/>
      <c r="BE270" s="48"/>
      <c r="BF270" s="48"/>
      <c r="BG270" s="48"/>
      <c r="BH270" s="50">
        <v>0.0</v>
      </c>
      <c r="BI270" s="50">
        <v>0.0</v>
      </c>
      <c r="BJ270" s="50">
        <v>0.0</v>
      </c>
      <c r="BK270" s="50">
        <v>0.0</v>
      </c>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50">
        <v>7.08211156E8</v>
      </c>
      <c r="CL270" s="48" t="s">
        <v>4065</v>
      </c>
      <c r="CM270" s="47">
        <v>46108.07620370371</v>
      </c>
      <c r="CN270" s="48"/>
      <c r="CO270" s="48"/>
      <c r="CP270" s="48" t="s">
        <v>1954</v>
      </c>
      <c r="CQ270" s="48"/>
      <c r="CR270" s="48" t="s">
        <v>3014</v>
      </c>
      <c r="CS270" s="48"/>
      <c r="CT270" s="48" t="s">
        <v>4066</v>
      </c>
      <c r="CU270" s="50">
        <v>269.0</v>
      </c>
    </row>
    <row r="271">
      <c r="A271" s="47">
        <v>46108.36698787037</v>
      </c>
      <c r="B271" s="47">
        <v>46108.36857042824</v>
      </c>
      <c r="C271" s="48" t="s">
        <v>4067</v>
      </c>
      <c r="D271" s="48" t="s">
        <v>3733</v>
      </c>
      <c r="E271" s="48" t="s">
        <v>4020</v>
      </c>
      <c r="F271" s="48" t="s">
        <v>4068</v>
      </c>
      <c r="G271" s="49" t="s">
        <v>4069</v>
      </c>
      <c r="H271" s="48" t="s">
        <v>2948</v>
      </c>
      <c r="I271" s="50">
        <v>0.0</v>
      </c>
      <c r="J271" s="50">
        <v>1.0</v>
      </c>
      <c r="K271" s="50">
        <v>0.0</v>
      </c>
      <c r="L271" s="50">
        <v>0.0</v>
      </c>
      <c r="M271" s="50">
        <v>0.0</v>
      </c>
      <c r="N271" s="50">
        <v>0.0</v>
      </c>
      <c r="O271" s="50">
        <v>0.0</v>
      </c>
      <c r="P271" s="50">
        <v>0.0</v>
      </c>
      <c r="Q271" s="50">
        <v>0.0</v>
      </c>
      <c r="R271" s="48" t="s">
        <v>2948</v>
      </c>
      <c r="S271" s="50">
        <v>0.0</v>
      </c>
      <c r="T271" s="50">
        <v>1.0</v>
      </c>
      <c r="U271" s="50">
        <v>0.0</v>
      </c>
      <c r="V271" s="50">
        <v>0.0</v>
      </c>
      <c r="W271" s="50">
        <v>0.0</v>
      </c>
      <c r="X271" s="50">
        <v>0.0</v>
      </c>
      <c r="Y271" s="50">
        <v>0.0</v>
      </c>
      <c r="Z271" s="50">
        <v>0.0</v>
      </c>
      <c r="AA271" s="50">
        <v>0.0</v>
      </c>
      <c r="AB271" s="48" t="s">
        <v>2948</v>
      </c>
      <c r="AC271" s="50">
        <v>0.0</v>
      </c>
      <c r="AD271" s="50">
        <v>1.0</v>
      </c>
      <c r="AE271" s="50">
        <v>0.0</v>
      </c>
      <c r="AF271" s="50">
        <v>0.0</v>
      </c>
      <c r="AG271" s="50">
        <v>0.0</v>
      </c>
      <c r="AH271" s="50">
        <v>0.0</v>
      </c>
      <c r="AI271" s="50">
        <v>0.0</v>
      </c>
      <c r="AJ271" s="50">
        <v>0.0</v>
      </c>
      <c r="AK271" s="50">
        <v>0.0</v>
      </c>
      <c r="AL271" s="48"/>
      <c r="AM271" s="48"/>
      <c r="AN271" s="50">
        <v>3.0</v>
      </c>
      <c r="AO271" s="48"/>
      <c r="AP271" s="48"/>
      <c r="AQ271" s="48"/>
      <c r="AR271" s="48"/>
      <c r="AS271" s="48"/>
      <c r="AT271" s="48"/>
      <c r="AU271" s="48"/>
      <c r="AV271" s="48"/>
      <c r="AW271" s="50">
        <v>0.0</v>
      </c>
      <c r="AX271" s="48"/>
      <c r="AY271" s="48"/>
      <c r="AZ271" s="48"/>
      <c r="BA271" s="48"/>
      <c r="BB271" s="48"/>
      <c r="BC271" s="48"/>
      <c r="BD271" s="48"/>
      <c r="BE271" s="48"/>
      <c r="BF271" s="48"/>
      <c r="BG271" s="48"/>
      <c r="BH271" s="50">
        <v>0.0</v>
      </c>
      <c r="BI271" s="50">
        <v>0.0</v>
      </c>
      <c r="BJ271" s="50">
        <v>0.0</v>
      </c>
      <c r="BK271" s="50">
        <v>0.0</v>
      </c>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50">
        <v>7.08211504E8</v>
      </c>
      <c r="CL271" s="48" t="s">
        <v>4070</v>
      </c>
      <c r="CM271" s="47">
        <v>46108.0769212963</v>
      </c>
      <c r="CN271" s="48"/>
      <c r="CO271" s="48"/>
      <c r="CP271" s="48" t="s">
        <v>1954</v>
      </c>
      <c r="CQ271" s="48"/>
      <c r="CR271" s="48" t="s">
        <v>3014</v>
      </c>
      <c r="CS271" s="48"/>
      <c r="CT271" s="48" t="s">
        <v>4071</v>
      </c>
      <c r="CU271" s="50">
        <v>270.0</v>
      </c>
    </row>
    <row r="272">
      <c r="A272" s="47">
        <v>46108.36734893519</v>
      </c>
      <c r="B272" s="47">
        <v>46108.36865092593</v>
      </c>
      <c r="C272" s="48" t="s">
        <v>4072</v>
      </c>
      <c r="D272" s="48" t="s">
        <v>3733</v>
      </c>
      <c r="E272" s="48" t="s">
        <v>4020</v>
      </c>
      <c r="F272" s="48" t="s">
        <v>4039</v>
      </c>
      <c r="G272" s="49" t="s">
        <v>4073</v>
      </c>
      <c r="H272" s="48" t="s">
        <v>2948</v>
      </c>
      <c r="I272" s="50">
        <v>0.0</v>
      </c>
      <c r="J272" s="50">
        <v>1.0</v>
      </c>
      <c r="K272" s="50">
        <v>0.0</v>
      </c>
      <c r="L272" s="50">
        <v>0.0</v>
      </c>
      <c r="M272" s="50">
        <v>0.0</v>
      </c>
      <c r="N272" s="50">
        <v>0.0</v>
      </c>
      <c r="O272" s="50">
        <v>0.0</v>
      </c>
      <c r="P272" s="50">
        <v>0.0</v>
      </c>
      <c r="Q272" s="50">
        <v>0.0</v>
      </c>
      <c r="R272" s="48" t="s">
        <v>2948</v>
      </c>
      <c r="S272" s="50">
        <v>0.0</v>
      </c>
      <c r="T272" s="50">
        <v>1.0</v>
      </c>
      <c r="U272" s="50">
        <v>0.0</v>
      </c>
      <c r="V272" s="50">
        <v>0.0</v>
      </c>
      <c r="W272" s="50">
        <v>0.0</v>
      </c>
      <c r="X272" s="50">
        <v>0.0</v>
      </c>
      <c r="Y272" s="50">
        <v>0.0</v>
      </c>
      <c r="Z272" s="50">
        <v>0.0</v>
      </c>
      <c r="AA272" s="50">
        <v>0.0</v>
      </c>
      <c r="AB272" s="48" t="s">
        <v>2948</v>
      </c>
      <c r="AC272" s="50">
        <v>0.0</v>
      </c>
      <c r="AD272" s="50">
        <v>1.0</v>
      </c>
      <c r="AE272" s="50">
        <v>0.0</v>
      </c>
      <c r="AF272" s="50">
        <v>0.0</v>
      </c>
      <c r="AG272" s="50">
        <v>0.0</v>
      </c>
      <c r="AH272" s="50">
        <v>0.0</v>
      </c>
      <c r="AI272" s="50">
        <v>0.0</v>
      </c>
      <c r="AJ272" s="50">
        <v>0.0</v>
      </c>
      <c r="AK272" s="50">
        <v>0.0</v>
      </c>
      <c r="AL272" s="48"/>
      <c r="AM272" s="48"/>
      <c r="AN272" s="50">
        <v>6.0</v>
      </c>
      <c r="AO272" s="48"/>
      <c r="AP272" s="48"/>
      <c r="AQ272" s="48"/>
      <c r="AR272" s="48"/>
      <c r="AS272" s="48"/>
      <c r="AT272" s="48"/>
      <c r="AU272" s="48"/>
      <c r="AV272" s="48"/>
      <c r="AW272" s="50">
        <v>6.0</v>
      </c>
      <c r="AX272" s="48"/>
      <c r="AY272" s="48"/>
      <c r="AZ272" s="48"/>
      <c r="BA272" s="48"/>
      <c r="BB272" s="48"/>
      <c r="BC272" s="48"/>
      <c r="BD272" s="48"/>
      <c r="BE272" s="48"/>
      <c r="BF272" s="48"/>
      <c r="BG272" s="48"/>
      <c r="BH272" s="50">
        <v>0.0</v>
      </c>
      <c r="BI272" s="50">
        <v>0.0</v>
      </c>
      <c r="BJ272" s="50">
        <v>4.0</v>
      </c>
      <c r="BK272" s="50">
        <v>0.0</v>
      </c>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50">
        <v>7.08211527E8</v>
      </c>
      <c r="CL272" s="48" t="s">
        <v>4074</v>
      </c>
      <c r="CM272" s="47">
        <v>46108.07697916667</v>
      </c>
      <c r="CN272" s="48"/>
      <c r="CO272" s="48"/>
      <c r="CP272" s="48" t="s">
        <v>1954</v>
      </c>
      <c r="CQ272" s="48"/>
      <c r="CR272" s="48" t="s">
        <v>3014</v>
      </c>
      <c r="CS272" s="48"/>
      <c r="CT272" s="48" t="s">
        <v>4075</v>
      </c>
      <c r="CU272" s="50">
        <v>271.0</v>
      </c>
    </row>
    <row r="273">
      <c r="A273" s="47">
        <v>46108.36785180555</v>
      </c>
      <c r="B273" s="47">
        <v>46108.37003988426</v>
      </c>
      <c r="C273" s="48" t="s">
        <v>4076</v>
      </c>
      <c r="D273" s="48" t="s">
        <v>3733</v>
      </c>
      <c r="E273" s="48" t="s">
        <v>4020</v>
      </c>
      <c r="F273" s="48" t="s">
        <v>4068</v>
      </c>
      <c r="G273" s="49" t="s">
        <v>4077</v>
      </c>
      <c r="H273" s="48" t="s">
        <v>2947</v>
      </c>
      <c r="I273" s="50">
        <v>1.0</v>
      </c>
      <c r="J273" s="50">
        <v>0.0</v>
      </c>
      <c r="K273" s="50">
        <v>0.0</v>
      </c>
      <c r="L273" s="50">
        <v>0.0</v>
      </c>
      <c r="M273" s="50">
        <v>0.0</v>
      </c>
      <c r="N273" s="50">
        <v>0.0</v>
      </c>
      <c r="O273" s="50">
        <v>0.0</v>
      </c>
      <c r="P273" s="50">
        <v>0.0</v>
      </c>
      <c r="Q273" s="50">
        <v>0.0</v>
      </c>
      <c r="R273" s="48" t="s">
        <v>2948</v>
      </c>
      <c r="S273" s="50">
        <v>0.0</v>
      </c>
      <c r="T273" s="50">
        <v>1.0</v>
      </c>
      <c r="U273" s="50">
        <v>0.0</v>
      </c>
      <c r="V273" s="50">
        <v>0.0</v>
      </c>
      <c r="W273" s="50">
        <v>0.0</v>
      </c>
      <c r="X273" s="50">
        <v>0.0</v>
      </c>
      <c r="Y273" s="50">
        <v>0.0</v>
      </c>
      <c r="Z273" s="50">
        <v>0.0</v>
      </c>
      <c r="AA273" s="50">
        <v>0.0</v>
      </c>
      <c r="AB273" s="48" t="s">
        <v>2948</v>
      </c>
      <c r="AC273" s="50">
        <v>0.0</v>
      </c>
      <c r="AD273" s="50">
        <v>1.0</v>
      </c>
      <c r="AE273" s="50">
        <v>0.0</v>
      </c>
      <c r="AF273" s="50">
        <v>0.0</v>
      </c>
      <c r="AG273" s="50">
        <v>0.0</v>
      </c>
      <c r="AH273" s="50">
        <v>0.0</v>
      </c>
      <c r="AI273" s="50">
        <v>0.0</v>
      </c>
      <c r="AJ273" s="50">
        <v>0.0</v>
      </c>
      <c r="AK273" s="50">
        <v>0.0</v>
      </c>
      <c r="AL273" s="48"/>
      <c r="AM273" s="50">
        <v>0.0</v>
      </c>
      <c r="AN273" s="48"/>
      <c r="AO273" s="48"/>
      <c r="AP273" s="48"/>
      <c r="AQ273" s="48"/>
      <c r="AR273" s="48"/>
      <c r="AS273" s="48"/>
      <c r="AT273" s="48"/>
      <c r="AU273" s="48"/>
      <c r="AV273" s="48"/>
      <c r="AW273" s="50">
        <v>2.0</v>
      </c>
      <c r="AX273" s="48"/>
      <c r="AY273" s="48"/>
      <c r="AZ273" s="48"/>
      <c r="BA273" s="48"/>
      <c r="BB273" s="48"/>
      <c r="BC273" s="48"/>
      <c r="BD273" s="48"/>
      <c r="BE273" s="48"/>
      <c r="BF273" s="48"/>
      <c r="BG273" s="48"/>
      <c r="BH273" s="50">
        <v>2.0</v>
      </c>
      <c r="BI273" s="50">
        <v>3.0</v>
      </c>
      <c r="BJ273" s="50">
        <v>2.0</v>
      </c>
      <c r="BK273" s="50">
        <v>0.0</v>
      </c>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50">
        <v>7.0821226E8</v>
      </c>
      <c r="CL273" s="48" t="s">
        <v>4078</v>
      </c>
      <c r="CM273" s="47">
        <v>46108.07837962963</v>
      </c>
      <c r="CN273" s="48"/>
      <c r="CO273" s="48"/>
      <c r="CP273" s="48" t="s">
        <v>1954</v>
      </c>
      <c r="CQ273" s="48"/>
      <c r="CR273" s="48" t="s">
        <v>3014</v>
      </c>
      <c r="CS273" s="48"/>
      <c r="CT273" s="48" t="s">
        <v>4079</v>
      </c>
      <c r="CU273" s="50">
        <v>272.0</v>
      </c>
    </row>
    <row r="274">
      <c r="A274" s="47">
        <v>46108.36857112269</v>
      </c>
      <c r="B274" s="47">
        <v>46108.37045640047</v>
      </c>
      <c r="C274" s="48" t="s">
        <v>4080</v>
      </c>
      <c r="D274" s="48" t="s">
        <v>3733</v>
      </c>
      <c r="E274" s="48" t="s">
        <v>4020</v>
      </c>
      <c r="F274" s="48" t="s">
        <v>4039</v>
      </c>
      <c r="G274" s="49" t="s">
        <v>4081</v>
      </c>
      <c r="H274" s="48" t="s">
        <v>2948</v>
      </c>
      <c r="I274" s="50">
        <v>0.0</v>
      </c>
      <c r="J274" s="50">
        <v>1.0</v>
      </c>
      <c r="K274" s="50">
        <v>0.0</v>
      </c>
      <c r="L274" s="50">
        <v>0.0</v>
      </c>
      <c r="M274" s="50">
        <v>0.0</v>
      </c>
      <c r="N274" s="50">
        <v>0.0</v>
      </c>
      <c r="O274" s="50">
        <v>0.0</v>
      </c>
      <c r="P274" s="50">
        <v>0.0</v>
      </c>
      <c r="Q274" s="50">
        <v>0.0</v>
      </c>
      <c r="R274" s="48" t="s">
        <v>2948</v>
      </c>
      <c r="S274" s="50">
        <v>0.0</v>
      </c>
      <c r="T274" s="50">
        <v>1.0</v>
      </c>
      <c r="U274" s="50">
        <v>0.0</v>
      </c>
      <c r="V274" s="50">
        <v>0.0</v>
      </c>
      <c r="W274" s="50">
        <v>0.0</v>
      </c>
      <c r="X274" s="50">
        <v>0.0</v>
      </c>
      <c r="Y274" s="50">
        <v>0.0</v>
      </c>
      <c r="Z274" s="50">
        <v>0.0</v>
      </c>
      <c r="AA274" s="50">
        <v>0.0</v>
      </c>
      <c r="AB274" s="48" t="s">
        <v>2948</v>
      </c>
      <c r="AC274" s="50">
        <v>0.0</v>
      </c>
      <c r="AD274" s="50">
        <v>1.0</v>
      </c>
      <c r="AE274" s="50">
        <v>0.0</v>
      </c>
      <c r="AF274" s="50">
        <v>0.0</v>
      </c>
      <c r="AG274" s="50">
        <v>0.0</v>
      </c>
      <c r="AH274" s="50">
        <v>0.0</v>
      </c>
      <c r="AI274" s="50">
        <v>0.0</v>
      </c>
      <c r="AJ274" s="50">
        <v>0.0</v>
      </c>
      <c r="AK274" s="50">
        <v>0.0</v>
      </c>
      <c r="AL274" s="48"/>
      <c r="AM274" s="48"/>
      <c r="AN274" s="50">
        <v>0.0</v>
      </c>
      <c r="AO274" s="48"/>
      <c r="AP274" s="48"/>
      <c r="AQ274" s="48"/>
      <c r="AR274" s="48"/>
      <c r="AS274" s="48"/>
      <c r="AT274" s="48"/>
      <c r="AU274" s="48"/>
      <c r="AV274" s="48"/>
      <c r="AW274" s="50">
        <v>15.0</v>
      </c>
      <c r="AX274" s="48"/>
      <c r="AY274" s="48"/>
      <c r="AZ274" s="48"/>
      <c r="BA274" s="48"/>
      <c r="BB274" s="48"/>
      <c r="BC274" s="48"/>
      <c r="BD274" s="48"/>
      <c r="BE274" s="48"/>
      <c r="BF274" s="48"/>
      <c r="BG274" s="48"/>
      <c r="BH274" s="50">
        <v>25.0</v>
      </c>
      <c r="BI274" s="50">
        <v>2.0</v>
      </c>
      <c r="BJ274" s="50">
        <v>10.0</v>
      </c>
      <c r="BK274" s="50">
        <v>0.0</v>
      </c>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50">
        <v>7.08212477E8</v>
      </c>
      <c r="CL274" s="48" t="s">
        <v>4082</v>
      </c>
      <c r="CM274" s="47">
        <v>46108.07879629629</v>
      </c>
      <c r="CN274" s="48"/>
      <c r="CO274" s="48"/>
      <c r="CP274" s="48" t="s">
        <v>1954</v>
      </c>
      <c r="CQ274" s="48"/>
      <c r="CR274" s="48" t="s">
        <v>3014</v>
      </c>
      <c r="CS274" s="48"/>
      <c r="CT274" s="48" t="s">
        <v>4083</v>
      </c>
      <c r="CU274" s="50">
        <v>273.0</v>
      </c>
    </row>
    <row r="275">
      <c r="A275" s="47">
        <v>46108.3686512963</v>
      </c>
      <c r="B275" s="47">
        <v>46108.37053980324</v>
      </c>
      <c r="C275" s="48" t="s">
        <v>4084</v>
      </c>
      <c r="D275" s="48" t="s">
        <v>3733</v>
      </c>
      <c r="E275" s="48" t="s">
        <v>4020</v>
      </c>
      <c r="F275" s="48" t="s">
        <v>4039</v>
      </c>
      <c r="G275" s="49" t="s">
        <v>4085</v>
      </c>
      <c r="H275" s="48" t="s">
        <v>2948</v>
      </c>
      <c r="I275" s="50">
        <v>0.0</v>
      </c>
      <c r="J275" s="50">
        <v>1.0</v>
      </c>
      <c r="K275" s="50">
        <v>0.0</v>
      </c>
      <c r="L275" s="50">
        <v>0.0</v>
      </c>
      <c r="M275" s="50">
        <v>0.0</v>
      </c>
      <c r="N275" s="50">
        <v>0.0</v>
      </c>
      <c r="O275" s="50">
        <v>0.0</v>
      </c>
      <c r="P275" s="50">
        <v>0.0</v>
      </c>
      <c r="Q275" s="50">
        <v>0.0</v>
      </c>
      <c r="R275" s="48" t="s">
        <v>2948</v>
      </c>
      <c r="S275" s="50">
        <v>0.0</v>
      </c>
      <c r="T275" s="50">
        <v>1.0</v>
      </c>
      <c r="U275" s="50">
        <v>0.0</v>
      </c>
      <c r="V275" s="50">
        <v>0.0</v>
      </c>
      <c r="W275" s="50">
        <v>0.0</v>
      </c>
      <c r="X275" s="50">
        <v>0.0</v>
      </c>
      <c r="Y275" s="50">
        <v>0.0</v>
      </c>
      <c r="Z275" s="50">
        <v>0.0</v>
      </c>
      <c r="AA275" s="50">
        <v>0.0</v>
      </c>
      <c r="AB275" s="48" t="s">
        <v>2948</v>
      </c>
      <c r="AC275" s="50">
        <v>0.0</v>
      </c>
      <c r="AD275" s="50">
        <v>1.0</v>
      </c>
      <c r="AE275" s="50">
        <v>0.0</v>
      </c>
      <c r="AF275" s="50">
        <v>0.0</v>
      </c>
      <c r="AG275" s="50">
        <v>0.0</v>
      </c>
      <c r="AH275" s="50">
        <v>0.0</v>
      </c>
      <c r="AI275" s="50">
        <v>0.0</v>
      </c>
      <c r="AJ275" s="50">
        <v>0.0</v>
      </c>
      <c r="AK275" s="50">
        <v>0.0</v>
      </c>
      <c r="AL275" s="48"/>
      <c r="AM275" s="48"/>
      <c r="AN275" s="50">
        <v>4.0</v>
      </c>
      <c r="AO275" s="48"/>
      <c r="AP275" s="48"/>
      <c r="AQ275" s="48"/>
      <c r="AR275" s="48"/>
      <c r="AS275" s="48"/>
      <c r="AT275" s="48"/>
      <c r="AU275" s="48"/>
      <c r="AV275" s="48"/>
      <c r="AW275" s="50">
        <v>15.0</v>
      </c>
      <c r="AX275" s="48"/>
      <c r="AY275" s="48"/>
      <c r="AZ275" s="48"/>
      <c r="BA275" s="48"/>
      <c r="BB275" s="48"/>
      <c r="BC275" s="48"/>
      <c r="BD275" s="48"/>
      <c r="BE275" s="48"/>
      <c r="BF275" s="48"/>
      <c r="BG275" s="48"/>
      <c r="BH275" s="50">
        <v>10.0</v>
      </c>
      <c r="BI275" s="50">
        <v>2.0</v>
      </c>
      <c r="BJ275" s="50">
        <v>10.0</v>
      </c>
      <c r="BK275" s="50">
        <v>0.0</v>
      </c>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50">
        <v>7.08212505E8</v>
      </c>
      <c r="CL275" s="48" t="s">
        <v>4086</v>
      </c>
      <c r="CM275" s="47">
        <v>46108.07886574074</v>
      </c>
      <c r="CN275" s="48"/>
      <c r="CO275" s="48"/>
      <c r="CP275" s="48" t="s">
        <v>1954</v>
      </c>
      <c r="CQ275" s="48"/>
      <c r="CR275" s="48" t="s">
        <v>3014</v>
      </c>
      <c r="CS275" s="48"/>
      <c r="CT275" s="48" t="s">
        <v>4087</v>
      </c>
      <c r="CU275" s="50">
        <v>274.0</v>
      </c>
    </row>
    <row r="276">
      <c r="A276" s="47">
        <v>46108.37004047454</v>
      </c>
      <c r="B276" s="47">
        <v>46108.3714127662</v>
      </c>
      <c r="C276" s="48" t="s">
        <v>4088</v>
      </c>
      <c r="D276" s="48" t="s">
        <v>3733</v>
      </c>
      <c r="E276" s="48" t="s">
        <v>4020</v>
      </c>
      <c r="F276" s="48" t="s">
        <v>4021</v>
      </c>
      <c r="G276" s="49" t="s">
        <v>4089</v>
      </c>
      <c r="H276" s="48" t="s">
        <v>2949</v>
      </c>
      <c r="I276" s="50">
        <v>1.0</v>
      </c>
      <c r="J276" s="50">
        <v>1.0</v>
      </c>
      <c r="K276" s="50">
        <v>0.0</v>
      </c>
      <c r="L276" s="50">
        <v>0.0</v>
      </c>
      <c r="M276" s="50">
        <v>0.0</v>
      </c>
      <c r="N276" s="50">
        <v>0.0</v>
      </c>
      <c r="O276" s="50">
        <v>0.0</v>
      </c>
      <c r="P276" s="50">
        <v>0.0</v>
      </c>
      <c r="Q276" s="50">
        <v>0.0</v>
      </c>
      <c r="R276" s="48" t="s">
        <v>2948</v>
      </c>
      <c r="S276" s="50">
        <v>0.0</v>
      </c>
      <c r="T276" s="50">
        <v>1.0</v>
      </c>
      <c r="U276" s="50">
        <v>0.0</v>
      </c>
      <c r="V276" s="50">
        <v>0.0</v>
      </c>
      <c r="W276" s="50">
        <v>0.0</v>
      </c>
      <c r="X276" s="50">
        <v>0.0</v>
      </c>
      <c r="Y276" s="50">
        <v>0.0</v>
      </c>
      <c r="Z276" s="50">
        <v>0.0</v>
      </c>
      <c r="AA276" s="50">
        <v>0.0</v>
      </c>
      <c r="AB276" s="48" t="s">
        <v>2948</v>
      </c>
      <c r="AC276" s="50">
        <v>0.0</v>
      </c>
      <c r="AD276" s="50">
        <v>1.0</v>
      </c>
      <c r="AE276" s="50">
        <v>0.0</v>
      </c>
      <c r="AF276" s="50">
        <v>0.0</v>
      </c>
      <c r="AG276" s="50">
        <v>0.0</v>
      </c>
      <c r="AH276" s="50">
        <v>0.0</v>
      </c>
      <c r="AI276" s="50">
        <v>0.0</v>
      </c>
      <c r="AJ276" s="50">
        <v>0.0</v>
      </c>
      <c r="AK276" s="50">
        <v>0.0</v>
      </c>
      <c r="AL276" s="48"/>
      <c r="AM276" s="50">
        <v>1.0</v>
      </c>
      <c r="AN276" s="50">
        <v>11.0</v>
      </c>
      <c r="AO276" s="48"/>
      <c r="AP276" s="48"/>
      <c r="AQ276" s="48"/>
      <c r="AR276" s="48"/>
      <c r="AS276" s="48"/>
      <c r="AT276" s="48"/>
      <c r="AU276" s="48"/>
      <c r="AV276" s="48"/>
      <c r="AW276" s="50">
        <v>4.0</v>
      </c>
      <c r="AX276" s="48"/>
      <c r="AY276" s="48"/>
      <c r="AZ276" s="48"/>
      <c r="BA276" s="48"/>
      <c r="BB276" s="48"/>
      <c r="BC276" s="48"/>
      <c r="BD276" s="48"/>
      <c r="BE276" s="48"/>
      <c r="BF276" s="48"/>
      <c r="BG276" s="48"/>
      <c r="BH276" s="50">
        <v>2.0</v>
      </c>
      <c r="BI276" s="50">
        <v>3.0</v>
      </c>
      <c r="BJ276" s="50">
        <v>10.0</v>
      </c>
      <c r="BK276" s="50">
        <v>0.0</v>
      </c>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50">
        <v>7.0821307E8</v>
      </c>
      <c r="CL276" s="48" t="s">
        <v>4090</v>
      </c>
      <c r="CM276" s="47">
        <v>46108.07975694445</v>
      </c>
      <c r="CN276" s="48"/>
      <c r="CO276" s="48"/>
      <c r="CP276" s="48" t="s">
        <v>1954</v>
      </c>
      <c r="CQ276" s="48"/>
      <c r="CR276" s="48" t="s">
        <v>3014</v>
      </c>
      <c r="CS276" s="48"/>
      <c r="CT276" s="48" t="s">
        <v>4091</v>
      </c>
      <c r="CU276" s="50">
        <v>275.0</v>
      </c>
    </row>
    <row r="277">
      <c r="A277" s="47">
        <v>46108.37054015046</v>
      </c>
      <c r="B277" s="47">
        <v>46108.37161630787</v>
      </c>
      <c r="C277" s="48" t="s">
        <v>4092</v>
      </c>
      <c r="D277" s="48" t="s">
        <v>3733</v>
      </c>
      <c r="E277" s="48" t="s">
        <v>4020</v>
      </c>
      <c r="F277" s="48" t="s">
        <v>4039</v>
      </c>
      <c r="G277" s="49" t="s">
        <v>4093</v>
      </c>
      <c r="H277" s="48" t="s">
        <v>2948</v>
      </c>
      <c r="I277" s="50">
        <v>0.0</v>
      </c>
      <c r="J277" s="50">
        <v>1.0</v>
      </c>
      <c r="K277" s="50">
        <v>0.0</v>
      </c>
      <c r="L277" s="50">
        <v>0.0</v>
      </c>
      <c r="M277" s="50">
        <v>0.0</v>
      </c>
      <c r="N277" s="50">
        <v>0.0</v>
      </c>
      <c r="O277" s="50">
        <v>0.0</v>
      </c>
      <c r="P277" s="50">
        <v>0.0</v>
      </c>
      <c r="Q277" s="50">
        <v>0.0</v>
      </c>
      <c r="R277" s="48" t="s">
        <v>2948</v>
      </c>
      <c r="S277" s="50">
        <v>0.0</v>
      </c>
      <c r="T277" s="50">
        <v>1.0</v>
      </c>
      <c r="U277" s="50">
        <v>0.0</v>
      </c>
      <c r="V277" s="50">
        <v>0.0</v>
      </c>
      <c r="W277" s="50">
        <v>0.0</v>
      </c>
      <c r="X277" s="50">
        <v>0.0</v>
      </c>
      <c r="Y277" s="50">
        <v>0.0</v>
      </c>
      <c r="Z277" s="50">
        <v>0.0</v>
      </c>
      <c r="AA277" s="50">
        <v>0.0</v>
      </c>
      <c r="AB277" s="48" t="s">
        <v>2948</v>
      </c>
      <c r="AC277" s="50">
        <v>0.0</v>
      </c>
      <c r="AD277" s="50">
        <v>1.0</v>
      </c>
      <c r="AE277" s="50">
        <v>0.0</v>
      </c>
      <c r="AF277" s="50">
        <v>0.0</v>
      </c>
      <c r="AG277" s="50">
        <v>0.0</v>
      </c>
      <c r="AH277" s="50">
        <v>0.0</v>
      </c>
      <c r="AI277" s="50">
        <v>0.0</v>
      </c>
      <c r="AJ277" s="50">
        <v>0.0</v>
      </c>
      <c r="AK277" s="50">
        <v>0.0</v>
      </c>
      <c r="AL277" s="48"/>
      <c r="AM277" s="48"/>
      <c r="AN277" s="50">
        <v>6.0</v>
      </c>
      <c r="AO277" s="48"/>
      <c r="AP277" s="48"/>
      <c r="AQ277" s="48"/>
      <c r="AR277" s="48"/>
      <c r="AS277" s="48"/>
      <c r="AT277" s="48"/>
      <c r="AU277" s="48"/>
      <c r="AV277" s="48"/>
      <c r="AW277" s="50">
        <v>10.0</v>
      </c>
      <c r="AX277" s="48"/>
      <c r="AY277" s="48"/>
      <c r="AZ277" s="48"/>
      <c r="BA277" s="48"/>
      <c r="BB277" s="48"/>
      <c r="BC277" s="48"/>
      <c r="BD277" s="48"/>
      <c r="BE277" s="48"/>
      <c r="BF277" s="48"/>
      <c r="BG277" s="48"/>
      <c r="BH277" s="50">
        <v>9.0</v>
      </c>
      <c r="BI277" s="50">
        <v>2.0</v>
      </c>
      <c r="BJ277" s="50">
        <v>4.0</v>
      </c>
      <c r="BK277" s="50">
        <v>0.0</v>
      </c>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50">
        <v>7.08213157E8</v>
      </c>
      <c r="CL277" s="48" t="s">
        <v>4094</v>
      </c>
      <c r="CM277" s="47">
        <v>46108.07994212963</v>
      </c>
      <c r="CN277" s="48"/>
      <c r="CO277" s="48"/>
      <c r="CP277" s="48" t="s">
        <v>1954</v>
      </c>
      <c r="CQ277" s="48"/>
      <c r="CR277" s="48" t="s">
        <v>3014</v>
      </c>
      <c r="CS277" s="48"/>
      <c r="CT277" s="48" t="s">
        <v>4095</v>
      </c>
      <c r="CU277" s="50">
        <v>276.0</v>
      </c>
    </row>
    <row r="278">
      <c r="A278" s="47">
        <v>46108.37141342593</v>
      </c>
      <c r="B278" s="47">
        <v>46108.37253101852</v>
      </c>
      <c r="C278" s="48" t="s">
        <v>4096</v>
      </c>
      <c r="D278" s="48" t="s">
        <v>3733</v>
      </c>
      <c r="E278" s="48" t="s">
        <v>4020</v>
      </c>
      <c r="F278" s="48" t="s">
        <v>4068</v>
      </c>
      <c r="G278" s="49" t="s">
        <v>4097</v>
      </c>
      <c r="H278" s="48" t="s">
        <v>2948</v>
      </c>
      <c r="I278" s="50">
        <v>0.0</v>
      </c>
      <c r="J278" s="50">
        <v>1.0</v>
      </c>
      <c r="K278" s="50">
        <v>0.0</v>
      </c>
      <c r="L278" s="50">
        <v>0.0</v>
      </c>
      <c r="M278" s="50">
        <v>0.0</v>
      </c>
      <c r="N278" s="50">
        <v>0.0</v>
      </c>
      <c r="O278" s="50">
        <v>0.0</v>
      </c>
      <c r="P278" s="50">
        <v>0.0</v>
      </c>
      <c r="Q278" s="50">
        <v>0.0</v>
      </c>
      <c r="R278" s="48" t="s">
        <v>2948</v>
      </c>
      <c r="S278" s="50">
        <v>0.0</v>
      </c>
      <c r="T278" s="50">
        <v>1.0</v>
      </c>
      <c r="U278" s="50">
        <v>0.0</v>
      </c>
      <c r="V278" s="50">
        <v>0.0</v>
      </c>
      <c r="W278" s="50">
        <v>0.0</v>
      </c>
      <c r="X278" s="50">
        <v>0.0</v>
      </c>
      <c r="Y278" s="50">
        <v>0.0</v>
      </c>
      <c r="Z278" s="50">
        <v>0.0</v>
      </c>
      <c r="AA278" s="50">
        <v>0.0</v>
      </c>
      <c r="AB278" s="48" t="s">
        <v>2948</v>
      </c>
      <c r="AC278" s="50">
        <v>0.0</v>
      </c>
      <c r="AD278" s="50">
        <v>1.0</v>
      </c>
      <c r="AE278" s="50">
        <v>0.0</v>
      </c>
      <c r="AF278" s="50">
        <v>0.0</v>
      </c>
      <c r="AG278" s="50">
        <v>0.0</v>
      </c>
      <c r="AH278" s="50">
        <v>0.0</v>
      </c>
      <c r="AI278" s="50">
        <v>0.0</v>
      </c>
      <c r="AJ278" s="50">
        <v>0.0</v>
      </c>
      <c r="AK278" s="50">
        <v>0.0</v>
      </c>
      <c r="AL278" s="48"/>
      <c r="AM278" s="48"/>
      <c r="AN278" s="50">
        <v>11.0</v>
      </c>
      <c r="AO278" s="48"/>
      <c r="AP278" s="48"/>
      <c r="AQ278" s="48"/>
      <c r="AR278" s="48"/>
      <c r="AS278" s="48"/>
      <c r="AT278" s="48"/>
      <c r="AU278" s="48"/>
      <c r="AV278" s="48"/>
      <c r="AW278" s="50">
        <v>5.0</v>
      </c>
      <c r="AX278" s="48"/>
      <c r="AY278" s="48"/>
      <c r="AZ278" s="48"/>
      <c r="BA278" s="48"/>
      <c r="BB278" s="48"/>
      <c r="BC278" s="48"/>
      <c r="BD278" s="48"/>
      <c r="BE278" s="48"/>
      <c r="BF278" s="48"/>
      <c r="BG278" s="48"/>
      <c r="BH278" s="50">
        <v>2.0</v>
      </c>
      <c r="BI278" s="50">
        <v>3.0</v>
      </c>
      <c r="BJ278" s="50">
        <v>4.0</v>
      </c>
      <c r="BK278" s="50">
        <v>0.0</v>
      </c>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50">
        <v>7.082137E8</v>
      </c>
      <c r="CL278" s="48" t="s">
        <v>4098</v>
      </c>
      <c r="CM278" s="47">
        <v>46108.08087962963</v>
      </c>
      <c r="CN278" s="48"/>
      <c r="CO278" s="48"/>
      <c r="CP278" s="48" t="s">
        <v>1954</v>
      </c>
      <c r="CQ278" s="48"/>
      <c r="CR278" s="48" t="s">
        <v>3014</v>
      </c>
      <c r="CS278" s="48"/>
      <c r="CT278" s="48" t="s">
        <v>4099</v>
      </c>
      <c r="CU278" s="50">
        <v>277.0</v>
      </c>
    </row>
    <row r="279">
      <c r="A279" s="47">
        <v>46108.37045700232</v>
      </c>
      <c r="B279" s="47">
        <v>46108.37258425926</v>
      </c>
      <c r="C279" s="48" t="s">
        <v>4100</v>
      </c>
      <c r="D279" s="48" t="s">
        <v>3733</v>
      </c>
      <c r="E279" s="48" t="s">
        <v>4020</v>
      </c>
      <c r="F279" s="48" t="s">
        <v>4039</v>
      </c>
      <c r="G279" s="49" t="s">
        <v>4101</v>
      </c>
      <c r="H279" s="48" t="s">
        <v>2948</v>
      </c>
      <c r="I279" s="50">
        <v>0.0</v>
      </c>
      <c r="J279" s="50">
        <v>1.0</v>
      </c>
      <c r="K279" s="50">
        <v>0.0</v>
      </c>
      <c r="L279" s="50">
        <v>0.0</v>
      </c>
      <c r="M279" s="50">
        <v>0.0</v>
      </c>
      <c r="N279" s="50">
        <v>0.0</v>
      </c>
      <c r="O279" s="50">
        <v>0.0</v>
      </c>
      <c r="P279" s="50">
        <v>0.0</v>
      </c>
      <c r="Q279" s="50">
        <v>0.0</v>
      </c>
      <c r="R279" s="48" t="s">
        <v>2948</v>
      </c>
      <c r="S279" s="50">
        <v>0.0</v>
      </c>
      <c r="T279" s="50">
        <v>1.0</v>
      </c>
      <c r="U279" s="50">
        <v>0.0</v>
      </c>
      <c r="V279" s="50">
        <v>0.0</v>
      </c>
      <c r="W279" s="50">
        <v>0.0</v>
      </c>
      <c r="X279" s="50">
        <v>0.0</v>
      </c>
      <c r="Y279" s="50">
        <v>0.0</v>
      </c>
      <c r="Z279" s="50">
        <v>0.0</v>
      </c>
      <c r="AA279" s="50">
        <v>0.0</v>
      </c>
      <c r="AB279" s="48" t="s">
        <v>2948</v>
      </c>
      <c r="AC279" s="50">
        <v>0.0</v>
      </c>
      <c r="AD279" s="50">
        <v>1.0</v>
      </c>
      <c r="AE279" s="50">
        <v>0.0</v>
      </c>
      <c r="AF279" s="50">
        <v>0.0</v>
      </c>
      <c r="AG279" s="50">
        <v>0.0</v>
      </c>
      <c r="AH279" s="50">
        <v>0.0</v>
      </c>
      <c r="AI279" s="50">
        <v>0.0</v>
      </c>
      <c r="AJ279" s="50">
        <v>0.0</v>
      </c>
      <c r="AK279" s="50">
        <v>0.0</v>
      </c>
      <c r="AL279" s="48"/>
      <c r="AM279" s="48"/>
      <c r="AN279" s="50">
        <v>11.0</v>
      </c>
      <c r="AO279" s="48"/>
      <c r="AP279" s="48"/>
      <c r="AQ279" s="48"/>
      <c r="AR279" s="48"/>
      <c r="AS279" s="48"/>
      <c r="AT279" s="48"/>
      <c r="AU279" s="48"/>
      <c r="AV279" s="48"/>
      <c r="AW279" s="50">
        <v>8.0</v>
      </c>
      <c r="AX279" s="48"/>
      <c r="AY279" s="48"/>
      <c r="AZ279" s="48"/>
      <c r="BA279" s="48"/>
      <c r="BB279" s="48"/>
      <c r="BC279" s="48"/>
      <c r="BD279" s="48"/>
      <c r="BE279" s="48"/>
      <c r="BF279" s="48"/>
      <c r="BG279" s="48"/>
      <c r="BH279" s="50">
        <v>3.0</v>
      </c>
      <c r="BI279" s="50">
        <v>2.0</v>
      </c>
      <c r="BJ279" s="50">
        <v>8.0</v>
      </c>
      <c r="BK279" s="50">
        <v>0.0</v>
      </c>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50">
        <v>7.08213778E8</v>
      </c>
      <c r="CL279" s="48" t="s">
        <v>4102</v>
      </c>
      <c r="CM279" s="47">
        <v>46108.08099537037</v>
      </c>
      <c r="CN279" s="48"/>
      <c r="CO279" s="48"/>
      <c r="CP279" s="48" t="s">
        <v>1954</v>
      </c>
      <c r="CQ279" s="48"/>
      <c r="CR279" s="48" t="s">
        <v>3014</v>
      </c>
      <c r="CS279" s="48"/>
      <c r="CT279" s="48" t="s">
        <v>4103</v>
      </c>
      <c r="CU279" s="50">
        <v>278.0</v>
      </c>
    </row>
    <row r="280">
      <c r="A280" s="47">
        <v>46108.37161684028</v>
      </c>
      <c r="B280" s="47">
        <v>46108.37279699074</v>
      </c>
      <c r="C280" s="48" t="s">
        <v>4104</v>
      </c>
      <c r="D280" s="48" t="s">
        <v>3733</v>
      </c>
      <c r="E280" s="48" t="s">
        <v>4020</v>
      </c>
      <c r="F280" s="48" t="s">
        <v>4039</v>
      </c>
      <c r="G280" s="49" t="s">
        <v>4105</v>
      </c>
      <c r="H280" s="48" t="s">
        <v>2948</v>
      </c>
      <c r="I280" s="50">
        <v>0.0</v>
      </c>
      <c r="J280" s="50">
        <v>1.0</v>
      </c>
      <c r="K280" s="50">
        <v>0.0</v>
      </c>
      <c r="L280" s="50">
        <v>0.0</v>
      </c>
      <c r="M280" s="50">
        <v>0.0</v>
      </c>
      <c r="N280" s="50">
        <v>0.0</v>
      </c>
      <c r="O280" s="50">
        <v>0.0</v>
      </c>
      <c r="P280" s="50">
        <v>0.0</v>
      </c>
      <c r="Q280" s="50">
        <v>0.0</v>
      </c>
      <c r="R280" s="48" t="s">
        <v>2948</v>
      </c>
      <c r="S280" s="50">
        <v>0.0</v>
      </c>
      <c r="T280" s="50">
        <v>1.0</v>
      </c>
      <c r="U280" s="50">
        <v>0.0</v>
      </c>
      <c r="V280" s="50">
        <v>0.0</v>
      </c>
      <c r="W280" s="50">
        <v>0.0</v>
      </c>
      <c r="X280" s="50">
        <v>0.0</v>
      </c>
      <c r="Y280" s="50">
        <v>0.0</v>
      </c>
      <c r="Z280" s="50">
        <v>0.0</v>
      </c>
      <c r="AA280" s="50">
        <v>0.0</v>
      </c>
      <c r="AB280" s="48" t="s">
        <v>2948</v>
      </c>
      <c r="AC280" s="50">
        <v>0.0</v>
      </c>
      <c r="AD280" s="50">
        <v>1.0</v>
      </c>
      <c r="AE280" s="50">
        <v>0.0</v>
      </c>
      <c r="AF280" s="50">
        <v>0.0</v>
      </c>
      <c r="AG280" s="50">
        <v>0.0</v>
      </c>
      <c r="AH280" s="50">
        <v>0.0</v>
      </c>
      <c r="AI280" s="50">
        <v>0.0</v>
      </c>
      <c r="AJ280" s="50">
        <v>0.0</v>
      </c>
      <c r="AK280" s="50">
        <v>0.0</v>
      </c>
      <c r="AL280" s="48"/>
      <c r="AM280" s="48"/>
      <c r="AN280" s="50">
        <v>4.0</v>
      </c>
      <c r="AO280" s="48"/>
      <c r="AP280" s="48"/>
      <c r="AQ280" s="48"/>
      <c r="AR280" s="48"/>
      <c r="AS280" s="48"/>
      <c r="AT280" s="48"/>
      <c r="AU280" s="48"/>
      <c r="AV280" s="48"/>
      <c r="AW280" s="50">
        <v>10.0</v>
      </c>
      <c r="AX280" s="48"/>
      <c r="AY280" s="48"/>
      <c r="AZ280" s="48"/>
      <c r="BA280" s="48"/>
      <c r="BB280" s="48"/>
      <c r="BC280" s="48"/>
      <c r="BD280" s="48"/>
      <c r="BE280" s="48"/>
      <c r="BF280" s="48"/>
      <c r="BG280" s="48"/>
      <c r="BH280" s="50">
        <v>6.0</v>
      </c>
      <c r="BI280" s="50">
        <v>2.0</v>
      </c>
      <c r="BJ280" s="50">
        <v>3.0</v>
      </c>
      <c r="BK280" s="50">
        <v>0.0</v>
      </c>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50">
        <v>7.08213856E8</v>
      </c>
      <c r="CL280" s="48" t="s">
        <v>4106</v>
      </c>
      <c r="CM280" s="47">
        <v>46108.08112268519</v>
      </c>
      <c r="CN280" s="48"/>
      <c r="CO280" s="48"/>
      <c r="CP280" s="48" t="s">
        <v>1954</v>
      </c>
      <c r="CQ280" s="48"/>
      <c r="CR280" s="48" t="s">
        <v>3014</v>
      </c>
      <c r="CS280" s="48"/>
      <c r="CT280" s="48" t="s">
        <v>4107</v>
      </c>
      <c r="CU280" s="50">
        <v>279.0</v>
      </c>
    </row>
    <row r="281">
      <c r="A281" s="47">
        <v>46108.37258480324</v>
      </c>
      <c r="B281" s="47">
        <v>46108.37396731482</v>
      </c>
      <c r="C281" s="48" t="s">
        <v>4108</v>
      </c>
      <c r="D281" s="48" t="s">
        <v>3733</v>
      </c>
      <c r="E281" s="48" t="s">
        <v>4020</v>
      </c>
      <c r="F281" s="48" t="s">
        <v>4039</v>
      </c>
      <c r="G281" s="49" t="s">
        <v>4109</v>
      </c>
      <c r="H281" s="48" t="s">
        <v>2948</v>
      </c>
      <c r="I281" s="50">
        <v>0.0</v>
      </c>
      <c r="J281" s="50">
        <v>1.0</v>
      </c>
      <c r="K281" s="50">
        <v>0.0</v>
      </c>
      <c r="L281" s="50">
        <v>0.0</v>
      </c>
      <c r="M281" s="50">
        <v>0.0</v>
      </c>
      <c r="N281" s="50">
        <v>0.0</v>
      </c>
      <c r="O281" s="50">
        <v>0.0</v>
      </c>
      <c r="P281" s="50">
        <v>0.0</v>
      </c>
      <c r="Q281" s="50">
        <v>0.0</v>
      </c>
      <c r="R281" s="48" t="s">
        <v>2948</v>
      </c>
      <c r="S281" s="50">
        <v>0.0</v>
      </c>
      <c r="T281" s="50">
        <v>1.0</v>
      </c>
      <c r="U281" s="50">
        <v>0.0</v>
      </c>
      <c r="V281" s="50">
        <v>0.0</v>
      </c>
      <c r="W281" s="50">
        <v>0.0</v>
      </c>
      <c r="X281" s="50">
        <v>0.0</v>
      </c>
      <c r="Y281" s="50">
        <v>0.0</v>
      </c>
      <c r="Z281" s="50">
        <v>0.0</v>
      </c>
      <c r="AA281" s="50">
        <v>0.0</v>
      </c>
      <c r="AB281" s="48" t="s">
        <v>2948</v>
      </c>
      <c r="AC281" s="50">
        <v>0.0</v>
      </c>
      <c r="AD281" s="50">
        <v>1.0</v>
      </c>
      <c r="AE281" s="50">
        <v>0.0</v>
      </c>
      <c r="AF281" s="50">
        <v>0.0</v>
      </c>
      <c r="AG281" s="50">
        <v>0.0</v>
      </c>
      <c r="AH281" s="50">
        <v>0.0</v>
      </c>
      <c r="AI281" s="50">
        <v>0.0</v>
      </c>
      <c r="AJ281" s="50">
        <v>0.0</v>
      </c>
      <c r="AK281" s="50">
        <v>0.0</v>
      </c>
      <c r="AL281" s="48"/>
      <c r="AM281" s="48"/>
      <c r="AN281" s="50">
        <v>8.0</v>
      </c>
      <c r="AO281" s="48"/>
      <c r="AP281" s="48"/>
      <c r="AQ281" s="48"/>
      <c r="AR281" s="48"/>
      <c r="AS281" s="48"/>
      <c r="AT281" s="48"/>
      <c r="AU281" s="48"/>
      <c r="AV281" s="48"/>
      <c r="AW281" s="50">
        <v>10.0</v>
      </c>
      <c r="AX281" s="48"/>
      <c r="AY281" s="48"/>
      <c r="AZ281" s="48"/>
      <c r="BA281" s="48"/>
      <c r="BB281" s="48"/>
      <c r="BC281" s="48"/>
      <c r="BD281" s="48"/>
      <c r="BE281" s="48"/>
      <c r="BF281" s="48"/>
      <c r="BG281" s="48"/>
      <c r="BH281" s="50">
        <v>15.0</v>
      </c>
      <c r="BI281" s="50">
        <v>2.0</v>
      </c>
      <c r="BJ281" s="50">
        <v>5.0</v>
      </c>
      <c r="BK281" s="50">
        <v>0.0</v>
      </c>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50">
        <v>7.08214513E8</v>
      </c>
      <c r="CL281" s="48" t="s">
        <v>4110</v>
      </c>
      <c r="CM281" s="47">
        <v>46108.08234953704</v>
      </c>
      <c r="CN281" s="48"/>
      <c r="CO281" s="48"/>
      <c r="CP281" s="48" t="s">
        <v>1954</v>
      </c>
      <c r="CQ281" s="48"/>
      <c r="CR281" s="48" t="s">
        <v>3014</v>
      </c>
      <c r="CS281" s="48"/>
      <c r="CT281" s="48" t="s">
        <v>4111</v>
      </c>
      <c r="CU281" s="50">
        <v>280.0</v>
      </c>
    </row>
    <row r="282">
      <c r="A282" s="47">
        <v>46108.37279737269</v>
      </c>
      <c r="B282" s="47">
        <v>46108.37404879629</v>
      </c>
      <c r="C282" s="48" t="s">
        <v>4112</v>
      </c>
      <c r="D282" s="48" t="s">
        <v>3733</v>
      </c>
      <c r="E282" s="48" t="s">
        <v>4020</v>
      </c>
      <c r="F282" s="48" t="s">
        <v>4039</v>
      </c>
      <c r="G282" s="49" t="s">
        <v>4113</v>
      </c>
      <c r="H282" s="48" t="s">
        <v>2948</v>
      </c>
      <c r="I282" s="50">
        <v>0.0</v>
      </c>
      <c r="J282" s="50">
        <v>1.0</v>
      </c>
      <c r="K282" s="50">
        <v>0.0</v>
      </c>
      <c r="L282" s="50">
        <v>0.0</v>
      </c>
      <c r="M282" s="50">
        <v>0.0</v>
      </c>
      <c r="N282" s="50">
        <v>0.0</v>
      </c>
      <c r="O282" s="50">
        <v>0.0</v>
      </c>
      <c r="P282" s="50">
        <v>0.0</v>
      </c>
      <c r="Q282" s="50">
        <v>0.0</v>
      </c>
      <c r="R282" s="48" t="s">
        <v>2948</v>
      </c>
      <c r="S282" s="50">
        <v>0.0</v>
      </c>
      <c r="T282" s="50">
        <v>1.0</v>
      </c>
      <c r="U282" s="50">
        <v>0.0</v>
      </c>
      <c r="V282" s="50">
        <v>0.0</v>
      </c>
      <c r="W282" s="50">
        <v>0.0</v>
      </c>
      <c r="X282" s="50">
        <v>0.0</v>
      </c>
      <c r="Y282" s="50">
        <v>0.0</v>
      </c>
      <c r="Z282" s="50">
        <v>0.0</v>
      </c>
      <c r="AA282" s="50">
        <v>0.0</v>
      </c>
      <c r="AB282" s="48" t="s">
        <v>2948</v>
      </c>
      <c r="AC282" s="50">
        <v>0.0</v>
      </c>
      <c r="AD282" s="50">
        <v>1.0</v>
      </c>
      <c r="AE282" s="50">
        <v>0.0</v>
      </c>
      <c r="AF282" s="50">
        <v>0.0</v>
      </c>
      <c r="AG282" s="50">
        <v>0.0</v>
      </c>
      <c r="AH282" s="50">
        <v>0.0</v>
      </c>
      <c r="AI282" s="50">
        <v>0.0</v>
      </c>
      <c r="AJ282" s="50">
        <v>0.0</v>
      </c>
      <c r="AK282" s="50">
        <v>0.0</v>
      </c>
      <c r="AL282" s="48"/>
      <c r="AM282" s="48"/>
      <c r="AN282" s="50">
        <v>15.0</v>
      </c>
      <c r="AO282" s="48"/>
      <c r="AP282" s="48"/>
      <c r="AQ282" s="48"/>
      <c r="AR282" s="48"/>
      <c r="AS282" s="48"/>
      <c r="AT282" s="48"/>
      <c r="AU282" s="48"/>
      <c r="AV282" s="48"/>
      <c r="AW282" s="50">
        <v>15.0</v>
      </c>
      <c r="AX282" s="48"/>
      <c r="AY282" s="48"/>
      <c r="AZ282" s="48"/>
      <c r="BA282" s="48"/>
      <c r="BB282" s="48"/>
      <c r="BC282" s="48"/>
      <c r="BD282" s="48"/>
      <c r="BE282" s="48"/>
      <c r="BF282" s="48"/>
      <c r="BG282" s="48"/>
      <c r="BH282" s="50">
        <v>20.0</v>
      </c>
      <c r="BI282" s="50">
        <v>5.0</v>
      </c>
      <c r="BJ282" s="50">
        <v>20.0</v>
      </c>
      <c r="BK282" s="50">
        <v>0.0</v>
      </c>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50">
        <v>7.08214525E8</v>
      </c>
      <c r="CL282" s="48" t="s">
        <v>4114</v>
      </c>
      <c r="CM282" s="47">
        <v>46108.08237268519</v>
      </c>
      <c r="CN282" s="48"/>
      <c r="CO282" s="48"/>
      <c r="CP282" s="48" t="s">
        <v>1954</v>
      </c>
      <c r="CQ282" s="48"/>
      <c r="CR282" s="48" t="s">
        <v>3014</v>
      </c>
      <c r="CS282" s="48"/>
      <c r="CT282" s="48" t="s">
        <v>4115</v>
      </c>
      <c r="CU282" s="50">
        <v>281.0</v>
      </c>
    </row>
    <row r="283">
      <c r="A283" s="47">
        <v>46108.37404915509</v>
      </c>
      <c r="B283" s="47">
        <v>46108.37487878472</v>
      </c>
      <c r="C283" s="48" t="s">
        <v>4116</v>
      </c>
      <c r="D283" s="48" t="s">
        <v>3733</v>
      </c>
      <c r="E283" s="48" t="s">
        <v>4020</v>
      </c>
      <c r="F283" s="48" t="s">
        <v>4039</v>
      </c>
      <c r="G283" s="49" t="s">
        <v>4117</v>
      </c>
      <c r="H283" s="48" t="s">
        <v>2948</v>
      </c>
      <c r="I283" s="50">
        <v>0.0</v>
      </c>
      <c r="J283" s="50">
        <v>1.0</v>
      </c>
      <c r="K283" s="50">
        <v>0.0</v>
      </c>
      <c r="L283" s="50">
        <v>0.0</v>
      </c>
      <c r="M283" s="50">
        <v>0.0</v>
      </c>
      <c r="N283" s="50">
        <v>0.0</v>
      </c>
      <c r="O283" s="50">
        <v>0.0</v>
      </c>
      <c r="P283" s="50">
        <v>0.0</v>
      </c>
      <c r="Q283" s="50">
        <v>0.0</v>
      </c>
      <c r="R283" s="48" t="s">
        <v>2948</v>
      </c>
      <c r="S283" s="50">
        <v>0.0</v>
      </c>
      <c r="T283" s="50">
        <v>1.0</v>
      </c>
      <c r="U283" s="50">
        <v>0.0</v>
      </c>
      <c r="V283" s="50">
        <v>0.0</v>
      </c>
      <c r="W283" s="50">
        <v>0.0</v>
      </c>
      <c r="X283" s="50">
        <v>0.0</v>
      </c>
      <c r="Y283" s="50">
        <v>0.0</v>
      </c>
      <c r="Z283" s="50">
        <v>0.0</v>
      </c>
      <c r="AA283" s="50">
        <v>0.0</v>
      </c>
      <c r="AB283" s="48" t="s">
        <v>2948</v>
      </c>
      <c r="AC283" s="50">
        <v>0.0</v>
      </c>
      <c r="AD283" s="50">
        <v>1.0</v>
      </c>
      <c r="AE283" s="50">
        <v>0.0</v>
      </c>
      <c r="AF283" s="50">
        <v>0.0</v>
      </c>
      <c r="AG283" s="50">
        <v>0.0</v>
      </c>
      <c r="AH283" s="50">
        <v>0.0</v>
      </c>
      <c r="AI283" s="50">
        <v>0.0</v>
      </c>
      <c r="AJ283" s="50">
        <v>0.0</v>
      </c>
      <c r="AK283" s="50">
        <v>0.0</v>
      </c>
      <c r="AL283" s="48"/>
      <c r="AM283" s="48"/>
      <c r="AN283" s="50">
        <v>6.0</v>
      </c>
      <c r="AO283" s="48"/>
      <c r="AP283" s="48"/>
      <c r="AQ283" s="48"/>
      <c r="AR283" s="48"/>
      <c r="AS283" s="48"/>
      <c r="AT283" s="48"/>
      <c r="AU283" s="48"/>
      <c r="AV283" s="48"/>
      <c r="AW283" s="50">
        <v>10.0</v>
      </c>
      <c r="AX283" s="48"/>
      <c r="AY283" s="48"/>
      <c r="AZ283" s="48"/>
      <c r="BA283" s="48"/>
      <c r="BB283" s="48"/>
      <c r="BC283" s="48"/>
      <c r="BD283" s="48"/>
      <c r="BE283" s="48"/>
      <c r="BF283" s="48"/>
      <c r="BG283" s="48"/>
      <c r="BH283" s="50">
        <v>12.0</v>
      </c>
      <c r="BI283" s="50">
        <v>4.0</v>
      </c>
      <c r="BJ283" s="50">
        <v>5.0</v>
      </c>
      <c r="BK283" s="50">
        <v>0.0</v>
      </c>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50">
        <v>7.08214947E8</v>
      </c>
      <c r="CL283" s="48" t="s">
        <v>4118</v>
      </c>
      <c r="CM283" s="47">
        <v>46108.08320601852</v>
      </c>
      <c r="CN283" s="48"/>
      <c r="CO283" s="48"/>
      <c r="CP283" s="48" t="s">
        <v>1954</v>
      </c>
      <c r="CQ283" s="48"/>
      <c r="CR283" s="48" t="s">
        <v>3014</v>
      </c>
      <c r="CS283" s="48"/>
      <c r="CT283" s="48" t="s">
        <v>4119</v>
      </c>
      <c r="CU283" s="50">
        <v>282.0</v>
      </c>
    </row>
    <row r="284">
      <c r="A284" s="47">
        <v>46108.37396783565</v>
      </c>
      <c r="B284" s="47">
        <v>46108.37513204861</v>
      </c>
      <c r="C284" s="48" t="s">
        <v>4120</v>
      </c>
      <c r="D284" s="48" t="s">
        <v>3733</v>
      </c>
      <c r="E284" s="48" t="s">
        <v>4020</v>
      </c>
      <c r="F284" s="48" t="s">
        <v>4039</v>
      </c>
      <c r="G284" s="49" t="s">
        <v>4121</v>
      </c>
      <c r="H284" s="48" t="s">
        <v>2948</v>
      </c>
      <c r="I284" s="50">
        <v>0.0</v>
      </c>
      <c r="J284" s="50">
        <v>1.0</v>
      </c>
      <c r="K284" s="50">
        <v>0.0</v>
      </c>
      <c r="L284" s="50">
        <v>0.0</v>
      </c>
      <c r="M284" s="50">
        <v>0.0</v>
      </c>
      <c r="N284" s="50">
        <v>0.0</v>
      </c>
      <c r="O284" s="50">
        <v>0.0</v>
      </c>
      <c r="P284" s="50">
        <v>0.0</v>
      </c>
      <c r="Q284" s="50">
        <v>0.0</v>
      </c>
      <c r="R284" s="48" t="s">
        <v>2948</v>
      </c>
      <c r="S284" s="50">
        <v>0.0</v>
      </c>
      <c r="T284" s="50">
        <v>1.0</v>
      </c>
      <c r="U284" s="50">
        <v>0.0</v>
      </c>
      <c r="V284" s="50">
        <v>0.0</v>
      </c>
      <c r="W284" s="50">
        <v>0.0</v>
      </c>
      <c r="X284" s="50">
        <v>0.0</v>
      </c>
      <c r="Y284" s="50">
        <v>0.0</v>
      </c>
      <c r="Z284" s="50">
        <v>0.0</v>
      </c>
      <c r="AA284" s="50">
        <v>0.0</v>
      </c>
      <c r="AB284" s="48" t="s">
        <v>2948</v>
      </c>
      <c r="AC284" s="50">
        <v>0.0</v>
      </c>
      <c r="AD284" s="50">
        <v>1.0</v>
      </c>
      <c r="AE284" s="50">
        <v>0.0</v>
      </c>
      <c r="AF284" s="50">
        <v>0.0</v>
      </c>
      <c r="AG284" s="50">
        <v>0.0</v>
      </c>
      <c r="AH284" s="50">
        <v>0.0</v>
      </c>
      <c r="AI284" s="50">
        <v>0.0</v>
      </c>
      <c r="AJ284" s="50">
        <v>0.0</v>
      </c>
      <c r="AK284" s="50">
        <v>0.0</v>
      </c>
      <c r="AL284" s="48"/>
      <c r="AM284" s="48"/>
      <c r="AN284" s="50">
        <v>0.0</v>
      </c>
      <c r="AO284" s="48"/>
      <c r="AP284" s="48"/>
      <c r="AQ284" s="48"/>
      <c r="AR284" s="48"/>
      <c r="AS284" s="48"/>
      <c r="AT284" s="48"/>
      <c r="AU284" s="48"/>
      <c r="AV284" s="48"/>
      <c r="AW284" s="50">
        <v>10.0</v>
      </c>
      <c r="AX284" s="48"/>
      <c r="AY284" s="48"/>
      <c r="AZ284" s="48"/>
      <c r="BA284" s="48"/>
      <c r="BB284" s="48"/>
      <c r="BC284" s="48"/>
      <c r="BD284" s="48"/>
      <c r="BE284" s="48"/>
      <c r="BF284" s="48"/>
      <c r="BG284" s="48"/>
      <c r="BH284" s="50">
        <v>15.0</v>
      </c>
      <c r="BI284" s="50">
        <v>0.0</v>
      </c>
      <c r="BJ284" s="50">
        <v>5.0</v>
      </c>
      <c r="BK284" s="50">
        <v>0.0</v>
      </c>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50">
        <v>7.08215074E8</v>
      </c>
      <c r="CL284" s="48" t="s">
        <v>4122</v>
      </c>
      <c r="CM284" s="47">
        <v>46108.08350694444</v>
      </c>
      <c r="CN284" s="48"/>
      <c r="CO284" s="48"/>
      <c r="CP284" s="48" t="s">
        <v>1954</v>
      </c>
      <c r="CQ284" s="48"/>
      <c r="CR284" s="48" t="s">
        <v>3014</v>
      </c>
      <c r="CS284" s="48"/>
      <c r="CT284" s="48" t="s">
        <v>4123</v>
      </c>
      <c r="CU284" s="50">
        <v>283.0</v>
      </c>
    </row>
    <row r="285">
      <c r="A285" s="47">
        <v>46108.37513274306</v>
      </c>
      <c r="B285" s="47">
        <v>46108.37626976852</v>
      </c>
      <c r="C285" s="48" t="s">
        <v>4124</v>
      </c>
      <c r="D285" s="48" t="s">
        <v>3733</v>
      </c>
      <c r="E285" s="48" t="s">
        <v>4020</v>
      </c>
      <c r="F285" s="48" t="s">
        <v>4039</v>
      </c>
      <c r="G285" s="49" t="s">
        <v>4125</v>
      </c>
      <c r="H285" s="48" t="s">
        <v>2948</v>
      </c>
      <c r="I285" s="50">
        <v>0.0</v>
      </c>
      <c r="J285" s="50">
        <v>1.0</v>
      </c>
      <c r="K285" s="50">
        <v>0.0</v>
      </c>
      <c r="L285" s="50">
        <v>0.0</v>
      </c>
      <c r="M285" s="50">
        <v>0.0</v>
      </c>
      <c r="N285" s="50">
        <v>0.0</v>
      </c>
      <c r="O285" s="50">
        <v>0.0</v>
      </c>
      <c r="P285" s="50">
        <v>0.0</v>
      </c>
      <c r="Q285" s="50">
        <v>0.0</v>
      </c>
      <c r="R285" s="48" t="s">
        <v>2948</v>
      </c>
      <c r="S285" s="50">
        <v>0.0</v>
      </c>
      <c r="T285" s="50">
        <v>1.0</v>
      </c>
      <c r="U285" s="50">
        <v>0.0</v>
      </c>
      <c r="V285" s="50">
        <v>0.0</v>
      </c>
      <c r="W285" s="50">
        <v>0.0</v>
      </c>
      <c r="X285" s="50">
        <v>0.0</v>
      </c>
      <c r="Y285" s="50">
        <v>0.0</v>
      </c>
      <c r="Z285" s="50">
        <v>0.0</v>
      </c>
      <c r="AA285" s="50">
        <v>0.0</v>
      </c>
      <c r="AB285" s="48" t="s">
        <v>2948</v>
      </c>
      <c r="AC285" s="50">
        <v>0.0</v>
      </c>
      <c r="AD285" s="50">
        <v>1.0</v>
      </c>
      <c r="AE285" s="50">
        <v>0.0</v>
      </c>
      <c r="AF285" s="50">
        <v>0.0</v>
      </c>
      <c r="AG285" s="50">
        <v>0.0</v>
      </c>
      <c r="AH285" s="50">
        <v>0.0</v>
      </c>
      <c r="AI285" s="50">
        <v>0.0</v>
      </c>
      <c r="AJ285" s="50">
        <v>0.0</v>
      </c>
      <c r="AK285" s="50">
        <v>0.0</v>
      </c>
      <c r="AL285" s="48"/>
      <c r="AM285" s="48"/>
      <c r="AN285" s="50">
        <v>2.0</v>
      </c>
      <c r="AO285" s="48"/>
      <c r="AP285" s="48"/>
      <c r="AQ285" s="48"/>
      <c r="AR285" s="48"/>
      <c r="AS285" s="48"/>
      <c r="AT285" s="48"/>
      <c r="AU285" s="48"/>
      <c r="AV285" s="48"/>
      <c r="AW285" s="50">
        <v>6.0</v>
      </c>
      <c r="AX285" s="48"/>
      <c r="AY285" s="48"/>
      <c r="AZ285" s="48"/>
      <c r="BA285" s="48"/>
      <c r="BB285" s="48"/>
      <c r="BC285" s="48"/>
      <c r="BD285" s="48"/>
      <c r="BE285" s="48"/>
      <c r="BF285" s="48"/>
      <c r="BG285" s="48"/>
      <c r="BH285" s="50">
        <v>8.0</v>
      </c>
      <c r="BI285" s="50">
        <v>2.0</v>
      </c>
      <c r="BJ285" s="50">
        <v>2.0</v>
      </c>
      <c r="BK285" s="50">
        <v>0.0</v>
      </c>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50">
        <v>7.08215551E8</v>
      </c>
      <c r="CL285" s="48" t="s">
        <v>4126</v>
      </c>
      <c r="CM285" s="47">
        <v>46108.08461805555</v>
      </c>
      <c r="CN285" s="48"/>
      <c r="CO285" s="48"/>
      <c r="CP285" s="48" t="s">
        <v>1954</v>
      </c>
      <c r="CQ285" s="48"/>
      <c r="CR285" s="48" t="s">
        <v>3014</v>
      </c>
      <c r="CS285" s="48"/>
      <c r="CT285" s="48" t="s">
        <v>4127</v>
      </c>
      <c r="CU285" s="50">
        <v>284.0</v>
      </c>
    </row>
    <row r="286">
      <c r="A286" s="47">
        <v>46108.37487916667</v>
      </c>
      <c r="B286" s="47">
        <v>46108.37670083333</v>
      </c>
      <c r="C286" s="48" t="s">
        <v>4128</v>
      </c>
      <c r="D286" s="48" t="s">
        <v>3733</v>
      </c>
      <c r="E286" s="48" t="s">
        <v>4020</v>
      </c>
      <c r="F286" s="48" t="s">
        <v>4030</v>
      </c>
      <c r="G286" s="49" t="s">
        <v>4129</v>
      </c>
      <c r="H286" s="48" t="s">
        <v>2948</v>
      </c>
      <c r="I286" s="50">
        <v>0.0</v>
      </c>
      <c r="J286" s="50">
        <v>1.0</v>
      </c>
      <c r="K286" s="50">
        <v>0.0</v>
      </c>
      <c r="L286" s="50">
        <v>0.0</v>
      </c>
      <c r="M286" s="50">
        <v>0.0</v>
      </c>
      <c r="N286" s="50">
        <v>0.0</v>
      </c>
      <c r="O286" s="50">
        <v>0.0</v>
      </c>
      <c r="P286" s="50">
        <v>0.0</v>
      </c>
      <c r="Q286" s="50">
        <v>0.0</v>
      </c>
      <c r="R286" s="48" t="s">
        <v>2948</v>
      </c>
      <c r="S286" s="50">
        <v>0.0</v>
      </c>
      <c r="T286" s="50">
        <v>1.0</v>
      </c>
      <c r="U286" s="50">
        <v>0.0</v>
      </c>
      <c r="V286" s="50">
        <v>0.0</v>
      </c>
      <c r="W286" s="50">
        <v>0.0</v>
      </c>
      <c r="X286" s="50">
        <v>0.0</v>
      </c>
      <c r="Y286" s="50">
        <v>0.0</v>
      </c>
      <c r="Z286" s="50">
        <v>0.0</v>
      </c>
      <c r="AA286" s="50">
        <v>0.0</v>
      </c>
      <c r="AB286" s="48" t="s">
        <v>2948</v>
      </c>
      <c r="AC286" s="50">
        <v>0.0</v>
      </c>
      <c r="AD286" s="50">
        <v>1.0</v>
      </c>
      <c r="AE286" s="50">
        <v>0.0</v>
      </c>
      <c r="AF286" s="50">
        <v>0.0</v>
      </c>
      <c r="AG286" s="50">
        <v>0.0</v>
      </c>
      <c r="AH286" s="50">
        <v>0.0</v>
      </c>
      <c r="AI286" s="50">
        <v>0.0</v>
      </c>
      <c r="AJ286" s="50">
        <v>0.0</v>
      </c>
      <c r="AK286" s="50">
        <v>0.0</v>
      </c>
      <c r="AL286" s="48"/>
      <c r="AM286" s="48"/>
      <c r="AN286" s="50">
        <v>0.0</v>
      </c>
      <c r="AO286" s="48"/>
      <c r="AP286" s="48"/>
      <c r="AQ286" s="48"/>
      <c r="AR286" s="48"/>
      <c r="AS286" s="48"/>
      <c r="AT286" s="48"/>
      <c r="AU286" s="48"/>
      <c r="AV286" s="48"/>
      <c r="AW286" s="50">
        <v>6.0</v>
      </c>
      <c r="AX286" s="48"/>
      <c r="AY286" s="48"/>
      <c r="AZ286" s="48"/>
      <c r="BA286" s="48"/>
      <c r="BB286" s="48"/>
      <c r="BC286" s="48"/>
      <c r="BD286" s="48"/>
      <c r="BE286" s="48"/>
      <c r="BF286" s="48"/>
      <c r="BG286" s="48"/>
      <c r="BH286" s="50">
        <v>8.0</v>
      </c>
      <c r="BI286" s="50">
        <v>2.0</v>
      </c>
      <c r="BJ286" s="50">
        <v>6.0</v>
      </c>
      <c r="BK286" s="50">
        <v>0.0</v>
      </c>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50">
        <v>7.08215828E8</v>
      </c>
      <c r="CL286" s="48" t="s">
        <v>4130</v>
      </c>
      <c r="CM286" s="47">
        <v>46108.08502314815</v>
      </c>
      <c r="CN286" s="48"/>
      <c r="CO286" s="48"/>
      <c r="CP286" s="48" t="s">
        <v>1954</v>
      </c>
      <c r="CQ286" s="48"/>
      <c r="CR286" s="48" t="s">
        <v>3014</v>
      </c>
      <c r="CS286" s="48"/>
      <c r="CT286" s="48" t="s">
        <v>4131</v>
      </c>
      <c r="CU286" s="50">
        <v>285.0</v>
      </c>
    </row>
    <row r="287">
      <c r="A287" s="47">
        <v>46108.37627070602</v>
      </c>
      <c r="B287" s="47">
        <v>46108.37711260417</v>
      </c>
      <c r="C287" s="48" t="s">
        <v>1353</v>
      </c>
      <c r="D287" s="48" t="s">
        <v>3733</v>
      </c>
      <c r="E287" s="48" t="s">
        <v>4020</v>
      </c>
      <c r="F287" s="48" t="s">
        <v>4039</v>
      </c>
      <c r="G287" s="49" t="s">
        <v>4132</v>
      </c>
      <c r="H287" s="48" t="s">
        <v>2948</v>
      </c>
      <c r="I287" s="50">
        <v>0.0</v>
      </c>
      <c r="J287" s="50">
        <v>1.0</v>
      </c>
      <c r="K287" s="50">
        <v>0.0</v>
      </c>
      <c r="L287" s="50">
        <v>0.0</v>
      </c>
      <c r="M287" s="50">
        <v>0.0</v>
      </c>
      <c r="N287" s="50">
        <v>0.0</v>
      </c>
      <c r="O287" s="50">
        <v>0.0</v>
      </c>
      <c r="P287" s="50">
        <v>0.0</v>
      </c>
      <c r="Q287" s="50">
        <v>0.0</v>
      </c>
      <c r="R287" s="48" t="s">
        <v>2948</v>
      </c>
      <c r="S287" s="50">
        <v>0.0</v>
      </c>
      <c r="T287" s="50">
        <v>1.0</v>
      </c>
      <c r="U287" s="50">
        <v>0.0</v>
      </c>
      <c r="V287" s="50">
        <v>0.0</v>
      </c>
      <c r="W287" s="50">
        <v>0.0</v>
      </c>
      <c r="X287" s="50">
        <v>0.0</v>
      </c>
      <c r="Y287" s="50">
        <v>0.0</v>
      </c>
      <c r="Z287" s="50">
        <v>0.0</v>
      </c>
      <c r="AA287" s="50">
        <v>0.0</v>
      </c>
      <c r="AB287" s="48" t="s">
        <v>2948</v>
      </c>
      <c r="AC287" s="50">
        <v>0.0</v>
      </c>
      <c r="AD287" s="50">
        <v>1.0</v>
      </c>
      <c r="AE287" s="50">
        <v>0.0</v>
      </c>
      <c r="AF287" s="50">
        <v>0.0</v>
      </c>
      <c r="AG287" s="50">
        <v>0.0</v>
      </c>
      <c r="AH287" s="50">
        <v>0.0</v>
      </c>
      <c r="AI287" s="50">
        <v>0.0</v>
      </c>
      <c r="AJ287" s="50">
        <v>0.0</v>
      </c>
      <c r="AK287" s="50">
        <v>0.0</v>
      </c>
      <c r="AL287" s="48"/>
      <c r="AM287" s="48"/>
      <c r="AN287" s="50">
        <v>8.0</v>
      </c>
      <c r="AO287" s="48"/>
      <c r="AP287" s="48"/>
      <c r="AQ287" s="48"/>
      <c r="AR287" s="48"/>
      <c r="AS287" s="48"/>
      <c r="AT287" s="48"/>
      <c r="AU287" s="48"/>
      <c r="AV287" s="48"/>
      <c r="AW287" s="50">
        <v>12.0</v>
      </c>
      <c r="AX287" s="48"/>
      <c r="AY287" s="48"/>
      <c r="AZ287" s="48"/>
      <c r="BA287" s="48"/>
      <c r="BB287" s="48"/>
      <c r="BC287" s="48"/>
      <c r="BD287" s="48"/>
      <c r="BE287" s="48"/>
      <c r="BF287" s="48"/>
      <c r="BG287" s="48"/>
      <c r="BH287" s="50">
        <v>6.0</v>
      </c>
      <c r="BI287" s="50">
        <v>2.0</v>
      </c>
      <c r="BJ287" s="50">
        <v>4.0</v>
      </c>
      <c r="BK287" s="50">
        <v>0.0</v>
      </c>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50">
        <v>7.0821608E8</v>
      </c>
      <c r="CL287" s="48" t="s">
        <v>4133</v>
      </c>
      <c r="CM287" s="47">
        <v>46108.08548611111</v>
      </c>
      <c r="CN287" s="48"/>
      <c r="CO287" s="48"/>
      <c r="CP287" s="48" t="s">
        <v>1954</v>
      </c>
      <c r="CQ287" s="48"/>
      <c r="CR287" s="48" t="s">
        <v>3014</v>
      </c>
      <c r="CS287" s="48"/>
      <c r="CT287" s="48" t="s">
        <v>4134</v>
      </c>
      <c r="CU287" s="50">
        <v>286.0</v>
      </c>
    </row>
    <row r="288">
      <c r="A288" s="47">
        <v>46108.37670130787</v>
      </c>
      <c r="B288" s="47">
        <v>46108.37778938658</v>
      </c>
      <c r="C288" s="48" t="s">
        <v>4135</v>
      </c>
      <c r="D288" s="48" t="s">
        <v>3733</v>
      </c>
      <c r="E288" s="48" t="s">
        <v>4020</v>
      </c>
      <c r="F288" s="48" t="s">
        <v>4021</v>
      </c>
      <c r="G288" s="49" t="s">
        <v>4136</v>
      </c>
      <c r="H288" s="48" t="s">
        <v>2948</v>
      </c>
      <c r="I288" s="50">
        <v>0.0</v>
      </c>
      <c r="J288" s="50">
        <v>1.0</v>
      </c>
      <c r="K288" s="50">
        <v>0.0</v>
      </c>
      <c r="L288" s="50">
        <v>0.0</v>
      </c>
      <c r="M288" s="50">
        <v>0.0</v>
      </c>
      <c r="N288" s="50">
        <v>0.0</v>
      </c>
      <c r="O288" s="50">
        <v>0.0</v>
      </c>
      <c r="P288" s="50">
        <v>0.0</v>
      </c>
      <c r="Q288" s="50">
        <v>0.0</v>
      </c>
      <c r="R288" s="48" t="s">
        <v>2948</v>
      </c>
      <c r="S288" s="50">
        <v>0.0</v>
      </c>
      <c r="T288" s="50">
        <v>1.0</v>
      </c>
      <c r="U288" s="50">
        <v>0.0</v>
      </c>
      <c r="V288" s="50">
        <v>0.0</v>
      </c>
      <c r="W288" s="50">
        <v>0.0</v>
      </c>
      <c r="X288" s="50">
        <v>0.0</v>
      </c>
      <c r="Y288" s="50">
        <v>0.0</v>
      </c>
      <c r="Z288" s="50">
        <v>0.0</v>
      </c>
      <c r="AA288" s="50">
        <v>0.0</v>
      </c>
      <c r="AB288" s="48" t="s">
        <v>2948</v>
      </c>
      <c r="AC288" s="50">
        <v>0.0</v>
      </c>
      <c r="AD288" s="50">
        <v>1.0</v>
      </c>
      <c r="AE288" s="50">
        <v>0.0</v>
      </c>
      <c r="AF288" s="50">
        <v>0.0</v>
      </c>
      <c r="AG288" s="50">
        <v>0.0</v>
      </c>
      <c r="AH288" s="50">
        <v>0.0</v>
      </c>
      <c r="AI288" s="50">
        <v>0.0</v>
      </c>
      <c r="AJ288" s="50">
        <v>0.0</v>
      </c>
      <c r="AK288" s="50">
        <v>0.0</v>
      </c>
      <c r="AL288" s="48"/>
      <c r="AM288" s="48"/>
      <c r="AN288" s="50">
        <v>3.0</v>
      </c>
      <c r="AO288" s="48"/>
      <c r="AP288" s="48"/>
      <c r="AQ288" s="48"/>
      <c r="AR288" s="48"/>
      <c r="AS288" s="48"/>
      <c r="AT288" s="48"/>
      <c r="AU288" s="48"/>
      <c r="AV288" s="48"/>
      <c r="AW288" s="50">
        <v>6.0</v>
      </c>
      <c r="AX288" s="48"/>
      <c r="AY288" s="48"/>
      <c r="AZ288" s="48"/>
      <c r="BA288" s="48"/>
      <c r="BB288" s="48"/>
      <c r="BC288" s="48"/>
      <c r="BD288" s="48"/>
      <c r="BE288" s="48"/>
      <c r="BF288" s="48"/>
      <c r="BG288" s="48"/>
      <c r="BH288" s="50">
        <v>6.0</v>
      </c>
      <c r="BI288" s="50">
        <v>2.0</v>
      </c>
      <c r="BJ288" s="50">
        <v>6.0</v>
      </c>
      <c r="BK288" s="50">
        <v>0.0</v>
      </c>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50">
        <v>7.08216509E8</v>
      </c>
      <c r="CL288" s="48" t="s">
        <v>4137</v>
      </c>
      <c r="CM288" s="47">
        <v>46108.08611111111</v>
      </c>
      <c r="CN288" s="48"/>
      <c r="CO288" s="48"/>
      <c r="CP288" s="48" t="s">
        <v>1954</v>
      </c>
      <c r="CQ288" s="48"/>
      <c r="CR288" s="48" t="s">
        <v>3014</v>
      </c>
      <c r="CS288" s="48"/>
      <c r="CT288" s="48" t="s">
        <v>4138</v>
      </c>
      <c r="CU288" s="50">
        <v>287.0</v>
      </c>
    </row>
    <row r="289">
      <c r="A289" s="47">
        <v>46108.37711320602</v>
      </c>
      <c r="B289" s="47">
        <v>46108.37832328703</v>
      </c>
      <c r="C289" s="48" t="s">
        <v>4139</v>
      </c>
      <c r="D289" s="48" t="s">
        <v>3733</v>
      </c>
      <c r="E289" s="48" t="s">
        <v>4020</v>
      </c>
      <c r="F289" s="48" t="s">
        <v>4030</v>
      </c>
      <c r="G289" s="49" t="s">
        <v>4140</v>
      </c>
      <c r="H289" s="48" t="s">
        <v>2948</v>
      </c>
      <c r="I289" s="50">
        <v>0.0</v>
      </c>
      <c r="J289" s="50">
        <v>1.0</v>
      </c>
      <c r="K289" s="50">
        <v>0.0</v>
      </c>
      <c r="L289" s="50">
        <v>0.0</v>
      </c>
      <c r="M289" s="50">
        <v>0.0</v>
      </c>
      <c r="N289" s="50">
        <v>0.0</v>
      </c>
      <c r="O289" s="50">
        <v>0.0</v>
      </c>
      <c r="P289" s="50">
        <v>0.0</v>
      </c>
      <c r="Q289" s="50">
        <v>0.0</v>
      </c>
      <c r="R289" s="48" t="s">
        <v>2948</v>
      </c>
      <c r="S289" s="50">
        <v>0.0</v>
      </c>
      <c r="T289" s="50">
        <v>1.0</v>
      </c>
      <c r="U289" s="50">
        <v>0.0</v>
      </c>
      <c r="V289" s="50">
        <v>0.0</v>
      </c>
      <c r="W289" s="50">
        <v>0.0</v>
      </c>
      <c r="X289" s="50">
        <v>0.0</v>
      </c>
      <c r="Y289" s="50">
        <v>0.0</v>
      </c>
      <c r="Z289" s="50">
        <v>0.0</v>
      </c>
      <c r="AA289" s="50">
        <v>0.0</v>
      </c>
      <c r="AB289" s="48" t="s">
        <v>2948</v>
      </c>
      <c r="AC289" s="50">
        <v>0.0</v>
      </c>
      <c r="AD289" s="50">
        <v>1.0</v>
      </c>
      <c r="AE289" s="50">
        <v>0.0</v>
      </c>
      <c r="AF289" s="50">
        <v>0.0</v>
      </c>
      <c r="AG289" s="50">
        <v>0.0</v>
      </c>
      <c r="AH289" s="50">
        <v>0.0</v>
      </c>
      <c r="AI289" s="50">
        <v>0.0</v>
      </c>
      <c r="AJ289" s="50">
        <v>0.0</v>
      </c>
      <c r="AK289" s="50">
        <v>0.0</v>
      </c>
      <c r="AL289" s="48"/>
      <c r="AM289" s="48"/>
      <c r="AN289" s="50">
        <v>5.0</v>
      </c>
      <c r="AO289" s="48"/>
      <c r="AP289" s="48"/>
      <c r="AQ289" s="48"/>
      <c r="AR289" s="48"/>
      <c r="AS289" s="48"/>
      <c r="AT289" s="48"/>
      <c r="AU289" s="48"/>
      <c r="AV289" s="48"/>
      <c r="AW289" s="50">
        <v>12.0</v>
      </c>
      <c r="AX289" s="48"/>
      <c r="AY289" s="48"/>
      <c r="AZ289" s="48"/>
      <c r="BA289" s="48"/>
      <c r="BB289" s="48"/>
      <c r="BC289" s="48"/>
      <c r="BD289" s="48"/>
      <c r="BE289" s="48"/>
      <c r="BF289" s="48"/>
      <c r="BG289" s="48"/>
      <c r="BH289" s="50">
        <v>15.0</v>
      </c>
      <c r="BI289" s="50">
        <v>2.0</v>
      </c>
      <c r="BJ289" s="50">
        <v>10.0</v>
      </c>
      <c r="BK289" s="50">
        <v>0.0</v>
      </c>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50">
        <v>7.08217131E8</v>
      </c>
      <c r="CL289" s="48" t="s">
        <v>4141</v>
      </c>
      <c r="CM289" s="47">
        <v>46108.08678240741</v>
      </c>
      <c r="CN289" s="48"/>
      <c r="CO289" s="48"/>
      <c r="CP289" s="48" t="s">
        <v>1954</v>
      </c>
      <c r="CQ289" s="48"/>
      <c r="CR289" s="48" t="s">
        <v>3014</v>
      </c>
      <c r="CS289" s="48"/>
      <c r="CT289" s="48" t="s">
        <v>4142</v>
      </c>
      <c r="CU289" s="50">
        <v>288.0</v>
      </c>
    </row>
    <row r="290">
      <c r="A290" s="47">
        <v>46108.37778973379</v>
      </c>
      <c r="B290" s="47">
        <v>46108.37888883102</v>
      </c>
      <c r="C290" s="48" t="s">
        <v>4143</v>
      </c>
      <c r="D290" s="48" t="s">
        <v>3733</v>
      </c>
      <c r="E290" s="48" t="s">
        <v>4020</v>
      </c>
      <c r="F290" s="48" t="s">
        <v>4039</v>
      </c>
      <c r="G290" s="49" t="s">
        <v>4144</v>
      </c>
      <c r="H290" s="48" t="s">
        <v>2948</v>
      </c>
      <c r="I290" s="50">
        <v>0.0</v>
      </c>
      <c r="J290" s="50">
        <v>1.0</v>
      </c>
      <c r="K290" s="50">
        <v>0.0</v>
      </c>
      <c r="L290" s="50">
        <v>0.0</v>
      </c>
      <c r="M290" s="50">
        <v>0.0</v>
      </c>
      <c r="N290" s="50">
        <v>0.0</v>
      </c>
      <c r="O290" s="50">
        <v>0.0</v>
      </c>
      <c r="P290" s="50">
        <v>0.0</v>
      </c>
      <c r="Q290" s="50">
        <v>0.0</v>
      </c>
      <c r="R290" s="48" t="s">
        <v>2948</v>
      </c>
      <c r="S290" s="50">
        <v>0.0</v>
      </c>
      <c r="T290" s="50">
        <v>1.0</v>
      </c>
      <c r="U290" s="50">
        <v>0.0</v>
      </c>
      <c r="V290" s="50">
        <v>0.0</v>
      </c>
      <c r="W290" s="50">
        <v>0.0</v>
      </c>
      <c r="X290" s="50">
        <v>0.0</v>
      </c>
      <c r="Y290" s="50">
        <v>0.0</v>
      </c>
      <c r="Z290" s="50">
        <v>0.0</v>
      </c>
      <c r="AA290" s="50">
        <v>0.0</v>
      </c>
      <c r="AB290" s="48" t="s">
        <v>2948</v>
      </c>
      <c r="AC290" s="50">
        <v>0.0</v>
      </c>
      <c r="AD290" s="50">
        <v>1.0</v>
      </c>
      <c r="AE290" s="50">
        <v>0.0</v>
      </c>
      <c r="AF290" s="50">
        <v>0.0</v>
      </c>
      <c r="AG290" s="50">
        <v>0.0</v>
      </c>
      <c r="AH290" s="50">
        <v>0.0</v>
      </c>
      <c r="AI290" s="50">
        <v>0.0</v>
      </c>
      <c r="AJ290" s="50">
        <v>0.0</v>
      </c>
      <c r="AK290" s="50">
        <v>0.0</v>
      </c>
      <c r="AL290" s="48"/>
      <c r="AM290" s="48"/>
      <c r="AN290" s="50">
        <v>12.0</v>
      </c>
      <c r="AO290" s="48"/>
      <c r="AP290" s="48"/>
      <c r="AQ290" s="48"/>
      <c r="AR290" s="48"/>
      <c r="AS290" s="48"/>
      <c r="AT290" s="48"/>
      <c r="AU290" s="48"/>
      <c r="AV290" s="48"/>
      <c r="AW290" s="50">
        <v>6.0</v>
      </c>
      <c r="AX290" s="48"/>
      <c r="AY290" s="48"/>
      <c r="AZ290" s="48"/>
      <c r="BA290" s="48"/>
      <c r="BB290" s="48"/>
      <c r="BC290" s="48"/>
      <c r="BD290" s="48"/>
      <c r="BE290" s="48"/>
      <c r="BF290" s="48"/>
      <c r="BG290" s="48"/>
      <c r="BH290" s="50">
        <v>2.0</v>
      </c>
      <c r="BI290" s="50">
        <v>3.0</v>
      </c>
      <c r="BJ290" s="50">
        <v>8.0</v>
      </c>
      <c r="BK290" s="50">
        <v>0.0</v>
      </c>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50">
        <v>7.08217416E8</v>
      </c>
      <c r="CL290" s="48" t="s">
        <v>4145</v>
      </c>
      <c r="CM290" s="47">
        <v>46108.08721064815</v>
      </c>
      <c r="CN290" s="48"/>
      <c r="CO290" s="48"/>
      <c r="CP290" s="48" t="s">
        <v>1954</v>
      </c>
      <c r="CQ290" s="48"/>
      <c r="CR290" s="48" t="s">
        <v>3014</v>
      </c>
      <c r="CS290" s="48"/>
      <c r="CT290" s="48" t="s">
        <v>4146</v>
      </c>
      <c r="CU290" s="50">
        <v>289.0</v>
      </c>
    </row>
    <row r="291">
      <c r="A291" s="47">
        <v>46108.3783237963</v>
      </c>
      <c r="B291" s="47">
        <v>46108.379081875</v>
      </c>
      <c r="C291" s="48" t="s">
        <v>4147</v>
      </c>
      <c r="D291" s="48" t="s">
        <v>3733</v>
      </c>
      <c r="E291" s="48" t="s">
        <v>4020</v>
      </c>
      <c r="F291" s="48" t="s">
        <v>4030</v>
      </c>
      <c r="G291" s="49" t="s">
        <v>4148</v>
      </c>
      <c r="H291" s="48" t="s">
        <v>2948</v>
      </c>
      <c r="I291" s="50">
        <v>0.0</v>
      </c>
      <c r="J291" s="50">
        <v>1.0</v>
      </c>
      <c r="K291" s="50">
        <v>0.0</v>
      </c>
      <c r="L291" s="50">
        <v>0.0</v>
      </c>
      <c r="M291" s="50">
        <v>0.0</v>
      </c>
      <c r="N291" s="50">
        <v>0.0</v>
      </c>
      <c r="O291" s="50">
        <v>0.0</v>
      </c>
      <c r="P291" s="50">
        <v>0.0</v>
      </c>
      <c r="Q291" s="50">
        <v>0.0</v>
      </c>
      <c r="R291" s="48" t="s">
        <v>2948</v>
      </c>
      <c r="S291" s="50">
        <v>0.0</v>
      </c>
      <c r="T291" s="50">
        <v>1.0</v>
      </c>
      <c r="U291" s="50">
        <v>0.0</v>
      </c>
      <c r="V291" s="50">
        <v>0.0</v>
      </c>
      <c r="W291" s="50">
        <v>0.0</v>
      </c>
      <c r="X291" s="50">
        <v>0.0</v>
      </c>
      <c r="Y291" s="50">
        <v>0.0</v>
      </c>
      <c r="Z291" s="50">
        <v>0.0</v>
      </c>
      <c r="AA291" s="50">
        <v>0.0</v>
      </c>
      <c r="AB291" s="48" t="s">
        <v>2948</v>
      </c>
      <c r="AC291" s="50">
        <v>0.0</v>
      </c>
      <c r="AD291" s="50">
        <v>1.0</v>
      </c>
      <c r="AE291" s="50">
        <v>0.0</v>
      </c>
      <c r="AF291" s="50">
        <v>0.0</v>
      </c>
      <c r="AG291" s="50">
        <v>0.0</v>
      </c>
      <c r="AH291" s="50">
        <v>0.0</v>
      </c>
      <c r="AI291" s="50">
        <v>0.0</v>
      </c>
      <c r="AJ291" s="50">
        <v>0.0</v>
      </c>
      <c r="AK291" s="50">
        <v>0.0</v>
      </c>
      <c r="AL291" s="48"/>
      <c r="AM291" s="48"/>
      <c r="AN291" s="50">
        <v>0.0</v>
      </c>
      <c r="AO291" s="48"/>
      <c r="AP291" s="48"/>
      <c r="AQ291" s="48"/>
      <c r="AR291" s="48"/>
      <c r="AS291" s="48"/>
      <c r="AT291" s="48"/>
      <c r="AU291" s="48"/>
      <c r="AV291" s="48"/>
      <c r="AW291" s="50">
        <v>5.0</v>
      </c>
      <c r="AX291" s="48"/>
      <c r="AY291" s="48"/>
      <c r="AZ291" s="48"/>
      <c r="BA291" s="48"/>
      <c r="BB291" s="48"/>
      <c r="BC291" s="48"/>
      <c r="BD291" s="48"/>
      <c r="BE291" s="48"/>
      <c r="BF291" s="48"/>
      <c r="BG291" s="48"/>
      <c r="BH291" s="50">
        <v>5.0</v>
      </c>
      <c r="BI291" s="50">
        <v>0.0</v>
      </c>
      <c r="BJ291" s="50">
        <v>0.0</v>
      </c>
      <c r="BK291" s="50">
        <v>0.0</v>
      </c>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50">
        <v>7.08217595E8</v>
      </c>
      <c r="CL291" s="48" t="s">
        <v>4149</v>
      </c>
      <c r="CM291" s="47">
        <v>46108.08744212963</v>
      </c>
      <c r="CN291" s="48"/>
      <c r="CO291" s="48"/>
      <c r="CP291" s="48" t="s">
        <v>1954</v>
      </c>
      <c r="CQ291" s="48"/>
      <c r="CR291" s="48" t="s">
        <v>3014</v>
      </c>
      <c r="CS291" s="48"/>
      <c r="CT291" s="48" t="s">
        <v>4150</v>
      </c>
      <c r="CU291" s="50">
        <v>290.0</v>
      </c>
    </row>
    <row r="292">
      <c r="A292" s="47">
        <v>46108.37888924769</v>
      </c>
      <c r="B292" s="47">
        <v>46108.37972791667</v>
      </c>
      <c r="C292" s="48" t="s">
        <v>4151</v>
      </c>
      <c r="D292" s="48" t="s">
        <v>3733</v>
      </c>
      <c r="E292" s="48" t="s">
        <v>4020</v>
      </c>
      <c r="F292" s="48" t="s">
        <v>4039</v>
      </c>
      <c r="G292" s="49" t="s">
        <v>4152</v>
      </c>
      <c r="H292" s="48" t="s">
        <v>2948</v>
      </c>
      <c r="I292" s="50">
        <v>0.0</v>
      </c>
      <c r="J292" s="50">
        <v>1.0</v>
      </c>
      <c r="K292" s="50">
        <v>0.0</v>
      </c>
      <c r="L292" s="50">
        <v>0.0</v>
      </c>
      <c r="M292" s="50">
        <v>0.0</v>
      </c>
      <c r="N292" s="50">
        <v>0.0</v>
      </c>
      <c r="O292" s="50">
        <v>0.0</v>
      </c>
      <c r="P292" s="50">
        <v>0.0</v>
      </c>
      <c r="Q292" s="50">
        <v>0.0</v>
      </c>
      <c r="R292" s="48" t="s">
        <v>2948</v>
      </c>
      <c r="S292" s="50">
        <v>0.0</v>
      </c>
      <c r="T292" s="50">
        <v>1.0</v>
      </c>
      <c r="U292" s="50">
        <v>0.0</v>
      </c>
      <c r="V292" s="50">
        <v>0.0</v>
      </c>
      <c r="W292" s="50">
        <v>0.0</v>
      </c>
      <c r="X292" s="50">
        <v>0.0</v>
      </c>
      <c r="Y292" s="50">
        <v>0.0</v>
      </c>
      <c r="Z292" s="50">
        <v>0.0</v>
      </c>
      <c r="AA292" s="50">
        <v>0.0</v>
      </c>
      <c r="AB292" s="48" t="s">
        <v>2948</v>
      </c>
      <c r="AC292" s="50">
        <v>0.0</v>
      </c>
      <c r="AD292" s="50">
        <v>1.0</v>
      </c>
      <c r="AE292" s="50">
        <v>0.0</v>
      </c>
      <c r="AF292" s="50">
        <v>0.0</v>
      </c>
      <c r="AG292" s="50">
        <v>0.0</v>
      </c>
      <c r="AH292" s="50">
        <v>0.0</v>
      </c>
      <c r="AI292" s="50">
        <v>0.0</v>
      </c>
      <c r="AJ292" s="50">
        <v>0.0</v>
      </c>
      <c r="AK292" s="50">
        <v>0.0</v>
      </c>
      <c r="AL292" s="48"/>
      <c r="AM292" s="48"/>
      <c r="AN292" s="50">
        <v>5.0</v>
      </c>
      <c r="AO292" s="48"/>
      <c r="AP292" s="48"/>
      <c r="AQ292" s="48"/>
      <c r="AR292" s="48"/>
      <c r="AS292" s="48"/>
      <c r="AT292" s="48"/>
      <c r="AU292" s="48"/>
      <c r="AV292" s="48"/>
      <c r="AW292" s="50">
        <v>10.0</v>
      </c>
      <c r="AX292" s="48"/>
      <c r="AY292" s="48"/>
      <c r="AZ292" s="48"/>
      <c r="BA292" s="48"/>
      <c r="BB292" s="48"/>
      <c r="BC292" s="48"/>
      <c r="BD292" s="48"/>
      <c r="BE292" s="48"/>
      <c r="BF292" s="48"/>
      <c r="BG292" s="48"/>
      <c r="BH292" s="50">
        <v>6.0</v>
      </c>
      <c r="BI292" s="50">
        <v>0.0</v>
      </c>
      <c r="BJ292" s="50">
        <v>5.0</v>
      </c>
      <c r="BK292" s="50">
        <v>0.0</v>
      </c>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50">
        <v>7.08218222E8</v>
      </c>
      <c r="CL292" s="48" t="s">
        <v>4153</v>
      </c>
      <c r="CM292" s="47">
        <v>46108.08805555556</v>
      </c>
      <c r="CN292" s="48"/>
      <c r="CO292" s="48"/>
      <c r="CP292" s="48" t="s">
        <v>1954</v>
      </c>
      <c r="CQ292" s="48"/>
      <c r="CR292" s="48" t="s">
        <v>3014</v>
      </c>
      <c r="CS292" s="48"/>
      <c r="CT292" s="48" t="s">
        <v>4154</v>
      </c>
      <c r="CU292" s="50">
        <v>291.0</v>
      </c>
    </row>
    <row r="293">
      <c r="A293" s="47">
        <v>46108.37908248843</v>
      </c>
      <c r="B293" s="47">
        <v>46108.37990748842</v>
      </c>
      <c r="C293" s="48" t="s">
        <v>4155</v>
      </c>
      <c r="D293" s="48" t="s">
        <v>3733</v>
      </c>
      <c r="E293" s="48" t="s">
        <v>4020</v>
      </c>
      <c r="F293" s="48" t="s">
        <v>4030</v>
      </c>
      <c r="G293" s="49" t="s">
        <v>4156</v>
      </c>
      <c r="H293" s="48" t="s">
        <v>2948</v>
      </c>
      <c r="I293" s="50">
        <v>0.0</v>
      </c>
      <c r="J293" s="50">
        <v>1.0</v>
      </c>
      <c r="K293" s="50">
        <v>0.0</v>
      </c>
      <c r="L293" s="50">
        <v>0.0</v>
      </c>
      <c r="M293" s="50">
        <v>0.0</v>
      </c>
      <c r="N293" s="50">
        <v>0.0</v>
      </c>
      <c r="O293" s="50">
        <v>0.0</v>
      </c>
      <c r="P293" s="50">
        <v>0.0</v>
      </c>
      <c r="Q293" s="50">
        <v>0.0</v>
      </c>
      <c r="R293" s="48" t="s">
        <v>2948</v>
      </c>
      <c r="S293" s="50">
        <v>0.0</v>
      </c>
      <c r="T293" s="50">
        <v>1.0</v>
      </c>
      <c r="U293" s="50">
        <v>0.0</v>
      </c>
      <c r="V293" s="50">
        <v>0.0</v>
      </c>
      <c r="W293" s="50">
        <v>0.0</v>
      </c>
      <c r="X293" s="50">
        <v>0.0</v>
      </c>
      <c r="Y293" s="50">
        <v>0.0</v>
      </c>
      <c r="Z293" s="50">
        <v>0.0</v>
      </c>
      <c r="AA293" s="50">
        <v>0.0</v>
      </c>
      <c r="AB293" s="48" t="s">
        <v>2948</v>
      </c>
      <c r="AC293" s="50">
        <v>0.0</v>
      </c>
      <c r="AD293" s="50">
        <v>1.0</v>
      </c>
      <c r="AE293" s="50">
        <v>0.0</v>
      </c>
      <c r="AF293" s="50">
        <v>0.0</v>
      </c>
      <c r="AG293" s="50">
        <v>0.0</v>
      </c>
      <c r="AH293" s="50">
        <v>0.0</v>
      </c>
      <c r="AI293" s="50">
        <v>0.0</v>
      </c>
      <c r="AJ293" s="50">
        <v>0.0</v>
      </c>
      <c r="AK293" s="50">
        <v>0.0</v>
      </c>
      <c r="AL293" s="48"/>
      <c r="AM293" s="48"/>
      <c r="AN293" s="50">
        <v>0.0</v>
      </c>
      <c r="AO293" s="48"/>
      <c r="AP293" s="48"/>
      <c r="AQ293" s="48"/>
      <c r="AR293" s="48"/>
      <c r="AS293" s="48"/>
      <c r="AT293" s="48"/>
      <c r="AU293" s="48"/>
      <c r="AV293" s="48"/>
      <c r="AW293" s="50">
        <v>5.0</v>
      </c>
      <c r="AX293" s="48"/>
      <c r="AY293" s="48"/>
      <c r="AZ293" s="48"/>
      <c r="BA293" s="48"/>
      <c r="BB293" s="48"/>
      <c r="BC293" s="48"/>
      <c r="BD293" s="48"/>
      <c r="BE293" s="48"/>
      <c r="BF293" s="48"/>
      <c r="BG293" s="48"/>
      <c r="BH293" s="50">
        <v>5.0</v>
      </c>
      <c r="BI293" s="50">
        <v>0.0</v>
      </c>
      <c r="BJ293" s="50">
        <v>0.0</v>
      </c>
      <c r="BK293" s="50">
        <v>0.0</v>
      </c>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50">
        <v>7.08218465E8</v>
      </c>
      <c r="CL293" s="48" t="s">
        <v>4157</v>
      </c>
      <c r="CM293" s="47">
        <v>46108.08836805556</v>
      </c>
      <c r="CN293" s="48"/>
      <c r="CO293" s="48"/>
      <c r="CP293" s="48" t="s">
        <v>1954</v>
      </c>
      <c r="CQ293" s="48"/>
      <c r="CR293" s="48" t="s">
        <v>3014</v>
      </c>
      <c r="CS293" s="48"/>
      <c r="CT293" s="48" t="s">
        <v>4158</v>
      </c>
      <c r="CU293" s="50">
        <v>292.0</v>
      </c>
    </row>
    <row r="294">
      <c r="A294" s="47">
        <v>46108.37990810185</v>
      </c>
      <c r="B294" s="47">
        <v>46108.38075445602</v>
      </c>
      <c r="C294" s="48" t="s">
        <v>4159</v>
      </c>
      <c r="D294" s="48" t="s">
        <v>3733</v>
      </c>
      <c r="E294" s="48" t="s">
        <v>4020</v>
      </c>
      <c r="F294" s="48" t="s">
        <v>4039</v>
      </c>
      <c r="G294" s="49" t="s">
        <v>4160</v>
      </c>
      <c r="H294" s="48" t="s">
        <v>2948</v>
      </c>
      <c r="I294" s="50">
        <v>0.0</v>
      </c>
      <c r="J294" s="50">
        <v>1.0</v>
      </c>
      <c r="K294" s="50">
        <v>0.0</v>
      </c>
      <c r="L294" s="50">
        <v>0.0</v>
      </c>
      <c r="M294" s="50">
        <v>0.0</v>
      </c>
      <c r="N294" s="50">
        <v>0.0</v>
      </c>
      <c r="O294" s="50">
        <v>0.0</v>
      </c>
      <c r="P294" s="50">
        <v>0.0</v>
      </c>
      <c r="Q294" s="50">
        <v>0.0</v>
      </c>
      <c r="R294" s="48" t="s">
        <v>2948</v>
      </c>
      <c r="S294" s="50">
        <v>0.0</v>
      </c>
      <c r="T294" s="50">
        <v>1.0</v>
      </c>
      <c r="U294" s="50">
        <v>0.0</v>
      </c>
      <c r="V294" s="50">
        <v>0.0</v>
      </c>
      <c r="W294" s="50">
        <v>0.0</v>
      </c>
      <c r="X294" s="50">
        <v>0.0</v>
      </c>
      <c r="Y294" s="50">
        <v>0.0</v>
      </c>
      <c r="Z294" s="50">
        <v>0.0</v>
      </c>
      <c r="AA294" s="50">
        <v>0.0</v>
      </c>
      <c r="AB294" s="48" t="s">
        <v>2948</v>
      </c>
      <c r="AC294" s="50">
        <v>0.0</v>
      </c>
      <c r="AD294" s="50">
        <v>1.0</v>
      </c>
      <c r="AE294" s="50">
        <v>0.0</v>
      </c>
      <c r="AF294" s="50">
        <v>0.0</v>
      </c>
      <c r="AG294" s="50">
        <v>0.0</v>
      </c>
      <c r="AH294" s="50">
        <v>0.0</v>
      </c>
      <c r="AI294" s="50">
        <v>0.0</v>
      </c>
      <c r="AJ294" s="50">
        <v>0.0</v>
      </c>
      <c r="AK294" s="50">
        <v>0.0</v>
      </c>
      <c r="AL294" s="48"/>
      <c r="AM294" s="48"/>
      <c r="AN294" s="50">
        <v>4.0</v>
      </c>
      <c r="AO294" s="48"/>
      <c r="AP294" s="48"/>
      <c r="AQ294" s="48"/>
      <c r="AR294" s="48"/>
      <c r="AS294" s="48"/>
      <c r="AT294" s="48"/>
      <c r="AU294" s="48"/>
      <c r="AV294" s="48"/>
      <c r="AW294" s="50">
        <v>4.0</v>
      </c>
      <c r="AX294" s="48"/>
      <c r="AY294" s="48"/>
      <c r="AZ294" s="48"/>
      <c r="BA294" s="48"/>
      <c r="BB294" s="48"/>
      <c r="BC294" s="48"/>
      <c r="BD294" s="48"/>
      <c r="BE294" s="48"/>
      <c r="BF294" s="48"/>
      <c r="BG294" s="48"/>
      <c r="BH294" s="50">
        <v>4.0</v>
      </c>
      <c r="BI294" s="50">
        <v>0.0</v>
      </c>
      <c r="BJ294" s="50">
        <v>4.0</v>
      </c>
      <c r="BK294" s="50">
        <v>0.0</v>
      </c>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50">
        <v>7.08218944E8</v>
      </c>
      <c r="CL294" s="48" t="s">
        <v>4161</v>
      </c>
      <c r="CM294" s="47">
        <v>46108.08908564815</v>
      </c>
      <c r="CN294" s="48"/>
      <c r="CO294" s="48"/>
      <c r="CP294" s="48" t="s">
        <v>1954</v>
      </c>
      <c r="CQ294" s="48"/>
      <c r="CR294" s="48" t="s">
        <v>3014</v>
      </c>
      <c r="CS294" s="48"/>
      <c r="CT294" s="48" t="s">
        <v>4162</v>
      </c>
      <c r="CU294" s="50">
        <v>293.0</v>
      </c>
    </row>
    <row r="295">
      <c r="A295" s="47">
        <v>46108.37972833333</v>
      </c>
      <c r="B295" s="47">
        <v>46108.38120247685</v>
      </c>
      <c r="C295" s="48" t="s">
        <v>2415</v>
      </c>
      <c r="D295" s="48" t="s">
        <v>3733</v>
      </c>
      <c r="E295" s="48" t="s">
        <v>4020</v>
      </c>
      <c r="F295" s="48" t="s">
        <v>4039</v>
      </c>
      <c r="G295" s="49" t="s">
        <v>4160</v>
      </c>
      <c r="H295" s="48" t="s">
        <v>2948</v>
      </c>
      <c r="I295" s="50">
        <v>0.0</v>
      </c>
      <c r="J295" s="50">
        <v>1.0</v>
      </c>
      <c r="K295" s="50">
        <v>0.0</v>
      </c>
      <c r="L295" s="50">
        <v>0.0</v>
      </c>
      <c r="M295" s="50">
        <v>0.0</v>
      </c>
      <c r="N295" s="50">
        <v>0.0</v>
      </c>
      <c r="O295" s="50">
        <v>0.0</v>
      </c>
      <c r="P295" s="50">
        <v>0.0</v>
      </c>
      <c r="Q295" s="50">
        <v>0.0</v>
      </c>
      <c r="R295" s="48" t="s">
        <v>2948</v>
      </c>
      <c r="S295" s="50">
        <v>0.0</v>
      </c>
      <c r="T295" s="50">
        <v>1.0</v>
      </c>
      <c r="U295" s="50">
        <v>0.0</v>
      </c>
      <c r="V295" s="50">
        <v>0.0</v>
      </c>
      <c r="W295" s="50">
        <v>0.0</v>
      </c>
      <c r="X295" s="50">
        <v>0.0</v>
      </c>
      <c r="Y295" s="50">
        <v>0.0</v>
      </c>
      <c r="Z295" s="50">
        <v>0.0</v>
      </c>
      <c r="AA295" s="50">
        <v>0.0</v>
      </c>
      <c r="AB295" s="48" t="s">
        <v>2948</v>
      </c>
      <c r="AC295" s="50">
        <v>0.0</v>
      </c>
      <c r="AD295" s="50">
        <v>1.0</v>
      </c>
      <c r="AE295" s="50">
        <v>0.0</v>
      </c>
      <c r="AF295" s="50">
        <v>0.0</v>
      </c>
      <c r="AG295" s="50">
        <v>0.0</v>
      </c>
      <c r="AH295" s="50">
        <v>0.0</v>
      </c>
      <c r="AI295" s="50">
        <v>0.0</v>
      </c>
      <c r="AJ295" s="50">
        <v>0.0</v>
      </c>
      <c r="AK295" s="50">
        <v>0.0</v>
      </c>
      <c r="AL295" s="48"/>
      <c r="AM295" s="48"/>
      <c r="AN295" s="50">
        <v>4.0</v>
      </c>
      <c r="AO295" s="48"/>
      <c r="AP295" s="48"/>
      <c r="AQ295" s="48"/>
      <c r="AR295" s="48"/>
      <c r="AS295" s="48"/>
      <c r="AT295" s="48"/>
      <c r="AU295" s="48"/>
      <c r="AV295" s="48"/>
      <c r="AW295" s="50">
        <v>5.0</v>
      </c>
      <c r="AX295" s="48"/>
      <c r="AY295" s="48"/>
      <c r="AZ295" s="48"/>
      <c r="BA295" s="48"/>
      <c r="BB295" s="48"/>
      <c r="BC295" s="48"/>
      <c r="BD295" s="48"/>
      <c r="BE295" s="48"/>
      <c r="BF295" s="48"/>
      <c r="BG295" s="48"/>
      <c r="BH295" s="50">
        <v>4.0</v>
      </c>
      <c r="BI295" s="50">
        <v>0.0</v>
      </c>
      <c r="BJ295" s="50">
        <v>5.0</v>
      </c>
      <c r="BK295" s="50">
        <v>0.0</v>
      </c>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50">
        <v>7.08219248E8</v>
      </c>
      <c r="CL295" s="48" t="s">
        <v>4163</v>
      </c>
      <c r="CM295" s="47">
        <v>46108.08952546296</v>
      </c>
      <c r="CN295" s="48"/>
      <c r="CO295" s="48"/>
      <c r="CP295" s="48" t="s">
        <v>1954</v>
      </c>
      <c r="CQ295" s="48"/>
      <c r="CR295" s="48" t="s">
        <v>3014</v>
      </c>
      <c r="CS295" s="48"/>
      <c r="CT295" s="48" t="s">
        <v>4164</v>
      </c>
      <c r="CU295" s="50">
        <v>294.0</v>
      </c>
    </row>
    <row r="296">
      <c r="A296" s="47">
        <v>46108.36544769676</v>
      </c>
      <c r="B296" s="47">
        <v>46108.9293150926</v>
      </c>
      <c r="C296" s="48" t="s">
        <v>4165</v>
      </c>
      <c r="D296" s="48" t="s">
        <v>3733</v>
      </c>
      <c r="E296" s="48" t="s">
        <v>4020</v>
      </c>
      <c r="F296" s="48" t="s">
        <v>4039</v>
      </c>
      <c r="G296" s="49" t="s">
        <v>4166</v>
      </c>
      <c r="H296" s="48" t="s">
        <v>2948</v>
      </c>
      <c r="I296" s="50">
        <v>0.0</v>
      </c>
      <c r="J296" s="50">
        <v>1.0</v>
      </c>
      <c r="K296" s="50">
        <v>0.0</v>
      </c>
      <c r="L296" s="50">
        <v>0.0</v>
      </c>
      <c r="M296" s="50">
        <v>0.0</v>
      </c>
      <c r="N296" s="50">
        <v>0.0</v>
      </c>
      <c r="O296" s="50">
        <v>0.0</v>
      </c>
      <c r="P296" s="50">
        <v>0.0</v>
      </c>
      <c r="Q296" s="50">
        <v>0.0</v>
      </c>
      <c r="R296" s="48" t="s">
        <v>2948</v>
      </c>
      <c r="S296" s="50">
        <v>0.0</v>
      </c>
      <c r="T296" s="50">
        <v>1.0</v>
      </c>
      <c r="U296" s="50">
        <v>0.0</v>
      </c>
      <c r="V296" s="50">
        <v>0.0</v>
      </c>
      <c r="W296" s="50">
        <v>0.0</v>
      </c>
      <c r="X296" s="50">
        <v>0.0</v>
      </c>
      <c r="Y296" s="50">
        <v>0.0</v>
      </c>
      <c r="Z296" s="50">
        <v>0.0</v>
      </c>
      <c r="AA296" s="50">
        <v>0.0</v>
      </c>
      <c r="AB296" s="48" t="s">
        <v>2948</v>
      </c>
      <c r="AC296" s="50">
        <v>0.0</v>
      </c>
      <c r="AD296" s="50">
        <v>1.0</v>
      </c>
      <c r="AE296" s="50">
        <v>0.0</v>
      </c>
      <c r="AF296" s="50">
        <v>0.0</v>
      </c>
      <c r="AG296" s="50">
        <v>0.0</v>
      </c>
      <c r="AH296" s="50">
        <v>0.0</v>
      </c>
      <c r="AI296" s="50">
        <v>0.0</v>
      </c>
      <c r="AJ296" s="50">
        <v>0.0</v>
      </c>
      <c r="AK296" s="50">
        <v>0.0</v>
      </c>
      <c r="AL296" s="48"/>
      <c r="AM296" s="48"/>
      <c r="AN296" s="50">
        <v>0.0</v>
      </c>
      <c r="AO296" s="48"/>
      <c r="AP296" s="48"/>
      <c r="AQ296" s="48"/>
      <c r="AR296" s="48"/>
      <c r="AS296" s="48"/>
      <c r="AT296" s="48"/>
      <c r="AU296" s="48"/>
      <c r="AV296" s="48"/>
      <c r="AW296" s="50">
        <v>5.0</v>
      </c>
      <c r="AX296" s="48"/>
      <c r="AY296" s="48"/>
      <c r="AZ296" s="48"/>
      <c r="BA296" s="48"/>
      <c r="BB296" s="48"/>
      <c r="BC296" s="48"/>
      <c r="BD296" s="48"/>
      <c r="BE296" s="48"/>
      <c r="BF296" s="48"/>
      <c r="BG296" s="48"/>
      <c r="BH296" s="50">
        <v>8.0</v>
      </c>
      <c r="BI296" s="50">
        <v>2.0</v>
      </c>
      <c r="BJ296" s="50">
        <v>1.0</v>
      </c>
      <c r="BK296" s="50">
        <v>1.0</v>
      </c>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50">
        <v>7.08934058E8</v>
      </c>
      <c r="CL296" s="48" t="s">
        <v>4167</v>
      </c>
      <c r="CM296" s="47">
        <v>46108.63767361111</v>
      </c>
      <c r="CN296" s="48"/>
      <c r="CO296" s="48"/>
      <c r="CP296" s="48" t="s">
        <v>1954</v>
      </c>
      <c r="CQ296" s="48"/>
      <c r="CR296" s="48" t="s">
        <v>3014</v>
      </c>
      <c r="CS296" s="48"/>
      <c r="CT296" s="48" t="s">
        <v>4168</v>
      </c>
      <c r="CU296" s="50">
        <v>295.0</v>
      </c>
    </row>
    <row r="297">
      <c r="A297" s="47">
        <v>46108.92931712963</v>
      </c>
      <c r="B297" s="47">
        <v>46108.93045730324</v>
      </c>
      <c r="C297" s="48" t="s">
        <v>4169</v>
      </c>
      <c r="D297" s="48" t="s">
        <v>3733</v>
      </c>
      <c r="E297" s="48" t="s">
        <v>4020</v>
      </c>
      <c r="F297" s="48" t="s">
        <v>4039</v>
      </c>
      <c r="G297" s="49" t="s">
        <v>4170</v>
      </c>
      <c r="H297" s="48" t="s">
        <v>2948</v>
      </c>
      <c r="I297" s="50">
        <v>0.0</v>
      </c>
      <c r="J297" s="50">
        <v>1.0</v>
      </c>
      <c r="K297" s="50">
        <v>0.0</v>
      </c>
      <c r="L297" s="50">
        <v>0.0</v>
      </c>
      <c r="M297" s="50">
        <v>0.0</v>
      </c>
      <c r="N297" s="50">
        <v>0.0</v>
      </c>
      <c r="O297" s="50">
        <v>0.0</v>
      </c>
      <c r="P297" s="50">
        <v>0.0</v>
      </c>
      <c r="Q297" s="50">
        <v>0.0</v>
      </c>
      <c r="R297" s="48" t="s">
        <v>2948</v>
      </c>
      <c r="S297" s="50">
        <v>0.0</v>
      </c>
      <c r="T297" s="50">
        <v>1.0</v>
      </c>
      <c r="U297" s="50">
        <v>0.0</v>
      </c>
      <c r="V297" s="50">
        <v>0.0</v>
      </c>
      <c r="W297" s="50">
        <v>0.0</v>
      </c>
      <c r="X297" s="50">
        <v>0.0</v>
      </c>
      <c r="Y297" s="50">
        <v>0.0</v>
      </c>
      <c r="Z297" s="50">
        <v>0.0</v>
      </c>
      <c r="AA297" s="50">
        <v>0.0</v>
      </c>
      <c r="AB297" s="48" t="s">
        <v>2948</v>
      </c>
      <c r="AC297" s="50">
        <v>0.0</v>
      </c>
      <c r="AD297" s="50">
        <v>1.0</v>
      </c>
      <c r="AE297" s="50">
        <v>0.0</v>
      </c>
      <c r="AF297" s="50">
        <v>0.0</v>
      </c>
      <c r="AG297" s="50">
        <v>0.0</v>
      </c>
      <c r="AH297" s="50">
        <v>0.0</v>
      </c>
      <c r="AI297" s="50">
        <v>0.0</v>
      </c>
      <c r="AJ297" s="50">
        <v>0.0</v>
      </c>
      <c r="AK297" s="50">
        <v>0.0</v>
      </c>
      <c r="AL297" s="48"/>
      <c r="AM297" s="48"/>
      <c r="AN297" s="50">
        <v>5.0</v>
      </c>
      <c r="AO297" s="48"/>
      <c r="AP297" s="48"/>
      <c r="AQ297" s="48"/>
      <c r="AR297" s="48"/>
      <c r="AS297" s="48"/>
      <c r="AT297" s="48"/>
      <c r="AU297" s="48"/>
      <c r="AV297" s="48"/>
      <c r="AW297" s="50">
        <v>3.0</v>
      </c>
      <c r="AX297" s="48"/>
      <c r="AY297" s="48"/>
      <c r="AZ297" s="48"/>
      <c r="BA297" s="48"/>
      <c r="BB297" s="48"/>
      <c r="BC297" s="48"/>
      <c r="BD297" s="48"/>
      <c r="BE297" s="48"/>
      <c r="BF297" s="48"/>
      <c r="BG297" s="48"/>
      <c r="BH297" s="50">
        <v>1.0</v>
      </c>
      <c r="BI297" s="50">
        <v>2.0</v>
      </c>
      <c r="BJ297" s="50">
        <v>2.0</v>
      </c>
      <c r="BK297" s="50">
        <v>1.0</v>
      </c>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50">
        <v>7.08935577E8</v>
      </c>
      <c r="CL297" s="48" t="s">
        <v>4171</v>
      </c>
      <c r="CM297" s="47">
        <v>46108.63881944444</v>
      </c>
      <c r="CN297" s="48"/>
      <c r="CO297" s="48"/>
      <c r="CP297" s="48" t="s">
        <v>1954</v>
      </c>
      <c r="CQ297" s="48"/>
      <c r="CR297" s="48" t="s">
        <v>3014</v>
      </c>
      <c r="CS297" s="48"/>
      <c r="CT297" s="48" t="s">
        <v>4172</v>
      </c>
      <c r="CU297" s="50">
        <v>296.0</v>
      </c>
    </row>
    <row r="298">
      <c r="A298" s="47">
        <v>46108.93045998843</v>
      </c>
      <c r="B298" s="47">
        <v>46108.93113342593</v>
      </c>
      <c r="C298" s="48" t="s">
        <v>4173</v>
      </c>
      <c r="D298" s="48" t="s">
        <v>3733</v>
      </c>
      <c r="E298" s="48" t="s">
        <v>4020</v>
      </c>
      <c r="F298" s="48" t="s">
        <v>4039</v>
      </c>
      <c r="G298" s="49" t="s">
        <v>4174</v>
      </c>
      <c r="H298" s="48" t="s">
        <v>2948</v>
      </c>
      <c r="I298" s="50">
        <v>0.0</v>
      </c>
      <c r="J298" s="50">
        <v>1.0</v>
      </c>
      <c r="K298" s="50">
        <v>0.0</v>
      </c>
      <c r="L298" s="50">
        <v>0.0</v>
      </c>
      <c r="M298" s="50">
        <v>0.0</v>
      </c>
      <c r="N298" s="50">
        <v>0.0</v>
      </c>
      <c r="O298" s="50">
        <v>0.0</v>
      </c>
      <c r="P298" s="50">
        <v>0.0</v>
      </c>
      <c r="Q298" s="50">
        <v>0.0</v>
      </c>
      <c r="R298" s="48" t="s">
        <v>2948</v>
      </c>
      <c r="S298" s="50">
        <v>0.0</v>
      </c>
      <c r="T298" s="50">
        <v>1.0</v>
      </c>
      <c r="U298" s="50">
        <v>0.0</v>
      </c>
      <c r="V298" s="50">
        <v>0.0</v>
      </c>
      <c r="W298" s="50">
        <v>0.0</v>
      </c>
      <c r="X298" s="50">
        <v>0.0</v>
      </c>
      <c r="Y298" s="50">
        <v>0.0</v>
      </c>
      <c r="Z298" s="50">
        <v>0.0</v>
      </c>
      <c r="AA298" s="50">
        <v>0.0</v>
      </c>
      <c r="AB298" s="48" t="s">
        <v>2948</v>
      </c>
      <c r="AC298" s="50">
        <v>0.0</v>
      </c>
      <c r="AD298" s="50">
        <v>1.0</v>
      </c>
      <c r="AE298" s="50">
        <v>0.0</v>
      </c>
      <c r="AF298" s="50">
        <v>0.0</v>
      </c>
      <c r="AG298" s="50">
        <v>0.0</v>
      </c>
      <c r="AH298" s="50">
        <v>0.0</v>
      </c>
      <c r="AI298" s="50">
        <v>0.0</v>
      </c>
      <c r="AJ298" s="50">
        <v>0.0</v>
      </c>
      <c r="AK298" s="50">
        <v>0.0</v>
      </c>
      <c r="AL298" s="48"/>
      <c r="AM298" s="48"/>
      <c r="AN298" s="50">
        <v>8.0</v>
      </c>
      <c r="AO298" s="48"/>
      <c r="AP298" s="48"/>
      <c r="AQ298" s="48"/>
      <c r="AR298" s="48"/>
      <c r="AS298" s="48"/>
      <c r="AT298" s="48"/>
      <c r="AU298" s="48"/>
      <c r="AV298" s="48"/>
      <c r="AW298" s="50">
        <v>5.0</v>
      </c>
      <c r="AX298" s="48"/>
      <c r="AY298" s="48"/>
      <c r="AZ298" s="48"/>
      <c r="BA298" s="48"/>
      <c r="BB298" s="48"/>
      <c r="BC298" s="48"/>
      <c r="BD298" s="48"/>
      <c r="BE298" s="48"/>
      <c r="BF298" s="48"/>
      <c r="BG298" s="48"/>
      <c r="BH298" s="50">
        <v>2.0</v>
      </c>
      <c r="BI298" s="50">
        <v>3.0</v>
      </c>
      <c r="BJ298" s="50">
        <v>1.0</v>
      </c>
      <c r="BK298" s="50">
        <v>0.0</v>
      </c>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50">
        <v>7.08936434E8</v>
      </c>
      <c r="CL298" s="48" t="s">
        <v>4175</v>
      </c>
      <c r="CM298" s="47">
        <v>46108.63947916667</v>
      </c>
      <c r="CN298" s="48"/>
      <c r="CO298" s="48"/>
      <c r="CP298" s="48" t="s">
        <v>1954</v>
      </c>
      <c r="CQ298" s="48"/>
      <c r="CR298" s="48" t="s">
        <v>3014</v>
      </c>
      <c r="CS298" s="48"/>
      <c r="CT298" s="48" t="s">
        <v>4176</v>
      </c>
      <c r="CU298" s="50">
        <v>297.0</v>
      </c>
    </row>
    <row r="299">
      <c r="A299" s="47">
        <v>46108.93113591435</v>
      </c>
      <c r="B299" s="47">
        <v>46108.93192579861</v>
      </c>
      <c r="C299" s="48" t="s">
        <v>4177</v>
      </c>
      <c r="D299" s="48" t="s">
        <v>3733</v>
      </c>
      <c r="E299" s="48" t="s">
        <v>4020</v>
      </c>
      <c r="F299" s="48" t="s">
        <v>4039</v>
      </c>
      <c r="G299" s="49" t="s">
        <v>4178</v>
      </c>
      <c r="H299" s="48" t="s">
        <v>2948</v>
      </c>
      <c r="I299" s="50">
        <v>0.0</v>
      </c>
      <c r="J299" s="50">
        <v>1.0</v>
      </c>
      <c r="K299" s="50">
        <v>0.0</v>
      </c>
      <c r="L299" s="50">
        <v>0.0</v>
      </c>
      <c r="M299" s="50">
        <v>0.0</v>
      </c>
      <c r="N299" s="50">
        <v>0.0</v>
      </c>
      <c r="O299" s="50">
        <v>0.0</v>
      </c>
      <c r="P299" s="50">
        <v>0.0</v>
      </c>
      <c r="Q299" s="50">
        <v>0.0</v>
      </c>
      <c r="R299" s="48" t="s">
        <v>2948</v>
      </c>
      <c r="S299" s="50">
        <v>0.0</v>
      </c>
      <c r="T299" s="50">
        <v>1.0</v>
      </c>
      <c r="U299" s="50">
        <v>0.0</v>
      </c>
      <c r="V299" s="50">
        <v>0.0</v>
      </c>
      <c r="W299" s="50">
        <v>0.0</v>
      </c>
      <c r="X299" s="50">
        <v>0.0</v>
      </c>
      <c r="Y299" s="50">
        <v>0.0</v>
      </c>
      <c r="Z299" s="50">
        <v>0.0</v>
      </c>
      <c r="AA299" s="50">
        <v>0.0</v>
      </c>
      <c r="AB299" s="48" t="s">
        <v>2948</v>
      </c>
      <c r="AC299" s="50">
        <v>0.0</v>
      </c>
      <c r="AD299" s="50">
        <v>1.0</v>
      </c>
      <c r="AE299" s="50">
        <v>0.0</v>
      </c>
      <c r="AF299" s="50">
        <v>0.0</v>
      </c>
      <c r="AG299" s="50">
        <v>0.0</v>
      </c>
      <c r="AH299" s="50">
        <v>0.0</v>
      </c>
      <c r="AI299" s="50">
        <v>0.0</v>
      </c>
      <c r="AJ299" s="50">
        <v>0.0</v>
      </c>
      <c r="AK299" s="50">
        <v>0.0</v>
      </c>
      <c r="AL299" s="48"/>
      <c r="AM299" s="48"/>
      <c r="AN299" s="50">
        <v>4.0</v>
      </c>
      <c r="AO299" s="48"/>
      <c r="AP299" s="48"/>
      <c r="AQ299" s="48"/>
      <c r="AR299" s="48"/>
      <c r="AS299" s="48"/>
      <c r="AT299" s="48"/>
      <c r="AU299" s="48"/>
      <c r="AV299" s="48"/>
      <c r="AW299" s="50">
        <v>5.0</v>
      </c>
      <c r="AX299" s="48"/>
      <c r="AY299" s="48"/>
      <c r="AZ299" s="48"/>
      <c r="BA299" s="48"/>
      <c r="BB299" s="48"/>
      <c r="BC299" s="48"/>
      <c r="BD299" s="48"/>
      <c r="BE299" s="48"/>
      <c r="BF299" s="48"/>
      <c r="BG299" s="48"/>
      <c r="BH299" s="50">
        <v>2.0</v>
      </c>
      <c r="BI299" s="50">
        <v>3.0</v>
      </c>
      <c r="BJ299" s="50">
        <v>1.0</v>
      </c>
      <c r="BK299" s="50">
        <v>2.0</v>
      </c>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50">
        <v>7.08937629E8</v>
      </c>
      <c r="CL299" s="48" t="s">
        <v>4179</v>
      </c>
      <c r="CM299" s="47">
        <v>46108.64026620371</v>
      </c>
      <c r="CN299" s="48"/>
      <c r="CO299" s="48"/>
      <c r="CP299" s="48" t="s">
        <v>1954</v>
      </c>
      <c r="CQ299" s="48"/>
      <c r="CR299" s="48" t="s">
        <v>3014</v>
      </c>
      <c r="CS299" s="48"/>
      <c r="CT299" s="48" t="s">
        <v>4180</v>
      </c>
      <c r="CU299" s="50">
        <v>298.0</v>
      </c>
    </row>
    <row r="300">
      <c r="A300" s="47">
        <v>46108.93192868055</v>
      </c>
      <c r="B300" s="47">
        <v>46108.93247445602</v>
      </c>
      <c r="C300" s="48" t="s">
        <v>4181</v>
      </c>
      <c r="D300" s="48" t="s">
        <v>3733</v>
      </c>
      <c r="E300" s="48" t="s">
        <v>4020</v>
      </c>
      <c r="F300" s="48" t="s">
        <v>4039</v>
      </c>
      <c r="G300" s="49" t="s">
        <v>4182</v>
      </c>
      <c r="H300" s="48" t="s">
        <v>2948</v>
      </c>
      <c r="I300" s="50">
        <v>0.0</v>
      </c>
      <c r="J300" s="50">
        <v>1.0</v>
      </c>
      <c r="K300" s="50">
        <v>0.0</v>
      </c>
      <c r="L300" s="50">
        <v>0.0</v>
      </c>
      <c r="M300" s="50">
        <v>0.0</v>
      </c>
      <c r="N300" s="50">
        <v>0.0</v>
      </c>
      <c r="O300" s="50">
        <v>0.0</v>
      </c>
      <c r="P300" s="50">
        <v>0.0</v>
      </c>
      <c r="Q300" s="50">
        <v>0.0</v>
      </c>
      <c r="R300" s="48" t="s">
        <v>2948</v>
      </c>
      <c r="S300" s="50">
        <v>0.0</v>
      </c>
      <c r="T300" s="50">
        <v>1.0</v>
      </c>
      <c r="U300" s="50">
        <v>0.0</v>
      </c>
      <c r="V300" s="50">
        <v>0.0</v>
      </c>
      <c r="W300" s="50">
        <v>0.0</v>
      </c>
      <c r="X300" s="50">
        <v>0.0</v>
      </c>
      <c r="Y300" s="50">
        <v>0.0</v>
      </c>
      <c r="Z300" s="50">
        <v>0.0</v>
      </c>
      <c r="AA300" s="50">
        <v>0.0</v>
      </c>
      <c r="AB300" s="48" t="s">
        <v>2948</v>
      </c>
      <c r="AC300" s="50">
        <v>0.0</v>
      </c>
      <c r="AD300" s="50">
        <v>1.0</v>
      </c>
      <c r="AE300" s="50">
        <v>0.0</v>
      </c>
      <c r="AF300" s="50">
        <v>0.0</v>
      </c>
      <c r="AG300" s="50">
        <v>0.0</v>
      </c>
      <c r="AH300" s="50">
        <v>0.0</v>
      </c>
      <c r="AI300" s="50">
        <v>0.0</v>
      </c>
      <c r="AJ300" s="50">
        <v>0.0</v>
      </c>
      <c r="AK300" s="50">
        <v>0.0</v>
      </c>
      <c r="AL300" s="48"/>
      <c r="AM300" s="48"/>
      <c r="AN300" s="50">
        <v>2.0</v>
      </c>
      <c r="AO300" s="48"/>
      <c r="AP300" s="48"/>
      <c r="AQ300" s="48"/>
      <c r="AR300" s="48"/>
      <c r="AS300" s="48"/>
      <c r="AT300" s="48"/>
      <c r="AU300" s="48"/>
      <c r="AV300" s="48"/>
      <c r="AW300" s="50">
        <v>6.0</v>
      </c>
      <c r="AX300" s="48"/>
      <c r="AY300" s="48"/>
      <c r="AZ300" s="48"/>
      <c r="BA300" s="48"/>
      <c r="BB300" s="48"/>
      <c r="BC300" s="48"/>
      <c r="BD300" s="48"/>
      <c r="BE300" s="48"/>
      <c r="BF300" s="48"/>
      <c r="BG300" s="48"/>
      <c r="BH300" s="50">
        <v>3.0</v>
      </c>
      <c r="BI300" s="50">
        <v>1.0</v>
      </c>
      <c r="BJ300" s="50">
        <v>1.0</v>
      </c>
      <c r="BK300" s="50">
        <v>3.0</v>
      </c>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50">
        <v>7.08938623E8</v>
      </c>
      <c r="CL300" s="48" t="s">
        <v>4183</v>
      </c>
      <c r="CM300" s="47">
        <v>46108.64082175926</v>
      </c>
      <c r="CN300" s="48"/>
      <c r="CO300" s="48"/>
      <c r="CP300" s="48" t="s">
        <v>1954</v>
      </c>
      <c r="CQ300" s="48"/>
      <c r="CR300" s="48" t="s">
        <v>3014</v>
      </c>
      <c r="CS300" s="48"/>
      <c r="CT300" s="48" t="s">
        <v>4184</v>
      </c>
      <c r="CU300" s="50">
        <v>299.0</v>
      </c>
    </row>
    <row r="301">
      <c r="A301" s="47">
        <v>46108.93247722222</v>
      </c>
      <c r="B301" s="47">
        <v>46108.93307413194</v>
      </c>
      <c r="C301" s="48" t="s">
        <v>4185</v>
      </c>
      <c r="D301" s="48" t="s">
        <v>3733</v>
      </c>
      <c r="E301" s="48" t="s">
        <v>4020</v>
      </c>
      <c r="F301" s="48" t="s">
        <v>4039</v>
      </c>
      <c r="G301" s="49" t="s">
        <v>4186</v>
      </c>
      <c r="H301" s="48" t="s">
        <v>2948</v>
      </c>
      <c r="I301" s="50">
        <v>0.0</v>
      </c>
      <c r="J301" s="50">
        <v>1.0</v>
      </c>
      <c r="K301" s="50">
        <v>0.0</v>
      </c>
      <c r="L301" s="50">
        <v>0.0</v>
      </c>
      <c r="M301" s="50">
        <v>0.0</v>
      </c>
      <c r="N301" s="50">
        <v>0.0</v>
      </c>
      <c r="O301" s="50">
        <v>0.0</v>
      </c>
      <c r="P301" s="50">
        <v>0.0</v>
      </c>
      <c r="Q301" s="50">
        <v>0.0</v>
      </c>
      <c r="R301" s="48" t="s">
        <v>2948</v>
      </c>
      <c r="S301" s="50">
        <v>0.0</v>
      </c>
      <c r="T301" s="50">
        <v>1.0</v>
      </c>
      <c r="U301" s="50">
        <v>0.0</v>
      </c>
      <c r="V301" s="50">
        <v>0.0</v>
      </c>
      <c r="W301" s="50">
        <v>0.0</v>
      </c>
      <c r="X301" s="50">
        <v>0.0</v>
      </c>
      <c r="Y301" s="50">
        <v>0.0</v>
      </c>
      <c r="Z301" s="50">
        <v>0.0</v>
      </c>
      <c r="AA301" s="50">
        <v>0.0</v>
      </c>
      <c r="AB301" s="48" t="s">
        <v>2948</v>
      </c>
      <c r="AC301" s="50">
        <v>0.0</v>
      </c>
      <c r="AD301" s="50">
        <v>1.0</v>
      </c>
      <c r="AE301" s="50">
        <v>0.0</v>
      </c>
      <c r="AF301" s="50">
        <v>0.0</v>
      </c>
      <c r="AG301" s="50">
        <v>0.0</v>
      </c>
      <c r="AH301" s="50">
        <v>0.0</v>
      </c>
      <c r="AI301" s="50">
        <v>0.0</v>
      </c>
      <c r="AJ301" s="50">
        <v>0.0</v>
      </c>
      <c r="AK301" s="50">
        <v>0.0</v>
      </c>
      <c r="AL301" s="48"/>
      <c r="AM301" s="48"/>
      <c r="AN301" s="50">
        <v>0.0</v>
      </c>
      <c r="AO301" s="48"/>
      <c r="AP301" s="48"/>
      <c r="AQ301" s="48"/>
      <c r="AR301" s="48"/>
      <c r="AS301" s="48"/>
      <c r="AT301" s="48"/>
      <c r="AU301" s="48"/>
      <c r="AV301" s="48"/>
      <c r="AW301" s="50">
        <v>5.0</v>
      </c>
      <c r="AX301" s="48"/>
      <c r="AY301" s="48"/>
      <c r="AZ301" s="48"/>
      <c r="BA301" s="48"/>
      <c r="BB301" s="48"/>
      <c r="BC301" s="48"/>
      <c r="BD301" s="48"/>
      <c r="BE301" s="48"/>
      <c r="BF301" s="48"/>
      <c r="BG301" s="48"/>
      <c r="BH301" s="50">
        <v>4.0</v>
      </c>
      <c r="BI301" s="50">
        <v>0.0</v>
      </c>
      <c r="BJ301" s="50">
        <v>2.0</v>
      </c>
      <c r="BK301" s="50">
        <v>2.0</v>
      </c>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50">
        <v>7.08939362E8</v>
      </c>
      <c r="CL301" s="48" t="s">
        <v>4187</v>
      </c>
      <c r="CM301" s="47">
        <v>46108.64142361111</v>
      </c>
      <c r="CN301" s="48"/>
      <c r="CO301" s="48"/>
      <c r="CP301" s="48" t="s">
        <v>1954</v>
      </c>
      <c r="CQ301" s="48"/>
      <c r="CR301" s="48" t="s">
        <v>3014</v>
      </c>
      <c r="CS301" s="48"/>
      <c r="CT301" s="48" t="s">
        <v>4188</v>
      </c>
      <c r="CU301" s="50">
        <v>300.0</v>
      </c>
    </row>
    <row r="302">
      <c r="A302" s="47">
        <v>46108.93307671296</v>
      </c>
      <c r="B302" s="47">
        <v>46108.93374067129</v>
      </c>
      <c r="C302" s="48" t="s">
        <v>4189</v>
      </c>
      <c r="D302" s="48" t="s">
        <v>3733</v>
      </c>
      <c r="E302" s="48" t="s">
        <v>4020</v>
      </c>
      <c r="F302" s="48" t="s">
        <v>4039</v>
      </c>
      <c r="G302" s="49" t="s">
        <v>4190</v>
      </c>
      <c r="H302" s="48" t="s">
        <v>2948</v>
      </c>
      <c r="I302" s="50">
        <v>0.0</v>
      </c>
      <c r="J302" s="50">
        <v>1.0</v>
      </c>
      <c r="K302" s="50">
        <v>0.0</v>
      </c>
      <c r="L302" s="50">
        <v>0.0</v>
      </c>
      <c r="M302" s="50">
        <v>0.0</v>
      </c>
      <c r="N302" s="50">
        <v>0.0</v>
      </c>
      <c r="O302" s="50">
        <v>0.0</v>
      </c>
      <c r="P302" s="50">
        <v>0.0</v>
      </c>
      <c r="Q302" s="50">
        <v>0.0</v>
      </c>
      <c r="R302" s="48" t="s">
        <v>2948</v>
      </c>
      <c r="S302" s="50">
        <v>0.0</v>
      </c>
      <c r="T302" s="50">
        <v>1.0</v>
      </c>
      <c r="U302" s="50">
        <v>0.0</v>
      </c>
      <c r="V302" s="50">
        <v>0.0</v>
      </c>
      <c r="W302" s="50">
        <v>0.0</v>
      </c>
      <c r="X302" s="50">
        <v>0.0</v>
      </c>
      <c r="Y302" s="50">
        <v>0.0</v>
      </c>
      <c r="Z302" s="50">
        <v>0.0</v>
      </c>
      <c r="AA302" s="50">
        <v>0.0</v>
      </c>
      <c r="AB302" s="48" t="s">
        <v>2948</v>
      </c>
      <c r="AC302" s="50">
        <v>0.0</v>
      </c>
      <c r="AD302" s="50">
        <v>1.0</v>
      </c>
      <c r="AE302" s="50">
        <v>0.0</v>
      </c>
      <c r="AF302" s="50">
        <v>0.0</v>
      </c>
      <c r="AG302" s="50">
        <v>0.0</v>
      </c>
      <c r="AH302" s="50">
        <v>0.0</v>
      </c>
      <c r="AI302" s="50">
        <v>0.0</v>
      </c>
      <c r="AJ302" s="50">
        <v>0.0</v>
      </c>
      <c r="AK302" s="50">
        <v>0.0</v>
      </c>
      <c r="AL302" s="48"/>
      <c r="AM302" s="48"/>
      <c r="AN302" s="50">
        <v>9.0</v>
      </c>
      <c r="AO302" s="48"/>
      <c r="AP302" s="48"/>
      <c r="AQ302" s="48"/>
      <c r="AR302" s="48"/>
      <c r="AS302" s="48"/>
      <c r="AT302" s="48"/>
      <c r="AU302" s="48"/>
      <c r="AV302" s="48"/>
      <c r="AW302" s="50">
        <v>8.0</v>
      </c>
      <c r="AX302" s="48"/>
      <c r="AY302" s="48"/>
      <c r="AZ302" s="48"/>
      <c r="BA302" s="48"/>
      <c r="BB302" s="48"/>
      <c r="BC302" s="48"/>
      <c r="BD302" s="48"/>
      <c r="BE302" s="48"/>
      <c r="BF302" s="48"/>
      <c r="BG302" s="48"/>
      <c r="BH302" s="50">
        <v>2.0</v>
      </c>
      <c r="BI302" s="50">
        <v>0.0</v>
      </c>
      <c r="BJ302" s="50">
        <v>3.0</v>
      </c>
      <c r="BK302" s="50">
        <v>0.0</v>
      </c>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50">
        <v>7.08940225E8</v>
      </c>
      <c r="CL302" s="48" t="s">
        <v>4191</v>
      </c>
      <c r="CM302" s="47">
        <v>46108.64208333333</v>
      </c>
      <c r="CN302" s="48"/>
      <c r="CO302" s="48"/>
      <c r="CP302" s="48" t="s">
        <v>1954</v>
      </c>
      <c r="CQ302" s="48"/>
      <c r="CR302" s="48" t="s">
        <v>3014</v>
      </c>
      <c r="CS302" s="48"/>
      <c r="CT302" s="48" t="s">
        <v>4192</v>
      </c>
      <c r="CU302" s="50">
        <v>301.0</v>
      </c>
    </row>
    <row r="303">
      <c r="A303" s="47">
        <v>46108.93374346065</v>
      </c>
      <c r="B303" s="47">
        <v>46108.93442752315</v>
      </c>
      <c r="C303" s="48" t="s">
        <v>4193</v>
      </c>
      <c r="D303" s="48" t="s">
        <v>3733</v>
      </c>
      <c r="E303" s="48" t="s">
        <v>4020</v>
      </c>
      <c r="F303" s="48" t="s">
        <v>4039</v>
      </c>
      <c r="G303" s="49" t="s">
        <v>4194</v>
      </c>
      <c r="H303" s="48" t="s">
        <v>2948</v>
      </c>
      <c r="I303" s="50">
        <v>0.0</v>
      </c>
      <c r="J303" s="50">
        <v>1.0</v>
      </c>
      <c r="K303" s="50">
        <v>0.0</v>
      </c>
      <c r="L303" s="50">
        <v>0.0</v>
      </c>
      <c r="M303" s="50">
        <v>0.0</v>
      </c>
      <c r="N303" s="50">
        <v>0.0</v>
      </c>
      <c r="O303" s="50">
        <v>0.0</v>
      </c>
      <c r="P303" s="50">
        <v>0.0</v>
      </c>
      <c r="Q303" s="50">
        <v>0.0</v>
      </c>
      <c r="R303" s="48" t="s">
        <v>2948</v>
      </c>
      <c r="S303" s="50">
        <v>0.0</v>
      </c>
      <c r="T303" s="50">
        <v>1.0</v>
      </c>
      <c r="U303" s="50">
        <v>0.0</v>
      </c>
      <c r="V303" s="50">
        <v>0.0</v>
      </c>
      <c r="W303" s="50">
        <v>0.0</v>
      </c>
      <c r="X303" s="50">
        <v>0.0</v>
      </c>
      <c r="Y303" s="50">
        <v>0.0</v>
      </c>
      <c r="Z303" s="50">
        <v>0.0</v>
      </c>
      <c r="AA303" s="50">
        <v>0.0</v>
      </c>
      <c r="AB303" s="48" t="s">
        <v>2948</v>
      </c>
      <c r="AC303" s="50">
        <v>0.0</v>
      </c>
      <c r="AD303" s="50">
        <v>1.0</v>
      </c>
      <c r="AE303" s="50">
        <v>0.0</v>
      </c>
      <c r="AF303" s="50">
        <v>0.0</v>
      </c>
      <c r="AG303" s="50">
        <v>0.0</v>
      </c>
      <c r="AH303" s="50">
        <v>0.0</v>
      </c>
      <c r="AI303" s="50">
        <v>0.0</v>
      </c>
      <c r="AJ303" s="50">
        <v>0.0</v>
      </c>
      <c r="AK303" s="50">
        <v>0.0</v>
      </c>
      <c r="AL303" s="48"/>
      <c r="AM303" s="48"/>
      <c r="AN303" s="50">
        <v>2.0</v>
      </c>
      <c r="AO303" s="48"/>
      <c r="AP303" s="48"/>
      <c r="AQ303" s="48"/>
      <c r="AR303" s="48"/>
      <c r="AS303" s="48"/>
      <c r="AT303" s="48"/>
      <c r="AU303" s="48"/>
      <c r="AV303" s="48"/>
      <c r="AW303" s="50">
        <v>1.0</v>
      </c>
      <c r="AX303" s="48"/>
      <c r="AY303" s="48"/>
      <c r="AZ303" s="48"/>
      <c r="BA303" s="48"/>
      <c r="BB303" s="48"/>
      <c r="BC303" s="48"/>
      <c r="BD303" s="48"/>
      <c r="BE303" s="48"/>
      <c r="BF303" s="48"/>
      <c r="BG303" s="48"/>
      <c r="BH303" s="50">
        <v>0.0</v>
      </c>
      <c r="BI303" s="50">
        <v>0.0</v>
      </c>
      <c r="BJ303" s="50">
        <v>1.0</v>
      </c>
      <c r="BK303" s="50">
        <v>0.0</v>
      </c>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50">
        <v>7.08941136E8</v>
      </c>
      <c r="CL303" s="48" t="s">
        <v>4195</v>
      </c>
      <c r="CM303" s="47">
        <v>46108.64277777778</v>
      </c>
      <c r="CN303" s="48"/>
      <c r="CO303" s="48"/>
      <c r="CP303" s="48" t="s">
        <v>1954</v>
      </c>
      <c r="CQ303" s="48"/>
      <c r="CR303" s="48" t="s">
        <v>3014</v>
      </c>
      <c r="CS303" s="48"/>
      <c r="CT303" s="48" t="s">
        <v>4196</v>
      </c>
      <c r="CU303" s="50">
        <v>302.0</v>
      </c>
    </row>
    <row r="304">
      <c r="A304" s="47">
        <v>46108.93443010416</v>
      </c>
      <c r="B304" s="47">
        <v>46108.93527109954</v>
      </c>
      <c r="C304" s="48" t="s">
        <v>4197</v>
      </c>
      <c r="D304" s="48" t="s">
        <v>3733</v>
      </c>
      <c r="E304" s="48" t="s">
        <v>4020</v>
      </c>
      <c r="F304" s="48" t="s">
        <v>4039</v>
      </c>
      <c r="G304" s="49" t="s">
        <v>4198</v>
      </c>
      <c r="H304" s="48" t="s">
        <v>2948</v>
      </c>
      <c r="I304" s="50">
        <v>0.0</v>
      </c>
      <c r="J304" s="50">
        <v>1.0</v>
      </c>
      <c r="K304" s="50">
        <v>0.0</v>
      </c>
      <c r="L304" s="50">
        <v>0.0</v>
      </c>
      <c r="M304" s="50">
        <v>0.0</v>
      </c>
      <c r="N304" s="50">
        <v>0.0</v>
      </c>
      <c r="O304" s="50">
        <v>0.0</v>
      </c>
      <c r="P304" s="50">
        <v>0.0</v>
      </c>
      <c r="Q304" s="50">
        <v>0.0</v>
      </c>
      <c r="R304" s="48" t="s">
        <v>2948</v>
      </c>
      <c r="S304" s="50">
        <v>0.0</v>
      </c>
      <c r="T304" s="50">
        <v>1.0</v>
      </c>
      <c r="U304" s="50">
        <v>0.0</v>
      </c>
      <c r="V304" s="50">
        <v>0.0</v>
      </c>
      <c r="W304" s="50">
        <v>0.0</v>
      </c>
      <c r="X304" s="50">
        <v>0.0</v>
      </c>
      <c r="Y304" s="50">
        <v>0.0</v>
      </c>
      <c r="Z304" s="50">
        <v>0.0</v>
      </c>
      <c r="AA304" s="50">
        <v>0.0</v>
      </c>
      <c r="AB304" s="48" t="s">
        <v>2948</v>
      </c>
      <c r="AC304" s="50">
        <v>0.0</v>
      </c>
      <c r="AD304" s="50">
        <v>1.0</v>
      </c>
      <c r="AE304" s="50">
        <v>0.0</v>
      </c>
      <c r="AF304" s="50">
        <v>0.0</v>
      </c>
      <c r="AG304" s="50">
        <v>0.0</v>
      </c>
      <c r="AH304" s="50">
        <v>0.0</v>
      </c>
      <c r="AI304" s="50">
        <v>0.0</v>
      </c>
      <c r="AJ304" s="50">
        <v>0.0</v>
      </c>
      <c r="AK304" s="50">
        <v>0.0</v>
      </c>
      <c r="AL304" s="48"/>
      <c r="AM304" s="48"/>
      <c r="AN304" s="50">
        <v>11.0</v>
      </c>
      <c r="AO304" s="48"/>
      <c r="AP304" s="48"/>
      <c r="AQ304" s="48"/>
      <c r="AR304" s="48"/>
      <c r="AS304" s="48"/>
      <c r="AT304" s="48"/>
      <c r="AU304" s="48"/>
      <c r="AV304" s="48"/>
      <c r="AW304" s="50">
        <v>3.0</v>
      </c>
      <c r="AX304" s="48"/>
      <c r="AY304" s="48"/>
      <c r="AZ304" s="48"/>
      <c r="BA304" s="48"/>
      <c r="BB304" s="48"/>
      <c r="BC304" s="48"/>
      <c r="BD304" s="48"/>
      <c r="BE304" s="48"/>
      <c r="BF304" s="48"/>
      <c r="BG304" s="48"/>
      <c r="BH304" s="50">
        <v>1.0</v>
      </c>
      <c r="BI304" s="50">
        <v>5.0</v>
      </c>
      <c r="BJ304" s="50">
        <v>3.0</v>
      </c>
      <c r="BK304" s="50">
        <v>0.0</v>
      </c>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50">
        <v>7.08942243E8</v>
      </c>
      <c r="CL304" s="48" t="s">
        <v>4199</v>
      </c>
      <c r="CM304" s="47">
        <v>46108.64362268519</v>
      </c>
      <c r="CN304" s="48"/>
      <c r="CO304" s="48"/>
      <c r="CP304" s="48" t="s">
        <v>1954</v>
      </c>
      <c r="CQ304" s="48"/>
      <c r="CR304" s="48" t="s">
        <v>3014</v>
      </c>
      <c r="CS304" s="48"/>
      <c r="CT304" s="48" t="s">
        <v>4200</v>
      </c>
      <c r="CU304" s="50">
        <v>303.0</v>
      </c>
    </row>
    <row r="305">
      <c r="A305" s="47">
        <v>46108.93527375</v>
      </c>
      <c r="B305" s="47">
        <v>46108.93583510417</v>
      </c>
      <c r="C305" s="48" t="s">
        <v>4201</v>
      </c>
      <c r="D305" s="48" t="s">
        <v>3733</v>
      </c>
      <c r="E305" s="48" t="s">
        <v>4020</v>
      </c>
      <c r="F305" s="48" t="s">
        <v>4039</v>
      </c>
      <c r="G305" s="49" t="s">
        <v>4202</v>
      </c>
      <c r="H305" s="48" t="s">
        <v>2948</v>
      </c>
      <c r="I305" s="50">
        <v>0.0</v>
      </c>
      <c r="J305" s="50">
        <v>1.0</v>
      </c>
      <c r="K305" s="50">
        <v>0.0</v>
      </c>
      <c r="L305" s="50">
        <v>0.0</v>
      </c>
      <c r="M305" s="50">
        <v>0.0</v>
      </c>
      <c r="N305" s="50">
        <v>0.0</v>
      </c>
      <c r="O305" s="50">
        <v>0.0</v>
      </c>
      <c r="P305" s="50">
        <v>0.0</v>
      </c>
      <c r="Q305" s="50">
        <v>0.0</v>
      </c>
      <c r="R305" s="48" t="s">
        <v>2948</v>
      </c>
      <c r="S305" s="50">
        <v>0.0</v>
      </c>
      <c r="T305" s="50">
        <v>1.0</v>
      </c>
      <c r="U305" s="50">
        <v>0.0</v>
      </c>
      <c r="V305" s="50">
        <v>0.0</v>
      </c>
      <c r="W305" s="50">
        <v>0.0</v>
      </c>
      <c r="X305" s="50">
        <v>0.0</v>
      </c>
      <c r="Y305" s="50">
        <v>0.0</v>
      </c>
      <c r="Z305" s="50">
        <v>0.0</v>
      </c>
      <c r="AA305" s="50">
        <v>0.0</v>
      </c>
      <c r="AB305" s="48" t="s">
        <v>2948</v>
      </c>
      <c r="AC305" s="50">
        <v>0.0</v>
      </c>
      <c r="AD305" s="50">
        <v>1.0</v>
      </c>
      <c r="AE305" s="50">
        <v>0.0</v>
      </c>
      <c r="AF305" s="50">
        <v>0.0</v>
      </c>
      <c r="AG305" s="50">
        <v>0.0</v>
      </c>
      <c r="AH305" s="50">
        <v>0.0</v>
      </c>
      <c r="AI305" s="50">
        <v>0.0</v>
      </c>
      <c r="AJ305" s="50">
        <v>0.0</v>
      </c>
      <c r="AK305" s="50">
        <v>0.0</v>
      </c>
      <c r="AL305" s="48"/>
      <c r="AM305" s="48"/>
      <c r="AN305" s="50">
        <v>11.0</v>
      </c>
      <c r="AO305" s="48"/>
      <c r="AP305" s="48"/>
      <c r="AQ305" s="48"/>
      <c r="AR305" s="48"/>
      <c r="AS305" s="48"/>
      <c r="AT305" s="48"/>
      <c r="AU305" s="48"/>
      <c r="AV305" s="48"/>
      <c r="AW305" s="50">
        <v>5.0</v>
      </c>
      <c r="AX305" s="48"/>
      <c r="AY305" s="48"/>
      <c r="AZ305" s="48"/>
      <c r="BA305" s="48"/>
      <c r="BB305" s="48"/>
      <c r="BC305" s="48"/>
      <c r="BD305" s="48"/>
      <c r="BE305" s="48"/>
      <c r="BF305" s="48"/>
      <c r="BG305" s="48"/>
      <c r="BH305" s="50">
        <v>0.0</v>
      </c>
      <c r="BI305" s="50">
        <v>0.0</v>
      </c>
      <c r="BJ305" s="50">
        <v>4.0</v>
      </c>
      <c r="BK305" s="50">
        <v>0.0</v>
      </c>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50">
        <v>7.08942997E8</v>
      </c>
      <c r="CL305" s="48" t="s">
        <v>4203</v>
      </c>
      <c r="CM305" s="47">
        <v>46108.64417824074</v>
      </c>
      <c r="CN305" s="48"/>
      <c r="CO305" s="48"/>
      <c r="CP305" s="48" t="s">
        <v>1954</v>
      </c>
      <c r="CQ305" s="48"/>
      <c r="CR305" s="48" t="s">
        <v>3014</v>
      </c>
      <c r="CS305" s="48"/>
      <c r="CT305" s="48" t="s">
        <v>4204</v>
      </c>
      <c r="CU305" s="50">
        <v>304.0</v>
      </c>
    </row>
    <row r="306">
      <c r="A306" s="47">
        <v>46108.93583770833</v>
      </c>
      <c r="B306" s="47">
        <v>46108.93640384259</v>
      </c>
      <c r="C306" s="48" t="s">
        <v>4205</v>
      </c>
      <c r="D306" s="48" t="s">
        <v>3733</v>
      </c>
      <c r="E306" s="48" t="s">
        <v>4020</v>
      </c>
      <c r="F306" s="48" t="s">
        <v>4039</v>
      </c>
      <c r="G306" s="49" t="s">
        <v>4206</v>
      </c>
      <c r="H306" s="48" t="s">
        <v>2948</v>
      </c>
      <c r="I306" s="50">
        <v>0.0</v>
      </c>
      <c r="J306" s="50">
        <v>1.0</v>
      </c>
      <c r="K306" s="50">
        <v>0.0</v>
      </c>
      <c r="L306" s="50">
        <v>0.0</v>
      </c>
      <c r="M306" s="50">
        <v>0.0</v>
      </c>
      <c r="N306" s="50">
        <v>0.0</v>
      </c>
      <c r="O306" s="50">
        <v>0.0</v>
      </c>
      <c r="P306" s="50">
        <v>0.0</v>
      </c>
      <c r="Q306" s="50">
        <v>0.0</v>
      </c>
      <c r="R306" s="48" t="s">
        <v>2948</v>
      </c>
      <c r="S306" s="50">
        <v>0.0</v>
      </c>
      <c r="T306" s="50">
        <v>1.0</v>
      </c>
      <c r="U306" s="50">
        <v>0.0</v>
      </c>
      <c r="V306" s="50">
        <v>0.0</v>
      </c>
      <c r="W306" s="50">
        <v>0.0</v>
      </c>
      <c r="X306" s="50">
        <v>0.0</v>
      </c>
      <c r="Y306" s="50">
        <v>0.0</v>
      </c>
      <c r="Z306" s="50">
        <v>0.0</v>
      </c>
      <c r="AA306" s="50">
        <v>0.0</v>
      </c>
      <c r="AB306" s="48" t="s">
        <v>2948</v>
      </c>
      <c r="AC306" s="50">
        <v>0.0</v>
      </c>
      <c r="AD306" s="50">
        <v>1.0</v>
      </c>
      <c r="AE306" s="50">
        <v>0.0</v>
      </c>
      <c r="AF306" s="50">
        <v>0.0</v>
      </c>
      <c r="AG306" s="50">
        <v>0.0</v>
      </c>
      <c r="AH306" s="50">
        <v>0.0</v>
      </c>
      <c r="AI306" s="50">
        <v>0.0</v>
      </c>
      <c r="AJ306" s="50">
        <v>0.0</v>
      </c>
      <c r="AK306" s="50">
        <v>0.0</v>
      </c>
      <c r="AL306" s="48"/>
      <c r="AM306" s="48"/>
      <c r="AN306" s="50">
        <v>10.0</v>
      </c>
      <c r="AO306" s="48"/>
      <c r="AP306" s="48"/>
      <c r="AQ306" s="48"/>
      <c r="AR306" s="48"/>
      <c r="AS306" s="48"/>
      <c r="AT306" s="48"/>
      <c r="AU306" s="48"/>
      <c r="AV306" s="48"/>
      <c r="AW306" s="50">
        <v>3.0</v>
      </c>
      <c r="AX306" s="48"/>
      <c r="AY306" s="48"/>
      <c r="AZ306" s="48"/>
      <c r="BA306" s="48"/>
      <c r="BB306" s="48"/>
      <c r="BC306" s="48"/>
      <c r="BD306" s="48"/>
      <c r="BE306" s="48"/>
      <c r="BF306" s="48"/>
      <c r="BG306" s="48"/>
      <c r="BH306" s="50">
        <v>0.0</v>
      </c>
      <c r="BI306" s="50">
        <v>0.0</v>
      </c>
      <c r="BJ306" s="50">
        <v>4.0</v>
      </c>
      <c r="BK306" s="50">
        <v>0.0</v>
      </c>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50">
        <v>7.08943932E8</v>
      </c>
      <c r="CL306" s="48" t="s">
        <v>4207</v>
      </c>
      <c r="CM306" s="47">
        <v>46108.64474537037</v>
      </c>
      <c r="CN306" s="48"/>
      <c r="CO306" s="48"/>
      <c r="CP306" s="48" t="s">
        <v>1954</v>
      </c>
      <c r="CQ306" s="48"/>
      <c r="CR306" s="48" t="s">
        <v>3014</v>
      </c>
      <c r="CS306" s="48"/>
      <c r="CT306" s="48" t="s">
        <v>4208</v>
      </c>
      <c r="CU306" s="50">
        <v>305.0</v>
      </c>
    </row>
    <row r="307">
      <c r="A307" s="47">
        <v>46108.93640703704</v>
      </c>
      <c r="B307" s="47">
        <v>46108.9369859375</v>
      </c>
      <c r="C307" s="48" t="s">
        <v>4209</v>
      </c>
      <c r="D307" s="48" t="s">
        <v>3733</v>
      </c>
      <c r="E307" s="48" t="s">
        <v>4020</v>
      </c>
      <c r="F307" s="48" t="s">
        <v>4039</v>
      </c>
      <c r="G307" s="49" t="s">
        <v>4210</v>
      </c>
      <c r="H307" s="48" t="s">
        <v>2948</v>
      </c>
      <c r="I307" s="50">
        <v>0.0</v>
      </c>
      <c r="J307" s="50">
        <v>1.0</v>
      </c>
      <c r="K307" s="50">
        <v>0.0</v>
      </c>
      <c r="L307" s="50">
        <v>0.0</v>
      </c>
      <c r="M307" s="50">
        <v>0.0</v>
      </c>
      <c r="N307" s="50">
        <v>0.0</v>
      </c>
      <c r="O307" s="50">
        <v>0.0</v>
      </c>
      <c r="P307" s="50">
        <v>0.0</v>
      </c>
      <c r="Q307" s="50">
        <v>0.0</v>
      </c>
      <c r="R307" s="48" t="s">
        <v>2948</v>
      </c>
      <c r="S307" s="50">
        <v>0.0</v>
      </c>
      <c r="T307" s="50">
        <v>1.0</v>
      </c>
      <c r="U307" s="50">
        <v>0.0</v>
      </c>
      <c r="V307" s="50">
        <v>0.0</v>
      </c>
      <c r="W307" s="50">
        <v>0.0</v>
      </c>
      <c r="X307" s="50">
        <v>0.0</v>
      </c>
      <c r="Y307" s="50">
        <v>0.0</v>
      </c>
      <c r="Z307" s="50">
        <v>0.0</v>
      </c>
      <c r="AA307" s="50">
        <v>0.0</v>
      </c>
      <c r="AB307" s="48" t="s">
        <v>2948</v>
      </c>
      <c r="AC307" s="50">
        <v>0.0</v>
      </c>
      <c r="AD307" s="50">
        <v>1.0</v>
      </c>
      <c r="AE307" s="50">
        <v>0.0</v>
      </c>
      <c r="AF307" s="50">
        <v>0.0</v>
      </c>
      <c r="AG307" s="50">
        <v>0.0</v>
      </c>
      <c r="AH307" s="50">
        <v>0.0</v>
      </c>
      <c r="AI307" s="50">
        <v>0.0</v>
      </c>
      <c r="AJ307" s="50">
        <v>0.0</v>
      </c>
      <c r="AK307" s="50">
        <v>0.0</v>
      </c>
      <c r="AL307" s="48"/>
      <c r="AM307" s="48"/>
      <c r="AN307" s="50">
        <v>2.0</v>
      </c>
      <c r="AO307" s="48"/>
      <c r="AP307" s="48"/>
      <c r="AQ307" s="48"/>
      <c r="AR307" s="48"/>
      <c r="AS307" s="48"/>
      <c r="AT307" s="48"/>
      <c r="AU307" s="48"/>
      <c r="AV307" s="48"/>
      <c r="AW307" s="50">
        <v>1.0</v>
      </c>
      <c r="AX307" s="48"/>
      <c r="AY307" s="48"/>
      <c r="AZ307" s="48"/>
      <c r="BA307" s="48"/>
      <c r="BB307" s="48"/>
      <c r="BC307" s="48"/>
      <c r="BD307" s="48"/>
      <c r="BE307" s="48"/>
      <c r="BF307" s="48"/>
      <c r="BG307" s="48"/>
      <c r="BH307" s="50">
        <v>0.0</v>
      </c>
      <c r="BI307" s="50">
        <v>0.0</v>
      </c>
      <c r="BJ307" s="50">
        <v>1.0</v>
      </c>
      <c r="BK307" s="50">
        <v>0.0</v>
      </c>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50">
        <v>7.08944892E8</v>
      </c>
      <c r="CL307" s="48" t="s">
        <v>4211</v>
      </c>
      <c r="CM307" s="47">
        <v>46108.64533564815</v>
      </c>
      <c r="CN307" s="48"/>
      <c r="CO307" s="48"/>
      <c r="CP307" s="48" t="s">
        <v>1954</v>
      </c>
      <c r="CQ307" s="48"/>
      <c r="CR307" s="48" t="s">
        <v>3014</v>
      </c>
      <c r="CS307" s="48"/>
      <c r="CT307" s="48" t="s">
        <v>4212</v>
      </c>
      <c r="CU307" s="50">
        <v>306.0</v>
      </c>
    </row>
    <row r="308">
      <c r="A308" s="47">
        <v>46108.93698846065</v>
      </c>
      <c r="B308" s="47">
        <v>46108.93756581019</v>
      </c>
      <c r="C308" s="48" t="s">
        <v>4213</v>
      </c>
      <c r="D308" s="48" t="s">
        <v>3733</v>
      </c>
      <c r="E308" s="48" t="s">
        <v>4020</v>
      </c>
      <c r="F308" s="48" t="s">
        <v>4039</v>
      </c>
      <c r="G308" s="49" t="s">
        <v>4214</v>
      </c>
      <c r="H308" s="48" t="s">
        <v>2948</v>
      </c>
      <c r="I308" s="50">
        <v>0.0</v>
      </c>
      <c r="J308" s="50">
        <v>1.0</v>
      </c>
      <c r="K308" s="50">
        <v>0.0</v>
      </c>
      <c r="L308" s="50">
        <v>0.0</v>
      </c>
      <c r="M308" s="50">
        <v>0.0</v>
      </c>
      <c r="N308" s="50">
        <v>0.0</v>
      </c>
      <c r="O308" s="50">
        <v>0.0</v>
      </c>
      <c r="P308" s="50">
        <v>0.0</v>
      </c>
      <c r="Q308" s="50">
        <v>0.0</v>
      </c>
      <c r="R308" s="48" t="s">
        <v>2948</v>
      </c>
      <c r="S308" s="50">
        <v>0.0</v>
      </c>
      <c r="T308" s="50">
        <v>1.0</v>
      </c>
      <c r="U308" s="50">
        <v>0.0</v>
      </c>
      <c r="V308" s="50">
        <v>0.0</v>
      </c>
      <c r="W308" s="50">
        <v>0.0</v>
      </c>
      <c r="X308" s="50">
        <v>0.0</v>
      </c>
      <c r="Y308" s="50">
        <v>0.0</v>
      </c>
      <c r="Z308" s="50">
        <v>0.0</v>
      </c>
      <c r="AA308" s="50">
        <v>0.0</v>
      </c>
      <c r="AB308" s="48" t="s">
        <v>2948</v>
      </c>
      <c r="AC308" s="50">
        <v>0.0</v>
      </c>
      <c r="AD308" s="50">
        <v>1.0</v>
      </c>
      <c r="AE308" s="50">
        <v>0.0</v>
      </c>
      <c r="AF308" s="50">
        <v>0.0</v>
      </c>
      <c r="AG308" s="50">
        <v>0.0</v>
      </c>
      <c r="AH308" s="50">
        <v>0.0</v>
      </c>
      <c r="AI308" s="50">
        <v>0.0</v>
      </c>
      <c r="AJ308" s="50">
        <v>0.0</v>
      </c>
      <c r="AK308" s="50">
        <v>0.0</v>
      </c>
      <c r="AL308" s="48"/>
      <c r="AM308" s="48"/>
      <c r="AN308" s="50">
        <v>9.0</v>
      </c>
      <c r="AO308" s="48"/>
      <c r="AP308" s="48"/>
      <c r="AQ308" s="48"/>
      <c r="AR308" s="48"/>
      <c r="AS308" s="48"/>
      <c r="AT308" s="48"/>
      <c r="AU308" s="48"/>
      <c r="AV308" s="48"/>
      <c r="AW308" s="50">
        <v>9.0</v>
      </c>
      <c r="AX308" s="48"/>
      <c r="AY308" s="48"/>
      <c r="AZ308" s="48"/>
      <c r="BA308" s="48"/>
      <c r="BB308" s="48"/>
      <c r="BC308" s="48"/>
      <c r="BD308" s="48"/>
      <c r="BE308" s="48"/>
      <c r="BF308" s="48"/>
      <c r="BG308" s="48"/>
      <c r="BH308" s="50">
        <v>0.0</v>
      </c>
      <c r="BI308" s="50">
        <v>0.0</v>
      </c>
      <c r="BJ308" s="50">
        <v>0.0</v>
      </c>
      <c r="BK308" s="50">
        <v>0.0</v>
      </c>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50">
        <v>7.0894581E8</v>
      </c>
      <c r="CL308" s="48" t="s">
        <v>4215</v>
      </c>
      <c r="CM308" s="47">
        <v>46108.64591435185</v>
      </c>
      <c r="CN308" s="48"/>
      <c r="CO308" s="48"/>
      <c r="CP308" s="48" t="s">
        <v>1954</v>
      </c>
      <c r="CQ308" s="48"/>
      <c r="CR308" s="48" t="s">
        <v>3014</v>
      </c>
      <c r="CS308" s="48"/>
      <c r="CT308" s="48" t="s">
        <v>4216</v>
      </c>
      <c r="CU308" s="50">
        <v>307.0</v>
      </c>
    </row>
    <row r="309">
      <c r="A309" s="47">
        <v>46108.93756836806</v>
      </c>
      <c r="B309" s="47">
        <v>46108.93849996528</v>
      </c>
      <c r="C309" s="48" t="s">
        <v>4217</v>
      </c>
      <c r="D309" s="48" t="s">
        <v>3733</v>
      </c>
      <c r="E309" s="48" t="s">
        <v>4020</v>
      </c>
      <c r="F309" s="48" t="s">
        <v>4039</v>
      </c>
      <c r="G309" s="49" t="s">
        <v>4218</v>
      </c>
      <c r="H309" s="48" t="s">
        <v>2948</v>
      </c>
      <c r="I309" s="50">
        <v>0.0</v>
      </c>
      <c r="J309" s="50">
        <v>1.0</v>
      </c>
      <c r="K309" s="50">
        <v>0.0</v>
      </c>
      <c r="L309" s="50">
        <v>0.0</v>
      </c>
      <c r="M309" s="50">
        <v>0.0</v>
      </c>
      <c r="N309" s="50">
        <v>0.0</v>
      </c>
      <c r="O309" s="50">
        <v>0.0</v>
      </c>
      <c r="P309" s="50">
        <v>0.0</v>
      </c>
      <c r="Q309" s="50">
        <v>0.0</v>
      </c>
      <c r="R309" s="48" t="s">
        <v>2948</v>
      </c>
      <c r="S309" s="50">
        <v>0.0</v>
      </c>
      <c r="T309" s="50">
        <v>1.0</v>
      </c>
      <c r="U309" s="50">
        <v>0.0</v>
      </c>
      <c r="V309" s="50">
        <v>0.0</v>
      </c>
      <c r="W309" s="50">
        <v>0.0</v>
      </c>
      <c r="X309" s="50">
        <v>0.0</v>
      </c>
      <c r="Y309" s="50">
        <v>0.0</v>
      </c>
      <c r="Z309" s="50">
        <v>0.0</v>
      </c>
      <c r="AA309" s="50">
        <v>0.0</v>
      </c>
      <c r="AB309" s="48" t="s">
        <v>2948</v>
      </c>
      <c r="AC309" s="50">
        <v>0.0</v>
      </c>
      <c r="AD309" s="50">
        <v>1.0</v>
      </c>
      <c r="AE309" s="50">
        <v>0.0</v>
      </c>
      <c r="AF309" s="50">
        <v>0.0</v>
      </c>
      <c r="AG309" s="50">
        <v>0.0</v>
      </c>
      <c r="AH309" s="50">
        <v>0.0</v>
      </c>
      <c r="AI309" s="50">
        <v>0.0</v>
      </c>
      <c r="AJ309" s="50">
        <v>0.0</v>
      </c>
      <c r="AK309" s="50">
        <v>0.0</v>
      </c>
      <c r="AL309" s="48"/>
      <c r="AM309" s="48"/>
      <c r="AN309" s="50">
        <v>11.0</v>
      </c>
      <c r="AO309" s="48"/>
      <c r="AP309" s="48"/>
      <c r="AQ309" s="48"/>
      <c r="AR309" s="48"/>
      <c r="AS309" s="48"/>
      <c r="AT309" s="48"/>
      <c r="AU309" s="48"/>
      <c r="AV309" s="48"/>
      <c r="AW309" s="50">
        <v>4.0</v>
      </c>
      <c r="AX309" s="48"/>
      <c r="AY309" s="48"/>
      <c r="AZ309" s="48"/>
      <c r="BA309" s="48"/>
      <c r="BB309" s="48"/>
      <c r="BC309" s="48"/>
      <c r="BD309" s="48"/>
      <c r="BE309" s="48"/>
      <c r="BF309" s="48"/>
      <c r="BG309" s="48"/>
      <c r="BH309" s="50">
        <v>0.0</v>
      </c>
      <c r="BI309" s="50">
        <v>0.0</v>
      </c>
      <c r="BJ309" s="50">
        <v>0.0</v>
      </c>
      <c r="BK309" s="50">
        <v>0.0</v>
      </c>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50">
        <v>7.08947419E8</v>
      </c>
      <c r="CL309" s="48" t="s">
        <v>4219</v>
      </c>
      <c r="CM309" s="47">
        <v>46108.64686342593</v>
      </c>
      <c r="CN309" s="48"/>
      <c r="CO309" s="48"/>
      <c r="CP309" s="48" t="s">
        <v>1954</v>
      </c>
      <c r="CQ309" s="48"/>
      <c r="CR309" s="48" t="s">
        <v>3014</v>
      </c>
      <c r="CS309" s="48"/>
      <c r="CT309" s="48" t="s">
        <v>4220</v>
      </c>
      <c r="CU309" s="50">
        <v>308.0</v>
      </c>
    </row>
    <row r="310">
      <c r="A310" s="47">
        <v>46108.93850259259</v>
      </c>
      <c r="B310" s="47">
        <v>46108.93910924769</v>
      </c>
      <c r="C310" s="48" t="s">
        <v>4221</v>
      </c>
      <c r="D310" s="48" t="s">
        <v>3733</v>
      </c>
      <c r="E310" s="48" t="s">
        <v>4020</v>
      </c>
      <c r="F310" s="48" t="s">
        <v>4039</v>
      </c>
      <c r="G310" s="49" t="s">
        <v>4222</v>
      </c>
      <c r="H310" s="48" t="s">
        <v>2948</v>
      </c>
      <c r="I310" s="50">
        <v>0.0</v>
      </c>
      <c r="J310" s="50">
        <v>1.0</v>
      </c>
      <c r="K310" s="50">
        <v>0.0</v>
      </c>
      <c r="L310" s="50">
        <v>0.0</v>
      </c>
      <c r="M310" s="50">
        <v>0.0</v>
      </c>
      <c r="N310" s="50">
        <v>0.0</v>
      </c>
      <c r="O310" s="50">
        <v>0.0</v>
      </c>
      <c r="P310" s="50">
        <v>0.0</v>
      </c>
      <c r="Q310" s="50">
        <v>0.0</v>
      </c>
      <c r="R310" s="48" t="s">
        <v>2948</v>
      </c>
      <c r="S310" s="50">
        <v>0.0</v>
      </c>
      <c r="T310" s="50">
        <v>1.0</v>
      </c>
      <c r="U310" s="50">
        <v>0.0</v>
      </c>
      <c r="V310" s="50">
        <v>0.0</v>
      </c>
      <c r="W310" s="50">
        <v>0.0</v>
      </c>
      <c r="X310" s="50">
        <v>0.0</v>
      </c>
      <c r="Y310" s="50">
        <v>0.0</v>
      </c>
      <c r="Z310" s="50">
        <v>0.0</v>
      </c>
      <c r="AA310" s="50">
        <v>0.0</v>
      </c>
      <c r="AB310" s="48" t="s">
        <v>2948</v>
      </c>
      <c r="AC310" s="50">
        <v>0.0</v>
      </c>
      <c r="AD310" s="50">
        <v>1.0</v>
      </c>
      <c r="AE310" s="50">
        <v>0.0</v>
      </c>
      <c r="AF310" s="50">
        <v>0.0</v>
      </c>
      <c r="AG310" s="50">
        <v>0.0</v>
      </c>
      <c r="AH310" s="50">
        <v>0.0</v>
      </c>
      <c r="AI310" s="50">
        <v>0.0</v>
      </c>
      <c r="AJ310" s="50">
        <v>0.0</v>
      </c>
      <c r="AK310" s="50">
        <v>0.0</v>
      </c>
      <c r="AL310" s="48"/>
      <c r="AM310" s="48"/>
      <c r="AN310" s="50">
        <v>4.0</v>
      </c>
      <c r="AO310" s="48"/>
      <c r="AP310" s="48"/>
      <c r="AQ310" s="48"/>
      <c r="AR310" s="48"/>
      <c r="AS310" s="48"/>
      <c r="AT310" s="48"/>
      <c r="AU310" s="48"/>
      <c r="AV310" s="48"/>
      <c r="AW310" s="50">
        <v>3.0</v>
      </c>
      <c r="AX310" s="48"/>
      <c r="AY310" s="48"/>
      <c r="AZ310" s="48"/>
      <c r="BA310" s="48"/>
      <c r="BB310" s="48"/>
      <c r="BC310" s="48"/>
      <c r="BD310" s="48"/>
      <c r="BE310" s="48"/>
      <c r="BF310" s="48"/>
      <c r="BG310" s="48"/>
      <c r="BH310" s="50">
        <v>1.0</v>
      </c>
      <c r="BI310" s="50">
        <v>3.0</v>
      </c>
      <c r="BJ310" s="50">
        <v>0.0</v>
      </c>
      <c r="BK310" s="50">
        <v>0.0</v>
      </c>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50">
        <v>7.08948108E8</v>
      </c>
      <c r="CL310" s="48" t="s">
        <v>4223</v>
      </c>
      <c r="CM310" s="47">
        <v>46108.64745370371</v>
      </c>
      <c r="CN310" s="48"/>
      <c r="CO310" s="48"/>
      <c r="CP310" s="48" t="s">
        <v>1954</v>
      </c>
      <c r="CQ310" s="48"/>
      <c r="CR310" s="48" t="s">
        <v>3014</v>
      </c>
      <c r="CS310" s="48"/>
      <c r="CT310" s="48" t="s">
        <v>4224</v>
      </c>
      <c r="CU310" s="50">
        <v>309.0</v>
      </c>
    </row>
    <row r="311">
      <c r="A311" s="47">
        <v>46108.93911238426</v>
      </c>
      <c r="B311" s="47">
        <v>46108.93957248842</v>
      </c>
      <c r="C311" s="48" t="s">
        <v>4225</v>
      </c>
      <c r="D311" s="48" t="s">
        <v>3733</v>
      </c>
      <c r="E311" s="48" t="s">
        <v>4020</v>
      </c>
      <c r="F311" s="48" t="s">
        <v>4226</v>
      </c>
      <c r="G311" s="49" t="s">
        <v>4227</v>
      </c>
      <c r="H311" s="48" t="s">
        <v>2948</v>
      </c>
      <c r="I311" s="50">
        <v>0.0</v>
      </c>
      <c r="J311" s="50">
        <v>1.0</v>
      </c>
      <c r="K311" s="50">
        <v>0.0</v>
      </c>
      <c r="L311" s="50">
        <v>0.0</v>
      </c>
      <c r="M311" s="50">
        <v>0.0</v>
      </c>
      <c r="N311" s="50">
        <v>0.0</v>
      </c>
      <c r="O311" s="50">
        <v>0.0</v>
      </c>
      <c r="P311" s="50">
        <v>0.0</v>
      </c>
      <c r="Q311" s="50">
        <v>0.0</v>
      </c>
      <c r="R311" s="48" t="s">
        <v>2948</v>
      </c>
      <c r="S311" s="50">
        <v>0.0</v>
      </c>
      <c r="T311" s="50">
        <v>1.0</v>
      </c>
      <c r="U311" s="50">
        <v>0.0</v>
      </c>
      <c r="V311" s="50">
        <v>0.0</v>
      </c>
      <c r="W311" s="50">
        <v>0.0</v>
      </c>
      <c r="X311" s="50">
        <v>0.0</v>
      </c>
      <c r="Y311" s="50">
        <v>0.0</v>
      </c>
      <c r="Z311" s="50">
        <v>0.0</v>
      </c>
      <c r="AA311" s="50">
        <v>0.0</v>
      </c>
      <c r="AB311" s="48" t="s">
        <v>2948</v>
      </c>
      <c r="AC311" s="50">
        <v>0.0</v>
      </c>
      <c r="AD311" s="50">
        <v>1.0</v>
      </c>
      <c r="AE311" s="50">
        <v>0.0</v>
      </c>
      <c r="AF311" s="50">
        <v>0.0</v>
      </c>
      <c r="AG311" s="50">
        <v>0.0</v>
      </c>
      <c r="AH311" s="50">
        <v>0.0</v>
      </c>
      <c r="AI311" s="50">
        <v>0.0</v>
      </c>
      <c r="AJ311" s="50">
        <v>0.0</v>
      </c>
      <c r="AK311" s="50">
        <v>0.0</v>
      </c>
      <c r="AL311" s="48"/>
      <c r="AM311" s="48"/>
      <c r="AN311" s="50">
        <v>6.0</v>
      </c>
      <c r="AO311" s="48"/>
      <c r="AP311" s="48"/>
      <c r="AQ311" s="48"/>
      <c r="AR311" s="48"/>
      <c r="AS311" s="48"/>
      <c r="AT311" s="48"/>
      <c r="AU311" s="48"/>
      <c r="AV311" s="48"/>
      <c r="AW311" s="50">
        <v>4.0</v>
      </c>
      <c r="AX311" s="48"/>
      <c r="AY311" s="48"/>
      <c r="AZ311" s="48"/>
      <c r="BA311" s="48"/>
      <c r="BB311" s="48"/>
      <c r="BC311" s="48"/>
      <c r="BD311" s="48"/>
      <c r="BE311" s="48"/>
      <c r="BF311" s="48"/>
      <c r="BG311" s="48"/>
      <c r="BH311" s="50">
        <v>0.0</v>
      </c>
      <c r="BI311" s="50">
        <v>0.0</v>
      </c>
      <c r="BJ311" s="50">
        <v>0.0</v>
      </c>
      <c r="BK311" s="50">
        <v>0.0</v>
      </c>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50">
        <v>7.08948682E8</v>
      </c>
      <c r="CL311" s="48" t="s">
        <v>4228</v>
      </c>
      <c r="CM311" s="47">
        <v>46108.64792824074</v>
      </c>
      <c r="CN311" s="48"/>
      <c r="CO311" s="48"/>
      <c r="CP311" s="48" t="s">
        <v>1954</v>
      </c>
      <c r="CQ311" s="48"/>
      <c r="CR311" s="48" t="s">
        <v>3014</v>
      </c>
      <c r="CS311" s="48"/>
      <c r="CT311" s="48" t="s">
        <v>4229</v>
      </c>
      <c r="CU311" s="50">
        <v>310.0</v>
      </c>
    </row>
    <row r="312">
      <c r="A312" s="47">
        <v>46108.93957452547</v>
      </c>
      <c r="B312" s="47">
        <v>46108.94012230324</v>
      </c>
      <c r="C312" s="48" t="s">
        <v>4230</v>
      </c>
      <c r="D312" s="48" t="s">
        <v>3733</v>
      </c>
      <c r="E312" s="48" t="s">
        <v>4020</v>
      </c>
      <c r="F312" s="48" t="s">
        <v>4226</v>
      </c>
      <c r="G312" s="49" t="s">
        <v>4231</v>
      </c>
      <c r="H312" s="48" t="s">
        <v>2948</v>
      </c>
      <c r="I312" s="50">
        <v>0.0</v>
      </c>
      <c r="J312" s="50">
        <v>1.0</v>
      </c>
      <c r="K312" s="50">
        <v>0.0</v>
      </c>
      <c r="L312" s="50">
        <v>0.0</v>
      </c>
      <c r="M312" s="50">
        <v>0.0</v>
      </c>
      <c r="N312" s="50">
        <v>0.0</v>
      </c>
      <c r="O312" s="50">
        <v>0.0</v>
      </c>
      <c r="P312" s="50">
        <v>0.0</v>
      </c>
      <c r="Q312" s="50">
        <v>0.0</v>
      </c>
      <c r="R312" s="48" t="s">
        <v>2948</v>
      </c>
      <c r="S312" s="50">
        <v>0.0</v>
      </c>
      <c r="T312" s="50">
        <v>1.0</v>
      </c>
      <c r="U312" s="50">
        <v>0.0</v>
      </c>
      <c r="V312" s="50">
        <v>0.0</v>
      </c>
      <c r="W312" s="50">
        <v>0.0</v>
      </c>
      <c r="X312" s="50">
        <v>0.0</v>
      </c>
      <c r="Y312" s="50">
        <v>0.0</v>
      </c>
      <c r="Z312" s="50">
        <v>0.0</v>
      </c>
      <c r="AA312" s="50">
        <v>0.0</v>
      </c>
      <c r="AB312" s="48" t="s">
        <v>2948</v>
      </c>
      <c r="AC312" s="50">
        <v>0.0</v>
      </c>
      <c r="AD312" s="50">
        <v>1.0</v>
      </c>
      <c r="AE312" s="50">
        <v>0.0</v>
      </c>
      <c r="AF312" s="50">
        <v>0.0</v>
      </c>
      <c r="AG312" s="50">
        <v>0.0</v>
      </c>
      <c r="AH312" s="50">
        <v>0.0</v>
      </c>
      <c r="AI312" s="50">
        <v>0.0</v>
      </c>
      <c r="AJ312" s="50">
        <v>0.0</v>
      </c>
      <c r="AK312" s="50">
        <v>0.0</v>
      </c>
      <c r="AL312" s="48"/>
      <c r="AM312" s="48"/>
      <c r="AN312" s="50">
        <v>5.0</v>
      </c>
      <c r="AO312" s="48"/>
      <c r="AP312" s="48"/>
      <c r="AQ312" s="48"/>
      <c r="AR312" s="48"/>
      <c r="AS312" s="48"/>
      <c r="AT312" s="48"/>
      <c r="AU312" s="48"/>
      <c r="AV312" s="48"/>
      <c r="AW312" s="50">
        <v>5.0</v>
      </c>
      <c r="AX312" s="48"/>
      <c r="AY312" s="48"/>
      <c r="AZ312" s="48"/>
      <c r="BA312" s="48"/>
      <c r="BB312" s="48"/>
      <c r="BC312" s="48"/>
      <c r="BD312" s="48"/>
      <c r="BE312" s="48"/>
      <c r="BF312" s="48"/>
      <c r="BG312" s="48"/>
      <c r="BH312" s="50">
        <v>2.0</v>
      </c>
      <c r="BI312" s="50">
        <v>3.0</v>
      </c>
      <c r="BJ312" s="50">
        <v>2.0</v>
      </c>
      <c r="BK312" s="50">
        <v>0.0</v>
      </c>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50">
        <v>7.08949305E8</v>
      </c>
      <c r="CL312" s="48" t="s">
        <v>4232</v>
      </c>
      <c r="CM312" s="47">
        <v>46108.64847222222</v>
      </c>
      <c r="CN312" s="48"/>
      <c r="CO312" s="48"/>
      <c r="CP312" s="48" t="s">
        <v>1954</v>
      </c>
      <c r="CQ312" s="48"/>
      <c r="CR312" s="48" t="s">
        <v>3014</v>
      </c>
      <c r="CS312" s="48"/>
      <c r="CT312" s="48" t="s">
        <v>4233</v>
      </c>
      <c r="CU312" s="50">
        <v>311.0</v>
      </c>
    </row>
    <row r="313">
      <c r="A313" s="47">
        <v>46108.94012497685</v>
      </c>
      <c r="B313" s="47">
        <v>46108.94068320602</v>
      </c>
      <c r="C313" s="48" t="s">
        <v>4234</v>
      </c>
      <c r="D313" s="48" t="s">
        <v>3733</v>
      </c>
      <c r="E313" s="48" t="s">
        <v>4020</v>
      </c>
      <c r="F313" s="48" t="s">
        <v>4039</v>
      </c>
      <c r="G313" s="49" t="s">
        <v>4235</v>
      </c>
      <c r="H313" s="48" t="s">
        <v>2948</v>
      </c>
      <c r="I313" s="50">
        <v>0.0</v>
      </c>
      <c r="J313" s="50">
        <v>1.0</v>
      </c>
      <c r="K313" s="50">
        <v>0.0</v>
      </c>
      <c r="L313" s="50">
        <v>0.0</v>
      </c>
      <c r="M313" s="50">
        <v>0.0</v>
      </c>
      <c r="N313" s="50">
        <v>0.0</v>
      </c>
      <c r="O313" s="50">
        <v>0.0</v>
      </c>
      <c r="P313" s="50">
        <v>0.0</v>
      </c>
      <c r="Q313" s="50">
        <v>0.0</v>
      </c>
      <c r="R313" s="48" t="s">
        <v>2948</v>
      </c>
      <c r="S313" s="50">
        <v>0.0</v>
      </c>
      <c r="T313" s="50">
        <v>1.0</v>
      </c>
      <c r="U313" s="50">
        <v>0.0</v>
      </c>
      <c r="V313" s="50">
        <v>0.0</v>
      </c>
      <c r="W313" s="50">
        <v>0.0</v>
      </c>
      <c r="X313" s="50">
        <v>0.0</v>
      </c>
      <c r="Y313" s="50">
        <v>0.0</v>
      </c>
      <c r="Z313" s="50">
        <v>0.0</v>
      </c>
      <c r="AA313" s="50">
        <v>0.0</v>
      </c>
      <c r="AB313" s="48" t="s">
        <v>2948</v>
      </c>
      <c r="AC313" s="50">
        <v>0.0</v>
      </c>
      <c r="AD313" s="50">
        <v>1.0</v>
      </c>
      <c r="AE313" s="50">
        <v>0.0</v>
      </c>
      <c r="AF313" s="50">
        <v>0.0</v>
      </c>
      <c r="AG313" s="50">
        <v>0.0</v>
      </c>
      <c r="AH313" s="50">
        <v>0.0</v>
      </c>
      <c r="AI313" s="50">
        <v>0.0</v>
      </c>
      <c r="AJ313" s="50">
        <v>0.0</v>
      </c>
      <c r="AK313" s="50">
        <v>0.0</v>
      </c>
      <c r="AL313" s="48"/>
      <c r="AM313" s="48"/>
      <c r="AN313" s="50">
        <v>6.0</v>
      </c>
      <c r="AO313" s="48"/>
      <c r="AP313" s="48"/>
      <c r="AQ313" s="48"/>
      <c r="AR313" s="48"/>
      <c r="AS313" s="48"/>
      <c r="AT313" s="48"/>
      <c r="AU313" s="48"/>
      <c r="AV313" s="48"/>
      <c r="AW313" s="50">
        <v>5.0</v>
      </c>
      <c r="AX313" s="48"/>
      <c r="AY313" s="48"/>
      <c r="AZ313" s="48"/>
      <c r="BA313" s="48"/>
      <c r="BB313" s="48"/>
      <c r="BC313" s="48"/>
      <c r="BD313" s="48"/>
      <c r="BE313" s="48"/>
      <c r="BF313" s="48"/>
      <c r="BG313" s="48"/>
      <c r="BH313" s="50">
        <v>2.0</v>
      </c>
      <c r="BI313" s="50">
        <v>0.0</v>
      </c>
      <c r="BJ313" s="50">
        <v>1.0</v>
      </c>
      <c r="BK313" s="50">
        <v>0.0</v>
      </c>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50">
        <v>7.08950058E8</v>
      </c>
      <c r="CL313" s="48" t="s">
        <v>4236</v>
      </c>
      <c r="CM313" s="47">
        <v>46108.64902777778</v>
      </c>
      <c r="CN313" s="48"/>
      <c r="CO313" s="48"/>
      <c r="CP313" s="48" t="s">
        <v>1954</v>
      </c>
      <c r="CQ313" s="48"/>
      <c r="CR313" s="48" t="s">
        <v>3014</v>
      </c>
      <c r="CS313" s="48"/>
      <c r="CT313" s="48" t="s">
        <v>4237</v>
      </c>
      <c r="CU313" s="50">
        <v>312.0</v>
      </c>
    </row>
    <row r="314">
      <c r="A314" s="47">
        <v>46108.94068572917</v>
      </c>
      <c r="B314" s="47">
        <v>46108.9412637963</v>
      </c>
      <c r="C314" s="48" t="s">
        <v>4238</v>
      </c>
      <c r="D314" s="48" t="s">
        <v>3733</v>
      </c>
      <c r="E314" s="48" t="s">
        <v>4020</v>
      </c>
      <c r="F314" s="48" t="s">
        <v>4039</v>
      </c>
      <c r="G314" s="49" t="s">
        <v>4239</v>
      </c>
      <c r="H314" s="48" t="s">
        <v>2948</v>
      </c>
      <c r="I314" s="50">
        <v>0.0</v>
      </c>
      <c r="J314" s="50">
        <v>1.0</v>
      </c>
      <c r="K314" s="50">
        <v>0.0</v>
      </c>
      <c r="L314" s="50">
        <v>0.0</v>
      </c>
      <c r="M314" s="50">
        <v>0.0</v>
      </c>
      <c r="N314" s="50">
        <v>0.0</v>
      </c>
      <c r="O314" s="50">
        <v>0.0</v>
      </c>
      <c r="P314" s="50">
        <v>0.0</v>
      </c>
      <c r="Q314" s="50">
        <v>0.0</v>
      </c>
      <c r="R314" s="48" t="s">
        <v>2948</v>
      </c>
      <c r="S314" s="50">
        <v>0.0</v>
      </c>
      <c r="T314" s="50">
        <v>1.0</v>
      </c>
      <c r="U314" s="50">
        <v>0.0</v>
      </c>
      <c r="V314" s="50">
        <v>0.0</v>
      </c>
      <c r="W314" s="50">
        <v>0.0</v>
      </c>
      <c r="X314" s="50">
        <v>0.0</v>
      </c>
      <c r="Y314" s="50">
        <v>0.0</v>
      </c>
      <c r="Z314" s="50">
        <v>0.0</v>
      </c>
      <c r="AA314" s="50">
        <v>0.0</v>
      </c>
      <c r="AB314" s="48" t="s">
        <v>2948</v>
      </c>
      <c r="AC314" s="50">
        <v>0.0</v>
      </c>
      <c r="AD314" s="50">
        <v>1.0</v>
      </c>
      <c r="AE314" s="50">
        <v>0.0</v>
      </c>
      <c r="AF314" s="50">
        <v>0.0</v>
      </c>
      <c r="AG314" s="50">
        <v>0.0</v>
      </c>
      <c r="AH314" s="50">
        <v>0.0</v>
      </c>
      <c r="AI314" s="50">
        <v>0.0</v>
      </c>
      <c r="AJ314" s="50">
        <v>0.0</v>
      </c>
      <c r="AK314" s="50">
        <v>0.0</v>
      </c>
      <c r="AL314" s="48"/>
      <c r="AM314" s="48"/>
      <c r="AN314" s="50">
        <v>5.0</v>
      </c>
      <c r="AO314" s="48"/>
      <c r="AP314" s="48"/>
      <c r="AQ314" s="48"/>
      <c r="AR314" s="48"/>
      <c r="AS314" s="48"/>
      <c r="AT314" s="48"/>
      <c r="AU314" s="48"/>
      <c r="AV314" s="48"/>
      <c r="AW314" s="50">
        <v>2.0</v>
      </c>
      <c r="AX314" s="48"/>
      <c r="AY314" s="48"/>
      <c r="AZ314" s="48"/>
      <c r="BA314" s="48"/>
      <c r="BB314" s="48"/>
      <c r="BC314" s="48"/>
      <c r="BD314" s="48"/>
      <c r="BE314" s="48"/>
      <c r="BF314" s="48"/>
      <c r="BG314" s="48"/>
      <c r="BH314" s="50">
        <v>1.0</v>
      </c>
      <c r="BI314" s="50">
        <v>0.0</v>
      </c>
      <c r="BJ314" s="50">
        <v>2.0</v>
      </c>
      <c r="BK314" s="50">
        <v>0.0</v>
      </c>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50">
        <v>7.0895075E8</v>
      </c>
      <c r="CL314" s="48" t="s">
        <v>4240</v>
      </c>
      <c r="CM314" s="47">
        <v>46108.64960648148</v>
      </c>
      <c r="CN314" s="48"/>
      <c r="CO314" s="48"/>
      <c r="CP314" s="48" t="s">
        <v>1954</v>
      </c>
      <c r="CQ314" s="48"/>
      <c r="CR314" s="48" t="s">
        <v>3014</v>
      </c>
      <c r="CS314" s="48"/>
      <c r="CT314" s="48" t="s">
        <v>4241</v>
      </c>
      <c r="CU314" s="50">
        <v>313.0</v>
      </c>
    </row>
    <row r="315">
      <c r="A315" s="47">
        <v>46108.94126625</v>
      </c>
      <c r="B315" s="47">
        <v>46108.94175059027</v>
      </c>
      <c r="C315" s="48" t="s">
        <v>4242</v>
      </c>
      <c r="D315" s="48" t="s">
        <v>3733</v>
      </c>
      <c r="E315" s="48" t="s">
        <v>4020</v>
      </c>
      <c r="F315" s="48" t="s">
        <v>4039</v>
      </c>
      <c r="G315" s="49" t="s">
        <v>4243</v>
      </c>
      <c r="H315" s="48" t="s">
        <v>2948</v>
      </c>
      <c r="I315" s="50">
        <v>0.0</v>
      </c>
      <c r="J315" s="50">
        <v>1.0</v>
      </c>
      <c r="K315" s="50">
        <v>0.0</v>
      </c>
      <c r="L315" s="50">
        <v>0.0</v>
      </c>
      <c r="M315" s="50">
        <v>0.0</v>
      </c>
      <c r="N315" s="50">
        <v>0.0</v>
      </c>
      <c r="O315" s="50">
        <v>0.0</v>
      </c>
      <c r="P315" s="50">
        <v>0.0</v>
      </c>
      <c r="Q315" s="50">
        <v>0.0</v>
      </c>
      <c r="R315" s="48" t="s">
        <v>2948</v>
      </c>
      <c r="S315" s="50">
        <v>0.0</v>
      </c>
      <c r="T315" s="50">
        <v>1.0</v>
      </c>
      <c r="U315" s="50">
        <v>0.0</v>
      </c>
      <c r="V315" s="50">
        <v>0.0</v>
      </c>
      <c r="W315" s="50">
        <v>0.0</v>
      </c>
      <c r="X315" s="50">
        <v>0.0</v>
      </c>
      <c r="Y315" s="50">
        <v>0.0</v>
      </c>
      <c r="Z315" s="50">
        <v>0.0</v>
      </c>
      <c r="AA315" s="50">
        <v>0.0</v>
      </c>
      <c r="AB315" s="48" t="s">
        <v>2948</v>
      </c>
      <c r="AC315" s="50">
        <v>0.0</v>
      </c>
      <c r="AD315" s="50">
        <v>1.0</v>
      </c>
      <c r="AE315" s="50">
        <v>0.0</v>
      </c>
      <c r="AF315" s="50">
        <v>0.0</v>
      </c>
      <c r="AG315" s="50">
        <v>0.0</v>
      </c>
      <c r="AH315" s="50">
        <v>0.0</v>
      </c>
      <c r="AI315" s="50">
        <v>0.0</v>
      </c>
      <c r="AJ315" s="50">
        <v>0.0</v>
      </c>
      <c r="AK315" s="50">
        <v>0.0</v>
      </c>
      <c r="AL315" s="48"/>
      <c r="AM315" s="48"/>
      <c r="AN315" s="50">
        <v>7.0</v>
      </c>
      <c r="AO315" s="48"/>
      <c r="AP315" s="48"/>
      <c r="AQ315" s="48"/>
      <c r="AR315" s="48"/>
      <c r="AS315" s="48"/>
      <c r="AT315" s="48"/>
      <c r="AU315" s="48"/>
      <c r="AV315" s="48"/>
      <c r="AW315" s="50">
        <v>6.0</v>
      </c>
      <c r="AX315" s="48"/>
      <c r="AY315" s="48"/>
      <c r="AZ315" s="48"/>
      <c r="BA315" s="48"/>
      <c r="BB315" s="48"/>
      <c r="BC315" s="48"/>
      <c r="BD315" s="48"/>
      <c r="BE315" s="48"/>
      <c r="BF315" s="48"/>
      <c r="BG315" s="48"/>
      <c r="BH315" s="50">
        <v>1.0</v>
      </c>
      <c r="BI315" s="50">
        <v>0.0</v>
      </c>
      <c r="BJ315" s="50">
        <v>1.0</v>
      </c>
      <c r="BK315" s="50">
        <v>0.0</v>
      </c>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50">
        <v>7.08951292E8</v>
      </c>
      <c r="CL315" s="48" t="s">
        <v>4244</v>
      </c>
      <c r="CM315" s="47">
        <v>46108.65009259259</v>
      </c>
      <c r="CN315" s="48"/>
      <c r="CO315" s="48"/>
      <c r="CP315" s="48" t="s">
        <v>1954</v>
      </c>
      <c r="CQ315" s="48"/>
      <c r="CR315" s="48" t="s">
        <v>3014</v>
      </c>
      <c r="CS315" s="48"/>
      <c r="CT315" s="48" t="s">
        <v>4245</v>
      </c>
      <c r="CU315" s="50">
        <v>314.0</v>
      </c>
    </row>
    <row r="316">
      <c r="A316" s="47">
        <v>46108.94175340277</v>
      </c>
      <c r="B316" s="47">
        <v>46108.94237840277</v>
      </c>
      <c r="C316" s="48" t="s">
        <v>4246</v>
      </c>
      <c r="D316" s="48" t="s">
        <v>3733</v>
      </c>
      <c r="E316" s="48" t="s">
        <v>4020</v>
      </c>
      <c r="F316" s="48" t="s">
        <v>4068</v>
      </c>
      <c r="G316" s="49" t="s">
        <v>4247</v>
      </c>
      <c r="H316" s="48" t="s">
        <v>2948</v>
      </c>
      <c r="I316" s="50">
        <v>0.0</v>
      </c>
      <c r="J316" s="50">
        <v>1.0</v>
      </c>
      <c r="K316" s="50">
        <v>0.0</v>
      </c>
      <c r="L316" s="50">
        <v>0.0</v>
      </c>
      <c r="M316" s="50">
        <v>0.0</v>
      </c>
      <c r="N316" s="50">
        <v>0.0</v>
      </c>
      <c r="O316" s="50">
        <v>0.0</v>
      </c>
      <c r="P316" s="50">
        <v>0.0</v>
      </c>
      <c r="Q316" s="50">
        <v>0.0</v>
      </c>
      <c r="R316" s="48" t="s">
        <v>2948</v>
      </c>
      <c r="S316" s="50">
        <v>0.0</v>
      </c>
      <c r="T316" s="50">
        <v>1.0</v>
      </c>
      <c r="U316" s="50">
        <v>0.0</v>
      </c>
      <c r="V316" s="50">
        <v>0.0</v>
      </c>
      <c r="W316" s="50">
        <v>0.0</v>
      </c>
      <c r="X316" s="50">
        <v>0.0</v>
      </c>
      <c r="Y316" s="50">
        <v>0.0</v>
      </c>
      <c r="Z316" s="50">
        <v>0.0</v>
      </c>
      <c r="AA316" s="50">
        <v>0.0</v>
      </c>
      <c r="AB316" s="48" t="s">
        <v>2948</v>
      </c>
      <c r="AC316" s="50">
        <v>0.0</v>
      </c>
      <c r="AD316" s="50">
        <v>1.0</v>
      </c>
      <c r="AE316" s="50">
        <v>0.0</v>
      </c>
      <c r="AF316" s="50">
        <v>0.0</v>
      </c>
      <c r="AG316" s="50">
        <v>0.0</v>
      </c>
      <c r="AH316" s="50">
        <v>0.0</v>
      </c>
      <c r="AI316" s="50">
        <v>0.0</v>
      </c>
      <c r="AJ316" s="50">
        <v>0.0</v>
      </c>
      <c r="AK316" s="50">
        <v>0.0</v>
      </c>
      <c r="AL316" s="48"/>
      <c r="AM316" s="48"/>
      <c r="AN316" s="50">
        <v>0.0</v>
      </c>
      <c r="AO316" s="48"/>
      <c r="AP316" s="48"/>
      <c r="AQ316" s="48"/>
      <c r="AR316" s="48"/>
      <c r="AS316" s="48"/>
      <c r="AT316" s="48"/>
      <c r="AU316" s="48"/>
      <c r="AV316" s="48"/>
      <c r="AW316" s="50">
        <v>4.0</v>
      </c>
      <c r="AX316" s="48"/>
      <c r="AY316" s="48"/>
      <c r="AZ316" s="48"/>
      <c r="BA316" s="48"/>
      <c r="BB316" s="48"/>
      <c r="BC316" s="48"/>
      <c r="BD316" s="48"/>
      <c r="BE316" s="48"/>
      <c r="BF316" s="48"/>
      <c r="BG316" s="48"/>
      <c r="BH316" s="50">
        <v>2.0</v>
      </c>
      <c r="BI316" s="50">
        <v>1.0</v>
      </c>
      <c r="BJ316" s="50">
        <v>1.0</v>
      </c>
      <c r="BK316" s="50">
        <v>2.0</v>
      </c>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50">
        <v>7.08951961E8</v>
      </c>
      <c r="CL316" s="48" t="s">
        <v>4248</v>
      </c>
      <c r="CM316" s="47">
        <v>46108.65072916666</v>
      </c>
      <c r="CN316" s="48"/>
      <c r="CO316" s="48"/>
      <c r="CP316" s="48" t="s">
        <v>1954</v>
      </c>
      <c r="CQ316" s="48"/>
      <c r="CR316" s="48" t="s">
        <v>3014</v>
      </c>
      <c r="CS316" s="48"/>
      <c r="CT316" s="48" t="s">
        <v>4249</v>
      </c>
      <c r="CU316" s="50">
        <v>315.0</v>
      </c>
    </row>
    <row r="317">
      <c r="A317" s="47">
        <v>46108.94238107639</v>
      </c>
      <c r="B317" s="47">
        <v>46108.94289568287</v>
      </c>
      <c r="C317" s="48" t="s">
        <v>4250</v>
      </c>
      <c r="D317" s="48" t="s">
        <v>3733</v>
      </c>
      <c r="E317" s="48" t="s">
        <v>4020</v>
      </c>
      <c r="F317" s="48" t="s">
        <v>4226</v>
      </c>
      <c r="G317" s="49" t="s">
        <v>4251</v>
      </c>
      <c r="H317" s="48" t="s">
        <v>2948</v>
      </c>
      <c r="I317" s="50">
        <v>0.0</v>
      </c>
      <c r="J317" s="50">
        <v>1.0</v>
      </c>
      <c r="K317" s="50">
        <v>0.0</v>
      </c>
      <c r="L317" s="50">
        <v>0.0</v>
      </c>
      <c r="M317" s="50">
        <v>0.0</v>
      </c>
      <c r="N317" s="50">
        <v>0.0</v>
      </c>
      <c r="O317" s="50">
        <v>0.0</v>
      </c>
      <c r="P317" s="50">
        <v>0.0</v>
      </c>
      <c r="Q317" s="50">
        <v>0.0</v>
      </c>
      <c r="R317" s="48" t="s">
        <v>2948</v>
      </c>
      <c r="S317" s="50">
        <v>0.0</v>
      </c>
      <c r="T317" s="50">
        <v>1.0</v>
      </c>
      <c r="U317" s="50">
        <v>0.0</v>
      </c>
      <c r="V317" s="50">
        <v>0.0</v>
      </c>
      <c r="W317" s="50">
        <v>0.0</v>
      </c>
      <c r="X317" s="50">
        <v>0.0</v>
      </c>
      <c r="Y317" s="50">
        <v>0.0</v>
      </c>
      <c r="Z317" s="50">
        <v>0.0</v>
      </c>
      <c r="AA317" s="50">
        <v>0.0</v>
      </c>
      <c r="AB317" s="48" t="s">
        <v>2948</v>
      </c>
      <c r="AC317" s="50">
        <v>0.0</v>
      </c>
      <c r="AD317" s="50">
        <v>1.0</v>
      </c>
      <c r="AE317" s="50">
        <v>0.0</v>
      </c>
      <c r="AF317" s="50">
        <v>0.0</v>
      </c>
      <c r="AG317" s="50">
        <v>0.0</v>
      </c>
      <c r="AH317" s="50">
        <v>0.0</v>
      </c>
      <c r="AI317" s="50">
        <v>0.0</v>
      </c>
      <c r="AJ317" s="50">
        <v>0.0</v>
      </c>
      <c r="AK317" s="50">
        <v>0.0</v>
      </c>
      <c r="AL317" s="48"/>
      <c r="AM317" s="48"/>
      <c r="AN317" s="50">
        <v>10.0</v>
      </c>
      <c r="AO317" s="48"/>
      <c r="AP317" s="48"/>
      <c r="AQ317" s="48"/>
      <c r="AR317" s="48"/>
      <c r="AS317" s="48"/>
      <c r="AT317" s="48"/>
      <c r="AU317" s="48"/>
      <c r="AV317" s="48"/>
      <c r="AW317" s="50">
        <v>5.0</v>
      </c>
      <c r="AX317" s="48"/>
      <c r="AY317" s="48"/>
      <c r="AZ317" s="48"/>
      <c r="BA317" s="48"/>
      <c r="BB317" s="48"/>
      <c r="BC317" s="48"/>
      <c r="BD317" s="48"/>
      <c r="BE317" s="48"/>
      <c r="BF317" s="48"/>
      <c r="BG317" s="48"/>
      <c r="BH317" s="50">
        <v>2.0</v>
      </c>
      <c r="BI317" s="50">
        <v>3.0</v>
      </c>
      <c r="BJ317" s="50">
        <v>2.0</v>
      </c>
      <c r="BK317" s="50">
        <v>0.0</v>
      </c>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50">
        <v>7.08952641E8</v>
      </c>
      <c r="CL317" s="48" t="s">
        <v>4252</v>
      </c>
      <c r="CM317" s="47">
        <v>46108.65125</v>
      </c>
      <c r="CN317" s="48"/>
      <c r="CO317" s="48"/>
      <c r="CP317" s="48" t="s">
        <v>1954</v>
      </c>
      <c r="CQ317" s="48"/>
      <c r="CR317" s="48" t="s">
        <v>3014</v>
      </c>
      <c r="CS317" s="48"/>
      <c r="CT317" s="48" t="s">
        <v>4253</v>
      </c>
      <c r="CU317" s="50">
        <v>316.0</v>
      </c>
    </row>
    <row r="318">
      <c r="A318" s="47">
        <v>46108.94289847223</v>
      </c>
      <c r="B318" s="47">
        <v>46108.94336903935</v>
      </c>
      <c r="C318" s="48" t="s">
        <v>4254</v>
      </c>
      <c r="D318" s="48" t="s">
        <v>3733</v>
      </c>
      <c r="E318" s="48" t="s">
        <v>4020</v>
      </c>
      <c r="F318" s="48" t="s">
        <v>4021</v>
      </c>
      <c r="G318" s="49" t="s">
        <v>4255</v>
      </c>
      <c r="H318" s="48" t="s">
        <v>2948</v>
      </c>
      <c r="I318" s="50">
        <v>0.0</v>
      </c>
      <c r="J318" s="50">
        <v>1.0</v>
      </c>
      <c r="K318" s="50">
        <v>0.0</v>
      </c>
      <c r="L318" s="50">
        <v>0.0</v>
      </c>
      <c r="M318" s="50">
        <v>0.0</v>
      </c>
      <c r="N318" s="50">
        <v>0.0</v>
      </c>
      <c r="O318" s="50">
        <v>0.0</v>
      </c>
      <c r="P318" s="50">
        <v>0.0</v>
      </c>
      <c r="Q318" s="50">
        <v>0.0</v>
      </c>
      <c r="R318" s="48" t="s">
        <v>2948</v>
      </c>
      <c r="S318" s="50">
        <v>0.0</v>
      </c>
      <c r="T318" s="50">
        <v>1.0</v>
      </c>
      <c r="U318" s="50">
        <v>0.0</v>
      </c>
      <c r="V318" s="50">
        <v>0.0</v>
      </c>
      <c r="W318" s="50">
        <v>0.0</v>
      </c>
      <c r="X318" s="50">
        <v>0.0</v>
      </c>
      <c r="Y318" s="50">
        <v>0.0</v>
      </c>
      <c r="Z318" s="50">
        <v>0.0</v>
      </c>
      <c r="AA318" s="50">
        <v>0.0</v>
      </c>
      <c r="AB318" s="48" t="s">
        <v>2948</v>
      </c>
      <c r="AC318" s="50">
        <v>0.0</v>
      </c>
      <c r="AD318" s="50">
        <v>1.0</v>
      </c>
      <c r="AE318" s="50">
        <v>0.0</v>
      </c>
      <c r="AF318" s="50">
        <v>0.0</v>
      </c>
      <c r="AG318" s="50">
        <v>0.0</v>
      </c>
      <c r="AH318" s="50">
        <v>0.0</v>
      </c>
      <c r="AI318" s="50">
        <v>0.0</v>
      </c>
      <c r="AJ318" s="50">
        <v>0.0</v>
      </c>
      <c r="AK318" s="50">
        <v>0.0</v>
      </c>
      <c r="AL318" s="48"/>
      <c r="AM318" s="48"/>
      <c r="AN318" s="50">
        <v>8.0</v>
      </c>
      <c r="AO318" s="48"/>
      <c r="AP318" s="48"/>
      <c r="AQ318" s="48"/>
      <c r="AR318" s="48"/>
      <c r="AS318" s="48"/>
      <c r="AT318" s="48"/>
      <c r="AU318" s="48"/>
      <c r="AV318" s="48"/>
      <c r="AW318" s="50">
        <v>5.0</v>
      </c>
      <c r="AX318" s="48"/>
      <c r="AY318" s="48"/>
      <c r="AZ318" s="48"/>
      <c r="BA318" s="48"/>
      <c r="BB318" s="48"/>
      <c r="BC318" s="48"/>
      <c r="BD318" s="48"/>
      <c r="BE318" s="48"/>
      <c r="BF318" s="48"/>
      <c r="BG318" s="48"/>
      <c r="BH318" s="50">
        <v>1.0</v>
      </c>
      <c r="BI318" s="50">
        <v>0.0</v>
      </c>
      <c r="BJ318" s="50">
        <v>4.0</v>
      </c>
      <c r="BK318" s="50">
        <v>0.0</v>
      </c>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50">
        <v>7.08953204E8</v>
      </c>
      <c r="CL318" s="48" t="s">
        <v>4256</v>
      </c>
      <c r="CM318" s="47">
        <v>46108.65171296296</v>
      </c>
      <c r="CN318" s="48"/>
      <c r="CO318" s="48"/>
      <c r="CP318" s="48" t="s">
        <v>1954</v>
      </c>
      <c r="CQ318" s="48"/>
      <c r="CR318" s="48" t="s">
        <v>3014</v>
      </c>
      <c r="CS318" s="48"/>
      <c r="CT318" s="48" t="s">
        <v>4257</v>
      </c>
      <c r="CU318" s="50">
        <v>317.0</v>
      </c>
    </row>
    <row r="319">
      <c r="A319" s="47">
        <v>46108.94337188658</v>
      </c>
      <c r="B319" s="47">
        <v>46108.94389201389</v>
      </c>
      <c r="C319" s="48" t="s">
        <v>4258</v>
      </c>
      <c r="D319" s="48" t="s">
        <v>3733</v>
      </c>
      <c r="E319" s="48" t="s">
        <v>4020</v>
      </c>
      <c r="F319" s="48" t="s">
        <v>4021</v>
      </c>
      <c r="G319" s="49" t="s">
        <v>4259</v>
      </c>
      <c r="H319" s="48" t="s">
        <v>2948</v>
      </c>
      <c r="I319" s="50">
        <v>0.0</v>
      </c>
      <c r="J319" s="50">
        <v>1.0</v>
      </c>
      <c r="K319" s="50">
        <v>0.0</v>
      </c>
      <c r="L319" s="50">
        <v>0.0</v>
      </c>
      <c r="M319" s="50">
        <v>0.0</v>
      </c>
      <c r="N319" s="50">
        <v>0.0</v>
      </c>
      <c r="O319" s="50">
        <v>0.0</v>
      </c>
      <c r="P319" s="50">
        <v>0.0</v>
      </c>
      <c r="Q319" s="50">
        <v>0.0</v>
      </c>
      <c r="R319" s="48" t="s">
        <v>2948</v>
      </c>
      <c r="S319" s="50">
        <v>0.0</v>
      </c>
      <c r="T319" s="50">
        <v>1.0</v>
      </c>
      <c r="U319" s="50">
        <v>0.0</v>
      </c>
      <c r="V319" s="50">
        <v>0.0</v>
      </c>
      <c r="W319" s="50">
        <v>0.0</v>
      </c>
      <c r="X319" s="50">
        <v>0.0</v>
      </c>
      <c r="Y319" s="50">
        <v>0.0</v>
      </c>
      <c r="Z319" s="50">
        <v>0.0</v>
      </c>
      <c r="AA319" s="50">
        <v>0.0</v>
      </c>
      <c r="AB319" s="48" t="s">
        <v>2948</v>
      </c>
      <c r="AC319" s="50">
        <v>0.0</v>
      </c>
      <c r="AD319" s="50">
        <v>1.0</v>
      </c>
      <c r="AE319" s="50">
        <v>0.0</v>
      </c>
      <c r="AF319" s="50">
        <v>0.0</v>
      </c>
      <c r="AG319" s="50">
        <v>0.0</v>
      </c>
      <c r="AH319" s="50">
        <v>0.0</v>
      </c>
      <c r="AI319" s="50">
        <v>0.0</v>
      </c>
      <c r="AJ319" s="50">
        <v>0.0</v>
      </c>
      <c r="AK319" s="50">
        <v>0.0</v>
      </c>
      <c r="AL319" s="48"/>
      <c r="AM319" s="48"/>
      <c r="AN319" s="50">
        <v>0.0</v>
      </c>
      <c r="AO319" s="48"/>
      <c r="AP319" s="48"/>
      <c r="AQ319" s="48"/>
      <c r="AR319" s="48"/>
      <c r="AS319" s="48"/>
      <c r="AT319" s="48"/>
      <c r="AU319" s="48"/>
      <c r="AV319" s="48"/>
      <c r="AW319" s="50">
        <v>5.0</v>
      </c>
      <c r="AX319" s="48"/>
      <c r="AY319" s="48"/>
      <c r="AZ319" s="48"/>
      <c r="BA319" s="48"/>
      <c r="BB319" s="48"/>
      <c r="BC319" s="48"/>
      <c r="BD319" s="48"/>
      <c r="BE319" s="48"/>
      <c r="BF319" s="48"/>
      <c r="BG319" s="48"/>
      <c r="BH319" s="50">
        <v>4.0</v>
      </c>
      <c r="BI319" s="50">
        <v>1.0</v>
      </c>
      <c r="BJ319" s="50">
        <v>1.0</v>
      </c>
      <c r="BK319" s="50">
        <v>2.0</v>
      </c>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50">
        <v>7.08953802E8</v>
      </c>
      <c r="CL319" s="48" t="s">
        <v>4260</v>
      </c>
      <c r="CM319" s="47">
        <v>46108.6522337963</v>
      </c>
      <c r="CN319" s="48"/>
      <c r="CO319" s="48"/>
      <c r="CP319" s="48" t="s">
        <v>1954</v>
      </c>
      <c r="CQ319" s="48"/>
      <c r="CR319" s="48" t="s">
        <v>3014</v>
      </c>
      <c r="CS319" s="48"/>
      <c r="CT319" s="48" t="s">
        <v>4261</v>
      </c>
      <c r="CU319" s="50">
        <v>318.0</v>
      </c>
    </row>
    <row r="320">
      <c r="A320" s="47">
        <v>46108.94389454861</v>
      </c>
      <c r="B320" s="47">
        <v>46108.94446766204</v>
      </c>
      <c r="C320" s="48" t="s">
        <v>4262</v>
      </c>
      <c r="D320" s="48" t="s">
        <v>3733</v>
      </c>
      <c r="E320" s="48" t="s">
        <v>4020</v>
      </c>
      <c r="F320" s="48" t="s">
        <v>4021</v>
      </c>
      <c r="G320" s="49" t="s">
        <v>4263</v>
      </c>
      <c r="H320" s="48" t="s">
        <v>2948</v>
      </c>
      <c r="I320" s="50">
        <v>0.0</v>
      </c>
      <c r="J320" s="50">
        <v>1.0</v>
      </c>
      <c r="K320" s="50">
        <v>0.0</v>
      </c>
      <c r="L320" s="50">
        <v>0.0</v>
      </c>
      <c r="M320" s="50">
        <v>0.0</v>
      </c>
      <c r="N320" s="50">
        <v>0.0</v>
      </c>
      <c r="O320" s="50">
        <v>0.0</v>
      </c>
      <c r="P320" s="50">
        <v>0.0</v>
      </c>
      <c r="Q320" s="50">
        <v>0.0</v>
      </c>
      <c r="R320" s="48" t="s">
        <v>2948</v>
      </c>
      <c r="S320" s="50">
        <v>0.0</v>
      </c>
      <c r="T320" s="50">
        <v>1.0</v>
      </c>
      <c r="U320" s="50">
        <v>0.0</v>
      </c>
      <c r="V320" s="50">
        <v>0.0</v>
      </c>
      <c r="W320" s="50">
        <v>0.0</v>
      </c>
      <c r="X320" s="50">
        <v>0.0</v>
      </c>
      <c r="Y320" s="50">
        <v>0.0</v>
      </c>
      <c r="Z320" s="50">
        <v>0.0</v>
      </c>
      <c r="AA320" s="50">
        <v>0.0</v>
      </c>
      <c r="AB320" s="48" t="s">
        <v>2948</v>
      </c>
      <c r="AC320" s="50">
        <v>0.0</v>
      </c>
      <c r="AD320" s="50">
        <v>1.0</v>
      </c>
      <c r="AE320" s="50">
        <v>0.0</v>
      </c>
      <c r="AF320" s="50">
        <v>0.0</v>
      </c>
      <c r="AG320" s="50">
        <v>0.0</v>
      </c>
      <c r="AH320" s="50">
        <v>0.0</v>
      </c>
      <c r="AI320" s="50">
        <v>0.0</v>
      </c>
      <c r="AJ320" s="50">
        <v>0.0</v>
      </c>
      <c r="AK320" s="50">
        <v>0.0</v>
      </c>
      <c r="AL320" s="48"/>
      <c r="AM320" s="48"/>
      <c r="AN320" s="50">
        <v>8.0</v>
      </c>
      <c r="AO320" s="48"/>
      <c r="AP320" s="48"/>
      <c r="AQ320" s="48"/>
      <c r="AR320" s="48"/>
      <c r="AS320" s="48"/>
      <c r="AT320" s="48"/>
      <c r="AU320" s="48"/>
      <c r="AV320" s="48"/>
      <c r="AW320" s="50">
        <v>4.0</v>
      </c>
      <c r="AX320" s="48"/>
      <c r="AY320" s="48"/>
      <c r="AZ320" s="48"/>
      <c r="BA320" s="48"/>
      <c r="BB320" s="48"/>
      <c r="BC320" s="48"/>
      <c r="BD320" s="48"/>
      <c r="BE320" s="48"/>
      <c r="BF320" s="48"/>
      <c r="BG320" s="48"/>
      <c r="BH320" s="50">
        <v>2.0</v>
      </c>
      <c r="BI320" s="50">
        <v>2.0</v>
      </c>
      <c r="BJ320" s="50">
        <v>2.0</v>
      </c>
      <c r="BK320" s="50">
        <v>0.0</v>
      </c>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50">
        <v>7.0895456E8</v>
      </c>
      <c r="CL320" s="48" t="s">
        <v>4264</v>
      </c>
      <c r="CM320" s="47">
        <v>46108.6528125</v>
      </c>
      <c r="CN320" s="48"/>
      <c r="CO320" s="48"/>
      <c r="CP320" s="48" t="s">
        <v>1954</v>
      </c>
      <c r="CQ320" s="48"/>
      <c r="CR320" s="48" t="s">
        <v>3014</v>
      </c>
      <c r="CS320" s="48"/>
      <c r="CT320" s="48" t="s">
        <v>4265</v>
      </c>
      <c r="CU320" s="50">
        <v>319.0</v>
      </c>
    </row>
    <row r="321">
      <c r="A321" s="47">
        <v>46108.94447047454</v>
      </c>
      <c r="B321" s="47">
        <v>46108.94509682871</v>
      </c>
      <c r="C321" s="48" t="s">
        <v>4266</v>
      </c>
      <c r="D321" s="48" t="s">
        <v>3733</v>
      </c>
      <c r="E321" s="48" t="s">
        <v>4020</v>
      </c>
      <c r="F321" s="48" t="s">
        <v>4039</v>
      </c>
      <c r="G321" s="49" t="s">
        <v>4267</v>
      </c>
      <c r="H321" s="48" t="s">
        <v>2948</v>
      </c>
      <c r="I321" s="50">
        <v>0.0</v>
      </c>
      <c r="J321" s="50">
        <v>1.0</v>
      </c>
      <c r="K321" s="50">
        <v>0.0</v>
      </c>
      <c r="L321" s="50">
        <v>0.0</v>
      </c>
      <c r="M321" s="50">
        <v>0.0</v>
      </c>
      <c r="N321" s="50">
        <v>0.0</v>
      </c>
      <c r="O321" s="50">
        <v>0.0</v>
      </c>
      <c r="P321" s="50">
        <v>0.0</v>
      </c>
      <c r="Q321" s="50">
        <v>0.0</v>
      </c>
      <c r="R321" s="48" t="s">
        <v>2948</v>
      </c>
      <c r="S321" s="50">
        <v>0.0</v>
      </c>
      <c r="T321" s="50">
        <v>1.0</v>
      </c>
      <c r="U321" s="50">
        <v>0.0</v>
      </c>
      <c r="V321" s="50">
        <v>0.0</v>
      </c>
      <c r="W321" s="50">
        <v>0.0</v>
      </c>
      <c r="X321" s="50">
        <v>0.0</v>
      </c>
      <c r="Y321" s="50">
        <v>0.0</v>
      </c>
      <c r="Z321" s="50">
        <v>0.0</v>
      </c>
      <c r="AA321" s="50">
        <v>0.0</v>
      </c>
      <c r="AB321" s="48" t="s">
        <v>2948</v>
      </c>
      <c r="AC321" s="50">
        <v>0.0</v>
      </c>
      <c r="AD321" s="50">
        <v>1.0</v>
      </c>
      <c r="AE321" s="50">
        <v>0.0</v>
      </c>
      <c r="AF321" s="50">
        <v>0.0</v>
      </c>
      <c r="AG321" s="50">
        <v>0.0</v>
      </c>
      <c r="AH321" s="50">
        <v>0.0</v>
      </c>
      <c r="AI321" s="50">
        <v>0.0</v>
      </c>
      <c r="AJ321" s="50">
        <v>0.0</v>
      </c>
      <c r="AK321" s="50">
        <v>0.0</v>
      </c>
      <c r="AL321" s="48"/>
      <c r="AM321" s="48"/>
      <c r="AN321" s="50">
        <v>8.0</v>
      </c>
      <c r="AO321" s="48"/>
      <c r="AP321" s="48"/>
      <c r="AQ321" s="48"/>
      <c r="AR321" s="48"/>
      <c r="AS321" s="48"/>
      <c r="AT321" s="48"/>
      <c r="AU321" s="48"/>
      <c r="AV321" s="48"/>
      <c r="AW321" s="50">
        <v>5.0</v>
      </c>
      <c r="AX321" s="48"/>
      <c r="AY321" s="48"/>
      <c r="AZ321" s="48"/>
      <c r="BA321" s="48"/>
      <c r="BB321" s="48"/>
      <c r="BC321" s="48"/>
      <c r="BD321" s="48"/>
      <c r="BE321" s="48"/>
      <c r="BF321" s="48"/>
      <c r="BG321" s="48"/>
      <c r="BH321" s="50">
        <v>2.0</v>
      </c>
      <c r="BI321" s="50">
        <v>3.0</v>
      </c>
      <c r="BJ321" s="50">
        <v>1.0</v>
      </c>
      <c r="BK321" s="50">
        <v>0.0</v>
      </c>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50">
        <v>7.08955389E8</v>
      </c>
      <c r="CL321" s="48" t="s">
        <v>4268</v>
      </c>
      <c r="CM321" s="47">
        <v>46108.65344907407</v>
      </c>
      <c r="CN321" s="48"/>
      <c r="CO321" s="48"/>
      <c r="CP321" s="48" t="s">
        <v>1954</v>
      </c>
      <c r="CQ321" s="48"/>
      <c r="CR321" s="48" t="s">
        <v>3014</v>
      </c>
      <c r="CS321" s="48"/>
      <c r="CT321" s="48" t="s">
        <v>4269</v>
      </c>
      <c r="CU321" s="50">
        <v>320.0</v>
      </c>
    </row>
    <row r="322">
      <c r="A322" s="47">
        <v>46108.94510096065</v>
      </c>
      <c r="B322" s="47">
        <v>46108.94565817129</v>
      </c>
      <c r="C322" s="48" t="s">
        <v>4270</v>
      </c>
      <c r="D322" s="48" t="s">
        <v>3733</v>
      </c>
      <c r="E322" s="48" t="s">
        <v>4020</v>
      </c>
      <c r="F322" s="48" t="s">
        <v>4039</v>
      </c>
      <c r="G322" s="49" t="s">
        <v>4271</v>
      </c>
      <c r="H322" s="48" t="s">
        <v>2948</v>
      </c>
      <c r="I322" s="50">
        <v>0.0</v>
      </c>
      <c r="J322" s="50">
        <v>1.0</v>
      </c>
      <c r="K322" s="50">
        <v>0.0</v>
      </c>
      <c r="L322" s="50">
        <v>0.0</v>
      </c>
      <c r="M322" s="50">
        <v>0.0</v>
      </c>
      <c r="N322" s="50">
        <v>0.0</v>
      </c>
      <c r="O322" s="50">
        <v>0.0</v>
      </c>
      <c r="P322" s="50">
        <v>0.0</v>
      </c>
      <c r="Q322" s="50">
        <v>0.0</v>
      </c>
      <c r="R322" s="48" t="s">
        <v>2948</v>
      </c>
      <c r="S322" s="50">
        <v>0.0</v>
      </c>
      <c r="T322" s="50">
        <v>1.0</v>
      </c>
      <c r="U322" s="50">
        <v>0.0</v>
      </c>
      <c r="V322" s="50">
        <v>0.0</v>
      </c>
      <c r="W322" s="50">
        <v>0.0</v>
      </c>
      <c r="X322" s="50">
        <v>0.0</v>
      </c>
      <c r="Y322" s="50">
        <v>0.0</v>
      </c>
      <c r="Z322" s="50">
        <v>0.0</v>
      </c>
      <c r="AA322" s="50">
        <v>0.0</v>
      </c>
      <c r="AB322" s="48" t="s">
        <v>2948</v>
      </c>
      <c r="AC322" s="50">
        <v>0.0</v>
      </c>
      <c r="AD322" s="50">
        <v>1.0</v>
      </c>
      <c r="AE322" s="50">
        <v>0.0</v>
      </c>
      <c r="AF322" s="50">
        <v>0.0</v>
      </c>
      <c r="AG322" s="50">
        <v>0.0</v>
      </c>
      <c r="AH322" s="50">
        <v>0.0</v>
      </c>
      <c r="AI322" s="50">
        <v>0.0</v>
      </c>
      <c r="AJ322" s="50">
        <v>0.0</v>
      </c>
      <c r="AK322" s="50">
        <v>0.0</v>
      </c>
      <c r="AL322" s="48"/>
      <c r="AM322" s="48"/>
      <c r="AN322" s="50">
        <v>4.0</v>
      </c>
      <c r="AO322" s="48"/>
      <c r="AP322" s="48"/>
      <c r="AQ322" s="48"/>
      <c r="AR322" s="48"/>
      <c r="AS322" s="48"/>
      <c r="AT322" s="48"/>
      <c r="AU322" s="48"/>
      <c r="AV322" s="48"/>
      <c r="AW322" s="50">
        <v>2.0</v>
      </c>
      <c r="AX322" s="48"/>
      <c r="AY322" s="48"/>
      <c r="AZ322" s="48"/>
      <c r="BA322" s="48"/>
      <c r="BB322" s="48"/>
      <c r="BC322" s="48"/>
      <c r="BD322" s="48"/>
      <c r="BE322" s="48"/>
      <c r="BF322" s="48"/>
      <c r="BG322" s="48"/>
      <c r="BH322" s="50">
        <v>0.0</v>
      </c>
      <c r="BI322" s="50">
        <v>1.0</v>
      </c>
      <c r="BJ322" s="50">
        <v>2.0</v>
      </c>
      <c r="BK322" s="50">
        <v>0.0</v>
      </c>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50">
        <v>7.08956117E8</v>
      </c>
      <c r="CL322" s="48" t="s">
        <v>4272</v>
      </c>
      <c r="CM322" s="47">
        <v>46108.65400462963</v>
      </c>
      <c r="CN322" s="48"/>
      <c r="CO322" s="48"/>
      <c r="CP322" s="48" t="s">
        <v>1954</v>
      </c>
      <c r="CQ322" s="48"/>
      <c r="CR322" s="48" t="s">
        <v>3014</v>
      </c>
      <c r="CS322" s="48"/>
      <c r="CT322" s="48" t="s">
        <v>4273</v>
      </c>
      <c r="CU322" s="50">
        <v>321.0</v>
      </c>
    </row>
    <row r="323">
      <c r="A323" s="47">
        <v>46108.94566106481</v>
      </c>
      <c r="B323" s="47">
        <v>46108.94625466436</v>
      </c>
      <c r="C323" s="48" t="s">
        <v>4274</v>
      </c>
      <c r="D323" s="48" t="s">
        <v>3733</v>
      </c>
      <c r="E323" s="48" t="s">
        <v>4020</v>
      </c>
      <c r="F323" s="48" t="s">
        <v>4039</v>
      </c>
      <c r="G323" s="49" t="s">
        <v>4275</v>
      </c>
      <c r="H323" s="48" t="s">
        <v>2948</v>
      </c>
      <c r="I323" s="50">
        <v>0.0</v>
      </c>
      <c r="J323" s="50">
        <v>1.0</v>
      </c>
      <c r="K323" s="50">
        <v>0.0</v>
      </c>
      <c r="L323" s="50">
        <v>0.0</v>
      </c>
      <c r="M323" s="50">
        <v>0.0</v>
      </c>
      <c r="N323" s="50">
        <v>0.0</v>
      </c>
      <c r="O323" s="50">
        <v>0.0</v>
      </c>
      <c r="P323" s="50">
        <v>0.0</v>
      </c>
      <c r="Q323" s="50">
        <v>0.0</v>
      </c>
      <c r="R323" s="48" t="s">
        <v>2948</v>
      </c>
      <c r="S323" s="50">
        <v>0.0</v>
      </c>
      <c r="T323" s="50">
        <v>1.0</v>
      </c>
      <c r="U323" s="50">
        <v>0.0</v>
      </c>
      <c r="V323" s="50">
        <v>0.0</v>
      </c>
      <c r="W323" s="50">
        <v>0.0</v>
      </c>
      <c r="X323" s="50">
        <v>0.0</v>
      </c>
      <c r="Y323" s="50">
        <v>0.0</v>
      </c>
      <c r="Z323" s="50">
        <v>0.0</v>
      </c>
      <c r="AA323" s="50">
        <v>0.0</v>
      </c>
      <c r="AB323" s="48" t="s">
        <v>2948</v>
      </c>
      <c r="AC323" s="50">
        <v>0.0</v>
      </c>
      <c r="AD323" s="50">
        <v>1.0</v>
      </c>
      <c r="AE323" s="50">
        <v>0.0</v>
      </c>
      <c r="AF323" s="50">
        <v>0.0</v>
      </c>
      <c r="AG323" s="50">
        <v>0.0</v>
      </c>
      <c r="AH323" s="50">
        <v>0.0</v>
      </c>
      <c r="AI323" s="50">
        <v>0.0</v>
      </c>
      <c r="AJ323" s="50">
        <v>0.0</v>
      </c>
      <c r="AK323" s="50">
        <v>0.0</v>
      </c>
      <c r="AL323" s="48"/>
      <c r="AM323" s="48"/>
      <c r="AN323" s="50">
        <v>4.0</v>
      </c>
      <c r="AO323" s="48"/>
      <c r="AP323" s="48"/>
      <c r="AQ323" s="48"/>
      <c r="AR323" s="48"/>
      <c r="AS323" s="48"/>
      <c r="AT323" s="48"/>
      <c r="AU323" s="48"/>
      <c r="AV323" s="48"/>
      <c r="AW323" s="50">
        <v>3.0</v>
      </c>
      <c r="AX323" s="48"/>
      <c r="AY323" s="48"/>
      <c r="AZ323" s="48"/>
      <c r="BA323" s="48"/>
      <c r="BB323" s="48"/>
      <c r="BC323" s="48"/>
      <c r="BD323" s="48"/>
      <c r="BE323" s="48"/>
      <c r="BF323" s="48"/>
      <c r="BG323" s="48"/>
      <c r="BH323" s="50">
        <v>2.0</v>
      </c>
      <c r="BI323" s="50">
        <v>1.0</v>
      </c>
      <c r="BJ323" s="50">
        <v>3.0</v>
      </c>
      <c r="BK323" s="50">
        <v>0.0</v>
      </c>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50">
        <v>7.08956941E8</v>
      </c>
      <c r="CL323" s="48" t="s">
        <v>4276</v>
      </c>
      <c r="CM323" s="47">
        <v>46108.65460648148</v>
      </c>
      <c r="CN323" s="48"/>
      <c r="CO323" s="48"/>
      <c r="CP323" s="48" t="s">
        <v>1954</v>
      </c>
      <c r="CQ323" s="48"/>
      <c r="CR323" s="48" t="s">
        <v>3014</v>
      </c>
      <c r="CS323" s="48"/>
      <c r="CT323" s="48" t="s">
        <v>4277</v>
      </c>
      <c r="CU323" s="50">
        <v>322.0</v>
      </c>
    </row>
    <row r="324">
      <c r="A324" s="47">
        <v>46108.94625762731</v>
      </c>
      <c r="B324" s="47">
        <v>46108.94677503472</v>
      </c>
      <c r="C324" s="48" t="s">
        <v>4278</v>
      </c>
      <c r="D324" s="48" t="s">
        <v>3733</v>
      </c>
      <c r="E324" s="48" t="s">
        <v>4020</v>
      </c>
      <c r="F324" s="48" t="s">
        <v>4039</v>
      </c>
      <c r="G324" s="49" t="s">
        <v>4279</v>
      </c>
      <c r="H324" s="48" t="s">
        <v>2948</v>
      </c>
      <c r="I324" s="50">
        <v>0.0</v>
      </c>
      <c r="J324" s="50">
        <v>1.0</v>
      </c>
      <c r="K324" s="50">
        <v>0.0</v>
      </c>
      <c r="L324" s="50">
        <v>0.0</v>
      </c>
      <c r="M324" s="50">
        <v>0.0</v>
      </c>
      <c r="N324" s="50">
        <v>0.0</v>
      </c>
      <c r="O324" s="50">
        <v>0.0</v>
      </c>
      <c r="P324" s="50">
        <v>0.0</v>
      </c>
      <c r="Q324" s="50">
        <v>0.0</v>
      </c>
      <c r="R324" s="48" t="s">
        <v>2948</v>
      </c>
      <c r="S324" s="50">
        <v>0.0</v>
      </c>
      <c r="T324" s="50">
        <v>1.0</v>
      </c>
      <c r="U324" s="50">
        <v>0.0</v>
      </c>
      <c r="V324" s="50">
        <v>0.0</v>
      </c>
      <c r="W324" s="50">
        <v>0.0</v>
      </c>
      <c r="X324" s="50">
        <v>0.0</v>
      </c>
      <c r="Y324" s="50">
        <v>0.0</v>
      </c>
      <c r="Z324" s="50">
        <v>0.0</v>
      </c>
      <c r="AA324" s="50">
        <v>0.0</v>
      </c>
      <c r="AB324" s="48" t="s">
        <v>2948</v>
      </c>
      <c r="AC324" s="50">
        <v>0.0</v>
      </c>
      <c r="AD324" s="50">
        <v>1.0</v>
      </c>
      <c r="AE324" s="50">
        <v>0.0</v>
      </c>
      <c r="AF324" s="50">
        <v>0.0</v>
      </c>
      <c r="AG324" s="50">
        <v>0.0</v>
      </c>
      <c r="AH324" s="50">
        <v>0.0</v>
      </c>
      <c r="AI324" s="50">
        <v>0.0</v>
      </c>
      <c r="AJ324" s="50">
        <v>0.0</v>
      </c>
      <c r="AK324" s="50">
        <v>0.0</v>
      </c>
      <c r="AL324" s="48"/>
      <c r="AM324" s="48"/>
      <c r="AN324" s="50">
        <v>12.0</v>
      </c>
      <c r="AO324" s="48"/>
      <c r="AP324" s="48"/>
      <c r="AQ324" s="48"/>
      <c r="AR324" s="48"/>
      <c r="AS324" s="48"/>
      <c r="AT324" s="48"/>
      <c r="AU324" s="48"/>
      <c r="AV324" s="48"/>
      <c r="AW324" s="50">
        <v>5.0</v>
      </c>
      <c r="AX324" s="48"/>
      <c r="AY324" s="48"/>
      <c r="AZ324" s="48"/>
      <c r="BA324" s="48"/>
      <c r="BB324" s="48"/>
      <c r="BC324" s="48"/>
      <c r="BD324" s="48"/>
      <c r="BE324" s="48"/>
      <c r="BF324" s="48"/>
      <c r="BG324" s="48"/>
      <c r="BH324" s="50">
        <v>2.0</v>
      </c>
      <c r="BI324" s="50">
        <v>3.0</v>
      </c>
      <c r="BJ324" s="50">
        <v>4.0</v>
      </c>
      <c r="BK324" s="50">
        <v>0.0</v>
      </c>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50">
        <v>7.08957431E8</v>
      </c>
      <c r="CL324" s="48" t="s">
        <v>4280</v>
      </c>
      <c r="CM324" s="47">
        <v>46108.65511574074</v>
      </c>
      <c r="CN324" s="48"/>
      <c r="CO324" s="48"/>
      <c r="CP324" s="48" t="s">
        <v>1954</v>
      </c>
      <c r="CQ324" s="48"/>
      <c r="CR324" s="48" t="s">
        <v>3014</v>
      </c>
      <c r="CS324" s="48"/>
      <c r="CT324" s="48" t="s">
        <v>4281</v>
      </c>
      <c r="CU324" s="50">
        <v>323.0</v>
      </c>
    </row>
    <row r="325">
      <c r="A325" s="47">
        <v>46108.94677886574</v>
      </c>
      <c r="B325" s="47">
        <v>46108.94748604167</v>
      </c>
      <c r="C325" s="48" t="s">
        <v>4282</v>
      </c>
      <c r="D325" s="48" t="s">
        <v>3733</v>
      </c>
      <c r="E325" s="48" t="s">
        <v>4020</v>
      </c>
      <c r="F325" s="48" t="s">
        <v>4039</v>
      </c>
      <c r="G325" s="49" t="s">
        <v>4283</v>
      </c>
      <c r="H325" s="48" t="s">
        <v>2948</v>
      </c>
      <c r="I325" s="50">
        <v>0.0</v>
      </c>
      <c r="J325" s="50">
        <v>1.0</v>
      </c>
      <c r="K325" s="50">
        <v>0.0</v>
      </c>
      <c r="L325" s="50">
        <v>0.0</v>
      </c>
      <c r="M325" s="50">
        <v>0.0</v>
      </c>
      <c r="N325" s="50">
        <v>0.0</v>
      </c>
      <c r="O325" s="50">
        <v>0.0</v>
      </c>
      <c r="P325" s="50">
        <v>0.0</v>
      </c>
      <c r="Q325" s="50">
        <v>0.0</v>
      </c>
      <c r="R325" s="48" t="s">
        <v>2948</v>
      </c>
      <c r="S325" s="50">
        <v>0.0</v>
      </c>
      <c r="T325" s="50">
        <v>1.0</v>
      </c>
      <c r="U325" s="50">
        <v>0.0</v>
      </c>
      <c r="V325" s="50">
        <v>0.0</v>
      </c>
      <c r="W325" s="50">
        <v>0.0</v>
      </c>
      <c r="X325" s="50">
        <v>0.0</v>
      </c>
      <c r="Y325" s="50">
        <v>0.0</v>
      </c>
      <c r="Z325" s="50">
        <v>0.0</v>
      </c>
      <c r="AA325" s="50">
        <v>0.0</v>
      </c>
      <c r="AB325" s="48" t="s">
        <v>2948</v>
      </c>
      <c r="AC325" s="50">
        <v>0.0</v>
      </c>
      <c r="AD325" s="50">
        <v>1.0</v>
      </c>
      <c r="AE325" s="50">
        <v>0.0</v>
      </c>
      <c r="AF325" s="50">
        <v>0.0</v>
      </c>
      <c r="AG325" s="50">
        <v>0.0</v>
      </c>
      <c r="AH325" s="50">
        <v>0.0</v>
      </c>
      <c r="AI325" s="50">
        <v>0.0</v>
      </c>
      <c r="AJ325" s="50">
        <v>0.0</v>
      </c>
      <c r="AK325" s="50">
        <v>0.0</v>
      </c>
      <c r="AL325" s="48"/>
      <c r="AM325" s="48"/>
      <c r="AN325" s="50">
        <v>3.0</v>
      </c>
      <c r="AO325" s="48"/>
      <c r="AP325" s="48"/>
      <c r="AQ325" s="48"/>
      <c r="AR325" s="48"/>
      <c r="AS325" s="48"/>
      <c r="AT325" s="48"/>
      <c r="AU325" s="48"/>
      <c r="AV325" s="48"/>
      <c r="AW325" s="50">
        <v>6.0</v>
      </c>
      <c r="AX325" s="48"/>
      <c r="AY325" s="48"/>
      <c r="AZ325" s="48"/>
      <c r="BA325" s="48"/>
      <c r="BB325" s="48"/>
      <c r="BC325" s="48"/>
      <c r="BD325" s="48"/>
      <c r="BE325" s="48"/>
      <c r="BF325" s="48"/>
      <c r="BG325" s="48"/>
      <c r="BH325" s="50">
        <v>3.0</v>
      </c>
      <c r="BI325" s="50">
        <v>0.0</v>
      </c>
      <c r="BJ325" s="50">
        <v>0.0</v>
      </c>
      <c r="BK325" s="50">
        <v>0.0</v>
      </c>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50">
        <v>7.08958131E8</v>
      </c>
      <c r="CL325" s="48" t="s">
        <v>4284</v>
      </c>
      <c r="CM325" s="47">
        <v>46108.65583333333</v>
      </c>
      <c r="CN325" s="48"/>
      <c r="CO325" s="48"/>
      <c r="CP325" s="48" t="s">
        <v>1954</v>
      </c>
      <c r="CQ325" s="48"/>
      <c r="CR325" s="48" t="s">
        <v>3014</v>
      </c>
      <c r="CS325" s="48"/>
      <c r="CT325" s="48" t="s">
        <v>4285</v>
      </c>
      <c r="CU325" s="50">
        <v>324.0</v>
      </c>
    </row>
    <row r="326">
      <c r="A326" s="47">
        <v>46108.947488125</v>
      </c>
      <c r="B326" s="47">
        <v>46108.9480440162</v>
      </c>
      <c r="C326" s="48" t="s">
        <v>4286</v>
      </c>
      <c r="D326" s="48" t="s">
        <v>3733</v>
      </c>
      <c r="E326" s="48" t="s">
        <v>4020</v>
      </c>
      <c r="F326" s="48" t="s">
        <v>4039</v>
      </c>
      <c r="G326" s="49" t="s">
        <v>4287</v>
      </c>
      <c r="H326" s="48" t="s">
        <v>2948</v>
      </c>
      <c r="I326" s="50">
        <v>0.0</v>
      </c>
      <c r="J326" s="50">
        <v>1.0</v>
      </c>
      <c r="K326" s="50">
        <v>0.0</v>
      </c>
      <c r="L326" s="50">
        <v>0.0</v>
      </c>
      <c r="M326" s="50">
        <v>0.0</v>
      </c>
      <c r="N326" s="50">
        <v>0.0</v>
      </c>
      <c r="O326" s="50">
        <v>0.0</v>
      </c>
      <c r="P326" s="50">
        <v>0.0</v>
      </c>
      <c r="Q326" s="50">
        <v>0.0</v>
      </c>
      <c r="R326" s="48" t="s">
        <v>2948</v>
      </c>
      <c r="S326" s="50">
        <v>0.0</v>
      </c>
      <c r="T326" s="50">
        <v>1.0</v>
      </c>
      <c r="U326" s="50">
        <v>0.0</v>
      </c>
      <c r="V326" s="50">
        <v>0.0</v>
      </c>
      <c r="W326" s="50">
        <v>0.0</v>
      </c>
      <c r="X326" s="50">
        <v>0.0</v>
      </c>
      <c r="Y326" s="50">
        <v>0.0</v>
      </c>
      <c r="Z326" s="50">
        <v>0.0</v>
      </c>
      <c r="AA326" s="50">
        <v>0.0</v>
      </c>
      <c r="AB326" s="48" t="s">
        <v>2948</v>
      </c>
      <c r="AC326" s="50">
        <v>0.0</v>
      </c>
      <c r="AD326" s="50">
        <v>1.0</v>
      </c>
      <c r="AE326" s="50">
        <v>0.0</v>
      </c>
      <c r="AF326" s="50">
        <v>0.0</v>
      </c>
      <c r="AG326" s="50">
        <v>0.0</v>
      </c>
      <c r="AH326" s="50">
        <v>0.0</v>
      </c>
      <c r="AI326" s="50">
        <v>0.0</v>
      </c>
      <c r="AJ326" s="50">
        <v>0.0</v>
      </c>
      <c r="AK326" s="50">
        <v>0.0</v>
      </c>
      <c r="AL326" s="48"/>
      <c r="AM326" s="48"/>
      <c r="AN326" s="50">
        <v>7.0</v>
      </c>
      <c r="AO326" s="48"/>
      <c r="AP326" s="48"/>
      <c r="AQ326" s="48"/>
      <c r="AR326" s="48"/>
      <c r="AS326" s="48"/>
      <c r="AT326" s="48"/>
      <c r="AU326" s="48"/>
      <c r="AV326" s="48"/>
      <c r="AW326" s="50">
        <v>10.0</v>
      </c>
      <c r="AX326" s="48"/>
      <c r="AY326" s="48"/>
      <c r="AZ326" s="48"/>
      <c r="BA326" s="48"/>
      <c r="BB326" s="48"/>
      <c r="BC326" s="48"/>
      <c r="BD326" s="48"/>
      <c r="BE326" s="48"/>
      <c r="BF326" s="48"/>
      <c r="BG326" s="48"/>
      <c r="BH326" s="50">
        <v>3.0</v>
      </c>
      <c r="BI326" s="50">
        <v>0.0</v>
      </c>
      <c r="BJ326" s="50">
        <v>1.0</v>
      </c>
      <c r="BK326" s="50">
        <v>0.0</v>
      </c>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50">
        <v>7.0895882E8</v>
      </c>
      <c r="CL326" s="48" t="s">
        <v>4288</v>
      </c>
      <c r="CM326" s="47">
        <v>46108.65638888889</v>
      </c>
      <c r="CN326" s="48"/>
      <c r="CO326" s="48"/>
      <c r="CP326" s="48" t="s">
        <v>1954</v>
      </c>
      <c r="CQ326" s="48"/>
      <c r="CR326" s="48" t="s">
        <v>3014</v>
      </c>
      <c r="CS326" s="48"/>
      <c r="CT326" s="48" t="s">
        <v>4289</v>
      </c>
      <c r="CU326" s="50">
        <v>325.0</v>
      </c>
    </row>
    <row r="327">
      <c r="A327" s="47">
        <v>46108.94804736111</v>
      </c>
      <c r="B327" s="47">
        <v>46108.9486699074</v>
      </c>
      <c r="C327" s="48" t="s">
        <v>4290</v>
      </c>
      <c r="D327" s="48" t="s">
        <v>3733</v>
      </c>
      <c r="E327" s="48" t="s">
        <v>4020</v>
      </c>
      <c r="F327" s="48" t="s">
        <v>4039</v>
      </c>
      <c r="G327" s="49" t="s">
        <v>4291</v>
      </c>
      <c r="H327" s="48" t="s">
        <v>2948</v>
      </c>
      <c r="I327" s="50">
        <v>0.0</v>
      </c>
      <c r="J327" s="50">
        <v>1.0</v>
      </c>
      <c r="K327" s="50">
        <v>0.0</v>
      </c>
      <c r="L327" s="50">
        <v>0.0</v>
      </c>
      <c r="M327" s="50">
        <v>0.0</v>
      </c>
      <c r="N327" s="50">
        <v>0.0</v>
      </c>
      <c r="O327" s="50">
        <v>0.0</v>
      </c>
      <c r="P327" s="50">
        <v>0.0</v>
      </c>
      <c r="Q327" s="50">
        <v>0.0</v>
      </c>
      <c r="R327" s="48" t="s">
        <v>2948</v>
      </c>
      <c r="S327" s="50">
        <v>0.0</v>
      </c>
      <c r="T327" s="50">
        <v>1.0</v>
      </c>
      <c r="U327" s="50">
        <v>0.0</v>
      </c>
      <c r="V327" s="50">
        <v>0.0</v>
      </c>
      <c r="W327" s="50">
        <v>0.0</v>
      </c>
      <c r="X327" s="50">
        <v>0.0</v>
      </c>
      <c r="Y327" s="50">
        <v>0.0</v>
      </c>
      <c r="Z327" s="50">
        <v>0.0</v>
      </c>
      <c r="AA327" s="50">
        <v>0.0</v>
      </c>
      <c r="AB327" s="48" t="s">
        <v>2948</v>
      </c>
      <c r="AC327" s="50">
        <v>0.0</v>
      </c>
      <c r="AD327" s="50">
        <v>1.0</v>
      </c>
      <c r="AE327" s="50">
        <v>0.0</v>
      </c>
      <c r="AF327" s="50">
        <v>0.0</v>
      </c>
      <c r="AG327" s="50">
        <v>0.0</v>
      </c>
      <c r="AH327" s="50">
        <v>0.0</v>
      </c>
      <c r="AI327" s="50">
        <v>0.0</v>
      </c>
      <c r="AJ327" s="50">
        <v>0.0</v>
      </c>
      <c r="AK327" s="50">
        <v>0.0</v>
      </c>
      <c r="AL327" s="48"/>
      <c r="AM327" s="48"/>
      <c r="AN327" s="50">
        <v>4.0</v>
      </c>
      <c r="AO327" s="48"/>
      <c r="AP327" s="48"/>
      <c r="AQ327" s="48"/>
      <c r="AR327" s="48"/>
      <c r="AS327" s="48"/>
      <c r="AT327" s="48"/>
      <c r="AU327" s="48"/>
      <c r="AV327" s="48"/>
      <c r="AW327" s="50">
        <v>3.0</v>
      </c>
      <c r="AX327" s="48"/>
      <c r="AY327" s="48"/>
      <c r="AZ327" s="48"/>
      <c r="BA327" s="48"/>
      <c r="BB327" s="48"/>
      <c r="BC327" s="48"/>
      <c r="BD327" s="48"/>
      <c r="BE327" s="48"/>
      <c r="BF327" s="48"/>
      <c r="BG327" s="48"/>
      <c r="BH327" s="50">
        <v>0.0</v>
      </c>
      <c r="BI327" s="50">
        <v>0.0</v>
      </c>
      <c r="BJ327" s="50">
        <v>1.0</v>
      </c>
      <c r="BK327" s="50">
        <v>0.0</v>
      </c>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50">
        <v>7.08959555E8</v>
      </c>
      <c r="CL327" s="48" t="s">
        <v>4292</v>
      </c>
      <c r="CM327" s="47">
        <v>46108.65701388889</v>
      </c>
      <c r="CN327" s="48"/>
      <c r="CO327" s="48"/>
      <c r="CP327" s="48" t="s">
        <v>1954</v>
      </c>
      <c r="CQ327" s="48"/>
      <c r="CR327" s="48" t="s">
        <v>3014</v>
      </c>
      <c r="CS327" s="48"/>
      <c r="CT327" s="48" t="s">
        <v>4293</v>
      </c>
      <c r="CU327" s="50">
        <v>326.0</v>
      </c>
    </row>
    <row r="328">
      <c r="A328" s="47">
        <v>46108.94867202546</v>
      </c>
      <c r="B328" s="47">
        <v>46108.94915827546</v>
      </c>
      <c r="C328" s="48" t="s">
        <v>4294</v>
      </c>
      <c r="D328" s="48" t="s">
        <v>3733</v>
      </c>
      <c r="E328" s="48" t="s">
        <v>4020</v>
      </c>
      <c r="F328" s="48" t="s">
        <v>4039</v>
      </c>
      <c r="G328" s="49" t="s">
        <v>4295</v>
      </c>
      <c r="H328" s="48" t="s">
        <v>2948</v>
      </c>
      <c r="I328" s="50">
        <v>0.0</v>
      </c>
      <c r="J328" s="50">
        <v>1.0</v>
      </c>
      <c r="K328" s="50">
        <v>0.0</v>
      </c>
      <c r="L328" s="50">
        <v>0.0</v>
      </c>
      <c r="M328" s="50">
        <v>0.0</v>
      </c>
      <c r="N328" s="50">
        <v>0.0</v>
      </c>
      <c r="O328" s="50">
        <v>0.0</v>
      </c>
      <c r="P328" s="50">
        <v>0.0</v>
      </c>
      <c r="Q328" s="50">
        <v>0.0</v>
      </c>
      <c r="R328" s="48" t="s">
        <v>2948</v>
      </c>
      <c r="S328" s="50">
        <v>0.0</v>
      </c>
      <c r="T328" s="50">
        <v>1.0</v>
      </c>
      <c r="U328" s="50">
        <v>0.0</v>
      </c>
      <c r="V328" s="50">
        <v>0.0</v>
      </c>
      <c r="W328" s="50">
        <v>0.0</v>
      </c>
      <c r="X328" s="50">
        <v>0.0</v>
      </c>
      <c r="Y328" s="50">
        <v>0.0</v>
      </c>
      <c r="Z328" s="50">
        <v>0.0</v>
      </c>
      <c r="AA328" s="50">
        <v>0.0</v>
      </c>
      <c r="AB328" s="48" t="s">
        <v>2948</v>
      </c>
      <c r="AC328" s="50">
        <v>0.0</v>
      </c>
      <c r="AD328" s="50">
        <v>1.0</v>
      </c>
      <c r="AE328" s="50">
        <v>0.0</v>
      </c>
      <c r="AF328" s="50">
        <v>0.0</v>
      </c>
      <c r="AG328" s="50">
        <v>0.0</v>
      </c>
      <c r="AH328" s="50">
        <v>0.0</v>
      </c>
      <c r="AI328" s="50">
        <v>0.0</v>
      </c>
      <c r="AJ328" s="50">
        <v>0.0</v>
      </c>
      <c r="AK328" s="50">
        <v>0.0</v>
      </c>
      <c r="AL328" s="48"/>
      <c r="AM328" s="48"/>
      <c r="AN328" s="50">
        <v>9.0</v>
      </c>
      <c r="AO328" s="48"/>
      <c r="AP328" s="48"/>
      <c r="AQ328" s="48"/>
      <c r="AR328" s="48"/>
      <c r="AS328" s="48"/>
      <c r="AT328" s="48"/>
      <c r="AU328" s="48"/>
      <c r="AV328" s="48"/>
      <c r="AW328" s="50">
        <v>6.0</v>
      </c>
      <c r="AX328" s="48"/>
      <c r="AY328" s="48"/>
      <c r="AZ328" s="48"/>
      <c r="BA328" s="48"/>
      <c r="BB328" s="48"/>
      <c r="BC328" s="48"/>
      <c r="BD328" s="48"/>
      <c r="BE328" s="48"/>
      <c r="BF328" s="48"/>
      <c r="BG328" s="48"/>
      <c r="BH328" s="50">
        <v>2.0</v>
      </c>
      <c r="BI328" s="50">
        <v>0.0</v>
      </c>
      <c r="BJ328" s="50">
        <v>1.0</v>
      </c>
      <c r="BK328" s="50">
        <v>0.0</v>
      </c>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50">
        <v>7.08960187E8</v>
      </c>
      <c r="CL328" s="48" t="s">
        <v>4296</v>
      </c>
      <c r="CM328" s="47">
        <v>46108.65751157407</v>
      </c>
      <c r="CN328" s="48"/>
      <c r="CO328" s="48"/>
      <c r="CP328" s="48" t="s">
        <v>1954</v>
      </c>
      <c r="CQ328" s="48"/>
      <c r="CR328" s="48" t="s">
        <v>3014</v>
      </c>
      <c r="CS328" s="48"/>
      <c r="CT328" s="48" t="s">
        <v>4297</v>
      </c>
      <c r="CU328" s="50">
        <v>327.0</v>
      </c>
    </row>
    <row r="329">
      <c r="A329" s="47">
        <v>46108.94916131945</v>
      </c>
      <c r="B329" s="47">
        <v>46108.94982086805</v>
      </c>
      <c r="C329" s="48" t="s">
        <v>4298</v>
      </c>
      <c r="D329" s="48" t="s">
        <v>3733</v>
      </c>
      <c r="E329" s="48" t="s">
        <v>4020</v>
      </c>
      <c r="F329" s="48" t="s">
        <v>4039</v>
      </c>
      <c r="G329" s="49" t="s">
        <v>4299</v>
      </c>
      <c r="H329" s="48" t="s">
        <v>2948</v>
      </c>
      <c r="I329" s="50">
        <v>0.0</v>
      </c>
      <c r="J329" s="50">
        <v>1.0</v>
      </c>
      <c r="K329" s="50">
        <v>0.0</v>
      </c>
      <c r="L329" s="50">
        <v>0.0</v>
      </c>
      <c r="M329" s="50">
        <v>0.0</v>
      </c>
      <c r="N329" s="50">
        <v>0.0</v>
      </c>
      <c r="O329" s="50">
        <v>0.0</v>
      </c>
      <c r="P329" s="50">
        <v>0.0</v>
      </c>
      <c r="Q329" s="50">
        <v>0.0</v>
      </c>
      <c r="R329" s="48" t="s">
        <v>2948</v>
      </c>
      <c r="S329" s="50">
        <v>0.0</v>
      </c>
      <c r="T329" s="50">
        <v>1.0</v>
      </c>
      <c r="U329" s="50">
        <v>0.0</v>
      </c>
      <c r="V329" s="50">
        <v>0.0</v>
      </c>
      <c r="W329" s="50">
        <v>0.0</v>
      </c>
      <c r="X329" s="50">
        <v>0.0</v>
      </c>
      <c r="Y329" s="50">
        <v>0.0</v>
      </c>
      <c r="Z329" s="50">
        <v>0.0</v>
      </c>
      <c r="AA329" s="50">
        <v>0.0</v>
      </c>
      <c r="AB329" s="48" t="s">
        <v>2948</v>
      </c>
      <c r="AC329" s="50">
        <v>0.0</v>
      </c>
      <c r="AD329" s="50">
        <v>1.0</v>
      </c>
      <c r="AE329" s="50">
        <v>0.0</v>
      </c>
      <c r="AF329" s="50">
        <v>0.0</v>
      </c>
      <c r="AG329" s="50">
        <v>0.0</v>
      </c>
      <c r="AH329" s="50">
        <v>0.0</v>
      </c>
      <c r="AI329" s="50">
        <v>0.0</v>
      </c>
      <c r="AJ329" s="50">
        <v>0.0</v>
      </c>
      <c r="AK329" s="50">
        <v>0.0</v>
      </c>
      <c r="AL329" s="48"/>
      <c r="AM329" s="48"/>
      <c r="AN329" s="50">
        <v>6.0</v>
      </c>
      <c r="AO329" s="48"/>
      <c r="AP329" s="48"/>
      <c r="AQ329" s="48"/>
      <c r="AR329" s="48"/>
      <c r="AS329" s="48"/>
      <c r="AT329" s="48"/>
      <c r="AU329" s="48"/>
      <c r="AV329" s="48"/>
      <c r="AW329" s="50">
        <v>4.0</v>
      </c>
      <c r="AX329" s="48"/>
      <c r="AY329" s="48"/>
      <c r="AZ329" s="48"/>
      <c r="BA329" s="48"/>
      <c r="BB329" s="48"/>
      <c r="BC329" s="48"/>
      <c r="BD329" s="48"/>
      <c r="BE329" s="48"/>
      <c r="BF329" s="48"/>
      <c r="BG329" s="48"/>
      <c r="BH329" s="50">
        <v>1.0</v>
      </c>
      <c r="BI329" s="50">
        <v>0.0</v>
      </c>
      <c r="BJ329" s="50">
        <v>3.0</v>
      </c>
      <c r="BK329" s="50">
        <v>0.0</v>
      </c>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50">
        <v>7.08960937E8</v>
      </c>
      <c r="CL329" s="48" t="s">
        <v>4300</v>
      </c>
      <c r="CM329" s="47">
        <v>46108.65817129629</v>
      </c>
      <c r="CN329" s="48"/>
      <c r="CO329" s="48"/>
      <c r="CP329" s="48" t="s">
        <v>1954</v>
      </c>
      <c r="CQ329" s="48"/>
      <c r="CR329" s="48" t="s">
        <v>3014</v>
      </c>
      <c r="CS329" s="48"/>
      <c r="CT329" s="48" t="s">
        <v>4301</v>
      </c>
      <c r="CU329" s="50">
        <v>328.0</v>
      </c>
    </row>
    <row r="330">
      <c r="A330" s="47">
        <v>46108.94982533565</v>
      </c>
      <c r="B330" s="47">
        <v>46108.95033797454</v>
      </c>
      <c r="C330" s="48" t="s">
        <v>4302</v>
      </c>
      <c r="D330" s="48" t="s">
        <v>3733</v>
      </c>
      <c r="E330" s="48" t="s">
        <v>4020</v>
      </c>
      <c r="F330" s="48" t="s">
        <v>4039</v>
      </c>
      <c r="G330" s="49" t="s">
        <v>4303</v>
      </c>
      <c r="H330" s="48" t="s">
        <v>2948</v>
      </c>
      <c r="I330" s="50">
        <v>0.0</v>
      </c>
      <c r="J330" s="50">
        <v>1.0</v>
      </c>
      <c r="K330" s="50">
        <v>0.0</v>
      </c>
      <c r="L330" s="50">
        <v>0.0</v>
      </c>
      <c r="M330" s="50">
        <v>0.0</v>
      </c>
      <c r="N330" s="50">
        <v>0.0</v>
      </c>
      <c r="O330" s="50">
        <v>0.0</v>
      </c>
      <c r="P330" s="50">
        <v>0.0</v>
      </c>
      <c r="Q330" s="50">
        <v>0.0</v>
      </c>
      <c r="R330" s="48" t="s">
        <v>2948</v>
      </c>
      <c r="S330" s="50">
        <v>0.0</v>
      </c>
      <c r="T330" s="50">
        <v>1.0</v>
      </c>
      <c r="U330" s="50">
        <v>0.0</v>
      </c>
      <c r="V330" s="50">
        <v>0.0</v>
      </c>
      <c r="W330" s="50">
        <v>0.0</v>
      </c>
      <c r="X330" s="50">
        <v>0.0</v>
      </c>
      <c r="Y330" s="50">
        <v>0.0</v>
      </c>
      <c r="Z330" s="50">
        <v>0.0</v>
      </c>
      <c r="AA330" s="50">
        <v>0.0</v>
      </c>
      <c r="AB330" s="48" t="s">
        <v>2948</v>
      </c>
      <c r="AC330" s="50">
        <v>0.0</v>
      </c>
      <c r="AD330" s="50">
        <v>1.0</v>
      </c>
      <c r="AE330" s="50">
        <v>0.0</v>
      </c>
      <c r="AF330" s="50">
        <v>0.0</v>
      </c>
      <c r="AG330" s="50">
        <v>0.0</v>
      </c>
      <c r="AH330" s="50">
        <v>0.0</v>
      </c>
      <c r="AI330" s="50">
        <v>0.0</v>
      </c>
      <c r="AJ330" s="50">
        <v>0.0</v>
      </c>
      <c r="AK330" s="50">
        <v>0.0</v>
      </c>
      <c r="AL330" s="48"/>
      <c r="AM330" s="48"/>
      <c r="AN330" s="50">
        <v>14.0</v>
      </c>
      <c r="AO330" s="48"/>
      <c r="AP330" s="48"/>
      <c r="AQ330" s="48"/>
      <c r="AR330" s="48"/>
      <c r="AS330" s="48"/>
      <c r="AT330" s="48"/>
      <c r="AU330" s="48"/>
      <c r="AV330" s="48"/>
      <c r="AW330" s="50">
        <v>4.0</v>
      </c>
      <c r="AX330" s="48"/>
      <c r="AY330" s="48"/>
      <c r="AZ330" s="48"/>
      <c r="BA330" s="48"/>
      <c r="BB330" s="48"/>
      <c r="BC330" s="48"/>
      <c r="BD330" s="48"/>
      <c r="BE330" s="48"/>
      <c r="BF330" s="48"/>
      <c r="BG330" s="48"/>
      <c r="BH330" s="50">
        <v>0.0</v>
      </c>
      <c r="BI330" s="50">
        <v>3.0</v>
      </c>
      <c r="BJ330" s="50">
        <v>6.0</v>
      </c>
      <c r="BK330" s="50">
        <v>0.0</v>
      </c>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50">
        <v>7.08961508E8</v>
      </c>
      <c r="CL330" s="48" t="s">
        <v>4304</v>
      </c>
      <c r="CM330" s="47">
        <v>46108.65868055556</v>
      </c>
      <c r="CN330" s="48"/>
      <c r="CO330" s="48"/>
      <c r="CP330" s="48" t="s">
        <v>1954</v>
      </c>
      <c r="CQ330" s="48"/>
      <c r="CR330" s="48" t="s">
        <v>3014</v>
      </c>
      <c r="CS330" s="48"/>
      <c r="CT330" s="48" t="s">
        <v>4305</v>
      </c>
      <c r="CU330" s="50">
        <v>329.0</v>
      </c>
    </row>
    <row r="331">
      <c r="A331" s="47">
        <v>46109.34230282407</v>
      </c>
      <c r="B331" s="47">
        <v>46109.34378184027</v>
      </c>
      <c r="C331" s="48" t="s">
        <v>4112</v>
      </c>
      <c r="D331" s="48" t="s">
        <v>3733</v>
      </c>
      <c r="E331" s="48" t="s">
        <v>4020</v>
      </c>
      <c r="F331" s="48" t="s">
        <v>4068</v>
      </c>
      <c r="G331" s="49" t="s">
        <v>4306</v>
      </c>
      <c r="H331" s="48" t="s">
        <v>2948</v>
      </c>
      <c r="I331" s="50">
        <v>0.0</v>
      </c>
      <c r="J331" s="50">
        <v>1.0</v>
      </c>
      <c r="K331" s="50">
        <v>0.0</v>
      </c>
      <c r="L331" s="50">
        <v>0.0</v>
      </c>
      <c r="M331" s="50">
        <v>0.0</v>
      </c>
      <c r="N331" s="50">
        <v>0.0</v>
      </c>
      <c r="O331" s="50">
        <v>0.0</v>
      </c>
      <c r="P331" s="50">
        <v>0.0</v>
      </c>
      <c r="Q331" s="50">
        <v>0.0</v>
      </c>
      <c r="R331" s="48" t="s">
        <v>2948</v>
      </c>
      <c r="S331" s="50">
        <v>0.0</v>
      </c>
      <c r="T331" s="50">
        <v>1.0</v>
      </c>
      <c r="U331" s="50">
        <v>0.0</v>
      </c>
      <c r="V331" s="50">
        <v>0.0</v>
      </c>
      <c r="W331" s="50">
        <v>0.0</v>
      </c>
      <c r="X331" s="50">
        <v>0.0</v>
      </c>
      <c r="Y331" s="50">
        <v>0.0</v>
      </c>
      <c r="Z331" s="50">
        <v>0.0</v>
      </c>
      <c r="AA331" s="50">
        <v>0.0</v>
      </c>
      <c r="AB331" s="48" t="s">
        <v>2948</v>
      </c>
      <c r="AC331" s="50">
        <v>0.0</v>
      </c>
      <c r="AD331" s="50">
        <v>1.0</v>
      </c>
      <c r="AE331" s="50">
        <v>0.0</v>
      </c>
      <c r="AF331" s="50">
        <v>0.0</v>
      </c>
      <c r="AG331" s="50">
        <v>0.0</v>
      </c>
      <c r="AH331" s="50">
        <v>0.0</v>
      </c>
      <c r="AI331" s="50">
        <v>0.0</v>
      </c>
      <c r="AJ331" s="50">
        <v>0.0</v>
      </c>
      <c r="AK331" s="50">
        <v>0.0</v>
      </c>
      <c r="AL331" s="48"/>
      <c r="AM331" s="48"/>
      <c r="AN331" s="50">
        <v>2.0</v>
      </c>
      <c r="AO331" s="48"/>
      <c r="AP331" s="48"/>
      <c r="AQ331" s="48"/>
      <c r="AR331" s="48"/>
      <c r="AS331" s="48"/>
      <c r="AT331" s="48"/>
      <c r="AU331" s="48"/>
      <c r="AV331" s="48"/>
      <c r="AW331" s="50">
        <v>6.0</v>
      </c>
      <c r="AX331" s="48"/>
      <c r="AY331" s="48"/>
      <c r="AZ331" s="48"/>
      <c r="BA331" s="48"/>
      <c r="BB331" s="48"/>
      <c r="BC331" s="48"/>
      <c r="BD331" s="48"/>
      <c r="BE331" s="48"/>
      <c r="BF331" s="48"/>
      <c r="BG331" s="48"/>
      <c r="BH331" s="50">
        <v>4.0</v>
      </c>
      <c r="BI331" s="50">
        <v>1.0</v>
      </c>
      <c r="BJ331" s="50">
        <v>2.0</v>
      </c>
      <c r="BK331" s="50">
        <v>0.0</v>
      </c>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50">
        <v>7.0920745E8</v>
      </c>
      <c r="CL331" s="48" t="s">
        <v>4307</v>
      </c>
      <c r="CM331" s="47">
        <v>46109.05212962963</v>
      </c>
      <c r="CN331" s="48"/>
      <c r="CO331" s="48"/>
      <c r="CP331" s="48" t="s">
        <v>1954</v>
      </c>
      <c r="CQ331" s="48"/>
      <c r="CR331" s="48" t="s">
        <v>3014</v>
      </c>
      <c r="CS331" s="48"/>
      <c r="CT331" s="48" t="s">
        <v>4308</v>
      </c>
      <c r="CU331" s="50">
        <v>330.0</v>
      </c>
    </row>
    <row r="332">
      <c r="A332" s="47">
        <v>46109.34378256944</v>
      </c>
      <c r="B332" s="47">
        <v>46109.34524458333</v>
      </c>
      <c r="C332" s="48" t="s">
        <v>4309</v>
      </c>
      <c r="D332" s="48" t="s">
        <v>3733</v>
      </c>
      <c r="E332" s="48" t="s">
        <v>4020</v>
      </c>
      <c r="F332" s="48" t="s">
        <v>4068</v>
      </c>
      <c r="G332" s="49" t="s">
        <v>4310</v>
      </c>
      <c r="H332" s="48" t="s">
        <v>2948</v>
      </c>
      <c r="I332" s="50">
        <v>0.0</v>
      </c>
      <c r="J332" s="50">
        <v>1.0</v>
      </c>
      <c r="K332" s="50">
        <v>0.0</v>
      </c>
      <c r="L332" s="50">
        <v>0.0</v>
      </c>
      <c r="M332" s="50">
        <v>0.0</v>
      </c>
      <c r="N332" s="50">
        <v>0.0</v>
      </c>
      <c r="O332" s="50">
        <v>0.0</v>
      </c>
      <c r="P332" s="50">
        <v>0.0</v>
      </c>
      <c r="Q332" s="50">
        <v>0.0</v>
      </c>
      <c r="R332" s="48" t="s">
        <v>2948</v>
      </c>
      <c r="S332" s="50">
        <v>0.0</v>
      </c>
      <c r="T332" s="50">
        <v>1.0</v>
      </c>
      <c r="U332" s="50">
        <v>0.0</v>
      </c>
      <c r="V332" s="50">
        <v>0.0</v>
      </c>
      <c r="W332" s="50">
        <v>0.0</v>
      </c>
      <c r="X332" s="50">
        <v>0.0</v>
      </c>
      <c r="Y332" s="50">
        <v>0.0</v>
      </c>
      <c r="Z332" s="50">
        <v>0.0</v>
      </c>
      <c r="AA332" s="50">
        <v>0.0</v>
      </c>
      <c r="AB332" s="48" t="s">
        <v>2948</v>
      </c>
      <c r="AC332" s="50">
        <v>0.0</v>
      </c>
      <c r="AD332" s="50">
        <v>1.0</v>
      </c>
      <c r="AE332" s="50">
        <v>0.0</v>
      </c>
      <c r="AF332" s="50">
        <v>0.0</v>
      </c>
      <c r="AG332" s="50">
        <v>0.0</v>
      </c>
      <c r="AH332" s="50">
        <v>0.0</v>
      </c>
      <c r="AI332" s="50">
        <v>0.0</v>
      </c>
      <c r="AJ332" s="50">
        <v>0.0</v>
      </c>
      <c r="AK332" s="50">
        <v>0.0</v>
      </c>
      <c r="AL332" s="48"/>
      <c r="AM332" s="48"/>
      <c r="AN332" s="50">
        <v>10.0</v>
      </c>
      <c r="AO332" s="48"/>
      <c r="AP332" s="48"/>
      <c r="AQ332" s="48"/>
      <c r="AR332" s="48"/>
      <c r="AS332" s="48"/>
      <c r="AT332" s="48"/>
      <c r="AU332" s="48"/>
      <c r="AV332" s="48"/>
      <c r="AW332" s="50">
        <v>5.0</v>
      </c>
      <c r="AX332" s="48"/>
      <c r="AY332" s="48"/>
      <c r="AZ332" s="48"/>
      <c r="BA332" s="48"/>
      <c r="BB332" s="48"/>
      <c r="BC332" s="48"/>
      <c r="BD332" s="48"/>
      <c r="BE332" s="48"/>
      <c r="BF332" s="48"/>
      <c r="BG332" s="48"/>
      <c r="BH332" s="50">
        <v>0.0</v>
      </c>
      <c r="BI332" s="50">
        <v>0.0</v>
      </c>
      <c r="BJ332" s="50">
        <v>5.0</v>
      </c>
      <c r="BK332" s="50">
        <v>0.0</v>
      </c>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50">
        <v>7.09207774E8</v>
      </c>
      <c r="CL332" s="48" t="s">
        <v>4311</v>
      </c>
      <c r="CM332" s="47">
        <v>46109.05359953704</v>
      </c>
      <c r="CN332" s="48"/>
      <c r="CO332" s="48"/>
      <c r="CP332" s="48" t="s">
        <v>1954</v>
      </c>
      <c r="CQ332" s="48"/>
      <c r="CR332" s="48" t="s">
        <v>3014</v>
      </c>
      <c r="CS332" s="48"/>
      <c r="CT332" s="48" t="s">
        <v>4312</v>
      </c>
      <c r="CU332" s="50">
        <v>331.0</v>
      </c>
    </row>
    <row r="333">
      <c r="A333" s="47">
        <v>46109.34524516204</v>
      </c>
      <c r="B333" s="47">
        <v>46109.34665334491</v>
      </c>
      <c r="C333" s="48" t="s">
        <v>4313</v>
      </c>
      <c r="D333" s="48" t="s">
        <v>3733</v>
      </c>
      <c r="E333" s="48" t="s">
        <v>4020</v>
      </c>
      <c r="F333" s="48" t="s">
        <v>4039</v>
      </c>
      <c r="G333" s="49" t="s">
        <v>4314</v>
      </c>
      <c r="H333" s="48" t="s">
        <v>2948</v>
      </c>
      <c r="I333" s="50">
        <v>0.0</v>
      </c>
      <c r="J333" s="50">
        <v>1.0</v>
      </c>
      <c r="K333" s="50">
        <v>0.0</v>
      </c>
      <c r="L333" s="50">
        <v>0.0</v>
      </c>
      <c r="M333" s="50">
        <v>0.0</v>
      </c>
      <c r="N333" s="50">
        <v>0.0</v>
      </c>
      <c r="O333" s="50">
        <v>0.0</v>
      </c>
      <c r="P333" s="50">
        <v>0.0</v>
      </c>
      <c r="Q333" s="50">
        <v>0.0</v>
      </c>
      <c r="R333" s="48" t="s">
        <v>2948</v>
      </c>
      <c r="S333" s="50">
        <v>0.0</v>
      </c>
      <c r="T333" s="50">
        <v>1.0</v>
      </c>
      <c r="U333" s="50">
        <v>0.0</v>
      </c>
      <c r="V333" s="50">
        <v>0.0</v>
      </c>
      <c r="W333" s="50">
        <v>0.0</v>
      </c>
      <c r="X333" s="50">
        <v>0.0</v>
      </c>
      <c r="Y333" s="50">
        <v>0.0</v>
      </c>
      <c r="Z333" s="50">
        <v>0.0</v>
      </c>
      <c r="AA333" s="50">
        <v>0.0</v>
      </c>
      <c r="AB333" s="48" t="s">
        <v>2948</v>
      </c>
      <c r="AC333" s="50">
        <v>0.0</v>
      </c>
      <c r="AD333" s="50">
        <v>1.0</v>
      </c>
      <c r="AE333" s="50">
        <v>0.0</v>
      </c>
      <c r="AF333" s="50">
        <v>0.0</v>
      </c>
      <c r="AG333" s="50">
        <v>0.0</v>
      </c>
      <c r="AH333" s="50">
        <v>0.0</v>
      </c>
      <c r="AI333" s="50">
        <v>0.0</v>
      </c>
      <c r="AJ333" s="50">
        <v>0.0</v>
      </c>
      <c r="AK333" s="50">
        <v>0.0</v>
      </c>
      <c r="AL333" s="48"/>
      <c r="AM333" s="48"/>
      <c r="AN333" s="50">
        <v>6.0</v>
      </c>
      <c r="AO333" s="48"/>
      <c r="AP333" s="48"/>
      <c r="AQ333" s="48"/>
      <c r="AR333" s="48"/>
      <c r="AS333" s="48"/>
      <c r="AT333" s="48"/>
      <c r="AU333" s="48"/>
      <c r="AV333" s="48"/>
      <c r="AW333" s="50">
        <v>4.0</v>
      </c>
      <c r="AX333" s="48"/>
      <c r="AY333" s="48"/>
      <c r="AZ333" s="48"/>
      <c r="BA333" s="48"/>
      <c r="BB333" s="48"/>
      <c r="BC333" s="48"/>
      <c r="BD333" s="48"/>
      <c r="BE333" s="48"/>
      <c r="BF333" s="48"/>
      <c r="BG333" s="48"/>
      <c r="BH333" s="50">
        <v>0.0</v>
      </c>
      <c r="BI333" s="50">
        <v>1.0</v>
      </c>
      <c r="BJ333" s="50">
        <v>1.0</v>
      </c>
      <c r="BK333" s="50">
        <v>0.0</v>
      </c>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50">
        <v>7.09207994E8</v>
      </c>
      <c r="CL333" s="48" t="s">
        <v>4315</v>
      </c>
      <c r="CM333" s="47">
        <v>46109.055</v>
      </c>
      <c r="CN333" s="48"/>
      <c r="CO333" s="48"/>
      <c r="CP333" s="48" t="s">
        <v>1954</v>
      </c>
      <c r="CQ333" s="48"/>
      <c r="CR333" s="48" t="s">
        <v>3014</v>
      </c>
      <c r="CS333" s="48"/>
      <c r="CT333" s="48" t="s">
        <v>4316</v>
      </c>
      <c r="CU333" s="50">
        <v>332.0</v>
      </c>
    </row>
    <row r="334">
      <c r="A334" s="47">
        <v>46109.34665390047</v>
      </c>
      <c r="B334" s="47">
        <v>46109.34763664352</v>
      </c>
      <c r="C334" s="48" t="s">
        <v>4317</v>
      </c>
      <c r="D334" s="48" t="s">
        <v>3733</v>
      </c>
      <c r="E334" s="48" t="s">
        <v>4020</v>
      </c>
      <c r="F334" s="48" t="s">
        <v>4039</v>
      </c>
      <c r="G334" s="49" t="s">
        <v>4318</v>
      </c>
      <c r="H334" s="48" t="s">
        <v>2948</v>
      </c>
      <c r="I334" s="50">
        <v>0.0</v>
      </c>
      <c r="J334" s="50">
        <v>1.0</v>
      </c>
      <c r="K334" s="50">
        <v>0.0</v>
      </c>
      <c r="L334" s="50">
        <v>0.0</v>
      </c>
      <c r="M334" s="50">
        <v>0.0</v>
      </c>
      <c r="N334" s="50">
        <v>0.0</v>
      </c>
      <c r="O334" s="50">
        <v>0.0</v>
      </c>
      <c r="P334" s="50">
        <v>0.0</v>
      </c>
      <c r="Q334" s="50">
        <v>0.0</v>
      </c>
      <c r="R334" s="48" t="s">
        <v>2948</v>
      </c>
      <c r="S334" s="50">
        <v>0.0</v>
      </c>
      <c r="T334" s="50">
        <v>1.0</v>
      </c>
      <c r="U334" s="50">
        <v>0.0</v>
      </c>
      <c r="V334" s="50">
        <v>0.0</v>
      </c>
      <c r="W334" s="50">
        <v>0.0</v>
      </c>
      <c r="X334" s="50">
        <v>0.0</v>
      </c>
      <c r="Y334" s="50">
        <v>0.0</v>
      </c>
      <c r="Z334" s="50">
        <v>0.0</v>
      </c>
      <c r="AA334" s="50">
        <v>0.0</v>
      </c>
      <c r="AB334" s="48" t="s">
        <v>2948</v>
      </c>
      <c r="AC334" s="50">
        <v>0.0</v>
      </c>
      <c r="AD334" s="50">
        <v>1.0</v>
      </c>
      <c r="AE334" s="50">
        <v>0.0</v>
      </c>
      <c r="AF334" s="50">
        <v>0.0</v>
      </c>
      <c r="AG334" s="50">
        <v>0.0</v>
      </c>
      <c r="AH334" s="50">
        <v>0.0</v>
      </c>
      <c r="AI334" s="50">
        <v>0.0</v>
      </c>
      <c r="AJ334" s="50">
        <v>0.0</v>
      </c>
      <c r="AK334" s="50">
        <v>0.0</v>
      </c>
      <c r="AL334" s="48"/>
      <c r="AM334" s="48"/>
      <c r="AN334" s="50">
        <v>3.0</v>
      </c>
      <c r="AO334" s="48"/>
      <c r="AP334" s="48"/>
      <c r="AQ334" s="48"/>
      <c r="AR334" s="48"/>
      <c r="AS334" s="48"/>
      <c r="AT334" s="48"/>
      <c r="AU334" s="48"/>
      <c r="AV334" s="48"/>
      <c r="AW334" s="50">
        <v>3.0</v>
      </c>
      <c r="AX334" s="48"/>
      <c r="AY334" s="48"/>
      <c r="AZ334" s="48"/>
      <c r="BA334" s="48"/>
      <c r="BB334" s="48"/>
      <c r="BC334" s="48"/>
      <c r="BD334" s="48"/>
      <c r="BE334" s="48"/>
      <c r="BF334" s="48"/>
      <c r="BG334" s="48"/>
      <c r="BH334" s="50">
        <v>1.0</v>
      </c>
      <c r="BI334" s="50">
        <v>2.0</v>
      </c>
      <c r="BJ334" s="50">
        <v>3.0</v>
      </c>
      <c r="BK334" s="50">
        <v>0.0</v>
      </c>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50">
        <v>7.0920817E8</v>
      </c>
      <c r="CL334" s="48" t="s">
        <v>4319</v>
      </c>
      <c r="CM334" s="47">
        <v>46109.05598379629</v>
      </c>
      <c r="CN334" s="48"/>
      <c r="CO334" s="48"/>
      <c r="CP334" s="48" t="s">
        <v>1954</v>
      </c>
      <c r="CQ334" s="48"/>
      <c r="CR334" s="48" t="s">
        <v>3014</v>
      </c>
      <c r="CS334" s="48"/>
      <c r="CT334" s="48" t="s">
        <v>4320</v>
      </c>
      <c r="CU334" s="50">
        <v>333.0</v>
      </c>
    </row>
    <row r="335">
      <c r="A335" s="47">
        <v>46109.34763728009</v>
      </c>
      <c r="B335" s="47">
        <v>46109.3488365625</v>
      </c>
      <c r="C335" s="48" t="s">
        <v>4321</v>
      </c>
      <c r="D335" s="48" t="s">
        <v>3733</v>
      </c>
      <c r="E335" s="48" t="s">
        <v>4020</v>
      </c>
      <c r="F335" s="48" t="s">
        <v>4039</v>
      </c>
      <c r="G335" s="49" t="s">
        <v>4322</v>
      </c>
      <c r="H335" s="48" t="s">
        <v>2949</v>
      </c>
      <c r="I335" s="50">
        <v>1.0</v>
      </c>
      <c r="J335" s="50">
        <v>1.0</v>
      </c>
      <c r="K335" s="50">
        <v>0.0</v>
      </c>
      <c r="L335" s="50">
        <v>0.0</v>
      </c>
      <c r="M335" s="50">
        <v>0.0</v>
      </c>
      <c r="N335" s="50">
        <v>0.0</v>
      </c>
      <c r="O335" s="50">
        <v>0.0</v>
      </c>
      <c r="P335" s="50">
        <v>0.0</v>
      </c>
      <c r="Q335" s="50">
        <v>0.0</v>
      </c>
      <c r="R335" s="48" t="s">
        <v>2948</v>
      </c>
      <c r="S335" s="50">
        <v>0.0</v>
      </c>
      <c r="T335" s="50">
        <v>1.0</v>
      </c>
      <c r="U335" s="50">
        <v>0.0</v>
      </c>
      <c r="V335" s="50">
        <v>0.0</v>
      </c>
      <c r="W335" s="50">
        <v>0.0</v>
      </c>
      <c r="X335" s="50">
        <v>0.0</v>
      </c>
      <c r="Y335" s="50">
        <v>0.0</v>
      </c>
      <c r="Z335" s="50">
        <v>0.0</v>
      </c>
      <c r="AA335" s="50">
        <v>0.0</v>
      </c>
      <c r="AB335" s="48" t="s">
        <v>2948</v>
      </c>
      <c r="AC335" s="50">
        <v>0.0</v>
      </c>
      <c r="AD335" s="50">
        <v>1.0</v>
      </c>
      <c r="AE335" s="50">
        <v>0.0</v>
      </c>
      <c r="AF335" s="50">
        <v>0.0</v>
      </c>
      <c r="AG335" s="50">
        <v>0.0</v>
      </c>
      <c r="AH335" s="50">
        <v>0.0</v>
      </c>
      <c r="AI335" s="50">
        <v>0.0</v>
      </c>
      <c r="AJ335" s="50">
        <v>0.0</v>
      </c>
      <c r="AK335" s="50">
        <v>0.0</v>
      </c>
      <c r="AL335" s="48"/>
      <c r="AM335" s="50">
        <v>5.0</v>
      </c>
      <c r="AN335" s="50">
        <v>13.0</v>
      </c>
      <c r="AO335" s="48"/>
      <c r="AP335" s="48"/>
      <c r="AQ335" s="48"/>
      <c r="AR335" s="48"/>
      <c r="AS335" s="48"/>
      <c r="AT335" s="48"/>
      <c r="AU335" s="48"/>
      <c r="AV335" s="48"/>
      <c r="AW335" s="50">
        <v>5.0</v>
      </c>
      <c r="AX335" s="48"/>
      <c r="AY335" s="48"/>
      <c r="AZ335" s="48"/>
      <c r="BA335" s="48"/>
      <c r="BB335" s="48"/>
      <c r="BC335" s="48"/>
      <c r="BD335" s="48"/>
      <c r="BE335" s="48"/>
      <c r="BF335" s="48"/>
      <c r="BG335" s="48"/>
      <c r="BH335" s="50">
        <v>3.0</v>
      </c>
      <c r="BI335" s="50">
        <v>5.0</v>
      </c>
      <c r="BJ335" s="50">
        <v>5.0</v>
      </c>
      <c r="BK335" s="50">
        <v>0.0</v>
      </c>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50">
        <v>7.0920835E8</v>
      </c>
      <c r="CL335" s="48" t="s">
        <v>4323</v>
      </c>
      <c r="CM335" s="47">
        <v>46109.0571875</v>
      </c>
      <c r="CN335" s="48"/>
      <c r="CO335" s="48"/>
      <c r="CP335" s="48" t="s">
        <v>1954</v>
      </c>
      <c r="CQ335" s="48"/>
      <c r="CR335" s="48" t="s">
        <v>3014</v>
      </c>
      <c r="CS335" s="48"/>
      <c r="CT335" s="48" t="s">
        <v>4324</v>
      </c>
      <c r="CU335" s="50">
        <v>334.0</v>
      </c>
    </row>
    <row r="336">
      <c r="A336" s="47">
        <v>46109.34883709491</v>
      </c>
      <c r="B336" s="47">
        <v>46109.34985952546</v>
      </c>
      <c r="C336" s="48" t="s">
        <v>4325</v>
      </c>
      <c r="D336" s="48" t="s">
        <v>3733</v>
      </c>
      <c r="E336" s="48" t="s">
        <v>4020</v>
      </c>
      <c r="F336" s="48" t="s">
        <v>4039</v>
      </c>
      <c r="G336" s="49" t="s">
        <v>4326</v>
      </c>
      <c r="H336" s="48" t="s">
        <v>2948</v>
      </c>
      <c r="I336" s="50">
        <v>0.0</v>
      </c>
      <c r="J336" s="50">
        <v>1.0</v>
      </c>
      <c r="K336" s="50">
        <v>0.0</v>
      </c>
      <c r="L336" s="50">
        <v>0.0</v>
      </c>
      <c r="M336" s="50">
        <v>0.0</v>
      </c>
      <c r="N336" s="50">
        <v>0.0</v>
      </c>
      <c r="O336" s="50">
        <v>0.0</v>
      </c>
      <c r="P336" s="50">
        <v>0.0</v>
      </c>
      <c r="Q336" s="50">
        <v>0.0</v>
      </c>
      <c r="R336" s="48" t="s">
        <v>2948</v>
      </c>
      <c r="S336" s="50">
        <v>0.0</v>
      </c>
      <c r="T336" s="50">
        <v>1.0</v>
      </c>
      <c r="U336" s="50">
        <v>0.0</v>
      </c>
      <c r="V336" s="50">
        <v>0.0</v>
      </c>
      <c r="W336" s="50">
        <v>0.0</v>
      </c>
      <c r="X336" s="50">
        <v>0.0</v>
      </c>
      <c r="Y336" s="50">
        <v>0.0</v>
      </c>
      <c r="Z336" s="50">
        <v>0.0</v>
      </c>
      <c r="AA336" s="50">
        <v>0.0</v>
      </c>
      <c r="AB336" s="48" t="s">
        <v>2948</v>
      </c>
      <c r="AC336" s="50">
        <v>0.0</v>
      </c>
      <c r="AD336" s="50">
        <v>1.0</v>
      </c>
      <c r="AE336" s="50">
        <v>0.0</v>
      </c>
      <c r="AF336" s="50">
        <v>0.0</v>
      </c>
      <c r="AG336" s="50">
        <v>0.0</v>
      </c>
      <c r="AH336" s="50">
        <v>0.0</v>
      </c>
      <c r="AI336" s="50">
        <v>0.0</v>
      </c>
      <c r="AJ336" s="50">
        <v>0.0</v>
      </c>
      <c r="AK336" s="50">
        <v>0.0</v>
      </c>
      <c r="AL336" s="48"/>
      <c r="AM336" s="48"/>
      <c r="AN336" s="50">
        <v>4.0</v>
      </c>
      <c r="AO336" s="48"/>
      <c r="AP336" s="48"/>
      <c r="AQ336" s="48"/>
      <c r="AR336" s="48"/>
      <c r="AS336" s="48"/>
      <c r="AT336" s="48"/>
      <c r="AU336" s="48"/>
      <c r="AV336" s="48"/>
      <c r="AW336" s="50">
        <v>4.0</v>
      </c>
      <c r="AX336" s="48"/>
      <c r="AY336" s="48"/>
      <c r="AZ336" s="48"/>
      <c r="BA336" s="48"/>
      <c r="BB336" s="48"/>
      <c r="BC336" s="48"/>
      <c r="BD336" s="48"/>
      <c r="BE336" s="48"/>
      <c r="BF336" s="48"/>
      <c r="BG336" s="48"/>
      <c r="BH336" s="50">
        <v>2.0</v>
      </c>
      <c r="BI336" s="50">
        <v>2.0</v>
      </c>
      <c r="BJ336" s="50">
        <v>1.0</v>
      </c>
      <c r="BK336" s="50">
        <v>0.0</v>
      </c>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50">
        <v>7.09208615E8</v>
      </c>
      <c r="CL336" s="48" t="s">
        <v>4327</v>
      </c>
      <c r="CM336" s="47">
        <v>46109.0582175926</v>
      </c>
      <c r="CN336" s="48"/>
      <c r="CO336" s="48"/>
      <c r="CP336" s="48" t="s">
        <v>1954</v>
      </c>
      <c r="CQ336" s="48"/>
      <c r="CR336" s="48" t="s">
        <v>3014</v>
      </c>
      <c r="CS336" s="48"/>
      <c r="CT336" s="48" t="s">
        <v>4328</v>
      </c>
      <c r="CU336" s="50">
        <v>335.0</v>
      </c>
    </row>
    <row r="337">
      <c r="A337" s="47">
        <v>46109.34986037037</v>
      </c>
      <c r="B337" s="47">
        <v>46109.35083180555</v>
      </c>
      <c r="C337" s="48" t="s">
        <v>4329</v>
      </c>
      <c r="D337" s="48" t="s">
        <v>3733</v>
      </c>
      <c r="E337" s="48" t="s">
        <v>4020</v>
      </c>
      <c r="F337" s="48" t="s">
        <v>4039</v>
      </c>
      <c r="G337" s="49" t="s">
        <v>4330</v>
      </c>
      <c r="H337" s="48" t="s">
        <v>2948</v>
      </c>
      <c r="I337" s="50">
        <v>0.0</v>
      </c>
      <c r="J337" s="50">
        <v>1.0</v>
      </c>
      <c r="K337" s="50">
        <v>0.0</v>
      </c>
      <c r="L337" s="50">
        <v>0.0</v>
      </c>
      <c r="M337" s="50">
        <v>0.0</v>
      </c>
      <c r="N337" s="50">
        <v>0.0</v>
      </c>
      <c r="O337" s="50">
        <v>0.0</v>
      </c>
      <c r="P337" s="50">
        <v>0.0</v>
      </c>
      <c r="Q337" s="50">
        <v>0.0</v>
      </c>
      <c r="R337" s="48" t="s">
        <v>2948</v>
      </c>
      <c r="S337" s="50">
        <v>0.0</v>
      </c>
      <c r="T337" s="50">
        <v>1.0</v>
      </c>
      <c r="U337" s="50">
        <v>0.0</v>
      </c>
      <c r="V337" s="50">
        <v>0.0</v>
      </c>
      <c r="W337" s="50">
        <v>0.0</v>
      </c>
      <c r="X337" s="50">
        <v>0.0</v>
      </c>
      <c r="Y337" s="50">
        <v>0.0</v>
      </c>
      <c r="Z337" s="50">
        <v>0.0</v>
      </c>
      <c r="AA337" s="50">
        <v>0.0</v>
      </c>
      <c r="AB337" s="48" t="s">
        <v>2948</v>
      </c>
      <c r="AC337" s="50">
        <v>0.0</v>
      </c>
      <c r="AD337" s="50">
        <v>1.0</v>
      </c>
      <c r="AE337" s="50">
        <v>0.0</v>
      </c>
      <c r="AF337" s="50">
        <v>0.0</v>
      </c>
      <c r="AG337" s="50">
        <v>0.0</v>
      </c>
      <c r="AH337" s="50">
        <v>0.0</v>
      </c>
      <c r="AI337" s="50">
        <v>0.0</v>
      </c>
      <c r="AJ337" s="50">
        <v>0.0</v>
      </c>
      <c r="AK337" s="50">
        <v>0.0</v>
      </c>
      <c r="AL337" s="48"/>
      <c r="AM337" s="48"/>
      <c r="AN337" s="50">
        <v>5.0</v>
      </c>
      <c r="AO337" s="48"/>
      <c r="AP337" s="48"/>
      <c r="AQ337" s="48"/>
      <c r="AR337" s="48"/>
      <c r="AS337" s="48"/>
      <c r="AT337" s="48"/>
      <c r="AU337" s="48"/>
      <c r="AV337" s="48"/>
      <c r="AW337" s="50">
        <v>5.0</v>
      </c>
      <c r="AX337" s="48"/>
      <c r="AY337" s="48"/>
      <c r="AZ337" s="48"/>
      <c r="BA337" s="48"/>
      <c r="BB337" s="48"/>
      <c r="BC337" s="48"/>
      <c r="BD337" s="48"/>
      <c r="BE337" s="48"/>
      <c r="BF337" s="48"/>
      <c r="BG337" s="48"/>
      <c r="BH337" s="50">
        <v>2.0</v>
      </c>
      <c r="BI337" s="50">
        <v>3.0</v>
      </c>
      <c r="BJ337" s="50">
        <v>1.0</v>
      </c>
      <c r="BK337" s="50">
        <v>0.0</v>
      </c>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50">
        <v>7.09208805E8</v>
      </c>
      <c r="CL337" s="48" t="s">
        <v>4331</v>
      </c>
      <c r="CM337" s="47">
        <v>46109.05917824074</v>
      </c>
      <c r="CN337" s="48"/>
      <c r="CO337" s="48"/>
      <c r="CP337" s="48" t="s">
        <v>1954</v>
      </c>
      <c r="CQ337" s="48"/>
      <c r="CR337" s="48" t="s">
        <v>3014</v>
      </c>
      <c r="CS337" s="48"/>
      <c r="CT337" s="48" t="s">
        <v>4332</v>
      </c>
      <c r="CU337" s="50">
        <v>336.0</v>
      </c>
    </row>
    <row r="338">
      <c r="A338" s="47">
        <v>46109.35083238426</v>
      </c>
      <c r="B338" s="47">
        <v>46109.35161471065</v>
      </c>
      <c r="C338" s="48" t="s">
        <v>4333</v>
      </c>
      <c r="D338" s="48" t="s">
        <v>3733</v>
      </c>
      <c r="E338" s="48" t="s">
        <v>4020</v>
      </c>
      <c r="F338" s="48" t="s">
        <v>4021</v>
      </c>
      <c r="G338" s="49" t="s">
        <v>4334</v>
      </c>
      <c r="H338" s="48" t="s">
        <v>2948</v>
      </c>
      <c r="I338" s="50">
        <v>0.0</v>
      </c>
      <c r="J338" s="50">
        <v>1.0</v>
      </c>
      <c r="K338" s="50">
        <v>0.0</v>
      </c>
      <c r="L338" s="50">
        <v>0.0</v>
      </c>
      <c r="M338" s="50">
        <v>0.0</v>
      </c>
      <c r="N338" s="50">
        <v>0.0</v>
      </c>
      <c r="O338" s="50">
        <v>0.0</v>
      </c>
      <c r="P338" s="50">
        <v>0.0</v>
      </c>
      <c r="Q338" s="50">
        <v>0.0</v>
      </c>
      <c r="R338" s="48" t="s">
        <v>2948</v>
      </c>
      <c r="S338" s="50">
        <v>0.0</v>
      </c>
      <c r="T338" s="50">
        <v>1.0</v>
      </c>
      <c r="U338" s="50">
        <v>0.0</v>
      </c>
      <c r="V338" s="50">
        <v>0.0</v>
      </c>
      <c r="W338" s="50">
        <v>0.0</v>
      </c>
      <c r="X338" s="50">
        <v>0.0</v>
      </c>
      <c r="Y338" s="50">
        <v>0.0</v>
      </c>
      <c r="Z338" s="50">
        <v>0.0</v>
      </c>
      <c r="AA338" s="50">
        <v>0.0</v>
      </c>
      <c r="AB338" s="48" t="s">
        <v>2948</v>
      </c>
      <c r="AC338" s="50">
        <v>0.0</v>
      </c>
      <c r="AD338" s="50">
        <v>1.0</v>
      </c>
      <c r="AE338" s="50">
        <v>0.0</v>
      </c>
      <c r="AF338" s="50">
        <v>0.0</v>
      </c>
      <c r="AG338" s="50">
        <v>0.0</v>
      </c>
      <c r="AH338" s="50">
        <v>0.0</v>
      </c>
      <c r="AI338" s="50">
        <v>0.0</v>
      </c>
      <c r="AJ338" s="50">
        <v>0.0</v>
      </c>
      <c r="AK338" s="50">
        <v>0.0</v>
      </c>
      <c r="AL338" s="48"/>
      <c r="AM338" s="48"/>
      <c r="AN338" s="50">
        <v>9.0</v>
      </c>
      <c r="AO338" s="48"/>
      <c r="AP338" s="48"/>
      <c r="AQ338" s="48"/>
      <c r="AR338" s="48"/>
      <c r="AS338" s="48"/>
      <c r="AT338" s="48"/>
      <c r="AU338" s="48"/>
      <c r="AV338" s="48"/>
      <c r="AW338" s="50">
        <v>6.0</v>
      </c>
      <c r="AX338" s="48"/>
      <c r="AY338" s="48"/>
      <c r="AZ338" s="48"/>
      <c r="BA338" s="48"/>
      <c r="BB338" s="48"/>
      <c r="BC338" s="48"/>
      <c r="BD338" s="48"/>
      <c r="BE338" s="48"/>
      <c r="BF338" s="48"/>
      <c r="BG338" s="48"/>
      <c r="BH338" s="50">
        <v>3.0</v>
      </c>
      <c r="BI338" s="50">
        <v>0.0</v>
      </c>
      <c r="BJ338" s="50">
        <v>3.0</v>
      </c>
      <c r="BK338" s="50">
        <v>0.0</v>
      </c>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50">
        <v>7.09208957E8</v>
      </c>
      <c r="CL338" s="48" t="s">
        <v>4335</v>
      </c>
      <c r="CM338" s="47">
        <v>46109.05996527777</v>
      </c>
      <c r="CN338" s="48"/>
      <c r="CO338" s="48"/>
      <c r="CP338" s="48" t="s">
        <v>1954</v>
      </c>
      <c r="CQ338" s="48"/>
      <c r="CR338" s="48" t="s">
        <v>3014</v>
      </c>
      <c r="CS338" s="48"/>
      <c r="CT338" s="48" t="s">
        <v>4336</v>
      </c>
      <c r="CU338" s="50">
        <v>337.0</v>
      </c>
    </row>
    <row r="339">
      <c r="A339" s="47">
        <v>46109.35161546296</v>
      </c>
      <c r="B339" s="47">
        <v>46109.35248407407</v>
      </c>
      <c r="C339" s="48" t="s">
        <v>4337</v>
      </c>
      <c r="D339" s="48" t="s">
        <v>3733</v>
      </c>
      <c r="E339" s="48" t="s">
        <v>4020</v>
      </c>
      <c r="F339" s="48" t="s">
        <v>4039</v>
      </c>
      <c r="G339" s="49" t="s">
        <v>4338</v>
      </c>
      <c r="H339" s="48" t="s">
        <v>2948</v>
      </c>
      <c r="I339" s="50">
        <v>0.0</v>
      </c>
      <c r="J339" s="50">
        <v>1.0</v>
      </c>
      <c r="K339" s="50">
        <v>0.0</v>
      </c>
      <c r="L339" s="50">
        <v>0.0</v>
      </c>
      <c r="M339" s="50">
        <v>0.0</v>
      </c>
      <c r="N339" s="50">
        <v>0.0</v>
      </c>
      <c r="O339" s="50">
        <v>0.0</v>
      </c>
      <c r="P339" s="50">
        <v>0.0</v>
      </c>
      <c r="Q339" s="50">
        <v>0.0</v>
      </c>
      <c r="R339" s="48" t="s">
        <v>2948</v>
      </c>
      <c r="S339" s="50">
        <v>0.0</v>
      </c>
      <c r="T339" s="50">
        <v>1.0</v>
      </c>
      <c r="U339" s="50">
        <v>0.0</v>
      </c>
      <c r="V339" s="50">
        <v>0.0</v>
      </c>
      <c r="W339" s="50">
        <v>0.0</v>
      </c>
      <c r="X339" s="50">
        <v>0.0</v>
      </c>
      <c r="Y339" s="50">
        <v>0.0</v>
      </c>
      <c r="Z339" s="50">
        <v>0.0</v>
      </c>
      <c r="AA339" s="50">
        <v>0.0</v>
      </c>
      <c r="AB339" s="48" t="s">
        <v>2948</v>
      </c>
      <c r="AC339" s="50">
        <v>0.0</v>
      </c>
      <c r="AD339" s="50">
        <v>1.0</v>
      </c>
      <c r="AE339" s="50">
        <v>0.0</v>
      </c>
      <c r="AF339" s="50">
        <v>0.0</v>
      </c>
      <c r="AG339" s="50">
        <v>0.0</v>
      </c>
      <c r="AH339" s="50">
        <v>0.0</v>
      </c>
      <c r="AI339" s="50">
        <v>0.0</v>
      </c>
      <c r="AJ339" s="50">
        <v>0.0</v>
      </c>
      <c r="AK339" s="50">
        <v>0.0</v>
      </c>
      <c r="AL339" s="48"/>
      <c r="AM339" s="48"/>
      <c r="AN339" s="50">
        <v>4.0</v>
      </c>
      <c r="AO339" s="48"/>
      <c r="AP339" s="48"/>
      <c r="AQ339" s="48"/>
      <c r="AR339" s="48"/>
      <c r="AS339" s="48"/>
      <c r="AT339" s="48"/>
      <c r="AU339" s="48"/>
      <c r="AV339" s="48"/>
      <c r="AW339" s="50">
        <v>1.0</v>
      </c>
      <c r="AX339" s="48"/>
      <c r="AY339" s="48"/>
      <c r="AZ339" s="48"/>
      <c r="BA339" s="48"/>
      <c r="BB339" s="48"/>
      <c r="BC339" s="48"/>
      <c r="BD339" s="48"/>
      <c r="BE339" s="48"/>
      <c r="BF339" s="48"/>
      <c r="BG339" s="48"/>
      <c r="BH339" s="50">
        <v>2.0</v>
      </c>
      <c r="BI339" s="50">
        <v>2.0</v>
      </c>
      <c r="BJ339" s="50">
        <v>2.0</v>
      </c>
      <c r="BK339" s="50">
        <v>0.0</v>
      </c>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50">
        <v>7.09209134E8</v>
      </c>
      <c r="CL339" s="48" t="s">
        <v>4339</v>
      </c>
      <c r="CM339" s="47">
        <v>46109.06083333334</v>
      </c>
      <c r="CN339" s="48"/>
      <c r="CO339" s="48"/>
      <c r="CP339" s="48" t="s">
        <v>1954</v>
      </c>
      <c r="CQ339" s="48"/>
      <c r="CR339" s="48" t="s">
        <v>3014</v>
      </c>
      <c r="CS339" s="48"/>
      <c r="CT339" s="48" t="s">
        <v>4340</v>
      </c>
      <c r="CU339" s="50">
        <v>338.0</v>
      </c>
    </row>
    <row r="340">
      <c r="A340" s="47">
        <v>46109.35248466435</v>
      </c>
      <c r="B340" s="47">
        <v>46109.35354472222</v>
      </c>
      <c r="C340" s="48" t="s">
        <v>4341</v>
      </c>
      <c r="D340" s="48" t="s">
        <v>3733</v>
      </c>
      <c r="E340" s="48" t="s">
        <v>4020</v>
      </c>
      <c r="F340" s="48" t="s">
        <v>4039</v>
      </c>
      <c r="G340" s="49" t="s">
        <v>4342</v>
      </c>
      <c r="H340" s="48" t="s">
        <v>2948</v>
      </c>
      <c r="I340" s="50">
        <v>0.0</v>
      </c>
      <c r="J340" s="50">
        <v>1.0</v>
      </c>
      <c r="K340" s="50">
        <v>0.0</v>
      </c>
      <c r="L340" s="50">
        <v>0.0</v>
      </c>
      <c r="M340" s="50">
        <v>0.0</v>
      </c>
      <c r="N340" s="50">
        <v>0.0</v>
      </c>
      <c r="O340" s="50">
        <v>0.0</v>
      </c>
      <c r="P340" s="50">
        <v>0.0</v>
      </c>
      <c r="Q340" s="50">
        <v>0.0</v>
      </c>
      <c r="R340" s="48" t="s">
        <v>2948</v>
      </c>
      <c r="S340" s="50">
        <v>0.0</v>
      </c>
      <c r="T340" s="50">
        <v>1.0</v>
      </c>
      <c r="U340" s="50">
        <v>0.0</v>
      </c>
      <c r="V340" s="50">
        <v>0.0</v>
      </c>
      <c r="W340" s="50">
        <v>0.0</v>
      </c>
      <c r="X340" s="50">
        <v>0.0</v>
      </c>
      <c r="Y340" s="50">
        <v>0.0</v>
      </c>
      <c r="Z340" s="50">
        <v>0.0</v>
      </c>
      <c r="AA340" s="50">
        <v>0.0</v>
      </c>
      <c r="AB340" s="48" t="s">
        <v>2948</v>
      </c>
      <c r="AC340" s="50">
        <v>0.0</v>
      </c>
      <c r="AD340" s="50">
        <v>1.0</v>
      </c>
      <c r="AE340" s="50">
        <v>0.0</v>
      </c>
      <c r="AF340" s="50">
        <v>0.0</v>
      </c>
      <c r="AG340" s="50">
        <v>0.0</v>
      </c>
      <c r="AH340" s="50">
        <v>0.0</v>
      </c>
      <c r="AI340" s="50">
        <v>0.0</v>
      </c>
      <c r="AJ340" s="50">
        <v>0.0</v>
      </c>
      <c r="AK340" s="50">
        <v>0.0</v>
      </c>
      <c r="AL340" s="48"/>
      <c r="AM340" s="48"/>
      <c r="AN340" s="50">
        <v>6.0</v>
      </c>
      <c r="AO340" s="48"/>
      <c r="AP340" s="48"/>
      <c r="AQ340" s="48"/>
      <c r="AR340" s="48"/>
      <c r="AS340" s="48"/>
      <c r="AT340" s="48"/>
      <c r="AU340" s="48"/>
      <c r="AV340" s="48"/>
      <c r="AW340" s="50">
        <v>4.0</v>
      </c>
      <c r="AX340" s="48"/>
      <c r="AY340" s="48"/>
      <c r="AZ340" s="48"/>
      <c r="BA340" s="48"/>
      <c r="BB340" s="48"/>
      <c r="BC340" s="48"/>
      <c r="BD340" s="48"/>
      <c r="BE340" s="48"/>
      <c r="BF340" s="48"/>
      <c r="BG340" s="48"/>
      <c r="BH340" s="50">
        <v>2.0</v>
      </c>
      <c r="BI340" s="50">
        <v>3.0</v>
      </c>
      <c r="BJ340" s="50">
        <v>5.0</v>
      </c>
      <c r="BK340" s="50">
        <v>0.0</v>
      </c>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50">
        <v>7.09209331E8</v>
      </c>
      <c r="CL340" s="48" t="s">
        <v>4343</v>
      </c>
      <c r="CM340" s="47">
        <v>46109.06188657408</v>
      </c>
      <c r="CN340" s="48"/>
      <c r="CO340" s="48"/>
      <c r="CP340" s="48" t="s">
        <v>1954</v>
      </c>
      <c r="CQ340" s="48"/>
      <c r="CR340" s="48" t="s">
        <v>3014</v>
      </c>
      <c r="CS340" s="48"/>
      <c r="CT340" s="48" t="s">
        <v>4344</v>
      </c>
      <c r="CU340" s="50">
        <v>339.0</v>
      </c>
    </row>
    <row r="341">
      <c r="A341" s="47">
        <v>46109.35354527778</v>
      </c>
      <c r="B341" s="47">
        <v>46109.35459162037</v>
      </c>
      <c r="C341" s="48" t="s">
        <v>4345</v>
      </c>
      <c r="D341" s="48" t="s">
        <v>3733</v>
      </c>
      <c r="E341" s="48" t="s">
        <v>4020</v>
      </c>
      <c r="F341" s="48" t="s">
        <v>4039</v>
      </c>
      <c r="G341" s="49" t="s">
        <v>4346</v>
      </c>
      <c r="H341" s="48" t="s">
        <v>2948</v>
      </c>
      <c r="I341" s="50">
        <v>0.0</v>
      </c>
      <c r="J341" s="50">
        <v>1.0</v>
      </c>
      <c r="K341" s="50">
        <v>0.0</v>
      </c>
      <c r="L341" s="50">
        <v>0.0</v>
      </c>
      <c r="M341" s="50">
        <v>0.0</v>
      </c>
      <c r="N341" s="50">
        <v>0.0</v>
      </c>
      <c r="O341" s="50">
        <v>0.0</v>
      </c>
      <c r="P341" s="50">
        <v>0.0</v>
      </c>
      <c r="Q341" s="50">
        <v>0.0</v>
      </c>
      <c r="R341" s="48" t="s">
        <v>2948</v>
      </c>
      <c r="S341" s="50">
        <v>0.0</v>
      </c>
      <c r="T341" s="50">
        <v>1.0</v>
      </c>
      <c r="U341" s="50">
        <v>0.0</v>
      </c>
      <c r="V341" s="50">
        <v>0.0</v>
      </c>
      <c r="W341" s="50">
        <v>0.0</v>
      </c>
      <c r="X341" s="50">
        <v>0.0</v>
      </c>
      <c r="Y341" s="50">
        <v>0.0</v>
      </c>
      <c r="Z341" s="50">
        <v>0.0</v>
      </c>
      <c r="AA341" s="50">
        <v>0.0</v>
      </c>
      <c r="AB341" s="48" t="s">
        <v>2948</v>
      </c>
      <c r="AC341" s="50">
        <v>0.0</v>
      </c>
      <c r="AD341" s="50">
        <v>1.0</v>
      </c>
      <c r="AE341" s="50">
        <v>0.0</v>
      </c>
      <c r="AF341" s="50">
        <v>0.0</v>
      </c>
      <c r="AG341" s="50">
        <v>0.0</v>
      </c>
      <c r="AH341" s="50">
        <v>0.0</v>
      </c>
      <c r="AI341" s="50">
        <v>0.0</v>
      </c>
      <c r="AJ341" s="50">
        <v>0.0</v>
      </c>
      <c r="AK341" s="50">
        <v>0.0</v>
      </c>
      <c r="AL341" s="48"/>
      <c r="AM341" s="48"/>
      <c r="AN341" s="50">
        <v>5.0</v>
      </c>
      <c r="AO341" s="48"/>
      <c r="AP341" s="48"/>
      <c r="AQ341" s="48"/>
      <c r="AR341" s="48"/>
      <c r="AS341" s="48"/>
      <c r="AT341" s="48"/>
      <c r="AU341" s="48"/>
      <c r="AV341" s="48"/>
      <c r="AW341" s="50">
        <v>4.0</v>
      </c>
      <c r="AX341" s="48"/>
      <c r="AY341" s="48"/>
      <c r="AZ341" s="48"/>
      <c r="BA341" s="48"/>
      <c r="BB341" s="48"/>
      <c r="BC341" s="48"/>
      <c r="BD341" s="48"/>
      <c r="BE341" s="48"/>
      <c r="BF341" s="48"/>
      <c r="BG341" s="48"/>
      <c r="BH341" s="50">
        <v>3.0</v>
      </c>
      <c r="BI341" s="50">
        <v>1.0</v>
      </c>
      <c r="BJ341" s="50">
        <v>4.0</v>
      </c>
      <c r="BK341" s="50">
        <v>0.0</v>
      </c>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50">
        <v>7.09209519E8</v>
      </c>
      <c r="CL341" s="48" t="s">
        <v>4347</v>
      </c>
      <c r="CM341" s="47">
        <v>46109.06293981482</v>
      </c>
      <c r="CN341" s="48"/>
      <c r="CO341" s="48"/>
      <c r="CP341" s="48" t="s">
        <v>1954</v>
      </c>
      <c r="CQ341" s="48"/>
      <c r="CR341" s="48" t="s">
        <v>3014</v>
      </c>
      <c r="CS341" s="48"/>
      <c r="CT341" s="48" t="s">
        <v>4348</v>
      </c>
      <c r="CU341" s="50">
        <v>340.0</v>
      </c>
    </row>
    <row r="342">
      <c r="A342" s="47">
        <v>46109.35459226852</v>
      </c>
      <c r="B342" s="47">
        <v>46109.35759185185</v>
      </c>
      <c r="C342" s="48" t="s">
        <v>4349</v>
      </c>
      <c r="D342" s="48" t="s">
        <v>3733</v>
      </c>
      <c r="E342" s="48" t="s">
        <v>4020</v>
      </c>
      <c r="F342" s="48" t="s">
        <v>4039</v>
      </c>
      <c r="G342" s="49" t="s">
        <v>4346</v>
      </c>
      <c r="H342" s="48" t="s">
        <v>2948</v>
      </c>
      <c r="I342" s="50">
        <v>0.0</v>
      </c>
      <c r="J342" s="50">
        <v>1.0</v>
      </c>
      <c r="K342" s="50">
        <v>0.0</v>
      </c>
      <c r="L342" s="50">
        <v>0.0</v>
      </c>
      <c r="M342" s="50">
        <v>0.0</v>
      </c>
      <c r="N342" s="50">
        <v>0.0</v>
      </c>
      <c r="O342" s="50">
        <v>0.0</v>
      </c>
      <c r="P342" s="50">
        <v>0.0</v>
      </c>
      <c r="Q342" s="50">
        <v>0.0</v>
      </c>
      <c r="R342" s="48" t="s">
        <v>2948</v>
      </c>
      <c r="S342" s="50">
        <v>0.0</v>
      </c>
      <c r="T342" s="50">
        <v>1.0</v>
      </c>
      <c r="U342" s="50">
        <v>0.0</v>
      </c>
      <c r="V342" s="50">
        <v>0.0</v>
      </c>
      <c r="W342" s="50">
        <v>0.0</v>
      </c>
      <c r="X342" s="50">
        <v>0.0</v>
      </c>
      <c r="Y342" s="50">
        <v>0.0</v>
      </c>
      <c r="Z342" s="50">
        <v>0.0</v>
      </c>
      <c r="AA342" s="50">
        <v>0.0</v>
      </c>
      <c r="AB342" s="48" t="s">
        <v>2948</v>
      </c>
      <c r="AC342" s="50">
        <v>0.0</v>
      </c>
      <c r="AD342" s="50">
        <v>1.0</v>
      </c>
      <c r="AE342" s="50">
        <v>0.0</v>
      </c>
      <c r="AF342" s="50">
        <v>0.0</v>
      </c>
      <c r="AG342" s="50">
        <v>0.0</v>
      </c>
      <c r="AH342" s="50">
        <v>0.0</v>
      </c>
      <c r="AI342" s="50">
        <v>0.0</v>
      </c>
      <c r="AJ342" s="50">
        <v>0.0</v>
      </c>
      <c r="AK342" s="50">
        <v>0.0</v>
      </c>
      <c r="AL342" s="48"/>
      <c r="AM342" s="48"/>
      <c r="AN342" s="50">
        <v>6.0</v>
      </c>
      <c r="AO342" s="48"/>
      <c r="AP342" s="48"/>
      <c r="AQ342" s="48"/>
      <c r="AR342" s="48"/>
      <c r="AS342" s="48"/>
      <c r="AT342" s="48"/>
      <c r="AU342" s="48"/>
      <c r="AV342" s="48"/>
      <c r="AW342" s="50">
        <v>6.0</v>
      </c>
      <c r="AX342" s="48"/>
      <c r="AY342" s="48"/>
      <c r="AZ342" s="48"/>
      <c r="BA342" s="48"/>
      <c r="BB342" s="48"/>
      <c r="BC342" s="48"/>
      <c r="BD342" s="48"/>
      <c r="BE342" s="48"/>
      <c r="BF342" s="48"/>
      <c r="BG342" s="48"/>
      <c r="BH342" s="50">
        <v>2.0</v>
      </c>
      <c r="BI342" s="50">
        <v>1.0</v>
      </c>
      <c r="BJ342" s="50">
        <v>6.0</v>
      </c>
      <c r="BK342" s="50">
        <v>0.0</v>
      </c>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50">
        <v>7.09210113E8</v>
      </c>
      <c r="CL342" s="48" t="s">
        <v>4350</v>
      </c>
      <c r="CM342" s="47">
        <v>46109.0659375</v>
      </c>
      <c r="CN342" s="48"/>
      <c r="CO342" s="48"/>
      <c r="CP342" s="48" t="s">
        <v>1954</v>
      </c>
      <c r="CQ342" s="48"/>
      <c r="CR342" s="48" t="s">
        <v>3014</v>
      </c>
      <c r="CS342" s="48"/>
      <c r="CT342" s="48" t="s">
        <v>4351</v>
      </c>
      <c r="CU342" s="50">
        <v>341.0</v>
      </c>
    </row>
    <row r="343">
      <c r="A343" s="47">
        <v>46109.35716363426</v>
      </c>
      <c r="B343" s="47">
        <v>46109.35776600694</v>
      </c>
      <c r="C343" s="48" t="s">
        <v>4352</v>
      </c>
      <c r="D343" s="48" t="s">
        <v>3733</v>
      </c>
      <c r="E343" s="48" t="s">
        <v>4020</v>
      </c>
      <c r="F343" s="48" t="s">
        <v>4039</v>
      </c>
      <c r="G343" s="49" t="s">
        <v>4353</v>
      </c>
      <c r="H343" s="48" t="s">
        <v>2948</v>
      </c>
      <c r="I343" s="50">
        <v>0.0</v>
      </c>
      <c r="J343" s="50">
        <v>1.0</v>
      </c>
      <c r="K343" s="50">
        <v>0.0</v>
      </c>
      <c r="L343" s="50">
        <v>0.0</v>
      </c>
      <c r="M343" s="50">
        <v>0.0</v>
      </c>
      <c r="N343" s="50">
        <v>0.0</v>
      </c>
      <c r="O343" s="50">
        <v>0.0</v>
      </c>
      <c r="P343" s="50">
        <v>0.0</v>
      </c>
      <c r="Q343" s="50">
        <v>0.0</v>
      </c>
      <c r="R343" s="48" t="s">
        <v>2948</v>
      </c>
      <c r="S343" s="50">
        <v>0.0</v>
      </c>
      <c r="T343" s="50">
        <v>1.0</v>
      </c>
      <c r="U343" s="50">
        <v>0.0</v>
      </c>
      <c r="V343" s="50">
        <v>0.0</v>
      </c>
      <c r="W343" s="50">
        <v>0.0</v>
      </c>
      <c r="X343" s="50">
        <v>0.0</v>
      </c>
      <c r="Y343" s="50">
        <v>0.0</v>
      </c>
      <c r="Z343" s="50">
        <v>0.0</v>
      </c>
      <c r="AA343" s="50">
        <v>0.0</v>
      </c>
      <c r="AB343" s="48" t="s">
        <v>2948</v>
      </c>
      <c r="AC343" s="50">
        <v>0.0</v>
      </c>
      <c r="AD343" s="50">
        <v>1.0</v>
      </c>
      <c r="AE343" s="50">
        <v>0.0</v>
      </c>
      <c r="AF343" s="50">
        <v>0.0</v>
      </c>
      <c r="AG343" s="50">
        <v>0.0</v>
      </c>
      <c r="AH343" s="50">
        <v>0.0</v>
      </c>
      <c r="AI343" s="50">
        <v>0.0</v>
      </c>
      <c r="AJ343" s="50">
        <v>0.0</v>
      </c>
      <c r="AK343" s="50">
        <v>0.0</v>
      </c>
      <c r="AL343" s="48"/>
      <c r="AM343" s="48"/>
      <c r="AN343" s="50">
        <v>6.0</v>
      </c>
      <c r="AO343" s="48"/>
      <c r="AP343" s="48"/>
      <c r="AQ343" s="48"/>
      <c r="AR343" s="48"/>
      <c r="AS343" s="48"/>
      <c r="AT343" s="48"/>
      <c r="AU343" s="48"/>
      <c r="AV343" s="48"/>
      <c r="AW343" s="50">
        <v>5.0</v>
      </c>
      <c r="AX343" s="48"/>
      <c r="AY343" s="48"/>
      <c r="AZ343" s="48"/>
      <c r="BA343" s="48"/>
      <c r="BB343" s="48"/>
      <c r="BC343" s="48"/>
      <c r="BD343" s="48"/>
      <c r="BE343" s="48"/>
      <c r="BF343" s="48"/>
      <c r="BG343" s="48"/>
      <c r="BH343" s="50">
        <v>4.0</v>
      </c>
      <c r="BI343" s="50">
        <v>1.0</v>
      </c>
      <c r="BJ343" s="50">
        <v>4.0</v>
      </c>
      <c r="BK343" s="50">
        <v>0.0</v>
      </c>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50">
        <v>7.09210141E8</v>
      </c>
      <c r="CL343" s="48" t="s">
        <v>4354</v>
      </c>
      <c r="CM343" s="47">
        <v>46109.06611111111</v>
      </c>
      <c r="CN343" s="48"/>
      <c r="CO343" s="48"/>
      <c r="CP343" s="48" t="s">
        <v>1954</v>
      </c>
      <c r="CQ343" s="48"/>
      <c r="CR343" s="48" t="s">
        <v>3014</v>
      </c>
      <c r="CS343" s="48"/>
      <c r="CT343" s="48" t="s">
        <v>4355</v>
      </c>
      <c r="CU343" s="50">
        <v>342.0</v>
      </c>
    </row>
    <row r="344">
      <c r="A344" s="47">
        <v>46109.35759253472</v>
      </c>
      <c r="B344" s="47">
        <v>46109.35826814815</v>
      </c>
      <c r="C344" s="48" t="s">
        <v>4356</v>
      </c>
      <c r="D344" s="48" t="s">
        <v>3733</v>
      </c>
      <c r="E344" s="48" t="s">
        <v>4020</v>
      </c>
      <c r="F344" s="48" t="s">
        <v>4039</v>
      </c>
      <c r="G344" s="49" t="s">
        <v>4357</v>
      </c>
      <c r="H344" s="48" t="s">
        <v>2948</v>
      </c>
      <c r="I344" s="50">
        <v>0.0</v>
      </c>
      <c r="J344" s="50">
        <v>1.0</v>
      </c>
      <c r="K344" s="50">
        <v>0.0</v>
      </c>
      <c r="L344" s="50">
        <v>0.0</v>
      </c>
      <c r="M344" s="50">
        <v>0.0</v>
      </c>
      <c r="N344" s="50">
        <v>0.0</v>
      </c>
      <c r="O344" s="50">
        <v>0.0</v>
      </c>
      <c r="P344" s="50">
        <v>0.0</v>
      </c>
      <c r="Q344" s="50">
        <v>0.0</v>
      </c>
      <c r="R344" s="48" t="s">
        <v>2948</v>
      </c>
      <c r="S344" s="50">
        <v>0.0</v>
      </c>
      <c r="T344" s="50">
        <v>1.0</v>
      </c>
      <c r="U344" s="50">
        <v>0.0</v>
      </c>
      <c r="V344" s="50">
        <v>0.0</v>
      </c>
      <c r="W344" s="50">
        <v>0.0</v>
      </c>
      <c r="X344" s="50">
        <v>0.0</v>
      </c>
      <c r="Y344" s="50">
        <v>0.0</v>
      </c>
      <c r="Z344" s="50">
        <v>0.0</v>
      </c>
      <c r="AA344" s="50">
        <v>0.0</v>
      </c>
      <c r="AB344" s="48" t="s">
        <v>2948</v>
      </c>
      <c r="AC344" s="50">
        <v>0.0</v>
      </c>
      <c r="AD344" s="50">
        <v>1.0</v>
      </c>
      <c r="AE344" s="50">
        <v>0.0</v>
      </c>
      <c r="AF344" s="50">
        <v>0.0</v>
      </c>
      <c r="AG344" s="50">
        <v>0.0</v>
      </c>
      <c r="AH344" s="50">
        <v>0.0</v>
      </c>
      <c r="AI344" s="50">
        <v>0.0</v>
      </c>
      <c r="AJ344" s="50">
        <v>0.0</v>
      </c>
      <c r="AK344" s="50">
        <v>0.0</v>
      </c>
      <c r="AL344" s="48"/>
      <c r="AM344" s="48"/>
      <c r="AN344" s="50">
        <v>7.0</v>
      </c>
      <c r="AO344" s="48"/>
      <c r="AP344" s="48"/>
      <c r="AQ344" s="48"/>
      <c r="AR344" s="48"/>
      <c r="AS344" s="48"/>
      <c r="AT344" s="48"/>
      <c r="AU344" s="48"/>
      <c r="AV344" s="48"/>
      <c r="AW344" s="50">
        <v>6.0</v>
      </c>
      <c r="AX344" s="48"/>
      <c r="AY344" s="48"/>
      <c r="AZ344" s="48"/>
      <c r="BA344" s="48"/>
      <c r="BB344" s="48"/>
      <c r="BC344" s="48"/>
      <c r="BD344" s="48"/>
      <c r="BE344" s="48"/>
      <c r="BF344" s="48"/>
      <c r="BG344" s="48"/>
      <c r="BH344" s="50">
        <v>2.0</v>
      </c>
      <c r="BI344" s="50">
        <v>4.0</v>
      </c>
      <c r="BJ344" s="50">
        <v>3.0</v>
      </c>
      <c r="BK344" s="50">
        <v>0.0</v>
      </c>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50">
        <v>7.09210272E8</v>
      </c>
      <c r="CL344" s="48" t="s">
        <v>4358</v>
      </c>
      <c r="CM344" s="47">
        <v>46109.06662037037</v>
      </c>
      <c r="CN344" s="48"/>
      <c r="CO344" s="48"/>
      <c r="CP344" s="48" t="s">
        <v>1954</v>
      </c>
      <c r="CQ344" s="48"/>
      <c r="CR344" s="48" t="s">
        <v>3014</v>
      </c>
      <c r="CS344" s="48"/>
      <c r="CT344" s="48" t="s">
        <v>4359</v>
      </c>
      <c r="CU344" s="50">
        <v>343.0</v>
      </c>
    </row>
    <row r="345">
      <c r="A345" s="47">
        <v>46109.35776680556</v>
      </c>
      <c r="B345" s="47">
        <v>46109.35839738426</v>
      </c>
      <c r="C345" s="48" t="s">
        <v>4360</v>
      </c>
      <c r="D345" s="48" t="s">
        <v>3733</v>
      </c>
      <c r="E345" s="48" t="s">
        <v>4020</v>
      </c>
      <c r="F345" s="48" t="s">
        <v>4039</v>
      </c>
      <c r="G345" s="49" t="s">
        <v>4361</v>
      </c>
      <c r="H345" s="48" t="s">
        <v>2948</v>
      </c>
      <c r="I345" s="50">
        <v>0.0</v>
      </c>
      <c r="J345" s="50">
        <v>1.0</v>
      </c>
      <c r="K345" s="50">
        <v>0.0</v>
      </c>
      <c r="L345" s="50">
        <v>0.0</v>
      </c>
      <c r="M345" s="50">
        <v>0.0</v>
      </c>
      <c r="N345" s="50">
        <v>0.0</v>
      </c>
      <c r="O345" s="50">
        <v>0.0</v>
      </c>
      <c r="P345" s="50">
        <v>0.0</v>
      </c>
      <c r="Q345" s="50">
        <v>0.0</v>
      </c>
      <c r="R345" s="48" t="s">
        <v>2948</v>
      </c>
      <c r="S345" s="50">
        <v>0.0</v>
      </c>
      <c r="T345" s="50">
        <v>1.0</v>
      </c>
      <c r="U345" s="50">
        <v>0.0</v>
      </c>
      <c r="V345" s="50">
        <v>0.0</v>
      </c>
      <c r="W345" s="50">
        <v>0.0</v>
      </c>
      <c r="X345" s="50">
        <v>0.0</v>
      </c>
      <c r="Y345" s="50">
        <v>0.0</v>
      </c>
      <c r="Z345" s="50">
        <v>0.0</v>
      </c>
      <c r="AA345" s="50">
        <v>0.0</v>
      </c>
      <c r="AB345" s="48" t="s">
        <v>2948</v>
      </c>
      <c r="AC345" s="50">
        <v>0.0</v>
      </c>
      <c r="AD345" s="50">
        <v>1.0</v>
      </c>
      <c r="AE345" s="50">
        <v>0.0</v>
      </c>
      <c r="AF345" s="50">
        <v>0.0</v>
      </c>
      <c r="AG345" s="50">
        <v>0.0</v>
      </c>
      <c r="AH345" s="50">
        <v>0.0</v>
      </c>
      <c r="AI345" s="50">
        <v>0.0</v>
      </c>
      <c r="AJ345" s="50">
        <v>0.0</v>
      </c>
      <c r="AK345" s="50">
        <v>0.0</v>
      </c>
      <c r="AL345" s="48"/>
      <c r="AM345" s="48"/>
      <c r="AN345" s="50">
        <v>6.0</v>
      </c>
      <c r="AO345" s="48"/>
      <c r="AP345" s="48"/>
      <c r="AQ345" s="48"/>
      <c r="AR345" s="48"/>
      <c r="AS345" s="48"/>
      <c r="AT345" s="48"/>
      <c r="AU345" s="48"/>
      <c r="AV345" s="48"/>
      <c r="AW345" s="50">
        <v>5.0</v>
      </c>
      <c r="AX345" s="48"/>
      <c r="AY345" s="48"/>
      <c r="AZ345" s="48"/>
      <c r="BA345" s="48"/>
      <c r="BB345" s="48"/>
      <c r="BC345" s="48"/>
      <c r="BD345" s="48"/>
      <c r="BE345" s="48"/>
      <c r="BF345" s="48"/>
      <c r="BG345" s="48"/>
      <c r="BH345" s="50">
        <v>3.0</v>
      </c>
      <c r="BI345" s="50">
        <v>0.0</v>
      </c>
      <c r="BJ345" s="50">
        <v>4.0</v>
      </c>
      <c r="BK345" s="50">
        <v>0.0</v>
      </c>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50">
        <v>7.09210292E8</v>
      </c>
      <c r="CL345" s="48" t="s">
        <v>4362</v>
      </c>
      <c r="CM345" s="47">
        <v>46109.06674768519</v>
      </c>
      <c r="CN345" s="48"/>
      <c r="CO345" s="48"/>
      <c r="CP345" s="48" t="s">
        <v>1954</v>
      </c>
      <c r="CQ345" s="48"/>
      <c r="CR345" s="48" t="s">
        <v>3014</v>
      </c>
      <c r="CS345" s="48"/>
      <c r="CT345" s="48" t="s">
        <v>4363</v>
      </c>
      <c r="CU345" s="50">
        <v>344.0</v>
      </c>
    </row>
    <row r="346">
      <c r="A346" s="47">
        <v>46109.35826873843</v>
      </c>
      <c r="B346" s="47">
        <v>46109.3591906713</v>
      </c>
      <c r="C346" s="48" t="s">
        <v>4337</v>
      </c>
      <c r="D346" s="48" t="s">
        <v>3733</v>
      </c>
      <c r="E346" s="48" t="s">
        <v>4020</v>
      </c>
      <c r="F346" s="48" t="s">
        <v>4039</v>
      </c>
      <c r="G346" s="49" t="s">
        <v>4364</v>
      </c>
      <c r="H346" s="48" t="s">
        <v>2948</v>
      </c>
      <c r="I346" s="50">
        <v>0.0</v>
      </c>
      <c r="J346" s="50">
        <v>1.0</v>
      </c>
      <c r="K346" s="50">
        <v>0.0</v>
      </c>
      <c r="L346" s="50">
        <v>0.0</v>
      </c>
      <c r="M346" s="50">
        <v>0.0</v>
      </c>
      <c r="N346" s="50">
        <v>0.0</v>
      </c>
      <c r="O346" s="50">
        <v>0.0</v>
      </c>
      <c r="P346" s="50">
        <v>0.0</v>
      </c>
      <c r="Q346" s="50">
        <v>0.0</v>
      </c>
      <c r="R346" s="48" t="s">
        <v>2948</v>
      </c>
      <c r="S346" s="50">
        <v>0.0</v>
      </c>
      <c r="T346" s="50">
        <v>1.0</v>
      </c>
      <c r="U346" s="50">
        <v>0.0</v>
      </c>
      <c r="V346" s="50">
        <v>0.0</v>
      </c>
      <c r="W346" s="50">
        <v>0.0</v>
      </c>
      <c r="X346" s="50">
        <v>0.0</v>
      </c>
      <c r="Y346" s="50">
        <v>0.0</v>
      </c>
      <c r="Z346" s="50">
        <v>0.0</v>
      </c>
      <c r="AA346" s="50">
        <v>0.0</v>
      </c>
      <c r="AB346" s="48" t="s">
        <v>2948</v>
      </c>
      <c r="AC346" s="50">
        <v>0.0</v>
      </c>
      <c r="AD346" s="50">
        <v>1.0</v>
      </c>
      <c r="AE346" s="50">
        <v>0.0</v>
      </c>
      <c r="AF346" s="50">
        <v>0.0</v>
      </c>
      <c r="AG346" s="50">
        <v>0.0</v>
      </c>
      <c r="AH346" s="50">
        <v>0.0</v>
      </c>
      <c r="AI346" s="50">
        <v>0.0</v>
      </c>
      <c r="AJ346" s="50">
        <v>0.0</v>
      </c>
      <c r="AK346" s="50">
        <v>0.0</v>
      </c>
      <c r="AL346" s="48"/>
      <c r="AM346" s="48"/>
      <c r="AN346" s="50">
        <v>10.0</v>
      </c>
      <c r="AO346" s="48"/>
      <c r="AP346" s="48"/>
      <c r="AQ346" s="48"/>
      <c r="AR346" s="48"/>
      <c r="AS346" s="48"/>
      <c r="AT346" s="48"/>
      <c r="AU346" s="48"/>
      <c r="AV346" s="48"/>
      <c r="AW346" s="50">
        <v>6.0</v>
      </c>
      <c r="AX346" s="48"/>
      <c r="AY346" s="48"/>
      <c r="AZ346" s="48"/>
      <c r="BA346" s="48"/>
      <c r="BB346" s="48"/>
      <c r="BC346" s="48"/>
      <c r="BD346" s="48"/>
      <c r="BE346" s="48"/>
      <c r="BF346" s="48"/>
      <c r="BG346" s="48"/>
      <c r="BH346" s="50">
        <v>0.0</v>
      </c>
      <c r="BI346" s="50">
        <v>2.0</v>
      </c>
      <c r="BJ346" s="50">
        <v>4.0</v>
      </c>
      <c r="BK346" s="50">
        <v>0.0</v>
      </c>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50">
        <v>7.0921042E8</v>
      </c>
      <c r="CL346" s="48" t="s">
        <v>4365</v>
      </c>
      <c r="CM346" s="47">
        <v>46109.06753472222</v>
      </c>
      <c r="CN346" s="48"/>
      <c r="CO346" s="48"/>
      <c r="CP346" s="48" t="s">
        <v>1954</v>
      </c>
      <c r="CQ346" s="48"/>
      <c r="CR346" s="48" t="s">
        <v>3014</v>
      </c>
      <c r="CS346" s="48"/>
      <c r="CT346" s="48" t="s">
        <v>4366</v>
      </c>
      <c r="CU346" s="50">
        <v>345.0</v>
      </c>
    </row>
    <row r="347">
      <c r="A347" s="47">
        <v>46109.3583980787</v>
      </c>
      <c r="B347" s="47">
        <v>46109.35948612269</v>
      </c>
      <c r="C347" s="48" t="s">
        <v>4367</v>
      </c>
      <c r="D347" s="48" t="s">
        <v>3733</v>
      </c>
      <c r="E347" s="48" t="s">
        <v>4020</v>
      </c>
      <c r="F347" s="48" t="s">
        <v>4039</v>
      </c>
      <c r="G347" s="49" t="s">
        <v>4368</v>
      </c>
      <c r="H347" s="48" t="s">
        <v>2948</v>
      </c>
      <c r="I347" s="50">
        <v>0.0</v>
      </c>
      <c r="J347" s="50">
        <v>1.0</v>
      </c>
      <c r="K347" s="50">
        <v>0.0</v>
      </c>
      <c r="L347" s="50">
        <v>0.0</v>
      </c>
      <c r="M347" s="50">
        <v>0.0</v>
      </c>
      <c r="N347" s="50">
        <v>0.0</v>
      </c>
      <c r="O347" s="50">
        <v>0.0</v>
      </c>
      <c r="P347" s="50">
        <v>0.0</v>
      </c>
      <c r="Q347" s="50">
        <v>0.0</v>
      </c>
      <c r="R347" s="48" t="s">
        <v>2948</v>
      </c>
      <c r="S347" s="50">
        <v>0.0</v>
      </c>
      <c r="T347" s="50">
        <v>1.0</v>
      </c>
      <c r="U347" s="50">
        <v>0.0</v>
      </c>
      <c r="V347" s="50">
        <v>0.0</v>
      </c>
      <c r="W347" s="50">
        <v>0.0</v>
      </c>
      <c r="X347" s="50">
        <v>0.0</v>
      </c>
      <c r="Y347" s="50">
        <v>0.0</v>
      </c>
      <c r="Z347" s="50">
        <v>0.0</v>
      </c>
      <c r="AA347" s="50">
        <v>0.0</v>
      </c>
      <c r="AB347" s="48" t="s">
        <v>2948</v>
      </c>
      <c r="AC347" s="50">
        <v>0.0</v>
      </c>
      <c r="AD347" s="50">
        <v>1.0</v>
      </c>
      <c r="AE347" s="50">
        <v>0.0</v>
      </c>
      <c r="AF347" s="50">
        <v>0.0</v>
      </c>
      <c r="AG347" s="50">
        <v>0.0</v>
      </c>
      <c r="AH347" s="50">
        <v>0.0</v>
      </c>
      <c r="AI347" s="50">
        <v>0.0</v>
      </c>
      <c r="AJ347" s="50">
        <v>0.0</v>
      </c>
      <c r="AK347" s="50">
        <v>0.0</v>
      </c>
      <c r="AL347" s="48"/>
      <c r="AM347" s="48"/>
      <c r="AN347" s="50">
        <v>10.0</v>
      </c>
      <c r="AO347" s="48"/>
      <c r="AP347" s="48"/>
      <c r="AQ347" s="48"/>
      <c r="AR347" s="48"/>
      <c r="AS347" s="48"/>
      <c r="AT347" s="48"/>
      <c r="AU347" s="48"/>
      <c r="AV347" s="48"/>
      <c r="AW347" s="50">
        <v>12.0</v>
      </c>
      <c r="AX347" s="48"/>
      <c r="AY347" s="48"/>
      <c r="AZ347" s="48"/>
      <c r="BA347" s="48"/>
      <c r="BB347" s="48"/>
      <c r="BC347" s="48"/>
      <c r="BD347" s="48"/>
      <c r="BE347" s="48"/>
      <c r="BF347" s="48"/>
      <c r="BG347" s="48"/>
      <c r="BH347" s="50">
        <v>8.0</v>
      </c>
      <c r="BI347" s="50">
        <v>2.0</v>
      </c>
      <c r="BJ347" s="50">
        <v>5.0</v>
      </c>
      <c r="BK347" s="50">
        <v>0.0</v>
      </c>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50">
        <v>7.09210472E8</v>
      </c>
      <c r="CL347" s="48" t="s">
        <v>4369</v>
      </c>
      <c r="CM347" s="47">
        <v>46109.06784722222</v>
      </c>
      <c r="CN347" s="48"/>
      <c r="CO347" s="48"/>
      <c r="CP347" s="48" t="s">
        <v>1954</v>
      </c>
      <c r="CQ347" s="48"/>
      <c r="CR347" s="48" t="s">
        <v>3014</v>
      </c>
      <c r="CS347" s="48"/>
      <c r="CT347" s="48" t="s">
        <v>4370</v>
      </c>
      <c r="CU347" s="50">
        <v>346.0</v>
      </c>
    </row>
    <row r="348">
      <c r="A348" s="47">
        <v>46109.35919133102</v>
      </c>
      <c r="B348" s="47">
        <v>46109.35993896991</v>
      </c>
      <c r="C348" s="48" t="s">
        <v>2727</v>
      </c>
      <c r="D348" s="48" t="s">
        <v>3733</v>
      </c>
      <c r="E348" s="48" t="s">
        <v>4020</v>
      </c>
      <c r="F348" s="48" t="s">
        <v>4039</v>
      </c>
      <c r="G348" s="49" t="s">
        <v>4371</v>
      </c>
      <c r="H348" s="48" t="s">
        <v>2948</v>
      </c>
      <c r="I348" s="50">
        <v>0.0</v>
      </c>
      <c r="J348" s="50">
        <v>1.0</v>
      </c>
      <c r="K348" s="50">
        <v>0.0</v>
      </c>
      <c r="L348" s="50">
        <v>0.0</v>
      </c>
      <c r="M348" s="50">
        <v>0.0</v>
      </c>
      <c r="N348" s="50">
        <v>0.0</v>
      </c>
      <c r="O348" s="50">
        <v>0.0</v>
      </c>
      <c r="P348" s="50">
        <v>0.0</v>
      </c>
      <c r="Q348" s="50">
        <v>0.0</v>
      </c>
      <c r="R348" s="48" t="s">
        <v>2948</v>
      </c>
      <c r="S348" s="50">
        <v>0.0</v>
      </c>
      <c r="T348" s="50">
        <v>1.0</v>
      </c>
      <c r="U348" s="50">
        <v>0.0</v>
      </c>
      <c r="V348" s="50">
        <v>0.0</v>
      </c>
      <c r="W348" s="50">
        <v>0.0</v>
      </c>
      <c r="X348" s="50">
        <v>0.0</v>
      </c>
      <c r="Y348" s="50">
        <v>0.0</v>
      </c>
      <c r="Z348" s="50">
        <v>0.0</v>
      </c>
      <c r="AA348" s="50">
        <v>0.0</v>
      </c>
      <c r="AB348" s="48" t="s">
        <v>2948</v>
      </c>
      <c r="AC348" s="50">
        <v>0.0</v>
      </c>
      <c r="AD348" s="50">
        <v>1.0</v>
      </c>
      <c r="AE348" s="50">
        <v>0.0</v>
      </c>
      <c r="AF348" s="50">
        <v>0.0</v>
      </c>
      <c r="AG348" s="50">
        <v>0.0</v>
      </c>
      <c r="AH348" s="50">
        <v>0.0</v>
      </c>
      <c r="AI348" s="50">
        <v>0.0</v>
      </c>
      <c r="AJ348" s="50">
        <v>0.0</v>
      </c>
      <c r="AK348" s="50">
        <v>0.0</v>
      </c>
      <c r="AL348" s="48"/>
      <c r="AM348" s="48"/>
      <c r="AN348" s="50">
        <v>5.0</v>
      </c>
      <c r="AO348" s="48"/>
      <c r="AP348" s="48"/>
      <c r="AQ348" s="48"/>
      <c r="AR348" s="48"/>
      <c r="AS348" s="48"/>
      <c r="AT348" s="48"/>
      <c r="AU348" s="48"/>
      <c r="AV348" s="48"/>
      <c r="AW348" s="50">
        <v>43.0</v>
      </c>
      <c r="AX348" s="48"/>
      <c r="AY348" s="48"/>
      <c r="AZ348" s="48"/>
      <c r="BA348" s="48"/>
      <c r="BB348" s="48"/>
      <c r="BC348" s="48"/>
      <c r="BD348" s="48"/>
      <c r="BE348" s="48"/>
      <c r="BF348" s="48"/>
      <c r="BG348" s="48"/>
      <c r="BH348" s="50">
        <v>3.0</v>
      </c>
      <c r="BI348" s="50">
        <v>0.0</v>
      </c>
      <c r="BJ348" s="50">
        <v>2.0</v>
      </c>
      <c r="BK348" s="50">
        <v>0.0</v>
      </c>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50">
        <v>7.09210522E8</v>
      </c>
      <c r="CL348" s="48" t="s">
        <v>4372</v>
      </c>
      <c r="CM348" s="47">
        <v>46109.06828703704</v>
      </c>
      <c r="CN348" s="48"/>
      <c r="CO348" s="48"/>
      <c r="CP348" s="48" t="s">
        <v>1954</v>
      </c>
      <c r="CQ348" s="48"/>
      <c r="CR348" s="48" t="s">
        <v>3014</v>
      </c>
      <c r="CS348" s="48"/>
      <c r="CT348" s="48" t="s">
        <v>4373</v>
      </c>
      <c r="CU348" s="50">
        <v>347.0</v>
      </c>
    </row>
    <row r="349">
      <c r="A349" s="47">
        <v>46109.3594868287</v>
      </c>
      <c r="B349" s="47">
        <v>46109.35996659722</v>
      </c>
      <c r="C349" s="48" t="s">
        <v>4374</v>
      </c>
      <c r="D349" s="48" t="s">
        <v>3733</v>
      </c>
      <c r="E349" s="48" t="s">
        <v>4020</v>
      </c>
      <c r="F349" s="48" t="s">
        <v>4039</v>
      </c>
      <c r="G349" s="49" t="s">
        <v>4375</v>
      </c>
      <c r="H349" s="48" t="s">
        <v>2948</v>
      </c>
      <c r="I349" s="50">
        <v>0.0</v>
      </c>
      <c r="J349" s="50">
        <v>1.0</v>
      </c>
      <c r="K349" s="50">
        <v>0.0</v>
      </c>
      <c r="L349" s="50">
        <v>0.0</v>
      </c>
      <c r="M349" s="50">
        <v>0.0</v>
      </c>
      <c r="N349" s="50">
        <v>0.0</v>
      </c>
      <c r="O349" s="50">
        <v>0.0</v>
      </c>
      <c r="P349" s="50">
        <v>0.0</v>
      </c>
      <c r="Q349" s="50">
        <v>0.0</v>
      </c>
      <c r="R349" s="48" t="s">
        <v>2948</v>
      </c>
      <c r="S349" s="50">
        <v>0.0</v>
      </c>
      <c r="T349" s="50">
        <v>1.0</v>
      </c>
      <c r="U349" s="50">
        <v>0.0</v>
      </c>
      <c r="V349" s="50">
        <v>0.0</v>
      </c>
      <c r="W349" s="50">
        <v>0.0</v>
      </c>
      <c r="X349" s="50">
        <v>0.0</v>
      </c>
      <c r="Y349" s="50">
        <v>0.0</v>
      </c>
      <c r="Z349" s="50">
        <v>0.0</v>
      </c>
      <c r="AA349" s="50">
        <v>0.0</v>
      </c>
      <c r="AB349" s="48" t="s">
        <v>2948</v>
      </c>
      <c r="AC349" s="50">
        <v>0.0</v>
      </c>
      <c r="AD349" s="50">
        <v>1.0</v>
      </c>
      <c r="AE349" s="50">
        <v>0.0</v>
      </c>
      <c r="AF349" s="50">
        <v>0.0</v>
      </c>
      <c r="AG349" s="50">
        <v>0.0</v>
      </c>
      <c r="AH349" s="50">
        <v>0.0</v>
      </c>
      <c r="AI349" s="50">
        <v>0.0</v>
      </c>
      <c r="AJ349" s="50">
        <v>0.0</v>
      </c>
      <c r="AK349" s="50">
        <v>0.0</v>
      </c>
      <c r="AL349" s="48"/>
      <c r="AM349" s="48"/>
      <c r="AN349" s="50">
        <v>6.0</v>
      </c>
      <c r="AO349" s="48"/>
      <c r="AP349" s="48"/>
      <c r="AQ349" s="48"/>
      <c r="AR349" s="48"/>
      <c r="AS349" s="48"/>
      <c r="AT349" s="48"/>
      <c r="AU349" s="48"/>
      <c r="AV349" s="48"/>
      <c r="AW349" s="50">
        <v>6.0</v>
      </c>
      <c r="AX349" s="48"/>
      <c r="AY349" s="48"/>
      <c r="AZ349" s="48"/>
      <c r="BA349" s="48"/>
      <c r="BB349" s="48"/>
      <c r="BC349" s="48"/>
      <c r="BD349" s="48"/>
      <c r="BE349" s="48"/>
      <c r="BF349" s="48"/>
      <c r="BG349" s="48"/>
      <c r="BH349" s="50">
        <v>2.0</v>
      </c>
      <c r="BI349" s="50">
        <v>2.0</v>
      </c>
      <c r="BJ349" s="50">
        <v>3.0</v>
      </c>
      <c r="BK349" s="50">
        <v>0.0</v>
      </c>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50">
        <v>7.09210527E8</v>
      </c>
      <c r="CL349" s="48" t="s">
        <v>4376</v>
      </c>
      <c r="CM349" s="47">
        <v>46109.06831018518</v>
      </c>
      <c r="CN349" s="48"/>
      <c r="CO349" s="48"/>
      <c r="CP349" s="48" t="s">
        <v>1954</v>
      </c>
      <c r="CQ349" s="48"/>
      <c r="CR349" s="48" t="s">
        <v>3014</v>
      </c>
      <c r="CS349" s="48"/>
      <c r="CT349" s="48" t="s">
        <v>4377</v>
      </c>
      <c r="CU349" s="50">
        <v>348.0</v>
      </c>
    </row>
    <row r="350">
      <c r="A350" s="47">
        <v>46109.35996730324</v>
      </c>
      <c r="B350" s="47">
        <v>46109.36063395833</v>
      </c>
      <c r="C350" s="48" t="s">
        <v>4378</v>
      </c>
      <c r="D350" s="48" t="s">
        <v>3733</v>
      </c>
      <c r="E350" s="48" t="s">
        <v>4020</v>
      </c>
      <c r="F350" s="48" t="s">
        <v>4039</v>
      </c>
      <c r="G350" s="49" t="s">
        <v>4379</v>
      </c>
      <c r="H350" s="48" t="s">
        <v>2948</v>
      </c>
      <c r="I350" s="50">
        <v>0.0</v>
      </c>
      <c r="J350" s="50">
        <v>1.0</v>
      </c>
      <c r="K350" s="50">
        <v>0.0</v>
      </c>
      <c r="L350" s="50">
        <v>0.0</v>
      </c>
      <c r="M350" s="50">
        <v>0.0</v>
      </c>
      <c r="N350" s="50">
        <v>0.0</v>
      </c>
      <c r="O350" s="50">
        <v>0.0</v>
      </c>
      <c r="P350" s="50">
        <v>0.0</v>
      </c>
      <c r="Q350" s="50">
        <v>0.0</v>
      </c>
      <c r="R350" s="48" t="s">
        <v>2948</v>
      </c>
      <c r="S350" s="50">
        <v>0.0</v>
      </c>
      <c r="T350" s="50">
        <v>1.0</v>
      </c>
      <c r="U350" s="50">
        <v>0.0</v>
      </c>
      <c r="V350" s="50">
        <v>0.0</v>
      </c>
      <c r="W350" s="50">
        <v>0.0</v>
      </c>
      <c r="X350" s="50">
        <v>0.0</v>
      </c>
      <c r="Y350" s="50">
        <v>0.0</v>
      </c>
      <c r="Z350" s="50">
        <v>0.0</v>
      </c>
      <c r="AA350" s="50">
        <v>0.0</v>
      </c>
      <c r="AB350" s="48" t="s">
        <v>2948</v>
      </c>
      <c r="AC350" s="50">
        <v>0.0</v>
      </c>
      <c r="AD350" s="50">
        <v>1.0</v>
      </c>
      <c r="AE350" s="50">
        <v>0.0</v>
      </c>
      <c r="AF350" s="50">
        <v>0.0</v>
      </c>
      <c r="AG350" s="50">
        <v>0.0</v>
      </c>
      <c r="AH350" s="50">
        <v>0.0</v>
      </c>
      <c r="AI350" s="50">
        <v>0.0</v>
      </c>
      <c r="AJ350" s="50">
        <v>0.0</v>
      </c>
      <c r="AK350" s="50">
        <v>0.0</v>
      </c>
      <c r="AL350" s="48"/>
      <c r="AM350" s="48"/>
      <c r="AN350" s="50">
        <v>6.0</v>
      </c>
      <c r="AO350" s="48"/>
      <c r="AP350" s="48"/>
      <c r="AQ350" s="48"/>
      <c r="AR350" s="48"/>
      <c r="AS350" s="48"/>
      <c r="AT350" s="48"/>
      <c r="AU350" s="48"/>
      <c r="AV350" s="48"/>
      <c r="AW350" s="50">
        <v>6.0</v>
      </c>
      <c r="AX350" s="48"/>
      <c r="AY350" s="48"/>
      <c r="AZ350" s="48"/>
      <c r="BA350" s="48"/>
      <c r="BB350" s="48"/>
      <c r="BC350" s="48"/>
      <c r="BD350" s="48"/>
      <c r="BE350" s="48"/>
      <c r="BF350" s="48"/>
      <c r="BG350" s="48"/>
      <c r="BH350" s="50">
        <v>3.0</v>
      </c>
      <c r="BI350" s="50">
        <v>1.0</v>
      </c>
      <c r="BJ350" s="50">
        <v>2.0</v>
      </c>
      <c r="BK350" s="50">
        <v>0.0</v>
      </c>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50">
        <v>7.09210671E8</v>
      </c>
      <c r="CL350" s="48" t="s">
        <v>4380</v>
      </c>
      <c r="CM350" s="47">
        <v>46109.06898148148</v>
      </c>
      <c r="CN350" s="48"/>
      <c r="CO350" s="48"/>
      <c r="CP350" s="48" t="s">
        <v>1954</v>
      </c>
      <c r="CQ350" s="48"/>
      <c r="CR350" s="48" t="s">
        <v>3014</v>
      </c>
      <c r="CS350" s="48"/>
      <c r="CT350" s="48" t="s">
        <v>4381</v>
      </c>
      <c r="CU350" s="50">
        <v>349.0</v>
      </c>
    </row>
    <row r="351">
      <c r="A351" s="47">
        <v>46109.35993958333</v>
      </c>
      <c r="B351" s="47">
        <v>46109.36070981481</v>
      </c>
      <c r="C351" s="48" t="s">
        <v>4382</v>
      </c>
      <c r="D351" s="48" t="s">
        <v>3733</v>
      </c>
      <c r="E351" s="48" t="s">
        <v>4020</v>
      </c>
      <c r="F351" s="48" t="s">
        <v>4039</v>
      </c>
      <c r="G351" s="49" t="s">
        <v>4383</v>
      </c>
      <c r="H351" s="48" t="s">
        <v>2948</v>
      </c>
      <c r="I351" s="50">
        <v>0.0</v>
      </c>
      <c r="J351" s="50">
        <v>1.0</v>
      </c>
      <c r="K351" s="50">
        <v>0.0</v>
      </c>
      <c r="L351" s="50">
        <v>0.0</v>
      </c>
      <c r="M351" s="50">
        <v>0.0</v>
      </c>
      <c r="N351" s="50">
        <v>0.0</v>
      </c>
      <c r="O351" s="50">
        <v>0.0</v>
      </c>
      <c r="P351" s="50">
        <v>0.0</v>
      </c>
      <c r="Q351" s="50">
        <v>0.0</v>
      </c>
      <c r="R351" s="48" t="s">
        <v>2948</v>
      </c>
      <c r="S351" s="50">
        <v>0.0</v>
      </c>
      <c r="T351" s="50">
        <v>1.0</v>
      </c>
      <c r="U351" s="50">
        <v>0.0</v>
      </c>
      <c r="V351" s="50">
        <v>0.0</v>
      </c>
      <c r="W351" s="50">
        <v>0.0</v>
      </c>
      <c r="X351" s="50">
        <v>0.0</v>
      </c>
      <c r="Y351" s="50">
        <v>0.0</v>
      </c>
      <c r="Z351" s="50">
        <v>0.0</v>
      </c>
      <c r="AA351" s="50">
        <v>0.0</v>
      </c>
      <c r="AB351" s="48" t="s">
        <v>2948</v>
      </c>
      <c r="AC351" s="50">
        <v>0.0</v>
      </c>
      <c r="AD351" s="50">
        <v>1.0</v>
      </c>
      <c r="AE351" s="50">
        <v>0.0</v>
      </c>
      <c r="AF351" s="50">
        <v>0.0</v>
      </c>
      <c r="AG351" s="50">
        <v>0.0</v>
      </c>
      <c r="AH351" s="50">
        <v>0.0</v>
      </c>
      <c r="AI351" s="50">
        <v>0.0</v>
      </c>
      <c r="AJ351" s="50">
        <v>0.0</v>
      </c>
      <c r="AK351" s="50">
        <v>0.0</v>
      </c>
      <c r="AL351" s="48"/>
      <c r="AM351" s="48"/>
      <c r="AN351" s="50">
        <v>2.0</v>
      </c>
      <c r="AO351" s="48"/>
      <c r="AP351" s="48"/>
      <c r="AQ351" s="48"/>
      <c r="AR351" s="48"/>
      <c r="AS351" s="48"/>
      <c r="AT351" s="48"/>
      <c r="AU351" s="48"/>
      <c r="AV351" s="48"/>
      <c r="AW351" s="50">
        <v>6.0</v>
      </c>
      <c r="AX351" s="48"/>
      <c r="AY351" s="48"/>
      <c r="AZ351" s="48"/>
      <c r="BA351" s="48"/>
      <c r="BB351" s="48"/>
      <c r="BC351" s="48"/>
      <c r="BD351" s="48"/>
      <c r="BE351" s="48"/>
      <c r="BF351" s="48"/>
      <c r="BG351" s="48"/>
      <c r="BH351" s="50">
        <v>2.0</v>
      </c>
      <c r="BI351" s="50">
        <v>0.0</v>
      </c>
      <c r="BJ351" s="50">
        <v>3.0</v>
      </c>
      <c r="BK351" s="50">
        <v>0.0</v>
      </c>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50">
        <v>7.09210699E8</v>
      </c>
      <c r="CL351" s="48" t="s">
        <v>4384</v>
      </c>
      <c r="CM351" s="47">
        <v>46109.06905092593</v>
      </c>
      <c r="CN351" s="48"/>
      <c r="CO351" s="48"/>
      <c r="CP351" s="48" t="s">
        <v>1954</v>
      </c>
      <c r="CQ351" s="48"/>
      <c r="CR351" s="48" t="s">
        <v>3014</v>
      </c>
      <c r="CS351" s="48"/>
      <c r="CT351" s="48" t="s">
        <v>4385</v>
      </c>
      <c r="CU351" s="50">
        <v>350.0</v>
      </c>
    </row>
    <row r="352">
      <c r="A352" s="47">
        <v>46109.36063464121</v>
      </c>
      <c r="B352" s="47">
        <v>46109.3612482176</v>
      </c>
      <c r="C352" s="48" t="s">
        <v>4386</v>
      </c>
      <c r="D352" s="48" t="s">
        <v>3733</v>
      </c>
      <c r="E352" s="48" t="s">
        <v>4020</v>
      </c>
      <c r="F352" s="48" t="s">
        <v>4039</v>
      </c>
      <c r="G352" s="49" t="s">
        <v>4387</v>
      </c>
      <c r="H352" s="48" t="s">
        <v>2948</v>
      </c>
      <c r="I352" s="50">
        <v>0.0</v>
      </c>
      <c r="J352" s="50">
        <v>1.0</v>
      </c>
      <c r="K352" s="50">
        <v>0.0</v>
      </c>
      <c r="L352" s="50">
        <v>0.0</v>
      </c>
      <c r="M352" s="50">
        <v>0.0</v>
      </c>
      <c r="N352" s="50">
        <v>0.0</v>
      </c>
      <c r="O352" s="50">
        <v>0.0</v>
      </c>
      <c r="P352" s="50">
        <v>0.0</v>
      </c>
      <c r="Q352" s="50">
        <v>0.0</v>
      </c>
      <c r="R352" s="48" t="s">
        <v>2948</v>
      </c>
      <c r="S352" s="50">
        <v>0.0</v>
      </c>
      <c r="T352" s="50">
        <v>1.0</v>
      </c>
      <c r="U352" s="50">
        <v>0.0</v>
      </c>
      <c r="V352" s="50">
        <v>0.0</v>
      </c>
      <c r="W352" s="50">
        <v>0.0</v>
      </c>
      <c r="X352" s="50">
        <v>0.0</v>
      </c>
      <c r="Y352" s="50">
        <v>0.0</v>
      </c>
      <c r="Z352" s="50">
        <v>0.0</v>
      </c>
      <c r="AA352" s="50">
        <v>0.0</v>
      </c>
      <c r="AB352" s="48" t="s">
        <v>2948</v>
      </c>
      <c r="AC352" s="50">
        <v>0.0</v>
      </c>
      <c r="AD352" s="50">
        <v>1.0</v>
      </c>
      <c r="AE352" s="50">
        <v>0.0</v>
      </c>
      <c r="AF352" s="50">
        <v>0.0</v>
      </c>
      <c r="AG352" s="50">
        <v>0.0</v>
      </c>
      <c r="AH352" s="50">
        <v>0.0</v>
      </c>
      <c r="AI352" s="50">
        <v>0.0</v>
      </c>
      <c r="AJ352" s="50">
        <v>0.0</v>
      </c>
      <c r="AK352" s="50">
        <v>0.0</v>
      </c>
      <c r="AL352" s="48"/>
      <c r="AM352" s="48"/>
      <c r="AN352" s="50">
        <v>12.0</v>
      </c>
      <c r="AO352" s="48"/>
      <c r="AP352" s="48"/>
      <c r="AQ352" s="48"/>
      <c r="AR352" s="48"/>
      <c r="AS352" s="48"/>
      <c r="AT352" s="48"/>
      <c r="AU352" s="48"/>
      <c r="AV352" s="48"/>
      <c r="AW352" s="50">
        <v>10.0</v>
      </c>
      <c r="AX352" s="48"/>
      <c r="AY352" s="48"/>
      <c r="AZ352" s="48"/>
      <c r="BA352" s="48"/>
      <c r="BB352" s="48"/>
      <c r="BC352" s="48"/>
      <c r="BD352" s="48"/>
      <c r="BE352" s="48"/>
      <c r="BF352" s="48"/>
      <c r="BG352" s="48"/>
      <c r="BH352" s="50">
        <v>2.0</v>
      </c>
      <c r="BI352" s="50">
        <v>1.0</v>
      </c>
      <c r="BJ352" s="50">
        <v>3.0</v>
      </c>
      <c r="BK352" s="50">
        <v>0.0</v>
      </c>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50">
        <v>7.09210786E8</v>
      </c>
      <c r="CL352" s="48" t="s">
        <v>4388</v>
      </c>
      <c r="CM352" s="47">
        <v>46109.06959490741</v>
      </c>
      <c r="CN352" s="48"/>
      <c r="CO352" s="48"/>
      <c r="CP352" s="48" t="s">
        <v>1954</v>
      </c>
      <c r="CQ352" s="48"/>
      <c r="CR352" s="48" t="s">
        <v>3014</v>
      </c>
      <c r="CS352" s="48"/>
      <c r="CT352" s="48" t="s">
        <v>4389</v>
      </c>
      <c r="CU352" s="50">
        <v>351.0</v>
      </c>
    </row>
    <row r="353">
      <c r="A353" s="47">
        <v>46109.36071076389</v>
      </c>
      <c r="B353" s="47">
        <v>46109.36150069445</v>
      </c>
      <c r="C353" s="48" t="s">
        <v>4390</v>
      </c>
      <c r="D353" s="48" t="s">
        <v>3733</v>
      </c>
      <c r="E353" s="48" t="s">
        <v>4020</v>
      </c>
      <c r="F353" s="48" t="s">
        <v>4039</v>
      </c>
      <c r="G353" s="49" t="s">
        <v>4391</v>
      </c>
      <c r="H353" s="48" t="s">
        <v>2948</v>
      </c>
      <c r="I353" s="50">
        <v>0.0</v>
      </c>
      <c r="J353" s="50">
        <v>1.0</v>
      </c>
      <c r="K353" s="50">
        <v>0.0</v>
      </c>
      <c r="L353" s="50">
        <v>0.0</v>
      </c>
      <c r="M353" s="50">
        <v>0.0</v>
      </c>
      <c r="N353" s="50">
        <v>0.0</v>
      </c>
      <c r="O353" s="50">
        <v>0.0</v>
      </c>
      <c r="P353" s="50">
        <v>0.0</v>
      </c>
      <c r="Q353" s="50">
        <v>0.0</v>
      </c>
      <c r="R353" s="48" t="s">
        <v>2948</v>
      </c>
      <c r="S353" s="50">
        <v>0.0</v>
      </c>
      <c r="T353" s="50">
        <v>1.0</v>
      </c>
      <c r="U353" s="50">
        <v>0.0</v>
      </c>
      <c r="V353" s="50">
        <v>0.0</v>
      </c>
      <c r="W353" s="50">
        <v>0.0</v>
      </c>
      <c r="X353" s="50">
        <v>0.0</v>
      </c>
      <c r="Y353" s="50">
        <v>0.0</v>
      </c>
      <c r="Z353" s="50">
        <v>0.0</v>
      </c>
      <c r="AA353" s="50">
        <v>0.0</v>
      </c>
      <c r="AB353" s="48" t="s">
        <v>2948</v>
      </c>
      <c r="AC353" s="50">
        <v>0.0</v>
      </c>
      <c r="AD353" s="50">
        <v>1.0</v>
      </c>
      <c r="AE353" s="50">
        <v>0.0</v>
      </c>
      <c r="AF353" s="50">
        <v>0.0</v>
      </c>
      <c r="AG353" s="50">
        <v>0.0</v>
      </c>
      <c r="AH353" s="50">
        <v>0.0</v>
      </c>
      <c r="AI353" s="50">
        <v>0.0</v>
      </c>
      <c r="AJ353" s="50">
        <v>0.0</v>
      </c>
      <c r="AK353" s="50">
        <v>0.0</v>
      </c>
      <c r="AL353" s="48"/>
      <c r="AM353" s="48"/>
      <c r="AN353" s="50">
        <v>10.0</v>
      </c>
      <c r="AO353" s="48"/>
      <c r="AP353" s="48"/>
      <c r="AQ353" s="48"/>
      <c r="AR353" s="48"/>
      <c r="AS353" s="48"/>
      <c r="AT353" s="48"/>
      <c r="AU353" s="48"/>
      <c r="AV353" s="48"/>
      <c r="AW353" s="50">
        <v>15.0</v>
      </c>
      <c r="AX353" s="48"/>
      <c r="AY353" s="48"/>
      <c r="AZ353" s="48"/>
      <c r="BA353" s="48"/>
      <c r="BB353" s="48"/>
      <c r="BC353" s="48"/>
      <c r="BD353" s="48"/>
      <c r="BE353" s="48"/>
      <c r="BF353" s="48"/>
      <c r="BG353" s="48"/>
      <c r="BH353" s="50">
        <v>3.0</v>
      </c>
      <c r="BI353" s="50">
        <v>0.0</v>
      </c>
      <c r="BJ353" s="50">
        <v>0.0</v>
      </c>
      <c r="BK353" s="50">
        <v>2.0</v>
      </c>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50">
        <v>7.09210858E8</v>
      </c>
      <c r="CL353" s="48" t="s">
        <v>4392</v>
      </c>
      <c r="CM353" s="47">
        <v>46109.06984953704</v>
      </c>
      <c r="CN353" s="48"/>
      <c r="CO353" s="48"/>
      <c r="CP353" s="48" t="s">
        <v>1954</v>
      </c>
      <c r="CQ353" s="48"/>
      <c r="CR353" s="48" t="s">
        <v>3014</v>
      </c>
      <c r="CS353" s="48"/>
      <c r="CT353" s="48" t="s">
        <v>4393</v>
      </c>
      <c r="CU353" s="50">
        <v>352.0</v>
      </c>
    </row>
    <row r="354">
      <c r="A354" s="47">
        <v>46109.36124891204</v>
      </c>
      <c r="B354" s="47">
        <v>46109.36236076389</v>
      </c>
      <c r="C354" s="48" t="s">
        <v>4386</v>
      </c>
      <c r="D354" s="48" t="s">
        <v>3733</v>
      </c>
      <c r="E354" s="48" t="s">
        <v>4020</v>
      </c>
      <c r="F354" s="48" t="s">
        <v>4039</v>
      </c>
      <c r="G354" s="49" t="s">
        <v>4394</v>
      </c>
      <c r="H354" s="48" t="s">
        <v>2948</v>
      </c>
      <c r="I354" s="50">
        <v>0.0</v>
      </c>
      <c r="J354" s="50">
        <v>1.0</v>
      </c>
      <c r="K354" s="50">
        <v>0.0</v>
      </c>
      <c r="L354" s="50">
        <v>0.0</v>
      </c>
      <c r="M354" s="50">
        <v>0.0</v>
      </c>
      <c r="N354" s="50">
        <v>0.0</v>
      </c>
      <c r="O354" s="50">
        <v>0.0</v>
      </c>
      <c r="P354" s="50">
        <v>0.0</v>
      </c>
      <c r="Q354" s="50">
        <v>0.0</v>
      </c>
      <c r="R354" s="48" t="s">
        <v>2948</v>
      </c>
      <c r="S354" s="50">
        <v>0.0</v>
      </c>
      <c r="T354" s="50">
        <v>1.0</v>
      </c>
      <c r="U354" s="50">
        <v>0.0</v>
      </c>
      <c r="V354" s="50">
        <v>0.0</v>
      </c>
      <c r="W354" s="50">
        <v>0.0</v>
      </c>
      <c r="X354" s="50">
        <v>0.0</v>
      </c>
      <c r="Y354" s="50">
        <v>0.0</v>
      </c>
      <c r="Z354" s="50">
        <v>0.0</v>
      </c>
      <c r="AA354" s="50">
        <v>0.0</v>
      </c>
      <c r="AB354" s="48" t="s">
        <v>2948</v>
      </c>
      <c r="AC354" s="50">
        <v>0.0</v>
      </c>
      <c r="AD354" s="50">
        <v>1.0</v>
      </c>
      <c r="AE354" s="50">
        <v>0.0</v>
      </c>
      <c r="AF354" s="50">
        <v>0.0</v>
      </c>
      <c r="AG354" s="50">
        <v>0.0</v>
      </c>
      <c r="AH354" s="50">
        <v>0.0</v>
      </c>
      <c r="AI354" s="50">
        <v>0.0</v>
      </c>
      <c r="AJ354" s="50">
        <v>0.0</v>
      </c>
      <c r="AK354" s="50">
        <v>0.0</v>
      </c>
      <c r="AL354" s="48"/>
      <c r="AM354" s="48"/>
      <c r="AN354" s="50">
        <v>12.0</v>
      </c>
      <c r="AO354" s="48"/>
      <c r="AP354" s="48"/>
      <c r="AQ354" s="48"/>
      <c r="AR354" s="48"/>
      <c r="AS354" s="48"/>
      <c r="AT354" s="48"/>
      <c r="AU354" s="48"/>
      <c r="AV354" s="48"/>
      <c r="AW354" s="50">
        <v>10.0</v>
      </c>
      <c r="AX354" s="48"/>
      <c r="AY354" s="48"/>
      <c r="AZ354" s="48"/>
      <c r="BA354" s="48"/>
      <c r="BB354" s="48"/>
      <c r="BC354" s="48"/>
      <c r="BD354" s="48"/>
      <c r="BE354" s="48"/>
      <c r="BF354" s="48"/>
      <c r="BG354" s="48"/>
      <c r="BH354" s="50">
        <v>2.0</v>
      </c>
      <c r="BI354" s="50">
        <v>2.0</v>
      </c>
      <c r="BJ354" s="50">
        <v>3.0</v>
      </c>
      <c r="BK354" s="50">
        <v>0.0</v>
      </c>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50">
        <v>7.09211117E8</v>
      </c>
      <c r="CL354" s="48" t="s">
        <v>4395</v>
      </c>
      <c r="CM354" s="47">
        <v>46109.07070601852</v>
      </c>
      <c r="CN354" s="48"/>
      <c r="CO354" s="48"/>
      <c r="CP354" s="48" t="s">
        <v>1954</v>
      </c>
      <c r="CQ354" s="48"/>
      <c r="CR354" s="48" t="s">
        <v>3014</v>
      </c>
      <c r="CS354" s="48"/>
      <c r="CT354" s="48" t="s">
        <v>4396</v>
      </c>
      <c r="CU354" s="50">
        <v>353.0</v>
      </c>
    </row>
    <row r="355">
      <c r="A355" s="47">
        <v>46109.36150122685</v>
      </c>
      <c r="B355" s="47">
        <v>46109.36245930556</v>
      </c>
      <c r="C355" s="48" t="s">
        <v>4397</v>
      </c>
      <c r="D355" s="48" t="s">
        <v>3733</v>
      </c>
      <c r="E355" s="48" t="s">
        <v>4020</v>
      </c>
      <c r="F355" s="48" t="s">
        <v>4039</v>
      </c>
      <c r="G355" s="49" t="s">
        <v>4398</v>
      </c>
      <c r="H355" s="48" t="s">
        <v>2948</v>
      </c>
      <c r="I355" s="50">
        <v>0.0</v>
      </c>
      <c r="J355" s="50">
        <v>1.0</v>
      </c>
      <c r="K355" s="50">
        <v>0.0</v>
      </c>
      <c r="L355" s="50">
        <v>0.0</v>
      </c>
      <c r="M355" s="50">
        <v>0.0</v>
      </c>
      <c r="N355" s="50">
        <v>0.0</v>
      </c>
      <c r="O355" s="50">
        <v>0.0</v>
      </c>
      <c r="P355" s="50">
        <v>0.0</v>
      </c>
      <c r="Q355" s="50">
        <v>0.0</v>
      </c>
      <c r="R355" s="48" t="s">
        <v>2948</v>
      </c>
      <c r="S355" s="50">
        <v>0.0</v>
      </c>
      <c r="T355" s="50">
        <v>1.0</v>
      </c>
      <c r="U355" s="50">
        <v>0.0</v>
      </c>
      <c r="V355" s="50">
        <v>0.0</v>
      </c>
      <c r="W355" s="50">
        <v>0.0</v>
      </c>
      <c r="X355" s="50">
        <v>0.0</v>
      </c>
      <c r="Y355" s="50">
        <v>0.0</v>
      </c>
      <c r="Z355" s="50">
        <v>0.0</v>
      </c>
      <c r="AA355" s="50">
        <v>0.0</v>
      </c>
      <c r="AB355" s="48" t="s">
        <v>2948</v>
      </c>
      <c r="AC355" s="50">
        <v>0.0</v>
      </c>
      <c r="AD355" s="50">
        <v>1.0</v>
      </c>
      <c r="AE355" s="50">
        <v>0.0</v>
      </c>
      <c r="AF355" s="50">
        <v>0.0</v>
      </c>
      <c r="AG355" s="50">
        <v>0.0</v>
      </c>
      <c r="AH355" s="50">
        <v>0.0</v>
      </c>
      <c r="AI355" s="50">
        <v>0.0</v>
      </c>
      <c r="AJ355" s="50">
        <v>0.0</v>
      </c>
      <c r="AK355" s="50">
        <v>0.0</v>
      </c>
      <c r="AL355" s="48"/>
      <c r="AM355" s="48"/>
      <c r="AN355" s="50">
        <v>6.0</v>
      </c>
      <c r="AO355" s="48"/>
      <c r="AP355" s="48"/>
      <c r="AQ355" s="48"/>
      <c r="AR355" s="48"/>
      <c r="AS355" s="48"/>
      <c r="AT355" s="48"/>
      <c r="AU355" s="48"/>
      <c r="AV355" s="48"/>
      <c r="AW355" s="50">
        <v>6.0</v>
      </c>
      <c r="AX355" s="48"/>
      <c r="AY355" s="48"/>
      <c r="AZ355" s="48"/>
      <c r="BA355" s="48"/>
      <c r="BB355" s="48"/>
      <c r="BC355" s="48"/>
      <c r="BD355" s="48"/>
      <c r="BE355" s="48"/>
      <c r="BF355" s="48"/>
      <c r="BG355" s="48"/>
      <c r="BH355" s="50">
        <v>2.0</v>
      </c>
      <c r="BI355" s="50">
        <v>2.0</v>
      </c>
      <c r="BJ355" s="50">
        <v>3.0</v>
      </c>
      <c r="BK355" s="50">
        <v>0.0</v>
      </c>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50">
        <v>7.09211159E8</v>
      </c>
      <c r="CL355" s="48" t="s">
        <v>4399</v>
      </c>
      <c r="CM355" s="47">
        <v>46109.07081018519</v>
      </c>
      <c r="CN355" s="48"/>
      <c r="CO355" s="48"/>
      <c r="CP355" s="48" t="s">
        <v>1954</v>
      </c>
      <c r="CQ355" s="48"/>
      <c r="CR355" s="48" t="s">
        <v>3014</v>
      </c>
      <c r="CS355" s="48"/>
      <c r="CT355" s="48" t="s">
        <v>4400</v>
      </c>
      <c r="CU355" s="50">
        <v>354.0</v>
      </c>
    </row>
    <row r="356">
      <c r="A356" s="47">
        <v>46109.36236138889</v>
      </c>
      <c r="B356" s="47">
        <v>46109.36309395833</v>
      </c>
      <c r="C356" s="48" t="s">
        <v>4401</v>
      </c>
      <c r="D356" s="48" t="s">
        <v>3733</v>
      </c>
      <c r="E356" s="48" t="s">
        <v>4020</v>
      </c>
      <c r="F356" s="48" t="s">
        <v>4226</v>
      </c>
      <c r="G356" s="49" t="s">
        <v>4402</v>
      </c>
      <c r="H356" s="48" t="s">
        <v>2948</v>
      </c>
      <c r="I356" s="50">
        <v>0.0</v>
      </c>
      <c r="J356" s="50">
        <v>1.0</v>
      </c>
      <c r="K356" s="50">
        <v>0.0</v>
      </c>
      <c r="L356" s="50">
        <v>0.0</v>
      </c>
      <c r="M356" s="50">
        <v>0.0</v>
      </c>
      <c r="N356" s="50">
        <v>0.0</v>
      </c>
      <c r="O356" s="50">
        <v>0.0</v>
      </c>
      <c r="P356" s="50">
        <v>0.0</v>
      </c>
      <c r="Q356" s="50">
        <v>0.0</v>
      </c>
      <c r="R356" s="48" t="s">
        <v>2948</v>
      </c>
      <c r="S356" s="50">
        <v>0.0</v>
      </c>
      <c r="T356" s="50">
        <v>1.0</v>
      </c>
      <c r="U356" s="50">
        <v>0.0</v>
      </c>
      <c r="V356" s="50">
        <v>0.0</v>
      </c>
      <c r="W356" s="50">
        <v>0.0</v>
      </c>
      <c r="X356" s="50">
        <v>0.0</v>
      </c>
      <c r="Y356" s="50">
        <v>0.0</v>
      </c>
      <c r="Z356" s="50">
        <v>0.0</v>
      </c>
      <c r="AA356" s="50">
        <v>0.0</v>
      </c>
      <c r="AB356" s="48" t="s">
        <v>2948</v>
      </c>
      <c r="AC356" s="50">
        <v>0.0</v>
      </c>
      <c r="AD356" s="50">
        <v>1.0</v>
      </c>
      <c r="AE356" s="50">
        <v>0.0</v>
      </c>
      <c r="AF356" s="50">
        <v>0.0</v>
      </c>
      <c r="AG356" s="50">
        <v>0.0</v>
      </c>
      <c r="AH356" s="50">
        <v>0.0</v>
      </c>
      <c r="AI356" s="50">
        <v>0.0</v>
      </c>
      <c r="AJ356" s="50">
        <v>0.0</v>
      </c>
      <c r="AK356" s="50">
        <v>0.0</v>
      </c>
      <c r="AL356" s="48"/>
      <c r="AM356" s="48"/>
      <c r="AN356" s="50">
        <v>2.0</v>
      </c>
      <c r="AO356" s="48"/>
      <c r="AP356" s="48"/>
      <c r="AQ356" s="48"/>
      <c r="AR356" s="48"/>
      <c r="AS356" s="48"/>
      <c r="AT356" s="48"/>
      <c r="AU356" s="48"/>
      <c r="AV356" s="48"/>
      <c r="AW356" s="50">
        <v>10.0</v>
      </c>
      <c r="AX356" s="48"/>
      <c r="AY356" s="48"/>
      <c r="AZ356" s="48"/>
      <c r="BA356" s="48"/>
      <c r="BB356" s="48"/>
      <c r="BC356" s="48"/>
      <c r="BD356" s="48"/>
      <c r="BE356" s="48"/>
      <c r="BF356" s="48"/>
      <c r="BG356" s="48"/>
      <c r="BH356" s="50">
        <v>8.0</v>
      </c>
      <c r="BI356" s="50">
        <v>0.0</v>
      </c>
      <c r="BJ356" s="50">
        <v>4.0</v>
      </c>
      <c r="BK356" s="50">
        <v>0.0</v>
      </c>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50">
        <v>7.092114E8</v>
      </c>
      <c r="CL356" s="48" t="s">
        <v>4403</v>
      </c>
      <c r="CM356" s="47">
        <v>46109.07143518519</v>
      </c>
      <c r="CN356" s="48"/>
      <c r="CO356" s="48"/>
      <c r="CP356" s="48" t="s">
        <v>1954</v>
      </c>
      <c r="CQ356" s="48"/>
      <c r="CR356" s="48" t="s">
        <v>3014</v>
      </c>
      <c r="CS356" s="48"/>
      <c r="CT356" s="48" t="s">
        <v>4404</v>
      </c>
      <c r="CU356" s="50">
        <v>355.0</v>
      </c>
    </row>
    <row r="357">
      <c r="A357" s="47">
        <v>46109.36264199074</v>
      </c>
      <c r="B357" s="47">
        <v>46109.36376307871</v>
      </c>
      <c r="C357" s="48" t="s">
        <v>4405</v>
      </c>
      <c r="D357" s="48" t="s">
        <v>3733</v>
      </c>
      <c r="E357" s="48" t="s">
        <v>4020</v>
      </c>
      <c r="F357" s="48" t="s">
        <v>4226</v>
      </c>
      <c r="G357" s="49" t="s">
        <v>4406</v>
      </c>
      <c r="H357" s="48" t="s">
        <v>2948</v>
      </c>
      <c r="I357" s="50">
        <v>0.0</v>
      </c>
      <c r="J357" s="50">
        <v>1.0</v>
      </c>
      <c r="K357" s="50">
        <v>0.0</v>
      </c>
      <c r="L357" s="50">
        <v>0.0</v>
      </c>
      <c r="M357" s="50">
        <v>0.0</v>
      </c>
      <c r="N357" s="50">
        <v>0.0</v>
      </c>
      <c r="O357" s="50">
        <v>0.0</v>
      </c>
      <c r="P357" s="50">
        <v>0.0</v>
      </c>
      <c r="Q357" s="50">
        <v>0.0</v>
      </c>
      <c r="R357" s="48" t="s">
        <v>2948</v>
      </c>
      <c r="S357" s="50">
        <v>0.0</v>
      </c>
      <c r="T357" s="50">
        <v>1.0</v>
      </c>
      <c r="U357" s="50">
        <v>0.0</v>
      </c>
      <c r="V357" s="50">
        <v>0.0</v>
      </c>
      <c r="W357" s="50">
        <v>0.0</v>
      </c>
      <c r="X357" s="50">
        <v>0.0</v>
      </c>
      <c r="Y357" s="50">
        <v>0.0</v>
      </c>
      <c r="Z357" s="50">
        <v>0.0</v>
      </c>
      <c r="AA357" s="50">
        <v>0.0</v>
      </c>
      <c r="AB357" s="48" t="s">
        <v>2948</v>
      </c>
      <c r="AC357" s="50">
        <v>0.0</v>
      </c>
      <c r="AD357" s="50">
        <v>1.0</v>
      </c>
      <c r="AE357" s="50">
        <v>0.0</v>
      </c>
      <c r="AF357" s="50">
        <v>0.0</v>
      </c>
      <c r="AG357" s="50">
        <v>0.0</v>
      </c>
      <c r="AH357" s="50">
        <v>0.0</v>
      </c>
      <c r="AI357" s="50">
        <v>0.0</v>
      </c>
      <c r="AJ357" s="50">
        <v>0.0</v>
      </c>
      <c r="AK357" s="50">
        <v>0.0</v>
      </c>
      <c r="AL357" s="48"/>
      <c r="AM357" s="48"/>
      <c r="AN357" s="50">
        <v>5.0</v>
      </c>
      <c r="AO357" s="48"/>
      <c r="AP357" s="48"/>
      <c r="AQ357" s="48"/>
      <c r="AR357" s="48"/>
      <c r="AS357" s="48"/>
      <c r="AT357" s="48"/>
      <c r="AU357" s="48"/>
      <c r="AV357" s="48"/>
      <c r="AW357" s="50">
        <v>6.0</v>
      </c>
      <c r="AX357" s="48"/>
      <c r="AY357" s="48"/>
      <c r="AZ357" s="48"/>
      <c r="BA357" s="48"/>
      <c r="BB357" s="48"/>
      <c r="BC357" s="48"/>
      <c r="BD357" s="48"/>
      <c r="BE357" s="48"/>
      <c r="BF357" s="48"/>
      <c r="BG357" s="48"/>
      <c r="BH357" s="50">
        <v>3.0</v>
      </c>
      <c r="BI357" s="50">
        <v>1.0</v>
      </c>
      <c r="BJ357" s="50">
        <v>3.0</v>
      </c>
      <c r="BK357" s="50">
        <v>0.0</v>
      </c>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50">
        <v>7.09211549E8</v>
      </c>
      <c r="CL357" s="48" t="s">
        <v>4407</v>
      </c>
      <c r="CM357" s="47">
        <v>46109.0721412037</v>
      </c>
      <c r="CN357" s="48"/>
      <c r="CO357" s="48"/>
      <c r="CP357" s="48" t="s">
        <v>1954</v>
      </c>
      <c r="CQ357" s="48"/>
      <c r="CR357" s="48" t="s">
        <v>3014</v>
      </c>
      <c r="CS357" s="48"/>
      <c r="CT357" s="48" t="s">
        <v>4408</v>
      </c>
      <c r="CU357" s="50">
        <v>356.0</v>
      </c>
    </row>
    <row r="358">
      <c r="A358" s="47">
        <v>46109.36309456018</v>
      </c>
      <c r="B358" s="47">
        <v>46109.36404180556</v>
      </c>
      <c r="C358" s="48" t="s">
        <v>4409</v>
      </c>
      <c r="D358" s="48" t="s">
        <v>3733</v>
      </c>
      <c r="E358" s="48" t="s">
        <v>4020</v>
      </c>
      <c r="F358" s="48" t="s">
        <v>4039</v>
      </c>
      <c r="G358" s="49" t="s">
        <v>4410</v>
      </c>
      <c r="H358" s="48" t="s">
        <v>2948</v>
      </c>
      <c r="I358" s="50">
        <v>0.0</v>
      </c>
      <c r="J358" s="50">
        <v>1.0</v>
      </c>
      <c r="K358" s="50">
        <v>0.0</v>
      </c>
      <c r="L358" s="50">
        <v>0.0</v>
      </c>
      <c r="M358" s="50">
        <v>0.0</v>
      </c>
      <c r="N358" s="50">
        <v>0.0</v>
      </c>
      <c r="O358" s="50">
        <v>0.0</v>
      </c>
      <c r="P358" s="50">
        <v>0.0</v>
      </c>
      <c r="Q358" s="50">
        <v>0.0</v>
      </c>
      <c r="R358" s="48" t="s">
        <v>2948</v>
      </c>
      <c r="S358" s="50">
        <v>0.0</v>
      </c>
      <c r="T358" s="50">
        <v>1.0</v>
      </c>
      <c r="U358" s="50">
        <v>0.0</v>
      </c>
      <c r="V358" s="50">
        <v>0.0</v>
      </c>
      <c r="W358" s="50">
        <v>0.0</v>
      </c>
      <c r="X358" s="50">
        <v>0.0</v>
      </c>
      <c r="Y358" s="50">
        <v>0.0</v>
      </c>
      <c r="Z358" s="50">
        <v>0.0</v>
      </c>
      <c r="AA358" s="50">
        <v>0.0</v>
      </c>
      <c r="AB358" s="48" t="s">
        <v>2948</v>
      </c>
      <c r="AC358" s="50">
        <v>0.0</v>
      </c>
      <c r="AD358" s="50">
        <v>1.0</v>
      </c>
      <c r="AE358" s="50">
        <v>0.0</v>
      </c>
      <c r="AF358" s="50">
        <v>0.0</v>
      </c>
      <c r="AG358" s="50">
        <v>0.0</v>
      </c>
      <c r="AH358" s="50">
        <v>0.0</v>
      </c>
      <c r="AI358" s="50">
        <v>0.0</v>
      </c>
      <c r="AJ358" s="50">
        <v>0.0</v>
      </c>
      <c r="AK358" s="50">
        <v>0.0</v>
      </c>
      <c r="AL358" s="48"/>
      <c r="AM358" s="48"/>
      <c r="AN358" s="50">
        <v>4.0</v>
      </c>
      <c r="AO358" s="48"/>
      <c r="AP358" s="48"/>
      <c r="AQ358" s="48"/>
      <c r="AR358" s="48"/>
      <c r="AS358" s="48"/>
      <c r="AT358" s="48"/>
      <c r="AU358" s="48"/>
      <c r="AV358" s="48"/>
      <c r="AW358" s="50">
        <v>6.0</v>
      </c>
      <c r="AX358" s="48"/>
      <c r="AY358" s="48"/>
      <c r="AZ358" s="48"/>
      <c r="BA358" s="48"/>
      <c r="BB358" s="48"/>
      <c r="BC358" s="48"/>
      <c r="BD358" s="48"/>
      <c r="BE358" s="48"/>
      <c r="BF358" s="48"/>
      <c r="BG358" s="48"/>
      <c r="BH358" s="50">
        <v>2.0</v>
      </c>
      <c r="BI358" s="50">
        <v>2.0</v>
      </c>
      <c r="BJ358" s="50">
        <v>2.0</v>
      </c>
      <c r="BK358" s="50">
        <v>0.0</v>
      </c>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50">
        <v>7.09211586E8</v>
      </c>
      <c r="CL358" s="48" t="s">
        <v>4411</v>
      </c>
      <c r="CM358" s="47">
        <v>46109.07238425926</v>
      </c>
      <c r="CN358" s="48"/>
      <c r="CO358" s="48"/>
      <c r="CP358" s="48" t="s">
        <v>1954</v>
      </c>
      <c r="CQ358" s="48"/>
      <c r="CR358" s="48" t="s">
        <v>3014</v>
      </c>
      <c r="CS358" s="48"/>
      <c r="CT358" s="48" t="s">
        <v>4412</v>
      </c>
      <c r="CU358" s="50">
        <v>357.0</v>
      </c>
    </row>
    <row r="359">
      <c r="A359" s="47">
        <v>46109.36245997685</v>
      </c>
      <c r="B359" s="47">
        <v>46109.36420684028</v>
      </c>
      <c r="C359" s="48" t="s">
        <v>4413</v>
      </c>
      <c r="D359" s="48" t="s">
        <v>3733</v>
      </c>
      <c r="E359" s="48" t="s">
        <v>4020</v>
      </c>
      <c r="F359" s="48" t="s">
        <v>4039</v>
      </c>
      <c r="G359" s="49" t="s">
        <v>4414</v>
      </c>
      <c r="H359" s="48" t="s">
        <v>2948</v>
      </c>
      <c r="I359" s="50">
        <v>0.0</v>
      </c>
      <c r="J359" s="50">
        <v>1.0</v>
      </c>
      <c r="K359" s="50">
        <v>0.0</v>
      </c>
      <c r="L359" s="50">
        <v>0.0</v>
      </c>
      <c r="M359" s="50">
        <v>0.0</v>
      </c>
      <c r="N359" s="50">
        <v>0.0</v>
      </c>
      <c r="O359" s="50">
        <v>0.0</v>
      </c>
      <c r="P359" s="50">
        <v>0.0</v>
      </c>
      <c r="Q359" s="50">
        <v>0.0</v>
      </c>
      <c r="R359" s="48" t="s">
        <v>2948</v>
      </c>
      <c r="S359" s="50">
        <v>0.0</v>
      </c>
      <c r="T359" s="50">
        <v>1.0</v>
      </c>
      <c r="U359" s="50">
        <v>0.0</v>
      </c>
      <c r="V359" s="50">
        <v>0.0</v>
      </c>
      <c r="W359" s="50">
        <v>0.0</v>
      </c>
      <c r="X359" s="50">
        <v>0.0</v>
      </c>
      <c r="Y359" s="50">
        <v>0.0</v>
      </c>
      <c r="Z359" s="50">
        <v>0.0</v>
      </c>
      <c r="AA359" s="50">
        <v>0.0</v>
      </c>
      <c r="AB359" s="48" t="s">
        <v>2948</v>
      </c>
      <c r="AC359" s="50">
        <v>0.0</v>
      </c>
      <c r="AD359" s="50">
        <v>1.0</v>
      </c>
      <c r="AE359" s="50">
        <v>0.0</v>
      </c>
      <c r="AF359" s="50">
        <v>0.0</v>
      </c>
      <c r="AG359" s="50">
        <v>0.0</v>
      </c>
      <c r="AH359" s="50">
        <v>0.0</v>
      </c>
      <c r="AI359" s="50">
        <v>0.0</v>
      </c>
      <c r="AJ359" s="50">
        <v>0.0</v>
      </c>
      <c r="AK359" s="50">
        <v>0.0</v>
      </c>
      <c r="AL359" s="48"/>
      <c r="AM359" s="48"/>
      <c r="AN359" s="50">
        <v>4.0</v>
      </c>
      <c r="AO359" s="48"/>
      <c r="AP359" s="48"/>
      <c r="AQ359" s="48"/>
      <c r="AR359" s="48"/>
      <c r="AS359" s="48"/>
      <c r="AT359" s="48"/>
      <c r="AU359" s="48"/>
      <c r="AV359" s="48"/>
      <c r="AW359" s="50">
        <v>6.0</v>
      </c>
      <c r="AX359" s="48"/>
      <c r="AY359" s="48"/>
      <c r="AZ359" s="48"/>
      <c r="BA359" s="48"/>
      <c r="BB359" s="48"/>
      <c r="BC359" s="48"/>
      <c r="BD359" s="48"/>
      <c r="BE359" s="48"/>
      <c r="BF359" s="48"/>
      <c r="BG359" s="48"/>
      <c r="BH359" s="50">
        <v>2.0</v>
      </c>
      <c r="BI359" s="50">
        <v>0.0</v>
      </c>
      <c r="BJ359" s="50">
        <v>3.0</v>
      </c>
      <c r="BK359" s="50">
        <v>0.0</v>
      </c>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50">
        <v>7.09211629E8</v>
      </c>
      <c r="CL359" s="48" t="s">
        <v>4415</v>
      </c>
      <c r="CM359" s="47">
        <v>46109.07256944444</v>
      </c>
      <c r="CN359" s="48"/>
      <c r="CO359" s="48"/>
      <c r="CP359" s="48" t="s">
        <v>1954</v>
      </c>
      <c r="CQ359" s="48"/>
      <c r="CR359" s="48" t="s">
        <v>3014</v>
      </c>
      <c r="CS359" s="48"/>
      <c r="CT359" s="48" t="s">
        <v>4416</v>
      </c>
      <c r="CU359" s="50">
        <v>358.0</v>
      </c>
    </row>
    <row r="360">
      <c r="A360" s="47">
        <v>46109.36404260417</v>
      </c>
      <c r="B360" s="47">
        <v>46109.36490834491</v>
      </c>
      <c r="C360" s="48" t="s">
        <v>4417</v>
      </c>
      <c r="D360" s="48" t="s">
        <v>3733</v>
      </c>
      <c r="E360" s="48" t="s">
        <v>4020</v>
      </c>
      <c r="F360" s="48" t="s">
        <v>4039</v>
      </c>
      <c r="G360" s="49" t="s">
        <v>4418</v>
      </c>
      <c r="H360" s="48" t="s">
        <v>2948</v>
      </c>
      <c r="I360" s="50">
        <v>0.0</v>
      </c>
      <c r="J360" s="50">
        <v>1.0</v>
      </c>
      <c r="K360" s="50">
        <v>0.0</v>
      </c>
      <c r="L360" s="50">
        <v>0.0</v>
      </c>
      <c r="M360" s="50">
        <v>0.0</v>
      </c>
      <c r="N360" s="50">
        <v>0.0</v>
      </c>
      <c r="O360" s="50">
        <v>0.0</v>
      </c>
      <c r="P360" s="50">
        <v>0.0</v>
      </c>
      <c r="Q360" s="50">
        <v>0.0</v>
      </c>
      <c r="R360" s="48" t="s">
        <v>2948</v>
      </c>
      <c r="S360" s="50">
        <v>0.0</v>
      </c>
      <c r="T360" s="50">
        <v>1.0</v>
      </c>
      <c r="U360" s="50">
        <v>0.0</v>
      </c>
      <c r="V360" s="50">
        <v>0.0</v>
      </c>
      <c r="W360" s="50">
        <v>0.0</v>
      </c>
      <c r="X360" s="50">
        <v>0.0</v>
      </c>
      <c r="Y360" s="50">
        <v>0.0</v>
      </c>
      <c r="Z360" s="50">
        <v>0.0</v>
      </c>
      <c r="AA360" s="50">
        <v>0.0</v>
      </c>
      <c r="AB360" s="48" t="s">
        <v>2948</v>
      </c>
      <c r="AC360" s="50">
        <v>0.0</v>
      </c>
      <c r="AD360" s="50">
        <v>1.0</v>
      </c>
      <c r="AE360" s="50">
        <v>0.0</v>
      </c>
      <c r="AF360" s="50">
        <v>0.0</v>
      </c>
      <c r="AG360" s="50">
        <v>0.0</v>
      </c>
      <c r="AH360" s="50">
        <v>0.0</v>
      </c>
      <c r="AI360" s="50">
        <v>0.0</v>
      </c>
      <c r="AJ360" s="50">
        <v>0.0</v>
      </c>
      <c r="AK360" s="50">
        <v>0.0</v>
      </c>
      <c r="AL360" s="48"/>
      <c r="AM360" s="48"/>
      <c r="AN360" s="50">
        <v>3.0</v>
      </c>
      <c r="AO360" s="48"/>
      <c r="AP360" s="48"/>
      <c r="AQ360" s="48"/>
      <c r="AR360" s="48"/>
      <c r="AS360" s="48"/>
      <c r="AT360" s="48"/>
      <c r="AU360" s="48"/>
      <c r="AV360" s="48"/>
      <c r="AW360" s="50">
        <v>5.0</v>
      </c>
      <c r="AX360" s="48"/>
      <c r="AY360" s="48"/>
      <c r="AZ360" s="48"/>
      <c r="BA360" s="48"/>
      <c r="BB360" s="48"/>
      <c r="BC360" s="48"/>
      <c r="BD360" s="48"/>
      <c r="BE360" s="48"/>
      <c r="BF360" s="48"/>
      <c r="BG360" s="48"/>
      <c r="BH360" s="50">
        <v>2.0</v>
      </c>
      <c r="BI360" s="50">
        <v>1.0</v>
      </c>
      <c r="BJ360" s="50">
        <v>1.0</v>
      </c>
      <c r="BK360" s="50">
        <v>0.0</v>
      </c>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50">
        <v>7.09211749E8</v>
      </c>
      <c r="CL360" s="48" t="s">
        <v>4419</v>
      </c>
      <c r="CM360" s="47">
        <v>46109.07325231482</v>
      </c>
      <c r="CN360" s="48"/>
      <c r="CO360" s="48"/>
      <c r="CP360" s="48" t="s">
        <v>1954</v>
      </c>
      <c r="CQ360" s="48"/>
      <c r="CR360" s="48" t="s">
        <v>3014</v>
      </c>
      <c r="CS360" s="48"/>
      <c r="CT360" s="48" t="s">
        <v>4420</v>
      </c>
      <c r="CU360" s="50">
        <v>359.0</v>
      </c>
    </row>
    <row r="361">
      <c r="A361" s="47">
        <v>46109.36376403935</v>
      </c>
      <c r="B361" s="47">
        <v>46109.36511881944</v>
      </c>
      <c r="C361" s="48" t="s">
        <v>4421</v>
      </c>
      <c r="D361" s="48" t="s">
        <v>3733</v>
      </c>
      <c r="E361" s="48" t="s">
        <v>4020</v>
      </c>
      <c r="F361" s="48" t="s">
        <v>4039</v>
      </c>
      <c r="G361" s="49" t="s">
        <v>4422</v>
      </c>
      <c r="H361" s="48" t="s">
        <v>2948</v>
      </c>
      <c r="I361" s="50">
        <v>0.0</v>
      </c>
      <c r="J361" s="50">
        <v>1.0</v>
      </c>
      <c r="K361" s="50">
        <v>0.0</v>
      </c>
      <c r="L361" s="50">
        <v>0.0</v>
      </c>
      <c r="M361" s="50">
        <v>0.0</v>
      </c>
      <c r="N361" s="50">
        <v>0.0</v>
      </c>
      <c r="O361" s="50">
        <v>0.0</v>
      </c>
      <c r="P361" s="50">
        <v>0.0</v>
      </c>
      <c r="Q361" s="50">
        <v>0.0</v>
      </c>
      <c r="R361" s="48" t="s">
        <v>2948</v>
      </c>
      <c r="S361" s="50">
        <v>0.0</v>
      </c>
      <c r="T361" s="50">
        <v>1.0</v>
      </c>
      <c r="U361" s="50">
        <v>0.0</v>
      </c>
      <c r="V361" s="50">
        <v>0.0</v>
      </c>
      <c r="W361" s="50">
        <v>0.0</v>
      </c>
      <c r="X361" s="50">
        <v>0.0</v>
      </c>
      <c r="Y361" s="50">
        <v>0.0</v>
      </c>
      <c r="Z361" s="50">
        <v>0.0</v>
      </c>
      <c r="AA361" s="50">
        <v>0.0</v>
      </c>
      <c r="AB361" s="48" t="s">
        <v>2948</v>
      </c>
      <c r="AC361" s="50">
        <v>0.0</v>
      </c>
      <c r="AD361" s="50">
        <v>1.0</v>
      </c>
      <c r="AE361" s="50">
        <v>0.0</v>
      </c>
      <c r="AF361" s="50">
        <v>0.0</v>
      </c>
      <c r="AG361" s="50">
        <v>0.0</v>
      </c>
      <c r="AH361" s="50">
        <v>0.0</v>
      </c>
      <c r="AI361" s="50">
        <v>0.0</v>
      </c>
      <c r="AJ361" s="50">
        <v>0.0</v>
      </c>
      <c r="AK361" s="50">
        <v>0.0</v>
      </c>
      <c r="AL361" s="48"/>
      <c r="AM361" s="48"/>
      <c r="AN361" s="50">
        <v>4.0</v>
      </c>
      <c r="AO361" s="48"/>
      <c r="AP361" s="48"/>
      <c r="AQ361" s="48"/>
      <c r="AR361" s="48"/>
      <c r="AS361" s="48"/>
      <c r="AT361" s="48"/>
      <c r="AU361" s="48"/>
      <c r="AV361" s="48"/>
      <c r="AW361" s="50">
        <v>4.0</v>
      </c>
      <c r="AX361" s="48"/>
      <c r="AY361" s="48"/>
      <c r="AZ361" s="48"/>
      <c r="BA361" s="48"/>
      <c r="BB361" s="48"/>
      <c r="BC361" s="48"/>
      <c r="BD361" s="48"/>
      <c r="BE361" s="48"/>
      <c r="BF361" s="48"/>
      <c r="BG361" s="48"/>
      <c r="BH361" s="50">
        <v>3.0</v>
      </c>
      <c r="BI361" s="50">
        <v>2.0</v>
      </c>
      <c r="BJ361" s="50">
        <v>4.0</v>
      </c>
      <c r="BK361" s="50">
        <v>0.0</v>
      </c>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50">
        <v>7.09211812E8</v>
      </c>
      <c r="CL361" s="48" t="s">
        <v>4423</v>
      </c>
      <c r="CM361" s="47">
        <v>46109.07354166666</v>
      </c>
      <c r="CN361" s="48"/>
      <c r="CO361" s="48"/>
      <c r="CP361" s="48" t="s">
        <v>1954</v>
      </c>
      <c r="CQ361" s="48"/>
      <c r="CR361" s="48" t="s">
        <v>3014</v>
      </c>
      <c r="CS361" s="48"/>
      <c r="CT361" s="48" t="s">
        <v>4424</v>
      </c>
      <c r="CU361" s="50">
        <v>360.0</v>
      </c>
    </row>
    <row r="362">
      <c r="A362" s="47">
        <v>46109.36490903935</v>
      </c>
      <c r="B362" s="47">
        <v>46109.36547078704</v>
      </c>
      <c r="C362" s="48" t="s">
        <v>4425</v>
      </c>
      <c r="D362" s="48" t="s">
        <v>3733</v>
      </c>
      <c r="E362" s="48" t="s">
        <v>4020</v>
      </c>
      <c r="F362" s="48" t="s">
        <v>4039</v>
      </c>
      <c r="G362" s="49" t="s">
        <v>4426</v>
      </c>
      <c r="H362" s="48" t="s">
        <v>2948</v>
      </c>
      <c r="I362" s="50">
        <v>0.0</v>
      </c>
      <c r="J362" s="50">
        <v>1.0</v>
      </c>
      <c r="K362" s="50">
        <v>0.0</v>
      </c>
      <c r="L362" s="50">
        <v>0.0</v>
      </c>
      <c r="M362" s="50">
        <v>0.0</v>
      </c>
      <c r="N362" s="50">
        <v>0.0</v>
      </c>
      <c r="O362" s="50">
        <v>0.0</v>
      </c>
      <c r="P362" s="50">
        <v>0.0</v>
      </c>
      <c r="Q362" s="50">
        <v>0.0</v>
      </c>
      <c r="R362" s="48" t="s">
        <v>2948</v>
      </c>
      <c r="S362" s="50">
        <v>0.0</v>
      </c>
      <c r="T362" s="50">
        <v>1.0</v>
      </c>
      <c r="U362" s="50">
        <v>0.0</v>
      </c>
      <c r="V362" s="50">
        <v>0.0</v>
      </c>
      <c r="W362" s="50">
        <v>0.0</v>
      </c>
      <c r="X362" s="50">
        <v>0.0</v>
      </c>
      <c r="Y362" s="50">
        <v>0.0</v>
      </c>
      <c r="Z362" s="50">
        <v>0.0</v>
      </c>
      <c r="AA362" s="50">
        <v>0.0</v>
      </c>
      <c r="AB362" s="48" t="s">
        <v>2948</v>
      </c>
      <c r="AC362" s="50">
        <v>0.0</v>
      </c>
      <c r="AD362" s="50">
        <v>1.0</v>
      </c>
      <c r="AE362" s="50">
        <v>0.0</v>
      </c>
      <c r="AF362" s="50">
        <v>0.0</v>
      </c>
      <c r="AG362" s="50">
        <v>0.0</v>
      </c>
      <c r="AH362" s="50">
        <v>0.0</v>
      </c>
      <c r="AI362" s="50">
        <v>0.0</v>
      </c>
      <c r="AJ362" s="50">
        <v>0.0</v>
      </c>
      <c r="AK362" s="50">
        <v>0.0</v>
      </c>
      <c r="AL362" s="48"/>
      <c r="AM362" s="48"/>
      <c r="AN362" s="50">
        <v>6.0</v>
      </c>
      <c r="AO362" s="48"/>
      <c r="AP362" s="48"/>
      <c r="AQ362" s="48"/>
      <c r="AR362" s="48"/>
      <c r="AS362" s="48"/>
      <c r="AT362" s="48"/>
      <c r="AU362" s="48"/>
      <c r="AV362" s="48"/>
      <c r="AW362" s="50">
        <v>4.0</v>
      </c>
      <c r="AX362" s="48"/>
      <c r="AY362" s="48"/>
      <c r="AZ362" s="48"/>
      <c r="BA362" s="48"/>
      <c r="BB362" s="48"/>
      <c r="BC362" s="48"/>
      <c r="BD362" s="48"/>
      <c r="BE362" s="48"/>
      <c r="BF362" s="48"/>
      <c r="BG362" s="48"/>
      <c r="BH362" s="50">
        <v>2.0</v>
      </c>
      <c r="BI362" s="50">
        <v>3.0</v>
      </c>
      <c r="BJ362" s="50">
        <v>3.0</v>
      </c>
      <c r="BK362" s="50">
        <v>0.0</v>
      </c>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50">
        <v>7.09211849E8</v>
      </c>
      <c r="CL362" s="48" t="s">
        <v>4427</v>
      </c>
      <c r="CM362" s="47">
        <v>46109.07381944444</v>
      </c>
      <c r="CN362" s="48"/>
      <c r="CO362" s="48"/>
      <c r="CP362" s="48" t="s">
        <v>1954</v>
      </c>
      <c r="CQ362" s="48"/>
      <c r="CR362" s="48" t="s">
        <v>3014</v>
      </c>
      <c r="CS362" s="48"/>
      <c r="CT362" s="48" t="s">
        <v>4428</v>
      </c>
      <c r="CU362" s="50">
        <v>361.0</v>
      </c>
    </row>
    <row r="363">
      <c r="A363" s="47">
        <v>46109.36420791667</v>
      </c>
      <c r="B363" s="47">
        <v>46109.36600819445</v>
      </c>
      <c r="C363" s="48" t="s">
        <v>4429</v>
      </c>
      <c r="D363" s="48" t="s">
        <v>3733</v>
      </c>
      <c r="E363" s="48" t="s">
        <v>4020</v>
      </c>
      <c r="F363" s="48" t="s">
        <v>4039</v>
      </c>
      <c r="G363" s="49" t="s">
        <v>4430</v>
      </c>
      <c r="H363" s="48" t="s">
        <v>2948</v>
      </c>
      <c r="I363" s="50">
        <v>0.0</v>
      </c>
      <c r="J363" s="50">
        <v>1.0</v>
      </c>
      <c r="K363" s="50">
        <v>0.0</v>
      </c>
      <c r="L363" s="50">
        <v>0.0</v>
      </c>
      <c r="M363" s="50">
        <v>0.0</v>
      </c>
      <c r="N363" s="50">
        <v>0.0</v>
      </c>
      <c r="O363" s="50">
        <v>0.0</v>
      </c>
      <c r="P363" s="50">
        <v>0.0</v>
      </c>
      <c r="Q363" s="50">
        <v>0.0</v>
      </c>
      <c r="R363" s="48" t="s">
        <v>2948</v>
      </c>
      <c r="S363" s="50">
        <v>0.0</v>
      </c>
      <c r="T363" s="50">
        <v>1.0</v>
      </c>
      <c r="U363" s="50">
        <v>0.0</v>
      </c>
      <c r="V363" s="50">
        <v>0.0</v>
      </c>
      <c r="W363" s="50">
        <v>0.0</v>
      </c>
      <c r="X363" s="50">
        <v>0.0</v>
      </c>
      <c r="Y363" s="50">
        <v>0.0</v>
      </c>
      <c r="Z363" s="50">
        <v>0.0</v>
      </c>
      <c r="AA363" s="50">
        <v>0.0</v>
      </c>
      <c r="AB363" s="48" t="s">
        <v>2948</v>
      </c>
      <c r="AC363" s="50">
        <v>0.0</v>
      </c>
      <c r="AD363" s="50">
        <v>1.0</v>
      </c>
      <c r="AE363" s="50">
        <v>0.0</v>
      </c>
      <c r="AF363" s="50">
        <v>0.0</v>
      </c>
      <c r="AG363" s="50">
        <v>0.0</v>
      </c>
      <c r="AH363" s="50">
        <v>0.0</v>
      </c>
      <c r="AI363" s="50">
        <v>0.0</v>
      </c>
      <c r="AJ363" s="50">
        <v>0.0</v>
      </c>
      <c r="AK363" s="50">
        <v>0.0</v>
      </c>
      <c r="AL363" s="48"/>
      <c r="AM363" s="48"/>
      <c r="AN363" s="50">
        <v>7.0</v>
      </c>
      <c r="AO363" s="48"/>
      <c r="AP363" s="48"/>
      <c r="AQ363" s="48"/>
      <c r="AR363" s="48"/>
      <c r="AS363" s="48"/>
      <c r="AT363" s="48"/>
      <c r="AU363" s="48"/>
      <c r="AV363" s="48"/>
      <c r="AW363" s="50">
        <v>4.0</v>
      </c>
      <c r="AX363" s="48"/>
      <c r="AY363" s="48"/>
      <c r="AZ363" s="48"/>
      <c r="BA363" s="48"/>
      <c r="BB363" s="48"/>
      <c r="BC363" s="48"/>
      <c r="BD363" s="48"/>
      <c r="BE363" s="48"/>
      <c r="BF363" s="48"/>
      <c r="BG363" s="48"/>
      <c r="BH363" s="50">
        <v>2.0</v>
      </c>
      <c r="BI363" s="50">
        <v>2.0</v>
      </c>
      <c r="BJ363" s="50">
        <v>3.0</v>
      </c>
      <c r="BK363" s="50">
        <v>0.0</v>
      </c>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50">
        <v>7.09211939E8</v>
      </c>
      <c r="CL363" s="48" t="s">
        <v>4431</v>
      </c>
      <c r="CM363" s="47">
        <v>46109.07436342593</v>
      </c>
      <c r="CN363" s="48"/>
      <c r="CO363" s="48"/>
      <c r="CP363" s="48" t="s">
        <v>1954</v>
      </c>
      <c r="CQ363" s="48"/>
      <c r="CR363" s="48" t="s">
        <v>3014</v>
      </c>
      <c r="CS363" s="48"/>
      <c r="CT363" s="48" t="s">
        <v>4432</v>
      </c>
      <c r="CU363" s="50">
        <v>362.0</v>
      </c>
    </row>
    <row r="364">
      <c r="A364" s="47">
        <v>46109.36547142361</v>
      </c>
      <c r="B364" s="47">
        <v>46109.36628471065</v>
      </c>
      <c r="C364" s="48" t="s">
        <v>4433</v>
      </c>
      <c r="D364" s="48" t="s">
        <v>3733</v>
      </c>
      <c r="E364" s="48" t="s">
        <v>4020</v>
      </c>
      <c r="F364" s="48" t="s">
        <v>4039</v>
      </c>
      <c r="G364" s="49" t="s">
        <v>4434</v>
      </c>
      <c r="H364" s="48" t="s">
        <v>2948</v>
      </c>
      <c r="I364" s="50">
        <v>0.0</v>
      </c>
      <c r="J364" s="50">
        <v>1.0</v>
      </c>
      <c r="K364" s="50">
        <v>0.0</v>
      </c>
      <c r="L364" s="50">
        <v>0.0</v>
      </c>
      <c r="M364" s="50">
        <v>0.0</v>
      </c>
      <c r="N364" s="50">
        <v>0.0</v>
      </c>
      <c r="O364" s="50">
        <v>0.0</v>
      </c>
      <c r="P364" s="50">
        <v>0.0</v>
      </c>
      <c r="Q364" s="50">
        <v>0.0</v>
      </c>
      <c r="R364" s="48" t="s">
        <v>2948</v>
      </c>
      <c r="S364" s="50">
        <v>0.0</v>
      </c>
      <c r="T364" s="50">
        <v>1.0</v>
      </c>
      <c r="U364" s="50">
        <v>0.0</v>
      </c>
      <c r="V364" s="50">
        <v>0.0</v>
      </c>
      <c r="W364" s="50">
        <v>0.0</v>
      </c>
      <c r="X364" s="50">
        <v>0.0</v>
      </c>
      <c r="Y364" s="50">
        <v>0.0</v>
      </c>
      <c r="Z364" s="50">
        <v>0.0</v>
      </c>
      <c r="AA364" s="50">
        <v>0.0</v>
      </c>
      <c r="AB364" s="48" t="s">
        <v>2948</v>
      </c>
      <c r="AC364" s="50">
        <v>0.0</v>
      </c>
      <c r="AD364" s="50">
        <v>1.0</v>
      </c>
      <c r="AE364" s="50">
        <v>0.0</v>
      </c>
      <c r="AF364" s="50">
        <v>0.0</v>
      </c>
      <c r="AG364" s="50">
        <v>0.0</v>
      </c>
      <c r="AH364" s="50">
        <v>0.0</v>
      </c>
      <c r="AI364" s="50">
        <v>0.0</v>
      </c>
      <c r="AJ364" s="50">
        <v>0.0</v>
      </c>
      <c r="AK364" s="50">
        <v>0.0</v>
      </c>
      <c r="AL364" s="48"/>
      <c r="AM364" s="48"/>
      <c r="AN364" s="50">
        <v>14.0</v>
      </c>
      <c r="AO364" s="48"/>
      <c r="AP364" s="48"/>
      <c r="AQ364" s="48"/>
      <c r="AR364" s="48"/>
      <c r="AS364" s="48"/>
      <c r="AT364" s="48"/>
      <c r="AU364" s="48"/>
      <c r="AV364" s="48"/>
      <c r="AW364" s="50">
        <v>6.0</v>
      </c>
      <c r="AX364" s="48"/>
      <c r="AY364" s="48"/>
      <c r="AZ364" s="48"/>
      <c r="BA364" s="48"/>
      <c r="BB364" s="48"/>
      <c r="BC364" s="48"/>
      <c r="BD364" s="48"/>
      <c r="BE364" s="48"/>
      <c r="BF364" s="48"/>
      <c r="BG364" s="48"/>
      <c r="BH364" s="50">
        <v>4.0</v>
      </c>
      <c r="BI364" s="50">
        <v>3.0</v>
      </c>
      <c r="BJ364" s="50">
        <v>10.0</v>
      </c>
      <c r="BK364" s="50">
        <v>0.0</v>
      </c>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50">
        <v>7.09211979E8</v>
      </c>
      <c r="CL364" s="48" t="s">
        <v>4435</v>
      </c>
      <c r="CM364" s="47">
        <v>46109.07462962963</v>
      </c>
      <c r="CN364" s="48"/>
      <c r="CO364" s="48"/>
      <c r="CP364" s="48" t="s">
        <v>1954</v>
      </c>
      <c r="CQ364" s="48"/>
      <c r="CR364" s="48" t="s">
        <v>3014</v>
      </c>
      <c r="CS364" s="48"/>
      <c r="CT364" s="48" t="s">
        <v>4436</v>
      </c>
      <c r="CU364" s="50">
        <v>363.0</v>
      </c>
    </row>
    <row r="365">
      <c r="A365" s="47">
        <v>46109.365119375</v>
      </c>
      <c r="B365" s="47">
        <v>46109.36655015047</v>
      </c>
      <c r="C365" s="48" t="s">
        <v>4437</v>
      </c>
      <c r="D365" s="48" t="s">
        <v>3733</v>
      </c>
      <c r="E365" s="48" t="s">
        <v>4020</v>
      </c>
      <c r="F365" s="48" t="s">
        <v>4039</v>
      </c>
      <c r="G365" s="49" t="s">
        <v>4438</v>
      </c>
      <c r="H365" s="48" t="s">
        <v>2948</v>
      </c>
      <c r="I365" s="50">
        <v>0.0</v>
      </c>
      <c r="J365" s="50">
        <v>1.0</v>
      </c>
      <c r="K365" s="50">
        <v>0.0</v>
      </c>
      <c r="L365" s="50">
        <v>0.0</v>
      </c>
      <c r="M365" s="50">
        <v>0.0</v>
      </c>
      <c r="N365" s="50">
        <v>0.0</v>
      </c>
      <c r="O365" s="50">
        <v>0.0</v>
      </c>
      <c r="P365" s="50">
        <v>0.0</v>
      </c>
      <c r="Q365" s="50">
        <v>0.0</v>
      </c>
      <c r="R365" s="48" t="s">
        <v>2948</v>
      </c>
      <c r="S365" s="50">
        <v>0.0</v>
      </c>
      <c r="T365" s="50">
        <v>1.0</v>
      </c>
      <c r="U365" s="50">
        <v>0.0</v>
      </c>
      <c r="V365" s="50">
        <v>0.0</v>
      </c>
      <c r="W365" s="50">
        <v>0.0</v>
      </c>
      <c r="X365" s="50">
        <v>0.0</v>
      </c>
      <c r="Y365" s="50">
        <v>0.0</v>
      </c>
      <c r="Z365" s="50">
        <v>0.0</v>
      </c>
      <c r="AA365" s="50">
        <v>0.0</v>
      </c>
      <c r="AB365" s="48" t="s">
        <v>2948</v>
      </c>
      <c r="AC365" s="50">
        <v>0.0</v>
      </c>
      <c r="AD365" s="50">
        <v>1.0</v>
      </c>
      <c r="AE365" s="50">
        <v>0.0</v>
      </c>
      <c r="AF365" s="50">
        <v>0.0</v>
      </c>
      <c r="AG365" s="50">
        <v>0.0</v>
      </c>
      <c r="AH365" s="50">
        <v>0.0</v>
      </c>
      <c r="AI365" s="50">
        <v>0.0</v>
      </c>
      <c r="AJ365" s="50">
        <v>0.0</v>
      </c>
      <c r="AK365" s="50">
        <v>0.0</v>
      </c>
      <c r="AL365" s="48"/>
      <c r="AM365" s="48"/>
      <c r="AN365" s="50">
        <v>3.0</v>
      </c>
      <c r="AO365" s="48"/>
      <c r="AP365" s="48"/>
      <c r="AQ365" s="48"/>
      <c r="AR365" s="48"/>
      <c r="AS365" s="48"/>
      <c r="AT365" s="48"/>
      <c r="AU365" s="48"/>
      <c r="AV365" s="48"/>
      <c r="AW365" s="50">
        <v>6.0</v>
      </c>
      <c r="AX365" s="48"/>
      <c r="AY365" s="48"/>
      <c r="AZ365" s="48"/>
      <c r="BA365" s="48"/>
      <c r="BB365" s="48"/>
      <c r="BC365" s="48"/>
      <c r="BD365" s="48"/>
      <c r="BE365" s="48"/>
      <c r="BF365" s="48"/>
      <c r="BG365" s="48"/>
      <c r="BH365" s="50">
        <v>3.0</v>
      </c>
      <c r="BI365" s="50">
        <v>2.0</v>
      </c>
      <c r="BJ365" s="50">
        <v>4.0</v>
      </c>
      <c r="BK365" s="50">
        <v>0.0</v>
      </c>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50">
        <v>7.09212006E8</v>
      </c>
      <c r="CL365" s="48" t="s">
        <v>4439</v>
      </c>
      <c r="CM365" s="47">
        <v>46109.07491898148</v>
      </c>
      <c r="CN365" s="48"/>
      <c r="CO365" s="48"/>
      <c r="CP365" s="48" t="s">
        <v>1954</v>
      </c>
      <c r="CQ365" s="48"/>
      <c r="CR365" s="48" t="s">
        <v>3014</v>
      </c>
      <c r="CS365" s="48"/>
      <c r="CT365" s="48" t="s">
        <v>4440</v>
      </c>
      <c r="CU365" s="50">
        <v>364.0</v>
      </c>
    </row>
    <row r="366">
      <c r="A366" s="47">
        <v>46109.36600884259</v>
      </c>
      <c r="B366" s="47">
        <v>46109.36664716435</v>
      </c>
      <c r="C366" s="48" t="s">
        <v>4441</v>
      </c>
      <c r="D366" s="48" t="s">
        <v>3733</v>
      </c>
      <c r="E366" s="48" t="s">
        <v>4442</v>
      </c>
      <c r="F366" s="48" t="s">
        <v>4039</v>
      </c>
      <c r="G366" s="49" t="s">
        <v>4443</v>
      </c>
      <c r="H366" s="48" t="s">
        <v>2948</v>
      </c>
      <c r="I366" s="50">
        <v>0.0</v>
      </c>
      <c r="J366" s="50">
        <v>1.0</v>
      </c>
      <c r="K366" s="50">
        <v>0.0</v>
      </c>
      <c r="L366" s="50">
        <v>0.0</v>
      </c>
      <c r="M366" s="50">
        <v>0.0</v>
      </c>
      <c r="N366" s="50">
        <v>0.0</v>
      </c>
      <c r="O366" s="50">
        <v>0.0</v>
      </c>
      <c r="P366" s="50">
        <v>0.0</v>
      </c>
      <c r="Q366" s="50">
        <v>0.0</v>
      </c>
      <c r="R366" s="48" t="s">
        <v>2948</v>
      </c>
      <c r="S366" s="50">
        <v>0.0</v>
      </c>
      <c r="T366" s="50">
        <v>1.0</v>
      </c>
      <c r="U366" s="50">
        <v>0.0</v>
      </c>
      <c r="V366" s="50">
        <v>0.0</v>
      </c>
      <c r="W366" s="50">
        <v>0.0</v>
      </c>
      <c r="X366" s="50">
        <v>0.0</v>
      </c>
      <c r="Y366" s="50">
        <v>0.0</v>
      </c>
      <c r="Z366" s="50">
        <v>0.0</v>
      </c>
      <c r="AA366" s="50">
        <v>0.0</v>
      </c>
      <c r="AB366" s="48" t="s">
        <v>2948</v>
      </c>
      <c r="AC366" s="50">
        <v>0.0</v>
      </c>
      <c r="AD366" s="50">
        <v>1.0</v>
      </c>
      <c r="AE366" s="50">
        <v>0.0</v>
      </c>
      <c r="AF366" s="50">
        <v>0.0</v>
      </c>
      <c r="AG366" s="50">
        <v>0.0</v>
      </c>
      <c r="AH366" s="50">
        <v>0.0</v>
      </c>
      <c r="AI366" s="50">
        <v>0.0</v>
      </c>
      <c r="AJ366" s="50">
        <v>0.0</v>
      </c>
      <c r="AK366" s="50">
        <v>0.0</v>
      </c>
      <c r="AL366" s="48"/>
      <c r="AM366" s="48"/>
      <c r="AN366" s="50">
        <v>5.0</v>
      </c>
      <c r="AO366" s="48"/>
      <c r="AP366" s="48"/>
      <c r="AQ366" s="48"/>
      <c r="AR366" s="48"/>
      <c r="AS366" s="48"/>
      <c r="AT366" s="48"/>
      <c r="AU366" s="48"/>
      <c r="AV366" s="48"/>
      <c r="AW366" s="50">
        <v>4.0</v>
      </c>
      <c r="AX366" s="48"/>
      <c r="AY366" s="48"/>
      <c r="AZ366" s="48"/>
      <c r="BA366" s="48"/>
      <c r="BB366" s="48"/>
      <c r="BC366" s="48"/>
      <c r="BD366" s="48"/>
      <c r="BE366" s="48"/>
      <c r="BF366" s="48"/>
      <c r="BG366" s="48"/>
      <c r="BH366" s="50">
        <v>2.0</v>
      </c>
      <c r="BI366" s="50">
        <v>1.0</v>
      </c>
      <c r="BJ366" s="50">
        <v>3.0</v>
      </c>
      <c r="BK366" s="50">
        <v>0.0</v>
      </c>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50">
        <v>7.09212015E8</v>
      </c>
      <c r="CL366" s="48" t="s">
        <v>4444</v>
      </c>
      <c r="CM366" s="47">
        <v>46109.075</v>
      </c>
      <c r="CN366" s="48"/>
      <c r="CO366" s="48"/>
      <c r="CP366" s="48" t="s">
        <v>1954</v>
      </c>
      <c r="CQ366" s="48"/>
      <c r="CR366" s="48" t="s">
        <v>3014</v>
      </c>
      <c r="CS366" s="48"/>
      <c r="CT366" s="48" t="s">
        <v>4445</v>
      </c>
      <c r="CU366" s="50">
        <v>365.0</v>
      </c>
    </row>
    <row r="367">
      <c r="A367" s="47">
        <v>46109.3662853588</v>
      </c>
      <c r="B367" s="47">
        <v>46109.3670953125</v>
      </c>
      <c r="C367" s="48" t="s">
        <v>4446</v>
      </c>
      <c r="D367" s="48" t="s">
        <v>3733</v>
      </c>
      <c r="E367" s="48" t="s">
        <v>4020</v>
      </c>
      <c r="F367" s="48" t="s">
        <v>4039</v>
      </c>
      <c r="G367" s="49" t="s">
        <v>4447</v>
      </c>
      <c r="H367" s="48" t="s">
        <v>2948</v>
      </c>
      <c r="I367" s="50">
        <v>0.0</v>
      </c>
      <c r="J367" s="50">
        <v>1.0</v>
      </c>
      <c r="K367" s="50">
        <v>0.0</v>
      </c>
      <c r="L367" s="50">
        <v>0.0</v>
      </c>
      <c r="M367" s="50">
        <v>0.0</v>
      </c>
      <c r="N367" s="50">
        <v>0.0</v>
      </c>
      <c r="O367" s="50">
        <v>0.0</v>
      </c>
      <c r="P367" s="50">
        <v>0.0</v>
      </c>
      <c r="Q367" s="50">
        <v>0.0</v>
      </c>
      <c r="R367" s="48" t="s">
        <v>2948</v>
      </c>
      <c r="S367" s="50">
        <v>0.0</v>
      </c>
      <c r="T367" s="50">
        <v>1.0</v>
      </c>
      <c r="U367" s="50">
        <v>0.0</v>
      </c>
      <c r="V367" s="50">
        <v>0.0</v>
      </c>
      <c r="W367" s="50">
        <v>0.0</v>
      </c>
      <c r="X367" s="50">
        <v>0.0</v>
      </c>
      <c r="Y367" s="50">
        <v>0.0</v>
      </c>
      <c r="Z367" s="50">
        <v>0.0</v>
      </c>
      <c r="AA367" s="50">
        <v>0.0</v>
      </c>
      <c r="AB367" s="48" t="s">
        <v>2948</v>
      </c>
      <c r="AC367" s="50">
        <v>0.0</v>
      </c>
      <c r="AD367" s="50">
        <v>1.0</v>
      </c>
      <c r="AE367" s="50">
        <v>0.0</v>
      </c>
      <c r="AF367" s="50">
        <v>0.0</v>
      </c>
      <c r="AG367" s="50">
        <v>0.0</v>
      </c>
      <c r="AH367" s="50">
        <v>0.0</v>
      </c>
      <c r="AI367" s="50">
        <v>0.0</v>
      </c>
      <c r="AJ367" s="50">
        <v>0.0</v>
      </c>
      <c r="AK367" s="50">
        <v>0.0</v>
      </c>
      <c r="AL367" s="48"/>
      <c r="AM367" s="48"/>
      <c r="AN367" s="50">
        <v>15.0</v>
      </c>
      <c r="AO367" s="48"/>
      <c r="AP367" s="48"/>
      <c r="AQ367" s="48"/>
      <c r="AR367" s="48"/>
      <c r="AS367" s="48"/>
      <c r="AT367" s="48"/>
      <c r="AU367" s="48"/>
      <c r="AV367" s="48"/>
      <c r="AW367" s="50">
        <v>6.0</v>
      </c>
      <c r="AX367" s="48"/>
      <c r="AY367" s="48"/>
      <c r="AZ367" s="48"/>
      <c r="BA367" s="48"/>
      <c r="BB367" s="48"/>
      <c r="BC367" s="48"/>
      <c r="BD367" s="48"/>
      <c r="BE367" s="48"/>
      <c r="BF367" s="48"/>
      <c r="BG367" s="48"/>
      <c r="BH367" s="50">
        <v>2.0</v>
      </c>
      <c r="BI367" s="50">
        <v>3.0</v>
      </c>
      <c r="BJ367" s="50">
        <v>5.0</v>
      </c>
      <c r="BK367" s="50">
        <v>0.0</v>
      </c>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50">
        <v>7.09212074E8</v>
      </c>
      <c r="CL367" s="48" t="s">
        <v>4448</v>
      </c>
      <c r="CM367" s="47">
        <v>46109.07543981481</v>
      </c>
      <c r="CN367" s="48"/>
      <c r="CO367" s="48"/>
      <c r="CP367" s="48" t="s">
        <v>1954</v>
      </c>
      <c r="CQ367" s="48"/>
      <c r="CR367" s="48" t="s">
        <v>3014</v>
      </c>
      <c r="CS367" s="48"/>
      <c r="CT367" s="48" t="s">
        <v>4449</v>
      </c>
      <c r="CU367" s="50">
        <v>366.0</v>
      </c>
    </row>
    <row r="368">
      <c r="A368" s="47">
        <v>46109.36664795139</v>
      </c>
      <c r="B368" s="47">
        <v>46109.3674209838</v>
      </c>
      <c r="C368" s="48" t="s">
        <v>4450</v>
      </c>
      <c r="D368" s="48" t="s">
        <v>3733</v>
      </c>
      <c r="E368" s="48" t="s">
        <v>4020</v>
      </c>
      <c r="F368" s="48" t="s">
        <v>4039</v>
      </c>
      <c r="G368" s="49" t="s">
        <v>4451</v>
      </c>
      <c r="H368" s="48" t="s">
        <v>2948</v>
      </c>
      <c r="I368" s="50">
        <v>0.0</v>
      </c>
      <c r="J368" s="50">
        <v>1.0</v>
      </c>
      <c r="K368" s="50">
        <v>0.0</v>
      </c>
      <c r="L368" s="50">
        <v>0.0</v>
      </c>
      <c r="M368" s="50">
        <v>0.0</v>
      </c>
      <c r="N368" s="50">
        <v>0.0</v>
      </c>
      <c r="O368" s="50">
        <v>0.0</v>
      </c>
      <c r="P368" s="50">
        <v>0.0</v>
      </c>
      <c r="Q368" s="50">
        <v>0.0</v>
      </c>
      <c r="R368" s="48" t="s">
        <v>2948</v>
      </c>
      <c r="S368" s="50">
        <v>0.0</v>
      </c>
      <c r="T368" s="50">
        <v>1.0</v>
      </c>
      <c r="U368" s="50">
        <v>0.0</v>
      </c>
      <c r="V368" s="50">
        <v>0.0</v>
      </c>
      <c r="W368" s="50">
        <v>0.0</v>
      </c>
      <c r="X368" s="50">
        <v>0.0</v>
      </c>
      <c r="Y368" s="50">
        <v>0.0</v>
      </c>
      <c r="Z368" s="50">
        <v>0.0</v>
      </c>
      <c r="AA368" s="50">
        <v>0.0</v>
      </c>
      <c r="AB368" s="48" t="s">
        <v>2948</v>
      </c>
      <c r="AC368" s="50">
        <v>0.0</v>
      </c>
      <c r="AD368" s="50">
        <v>1.0</v>
      </c>
      <c r="AE368" s="50">
        <v>0.0</v>
      </c>
      <c r="AF368" s="50">
        <v>0.0</v>
      </c>
      <c r="AG368" s="50">
        <v>0.0</v>
      </c>
      <c r="AH368" s="50">
        <v>0.0</v>
      </c>
      <c r="AI368" s="50">
        <v>0.0</v>
      </c>
      <c r="AJ368" s="50">
        <v>0.0</v>
      </c>
      <c r="AK368" s="50">
        <v>0.0</v>
      </c>
      <c r="AL368" s="48"/>
      <c r="AM368" s="48"/>
      <c r="AN368" s="50">
        <v>0.0</v>
      </c>
      <c r="AO368" s="48"/>
      <c r="AP368" s="48"/>
      <c r="AQ368" s="48"/>
      <c r="AR368" s="48"/>
      <c r="AS368" s="48"/>
      <c r="AT368" s="48"/>
      <c r="AU368" s="48"/>
      <c r="AV368" s="48"/>
      <c r="AW368" s="50">
        <v>6.0</v>
      </c>
      <c r="AX368" s="48"/>
      <c r="AY368" s="48"/>
      <c r="AZ368" s="48"/>
      <c r="BA368" s="48"/>
      <c r="BB368" s="48"/>
      <c r="BC368" s="48"/>
      <c r="BD368" s="48"/>
      <c r="BE368" s="48"/>
      <c r="BF368" s="48"/>
      <c r="BG368" s="48"/>
      <c r="BH368" s="50">
        <v>6.0</v>
      </c>
      <c r="BI368" s="50">
        <v>0.0</v>
      </c>
      <c r="BJ368" s="50">
        <v>0.0</v>
      </c>
      <c r="BK368" s="50">
        <v>0.0</v>
      </c>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50">
        <v>7.09212109E8</v>
      </c>
      <c r="CL368" s="48" t="s">
        <v>4452</v>
      </c>
      <c r="CM368" s="47">
        <v>46109.07577546296</v>
      </c>
      <c r="CN368" s="48"/>
      <c r="CO368" s="48"/>
      <c r="CP368" s="48" t="s">
        <v>1954</v>
      </c>
      <c r="CQ368" s="48"/>
      <c r="CR368" s="48" t="s">
        <v>3014</v>
      </c>
      <c r="CS368" s="48"/>
      <c r="CT368" s="48" t="s">
        <v>4453</v>
      </c>
      <c r="CU368" s="50">
        <v>367.0</v>
      </c>
    </row>
    <row r="369">
      <c r="A369" s="47">
        <v>46109.36655076389</v>
      </c>
      <c r="B369" s="47">
        <v>46109.36745429398</v>
      </c>
      <c r="C369" s="48" t="s">
        <v>4454</v>
      </c>
      <c r="D369" s="48" t="s">
        <v>3733</v>
      </c>
      <c r="E369" s="48" t="s">
        <v>4020</v>
      </c>
      <c r="F369" s="48" t="s">
        <v>4039</v>
      </c>
      <c r="G369" s="49" t="s">
        <v>4455</v>
      </c>
      <c r="H369" s="48" t="s">
        <v>2948</v>
      </c>
      <c r="I369" s="50">
        <v>0.0</v>
      </c>
      <c r="J369" s="50">
        <v>1.0</v>
      </c>
      <c r="K369" s="50">
        <v>0.0</v>
      </c>
      <c r="L369" s="50">
        <v>0.0</v>
      </c>
      <c r="M369" s="50">
        <v>0.0</v>
      </c>
      <c r="N369" s="50">
        <v>0.0</v>
      </c>
      <c r="O369" s="50">
        <v>0.0</v>
      </c>
      <c r="P369" s="50">
        <v>0.0</v>
      </c>
      <c r="Q369" s="50">
        <v>0.0</v>
      </c>
      <c r="R369" s="48" t="s">
        <v>2948</v>
      </c>
      <c r="S369" s="50">
        <v>0.0</v>
      </c>
      <c r="T369" s="50">
        <v>1.0</v>
      </c>
      <c r="U369" s="50">
        <v>0.0</v>
      </c>
      <c r="V369" s="50">
        <v>0.0</v>
      </c>
      <c r="W369" s="50">
        <v>0.0</v>
      </c>
      <c r="X369" s="50">
        <v>0.0</v>
      </c>
      <c r="Y369" s="50">
        <v>0.0</v>
      </c>
      <c r="Z369" s="50">
        <v>0.0</v>
      </c>
      <c r="AA369" s="50">
        <v>0.0</v>
      </c>
      <c r="AB369" s="48" t="s">
        <v>2948</v>
      </c>
      <c r="AC369" s="50">
        <v>0.0</v>
      </c>
      <c r="AD369" s="50">
        <v>1.0</v>
      </c>
      <c r="AE369" s="50">
        <v>0.0</v>
      </c>
      <c r="AF369" s="50">
        <v>0.0</v>
      </c>
      <c r="AG369" s="50">
        <v>0.0</v>
      </c>
      <c r="AH369" s="50">
        <v>0.0</v>
      </c>
      <c r="AI369" s="50">
        <v>0.0</v>
      </c>
      <c r="AJ369" s="50">
        <v>0.0</v>
      </c>
      <c r="AK369" s="50">
        <v>0.0</v>
      </c>
      <c r="AL369" s="48"/>
      <c r="AM369" s="48"/>
      <c r="AN369" s="50">
        <v>7.0</v>
      </c>
      <c r="AO369" s="48"/>
      <c r="AP369" s="48"/>
      <c r="AQ369" s="48"/>
      <c r="AR369" s="48"/>
      <c r="AS369" s="48"/>
      <c r="AT369" s="48"/>
      <c r="AU369" s="48"/>
      <c r="AV369" s="48"/>
      <c r="AW369" s="50">
        <v>5.0</v>
      </c>
      <c r="AX369" s="48"/>
      <c r="AY369" s="48"/>
      <c r="AZ369" s="48"/>
      <c r="BA369" s="48"/>
      <c r="BB369" s="48"/>
      <c r="BC369" s="48"/>
      <c r="BD369" s="48"/>
      <c r="BE369" s="48"/>
      <c r="BF369" s="48"/>
      <c r="BG369" s="48"/>
      <c r="BH369" s="50">
        <v>3.0</v>
      </c>
      <c r="BI369" s="50">
        <v>2.0</v>
      </c>
      <c r="BJ369" s="50">
        <v>3.0</v>
      </c>
      <c r="BK369" s="50">
        <v>0.0</v>
      </c>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50">
        <v>7.09212117E8</v>
      </c>
      <c r="CL369" s="48" t="s">
        <v>4456</v>
      </c>
      <c r="CM369" s="47">
        <v>46109.07583333334</v>
      </c>
      <c r="CN369" s="48"/>
      <c r="CO369" s="48"/>
      <c r="CP369" s="48" t="s">
        <v>1954</v>
      </c>
      <c r="CQ369" s="48"/>
      <c r="CR369" s="48" t="s">
        <v>3014</v>
      </c>
      <c r="CS369" s="48"/>
      <c r="CT369" s="48" t="s">
        <v>4457</v>
      </c>
      <c r="CU369" s="50">
        <v>368.0</v>
      </c>
    </row>
    <row r="370">
      <c r="A370" s="47">
        <v>46109.3670958912</v>
      </c>
      <c r="B370" s="47">
        <v>46109.36768777778</v>
      </c>
      <c r="C370" s="48" t="s">
        <v>4458</v>
      </c>
      <c r="D370" s="48" t="s">
        <v>3733</v>
      </c>
      <c r="E370" s="48" t="s">
        <v>4020</v>
      </c>
      <c r="F370" s="48" t="s">
        <v>4039</v>
      </c>
      <c r="G370" s="49" t="s">
        <v>4459</v>
      </c>
      <c r="H370" s="48" t="s">
        <v>2948</v>
      </c>
      <c r="I370" s="50">
        <v>0.0</v>
      </c>
      <c r="J370" s="50">
        <v>1.0</v>
      </c>
      <c r="K370" s="50">
        <v>0.0</v>
      </c>
      <c r="L370" s="50">
        <v>0.0</v>
      </c>
      <c r="M370" s="50">
        <v>0.0</v>
      </c>
      <c r="N370" s="50">
        <v>0.0</v>
      </c>
      <c r="O370" s="50">
        <v>0.0</v>
      </c>
      <c r="P370" s="50">
        <v>0.0</v>
      </c>
      <c r="Q370" s="50">
        <v>0.0</v>
      </c>
      <c r="R370" s="48" t="s">
        <v>2948</v>
      </c>
      <c r="S370" s="50">
        <v>0.0</v>
      </c>
      <c r="T370" s="50">
        <v>1.0</v>
      </c>
      <c r="U370" s="50">
        <v>0.0</v>
      </c>
      <c r="V370" s="50">
        <v>0.0</v>
      </c>
      <c r="W370" s="50">
        <v>0.0</v>
      </c>
      <c r="X370" s="50">
        <v>0.0</v>
      </c>
      <c r="Y370" s="50">
        <v>0.0</v>
      </c>
      <c r="Z370" s="50">
        <v>0.0</v>
      </c>
      <c r="AA370" s="50">
        <v>0.0</v>
      </c>
      <c r="AB370" s="48" t="s">
        <v>2948</v>
      </c>
      <c r="AC370" s="50">
        <v>0.0</v>
      </c>
      <c r="AD370" s="50">
        <v>1.0</v>
      </c>
      <c r="AE370" s="50">
        <v>0.0</v>
      </c>
      <c r="AF370" s="50">
        <v>0.0</v>
      </c>
      <c r="AG370" s="50">
        <v>0.0</v>
      </c>
      <c r="AH370" s="50">
        <v>0.0</v>
      </c>
      <c r="AI370" s="50">
        <v>0.0</v>
      </c>
      <c r="AJ370" s="50">
        <v>0.0</v>
      </c>
      <c r="AK370" s="50">
        <v>0.0</v>
      </c>
      <c r="AL370" s="48"/>
      <c r="AM370" s="48"/>
      <c r="AN370" s="50">
        <v>0.0</v>
      </c>
      <c r="AO370" s="48"/>
      <c r="AP370" s="48"/>
      <c r="AQ370" s="48"/>
      <c r="AR370" s="48"/>
      <c r="AS370" s="48"/>
      <c r="AT370" s="48"/>
      <c r="AU370" s="48"/>
      <c r="AV370" s="48"/>
      <c r="AW370" s="50">
        <v>6.0</v>
      </c>
      <c r="AX370" s="48"/>
      <c r="AY370" s="48"/>
      <c r="AZ370" s="48"/>
      <c r="BA370" s="48"/>
      <c r="BB370" s="48"/>
      <c r="BC370" s="48"/>
      <c r="BD370" s="48"/>
      <c r="BE370" s="48"/>
      <c r="BF370" s="48"/>
      <c r="BG370" s="48"/>
      <c r="BH370" s="50">
        <v>6.0</v>
      </c>
      <c r="BI370" s="50">
        <v>0.0</v>
      </c>
      <c r="BJ370" s="50">
        <v>0.0</v>
      </c>
      <c r="BK370" s="50">
        <v>0.0</v>
      </c>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50">
        <v>7.09212138E8</v>
      </c>
      <c r="CL370" s="48" t="s">
        <v>4460</v>
      </c>
      <c r="CM370" s="47">
        <v>46109.07603009259</v>
      </c>
      <c r="CN370" s="48"/>
      <c r="CO370" s="48"/>
      <c r="CP370" s="48" t="s">
        <v>1954</v>
      </c>
      <c r="CQ370" s="48"/>
      <c r="CR370" s="48" t="s">
        <v>3014</v>
      </c>
      <c r="CS370" s="48"/>
      <c r="CT370" s="48" t="s">
        <v>4461</v>
      </c>
      <c r="CU370" s="50">
        <v>369.0</v>
      </c>
    </row>
    <row r="371">
      <c r="A371" s="47">
        <v>46109.3674221412</v>
      </c>
      <c r="B371" s="47">
        <v>46109.36825265046</v>
      </c>
      <c r="C371" s="48" t="s">
        <v>4462</v>
      </c>
      <c r="D371" s="48" t="s">
        <v>3733</v>
      </c>
      <c r="E371" s="48" t="s">
        <v>4020</v>
      </c>
      <c r="F371" s="48" t="s">
        <v>4039</v>
      </c>
      <c r="G371" s="49" t="s">
        <v>4463</v>
      </c>
      <c r="H371" s="48" t="s">
        <v>2948</v>
      </c>
      <c r="I371" s="50">
        <v>0.0</v>
      </c>
      <c r="J371" s="50">
        <v>1.0</v>
      </c>
      <c r="K371" s="50">
        <v>0.0</v>
      </c>
      <c r="L371" s="50">
        <v>0.0</v>
      </c>
      <c r="M371" s="50">
        <v>0.0</v>
      </c>
      <c r="N371" s="50">
        <v>0.0</v>
      </c>
      <c r="O371" s="50">
        <v>0.0</v>
      </c>
      <c r="P371" s="50">
        <v>0.0</v>
      </c>
      <c r="Q371" s="50">
        <v>0.0</v>
      </c>
      <c r="R371" s="48" t="s">
        <v>2948</v>
      </c>
      <c r="S371" s="50">
        <v>0.0</v>
      </c>
      <c r="T371" s="50">
        <v>1.0</v>
      </c>
      <c r="U371" s="50">
        <v>0.0</v>
      </c>
      <c r="V371" s="50">
        <v>0.0</v>
      </c>
      <c r="W371" s="50">
        <v>0.0</v>
      </c>
      <c r="X371" s="50">
        <v>0.0</v>
      </c>
      <c r="Y371" s="50">
        <v>0.0</v>
      </c>
      <c r="Z371" s="50">
        <v>0.0</v>
      </c>
      <c r="AA371" s="50">
        <v>0.0</v>
      </c>
      <c r="AB371" s="48" t="s">
        <v>2948</v>
      </c>
      <c r="AC371" s="50">
        <v>0.0</v>
      </c>
      <c r="AD371" s="50">
        <v>1.0</v>
      </c>
      <c r="AE371" s="50">
        <v>0.0</v>
      </c>
      <c r="AF371" s="50">
        <v>0.0</v>
      </c>
      <c r="AG371" s="50">
        <v>0.0</v>
      </c>
      <c r="AH371" s="50">
        <v>0.0</v>
      </c>
      <c r="AI371" s="50">
        <v>0.0</v>
      </c>
      <c r="AJ371" s="50">
        <v>0.0</v>
      </c>
      <c r="AK371" s="50">
        <v>0.0</v>
      </c>
      <c r="AL371" s="48"/>
      <c r="AM371" s="48"/>
      <c r="AN371" s="50">
        <v>0.0</v>
      </c>
      <c r="AO371" s="48"/>
      <c r="AP371" s="48"/>
      <c r="AQ371" s="48"/>
      <c r="AR371" s="48"/>
      <c r="AS371" s="48"/>
      <c r="AT371" s="48"/>
      <c r="AU371" s="48"/>
      <c r="AV371" s="48"/>
      <c r="AW371" s="50">
        <v>4.0</v>
      </c>
      <c r="AX371" s="48"/>
      <c r="AY371" s="48"/>
      <c r="AZ371" s="48"/>
      <c r="BA371" s="48"/>
      <c r="BB371" s="48"/>
      <c r="BC371" s="48"/>
      <c r="BD371" s="48"/>
      <c r="BE371" s="48"/>
      <c r="BF371" s="48"/>
      <c r="BG371" s="48"/>
      <c r="BH371" s="50">
        <v>3.0</v>
      </c>
      <c r="BI371" s="50">
        <v>2.0</v>
      </c>
      <c r="BJ371" s="50">
        <v>2.0</v>
      </c>
      <c r="BK371" s="50">
        <v>2.0</v>
      </c>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50">
        <v>7.09212216E8</v>
      </c>
      <c r="CL371" s="48" t="s">
        <v>4464</v>
      </c>
      <c r="CM371" s="47">
        <v>46109.07659722222</v>
      </c>
      <c r="CN371" s="48"/>
      <c r="CO371" s="48"/>
      <c r="CP371" s="48" t="s">
        <v>1954</v>
      </c>
      <c r="CQ371" s="48"/>
      <c r="CR371" s="48" t="s">
        <v>3014</v>
      </c>
      <c r="CS371" s="48"/>
      <c r="CT371" s="48" t="s">
        <v>4465</v>
      </c>
      <c r="CU371" s="50">
        <v>370.0</v>
      </c>
    </row>
    <row r="372">
      <c r="A372" s="47">
        <v>46109.45864427083</v>
      </c>
      <c r="B372" s="47">
        <v>46109.46451466435</v>
      </c>
      <c r="C372" s="48" t="s">
        <v>4466</v>
      </c>
      <c r="D372" s="48" t="s">
        <v>4467</v>
      </c>
      <c r="E372" s="48" t="s">
        <v>4468</v>
      </c>
      <c r="F372" s="48" t="s">
        <v>4468</v>
      </c>
      <c r="G372" s="49" t="s">
        <v>4469</v>
      </c>
      <c r="H372" s="48" t="s">
        <v>3012</v>
      </c>
      <c r="I372" s="50">
        <v>0.0</v>
      </c>
      <c r="J372" s="50">
        <v>0.0</v>
      </c>
      <c r="K372" s="50">
        <v>0.0</v>
      </c>
      <c r="L372" s="50">
        <v>1.0</v>
      </c>
      <c r="M372" s="50">
        <v>0.0</v>
      </c>
      <c r="N372" s="50">
        <v>0.0</v>
      </c>
      <c r="O372" s="50">
        <v>0.0</v>
      </c>
      <c r="P372" s="50">
        <v>0.0</v>
      </c>
      <c r="Q372" s="50">
        <v>0.0</v>
      </c>
      <c r="R372" s="48" t="s">
        <v>3012</v>
      </c>
      <c r="S372" s="50">
        <v>0.0</v>
      </c>
      <c r="T372" s="50">
        <v>0.0</v>
      </c>
      <c r="U372" s="50">
        <v>0.0</v>
      </c>
      <c r="V372" s="50">
        <v>1.0</v>
      </c>
      <c r="W372" s="50">
        <v>0.0</v>
      </c>
      <c r="X372" s="50">
        <v>0.0</v>
      </c>
      <c r="Y372" s="50">
        <v>0.0</v>
      </c>
      <c r="Z372" s="50">
        <v>0.0</v>
      </c>
      <c r="AA372" s="50">
        <v>0.0</v>
      </c>
      <c r="AB372" s="48" t="s">
        <v>3012</v>
      </c>
      <c r="AC372" s="50">
        <v>0.0</v>
      </c>
      <c r="AD372" s="50">
        <v>0.0</v>
      </c>
      <c r="AE372" s="50">
        <v>0.0</v>
      </c>
      <c r="AF372" s="50">
        <v>1.0</v>
      </c>
      <c r="AG372" s="50">
        <v>0.0</v>
      </c>
      <c r="AH372" s="50">
        <v>0.0</v>
      </c>
      <c r="AI372" s="50">
        <v>0.0</v>
      </c>
      <c r="AJ372" s="50">
        <v>0.0</v>
      </c>
      <c r="AK372" s="50">
        <v>0.0</v>
      </c>
      <c r="AL372" s="48"/>
      <c r="AM372" s="48"/>
      <c r="AN372" s="48"/>
      <c r="AO372" s="48"/>
      <c r="AP372" s="50">
        <v>8.0</v>
      </c>
      <c r="AQ372" s="48"/>
      <c r="AR372" s="48"/>
      <c r="AS372" s="48"/>
      <c r="AT372" s="48"/>
      <c r="AU372" s="48"/>
      <c r="AV372" s="48"/>
      <c r="AW372" s="48"/>
      <c r="AX372" s="48"/>
      <c r="AY372" s="50">
        <v>3.0</v>
      </c>
      <c r="AZ372" s="48"/>
      <c r="BA372" s="48"/>
      <c r="BB372" s="48"/>
      <c r="BC372" s="48"/>
      <c r="BD372" s="48"/>
      <c r="BE372" s="48"/>
      <c r="BF372" s="48"/>
      <c r="BG372" s="48"/>
      <c r="BH372" s="48"/>
      <c r="BI372" s="48"/>
      <c r="BJ372" s="48"/>
      <c r="BK372" s="48"/>
      <c r="BL372" s="48"/>
      <c r="BM372" s="48"/>
      <c r="BN372" s="48"/>
      <c r="BO372" s="48"/>
      <c r="BP372" s="50">
        <v>2.0</v>
      </c>
      <c r="BQ372" s="50">
        <v>0.0</v>
      </c>
      <c r="BR372" s="50">
        <v>0.0</v>
      </c>
      <c r="BS372" s="50">
        <v>0.0</v>
      </c>
      <c r="BT372" s="48"/>
      <c r="BU372" s="48"/>
      <c r="BV372" s="48"/>
      <c r="BW372" s="48"/>
      <c r="BX372" s="48"/>
      <c r="BY372" s="48"/>
      <c r="BZ372" s="48"/>
      <c r="CA372" s="48"/>
      <c r="CB372" s="48"/>
      <c r="CC372" s="48"/>
      <c r="CD372" s="48"/>
      <c r="CE372" s="48"/>
      <c r="CF372" s="48"/>
      <c r="CG372" s="48"/>
      <c r="CH372" s="48"/>
      <c r="CI372" s="48"/>
      <c r="CJ372" s="48"/>
      <c r="CK372" s="50">
        <v>7.09226541E8</v>
      </c>
      <c r="CL372" s="48" t="s">
        <v>4470</v>
      </c>
      <c r="CM372" s="47">
        <v>46109.13123842593</v>
      </c>
      <c r="CN372" s="48"/>
      <c r="CO372" s="48"/>
      <c r="CP372" s="48" t="s">
        <v>1954</v>
      </c>
      <c r="CQ372" s="48"/>
      <c r="CR372" s="48" t="s">
        <v>3014</v>
      </c>
      <c r="CS372" s="48"/>
      <c r="CT372" s="48" t="s">
        <v>4471</v>
      </c>
      <c r="CU372" s="50">
        <v>371.0</v>
      </c>
    </row>
    <row r="373">
      <c r="A373" s="47">
        <v>46109.46451603009</v>
      </c>
      <c r="B373" s="47">
        <v>46109.47087150463</v>
      </c>
      <c r="C373" s="48" t="s">
        <v>4472</v>
      </c>
      <c r="D373" s="48" t="s">
        <v>4467</v>
      </c>
      <c r="E373" s="48" t="s">
        <v>4468</v>
      </c>
      <c r="F373" s="48" t="s">
        <v>4468</v>
      </c>
      <c r="G373" s="49" t="s">
        <v>4473</v>
      </c>
      <c r="H373" s="48" t="s">
        <v>3033</v>
      </c>
      <c r="I373" s="50">
        <v>0.0</v>
      </c>
      <c r="J373" s="50">
        <v>0.0</v>
      </c>
      <c r="K373" s="50">
        <v>0.0</v>
      </c>
      <c r="L373" s="50">
        <v>1.0</v>
      </c>
      <c r="M373" s="50">
        <v>0.0</v>
      </c>
      <c r="N373" s="50">
        <v>0.0</v>
      </c>
      <c r="O373" s="50">
        <v>1.0</v>
      </c>
      <c r="P373" s="50">
        <v>0.0</v>
      </c>
      <c r="Q373" s="50">
        <v>0.0</v>
      </c>
      <c r="R373" s="48" t="s">
        <v>3033</v>
      </c>
      <c r="S373" s="50">
        <v>0.0</v>
      </c>
      <c r="T373" s="50">
        <v>0.0</v>
      </c>
      <c r="U373" s="50">
        <v>0.0</v>
      </c>
      <c r="V373" s="50">
        <v>1.0</v>
      </c>
      <c r="W373" s="50">
        <v>0.0</v>
      </c>
      <c r="X373" s="50">
        <v>0.0</v>
      </c>
      <c r="Y373" s="50">
        <v>1.0</v>
      </c>
      <c r="Z373" s="50">
        <v>0.0</v>
      </c>
      <c r="AA373" s="50">
        <v>0.0</v>
      </c>
      <c r="AB373" s="48" t="s">
        <v>3033</v>
      </c>
      <c r="AC373" s="50">
        <v>0.0</v>
      </c>
      <c r="AD373" s="50">
        <v>0.0</v>
      </c>
      <c r="AE373" s="50">
        <v>0.0</v>
      </c>
      <c r="AF373" s="50">
        <v>1.0</v>
      </c>
      <c r="AG373" s="50">
        <v>0.0</v>
      </c>
      <c r="AH373" s="50">
        <v>0.0</v>
      </c>
      <c r="AI373" s="50">
        <v>1.0</v>
      </c>
      <c r="AJ373" s="50">
        <v>0.0</v>
      </c>
      <c r="AK373" s="50">
        <v>0.0</v>
      </c>
      <c r="AL373" s="48"/>
      <c r="AM373" s="48"/>
      <c r="AN373" s="48"/>
      <c r="AO373" s="48"/>
      <c r="AP373" s="50">
        <v>6.0</v>
      </c>
      <c r="AQ373" s="48"/>
      <c r="AR373" s="48"/>
      <c r="AS373" s="50">
        <v>7.0</v>
      </c>
      <c r="AT373" s="48"/>
      <c r="AU373" s="48"/>
      <c r="AV373" s="48"/>
      <c r="AW373" s="48"/>
      <c r="AX373" s="48"/>
      <c r="AY373" s="50">
        <v>6.0</v>
      </c>
      <c r="AZ373" s="48"/>
      <c r="BA373" s="48"/>
      <c r="BB373" s="50">
        <v>7.0</v>
      </c>
      <c r="BC373" s="48"/>
      <c r="BD373" s="48"/>
      <c r="BE373" s="48"/>
      <c r="BF373" s="48"/>
      <c r="BG373" s="48"/>
      <c r="BH373" s="48"/>
      <c r="BI373" s="48"/>
      <c r="BJ373" s="48"/>
      <c r="BK373" s="48"/>
      <c r="BL373" s="48"/>
      <c r="BM373" s="48"/>
      <c r="BN373" s="48"/>
      <c r="BO373" s="48"/>
      <c r="BP373" s="50">
        <v>4.0</v>
      </c>
      <c r="BQ373" s="50">
        <v>0.0</v>
      </c>
      <c r="BR373" s="50">
        <v>6.0</v>
      </c>
      <c r="BS373" s="50">
        <v>2.0</v>
      </c>
      <c r="BT373" s="48"/>
      <c r="BU373" s="48"/>
      <c r="BV373" s="48"/>
      <c r="BW373" s="48"/>
      <c r="BX373" s="48"/>
      <c r="BY373" s="48"/>
      <c r="BZ373" s="48"/>
      <c r="CA373" s="48"/>
      <c r="CB373" s="50">
        <v>0.0</v>
      </c>
      <c r="CC373" s="50">
        <v>0.0</v>
      </c>
      <c r="CD373" s="50">
        <v>0.0</v>
      </c>
      <c r="CE373" s="50">
        <v>0.0</v>
      </c>
      <c r="CF373" s="48"/>
      <c r="CG373" s="48"/>
      <c r="CH373" s="48"/>
      <c r="CI373" s="48"/>
      <c r="CJ373" s="48"/>
      <c r="CK373" s="50">
        <v>7.09227893E8</v>
      </c>
      <c r="CL373" s="48" t="s">
        <v>4474</v>
      </c>
      <c r="CM373" s="47">
        <v>46109.13759259259</v>
      </c>
      <c r="CN373" s="48"/>
      <c r="CO373" s="48"/>
      <c r="CP373" s="48" t="s">
        <v>1954</v>
      </c>
      <c r="CQ373" s="48"/>
      <c r="CR373" s="48" t="s">
        <v>3014</v>
      </c>
      <c r="CS373" s="48"/>
      <c r="CT373" s="48" t="s">
        <v>4475</v>
      </c>
      <c r="CU373" s="50">
        <v>372.0</v>
      </c>
    </row>
    <row r="374">
      <c r="A374" s="47">
        <v>46109.47087768518</v>
      </c>
      <c r="B374" s="47">
        <v>46109.47459628472</v>
      </c>
      <c r="C374" s="48" t="s">
        <v>4476</v>
      </c>
      <c r="D374" s="48" t="s">
        <v>4467</v>
      </c>
      <c r="E374" s="48" t="s">
        <v>4477</v>
      </c>
      <c r="F374" s="48" t="s">
        <v>4478</v>
      </c>
      <c r="G374" s="49" t="s">
        <v>4479</v>
      </c>
      <c r="H374" s="48" t="s">
        <v>3012</v>
      </c>
      <c r="I374" s="50">
        <v>0.0</v>
      </c>
      <c r="J374" s="50">
        <v>0.0</v>
      </c>
      <c r="K374" s="50">
        <v>0.0</v>
      </c>
      <c r="L374" s="50">
        <v>1.0</v>
      </c>
      <c r="M374" s="50">
        <v>0.0</v>
      </c>
      <c r="N374" s="50">
        <v>0.0</v>
      </c>
      <c r="O374" s="50">
        <v>0.0</v>
      </c>
      <c r="P374" s="50">
        <v>0.0</v>
      </c>
      <c r="Q374" s="50">
        <v>0.0</v>
      </c>
      <c r="R374" s="48" t="s">
        <v>3012</v>
      </c>
      <c r="S374" s="50">
        <v>0.0</v>
      </c>
      <c r="T374" s="50">
        <v>0.0</v>
      </c>
      <c r="U374" s="50">
        <v>0.0</v>
      </c>
      <c r="V374" s="50">
        <v>1.0</v>
      </c>
      <c r="W374" s="50">
        <v>0.0</v>
      </c>
      <c r="X374" s="50">
        <v>0.0</v>
      </c>
      <c r="Y374" s="50">
        <v>0.0</v>
      </c>
      <c r="Z374" s="50">
        <v>0.0</v>
      </c>
      <c r="AA374" s="50">
        <v>0.0</v>
      </c>
      <c r="AB374" s="48" t="s">
        <v>3012</v>
      </c>
      <c r="AC374" s="50">
        <v>0.0</v>
      </c>
      <c r="AD374" s="50">
        <v>0.0</v>
      </c>
      <c r="AE374" s="50">
        <v>0.0</v>
      </c>
      <c r="AF374" s="50">
        <v>1.0</v>
      </c>
      <c r="AG374" s="50">
        <v>0.0</v>
      </c>
      <c r="AH374" s="50">
        <v>0.0</v>
      </c>
      <c r="AI374" s="50">
        <v>0.0</v>
      </c>
      <c r="AJ374" s="50">
        <v>0.0</v>
      </c>
      <c r="AK374" s="50">
        <v>0.0</v>
      </c>
      <c r="AL374" s="48"/>
      <c r="AM374" s="48"/>
      <c r="AN374" s="48"/>
      <c r="AO374" s="48"/>
      <c r="AP374" s="50">
        <v>3.0</v>
      </c>
      <c r="AQ374" s="48"/>
      <c r="AR374" s="48"/>
      <c r="AS374" s="48"/>
      <c r="AT374" s="48"/>
      <c r="AU374" s="48"/>
      <c r="AV374" s="48"/>
      <c r="AW374" s="48"/>
      <c r="AX374" s="48"/>
      <c r="AY374" s="50">
        <v>20.0</v>
      </c>
      <c r="AZ374" s="48"/>
      <c r="BA374" s="48"/>
      <c r="BB374" s="48"/>
      <c r="BC374" s="48"/>
      <c r="BD374" s="48"/>
      <c r="BE374" s="48"/>
      <c r="BF374" s="48"/>
      <c r="BG374" s="48"/>
      <c r="BH374" s="48"/>
      <c r="BI374" s="48"/>
      <c r="BJ374" s="48"/>
      <c r="BK374" s="48"/>
      <c r="BL374" s="48"/>
      <c r="BM374" s="48"/>
      <c r="BN374" s="48"/>
      <c r="BO374" s="48"/>
      <c r="BP374" s="50">
        <v>0.0</v>
      </c>
      <c r="BQ374" s="50">
        <v>0.0</v>
      </c>
      <c r="BR374" s="50">
        <v>8.0</v>
      </c>
      <c r="BS374" s="50">
        <v>0.0</v>
      </c>
      <c r="BT374" s="48"/>
      <c r="BU374" s="48"/>
      <c r="BV374" s="48"/>
      <c r="BW374" s="48"/>
      <c r="BX374" s="48"/>
      <c r="BY374" s="48"/>
      <c r="BZ374" s="48"/>
      <c r="CA374" s="48"/>
      <c r="CB374" s="48"/>
      <c r="CC374" s="48"/>
      <c r="CD374" s="48"/>
      <c r="CE374" s="48"/>
      <c r="CF374" s="48"/>
      <c r="CG374" s="48"/>
      <c r="CH374" s="48"/>
      <c r="CI374" s="48"/>
      <c r="CJ374" s="48"/>
      <c r="CK374" s="50">
        <v>7.09229206E8</v>
      </c>
      <c r="CL374" s="48" t="s">
        <v>4480</v>
      </c>
      <c r="CM374" s="47">
        <v>46109.14128472222</v>
      </c>
      <c r="CN374" s="48"/>
      <c r="CO374" s="48"/>
      <c r="CP374" s="48" t="s">
        <v>1954</v>
      </c>
      <c r="CQ374" s="48"/>
      <c r="CR374" s="48" t="s">
        <v>3014</v>
      </c>
      <c r="CS374" s="48"/>
      <c r="CT374" s="48" t="s">
        <v>4481</v>
      </c>
      <c r="CU374" s="50">
        <v>373.0</v>
      </c>
    </row>
    <row r="375">
      <c r="A375" s="47">
        <v>46109.47459737268</v>
      </c>
      <c r="B375" s="47">
        <v>46109.47748253472</v>
      </c>
      <c r="C375" s="48" t="s">
        <v>4482</v>
      </c>
      <c r="D375" s="48" t="s">
        <v>4467</v>
      </c>
      <c r="E375" s="48" t="s">
        <v>4468</v>
      </c>
      <c r="F375" s="48" t="s">
        <v>4483</v>
      </c>
      <c r="G375" s="49" t="s">
        <v>4484</v>
      </c>
      <c r="H375" s="48" t="s">
        <v>3012</v>
      </c>
      <c r="I375" s="50">
        <v>0.0</v>
      </c>
      <c r="J375" s="50">
        <v>0.0</v>
      </c>
      <c r="K375" s="50">
        <v>0.0</v>
      </c>
      <c r="L375" s="50">
        <v>1.0</v>
      </c>
      <c r="M375" s="50">
        <v>0.0</v>
      </c>
      <c r="N375" s="50">
        <v>0.0</v>
      </c>
      <c r="O375" s="50">
        <v>0.0</v>
      </c>
      <c r="P375" s="50">
        <v>0.0</v>
      </c>
      <c r="Q375" s="50">
        <v>0.0</v>
      </c>
      <c r="R375" s="48" t="s">
        <v>3033</v>
      </c>
      <c r="S375" s="50">
        <v>0.0</v>
      </c>
      <c r="T375" s="50">
        <v>0.0</v>
      </c>
      <c r="U375" s="50">
        <v>0.0</v>
      </c>
      <c r="V375" s="50">
        <v>1.0</v>
      </c>
      <c r="W375" s="50">
        <v>0.0</v>
      </c>
      <c r="X375" s="50">
        <v>0.0</v>
      </c>
      <c r="Y375" s="50">
        <v>1.0</v>
      </c>
      <c r="Z375" s="50">
        <v>0.0</v>
      </c>
      <c r="AA375" s="50">
        <v>0.0</v>
      </c>
      <c r="AB375" s="48" t="s">
        <v>3012</v>
      </c>
      <c r="AC375" s="50">
        <v>0.0</v>
      </c>
      <c r="AD375" s="50">
        <v>0.0</v>
      </c>
      <c r="AE375" s="50">
        <v>0.0</v>
      </c>
      <c r="AF375" s="50">
        <v>1.0</v>
      </c>
      <c r="AG375" s="50">
        <v>0.0</v>
      </c>
      <c r="AH375" s="50">
        <v>0.0</v>
      </c>
      <c r="AI375" s="50">
        <v>0.0</v>
      </c>
      <c r="AJ375" s="50">
        <v>0.0</v>
      </c>
      <c r="AK375" s="50">
        <v>0.0</v>
      </c>
      <c r="AL375" s="48"/>
      <c r="AM375" s="48"/>
      <c r="AN375" s="48"/>
      <c r="AO375" s="48"/>
      <c r="AP375" s="50">
        <v>20.0</v>
      </c>
      <c r="AQ375" s="48"/>
      <c r="AR375" s="48"/>
      <c r="AS375" s="48"/>
      <c r="AT375" s="48"/>
      <c r="AU375" s="48"/>
      <c r="AV375" s="48"/>
      <c r="AW375" s="48"/>
      <c r="AX375" s="48"/>
      <c r="AY375" s="50">
        <v>40.0</v>
      </c>
      <c r="AZ375" s="48"/>
      <c r="BA375" s="48"/>
      <c r="BB375" s="50">
        <v>5.0</v>
      </c>
      <c r="BC375" s="48"/>
      <c r="BD375" s="48"/>
      <c r="BE375" s="48"/>
      <c r="BF375" s="48"/>
      <c r="BG375" s="48"/>
      <c r="BH375" s="48"/>
      <c r="BI375" s="48"/>
      <c r="BJ375" s="48"/>
      <c r="BK375" s="48"/>
      <c r="BL375" s="48"/>
      <c r="BM375" s="48"/>
      <c r="BN375" s="48"/>
      <c r="BO375" s="48"/>
      <c r="BP375" s="50">
        <v>0.0</v>
      </c>
      <c r="BQ375" s="50">
        <v>0.0</v>
      </c>
      <c r="BR375" s="50">
        <v>12.0</v>
      </c>
      <c r="BS375" s="50">
        <v>0.0</v>
      </c>
      <c r="BT375" s="48"/>
      <c r="BU375" s="48"/>
      <c r="BV375" s="48"/>
      <c r="BW375" s="48"/>
      <c r="BX375" s="48"/>
      <c r="BY375" s="48"/>
      <c r="BZ375" s="48"/>
      <c r="CA375" s="48"/>
      <c r="CB375" s="48"/>
      <c r="CC375" s="48"/>
      <c r="CD375" s="48"/>
      <c r="CE375" s="48"/>
      <c r="CF375" s="48"/>
      <c r="CG375" s="48"/>
      <c r="CH375" s="48"/>
      <c r="CI375" s="48"/>
      <c r="CJ375" s="48"/>
      <c r="CK375" s="50">
        <v>7.09229894E8</v>
      </c>
      <c r="CL375" s="48" t="s">
        <v>4485</v>
      </c>
      <c r="CM375" s="47">
        <v>46109.14418981481</v>
      </c>
      <c r="CN375" s="48"/>
      <c r="CO375" s="48"/>
      <c r="CP375" s="48" t="s">
        <v>1954</v>
      </c>
      <c r="CQ375" s="48"/>
      <c r="CR375" s="48" t="s">
        <v>3014</v>
      </c>
      <c r="CS375" s="48"/>
      <c r="CT375" s="48" t="s">
        <v>4486</v>
      </c>
      <c r="CU375" s="50">
        <v>374.0</v>
      </c>
    </row>
    <row r="376">
      <c r="A376" s="47">
        <v>46109.47748386574</v>
      </c>
      <c r="B376" s="47">
        <v>46109.4839924537</v>
      </c>
      <c r="C376" s="48" t="s">
        <v>4487</v>
      </c>
      <c r="D376" s="48" t="s">
        <v>4467</v>
      </c>
      <c r="E376" s="48" t="s">
        <v>4488</v>
      </c>
      <c r="F376" s="48" t="s">
        <v>4489</v>
      </c>
      <c r="G376" s="49" t="s">
        <v>4490</v>
      </c>
      <c r="H376" s="48" t="s">
        <v>3012</v>
      </c>
      <c r="I376" s="50">
        <v>0.0</v>
      </c>
      <c r="J376" s="50">
        <v>0.0</v>
      </c>
      <c r="K376" s="50">
        <v>0.0</v>
      </c>
      <c r="L376" s="50">
        <v>1.0</v>
      </c>
      <c r="M376" s="50">
        <v>0.0</v>
      </c>
      <c r="N376" s="50">
        <v>0.0</v>
      </c>
      <c r="O376" s="50">
        <v>0.0</v>
      </c>
      <c r="P376" s="50">
        <v>0.0</v>
      </c>
      <c r="Q376" s="50">
        <v>0.0</v>
      </c>
      <c r="R376" s="48" t="s">
        <v>4491</v>
      </c>
      <c r="S376" s="50">
        <v>1.0</v>
      </c>
      <c r="T376" s="50">
        <v>0.0</v>
      </c>
      <c r="U376" s="50">
        <v>0.0</v>
      </c>
      <c r="V376" s="50">
        <v>1.0</v>
      </c>
      <c r="W376" s="50">
        <v>0.0</v>
      </c>
      <c r="X376" s="50">
        <v>0.0</v>
      </c>
      <c r="Y376" s="50">
        <v>1.0</v>
      </c>
      <c r="Z376" s="50">
        <v>0.0</v>
      </c>
      <c r="AA376" s="50">
        <v>0.0</v>
      </c>
      <c r="AB376" s="48" t="s">
        <v>3012</v>
      </c>
      <c r="AC376" s="50">
        <v>0.0</v>
      </c>
      <c r="AD376" s="50">
        <v>0.0</v>
      </c>
      <c r="AE376" s="50">
        <v>0.0</v>
      </c>
      <c r="AF376" s="50">
        <v>1.0</v>
      </c>
      <c r="AG376" s="50">
        <v>0.0</v>
      </c>
      <c r="AH376" s="50">
        <v>0.0</v>
      </c>
      <c r="AI376" s="50">
        <v>0.0</v>
      </c>
      <c r="AJ376" s="50">
        <v>0.0</v>
      </c>
      <c r="AK376" s="50">
        <v>0.0</v>
      </c>
      <c r="AL376" s="48"/>
      <c r="AM376" s="48"/>
      <c r="AN376" s="48"/>
      <c r="AO376" s="48"/>
      <c r="AP376" s="50">
        <v>200.0</v>
      </c>
      <c r="AQ376" s="48"/>
      <c r="AR376" s="48"/>
      <c r="AS376" s="48"/>
      <c r="AT376" s="48"/>
      <c r="AU376" s="48"/>
      <c r="AV376" s="50">
        <v>3.0</v>
      </c>
      <c r="AW376" s="48"/>
      <c r="AX376" s="48"/>
      <c r="AY376" s="50">
        <v>450.0</v>
      </c>
      <c r="AZ376" s="48"/>
      <c r="BA376" s="48"/>
      <c r="BB376" s="50">
        <v>50.0</v>
      </c>
      <c r="BC376" s="48"/>
      <c r="BD376" s="48"/>
      <c r="BE376" s="48"/>
      <c r="BF376" s="48"/>
      <c r="BG376" s="48"/>
      <c r="BH376" s="48"/>
      <c r="BI376" s="48"/>
      <c r="BJ376" s="48"/>
      <c r="BK376" s="48"/>
      <c r="BL376" s="48"/>
      <c r="BM376" s="48"/>
      <c r="BN376" s="48"/>
      <c r="BO376" s="48"/>
      <c r="BP376" s="50">
        <v>120.0</v>
      </c>
      <c r="BQ376" s="50">
        <v>0.0</v>
      </c>
      <c r="BR376" s="50">
        <v>80.0</v>
      </c>
      <c r="BS376" s="50">
        <v>0.0</v>
      </c>
      <c r="BT376" s="48"/>
      <c r="BU376" s="48"/>
      <c r="BV376" s="48"/>
      <c r="BW376" s="48"/>
      <c r="BX376" s="48"/>
      <c r="BY376" s="48"/>
      <c r="BZ376" s="48"/>
      <c r="CA376" s="48"/>
      <c r="CB376" s="48"/>
      <c r="CC376" s="48"/>
      <c r="CD376" s="48"/>
      <c r="CE376" s="48"/>
      <c r="CF376" s="48"/>
      <c r="CG376" s="48"/>
      <c r="CH376" s="48"/>
      <c r="CI376" s="48"/>
      <c r="CJ376" s="48"/>
      <c r="CK376" s="50">
        <v>7.09231548E8</v>
      </c>
      <c r="CL376" s="48" t="s">
        <v>4492</v>
      </c>
      <c r="CM376" s="47">
        <v>46109.15070601852</v>
      </c>
      <c r="CN376" s="48"/>
      <c r="CO376" s="48"/>
      <c r="CP376" s="48" t="s">
        <v>1954</v>
      </c>
      <c r="CQ376" s="48"/>
      <c r="CR376" s="48" t="s">
        <v>3014</v>
      </c>
      <c r="CS376" s="48"/>
      <c r="CT376" s="48" t="s">
        <v>4493</v>
      </c>
      <c r="CU376" s="50">
        <v>375.0</v>
      </c>
    </row>
    <row r="377">
      <c r="A377" s="47">
        <v>46109.48399439815</v>
      </c>
      <c r="B377" s="47">
        <v>46109.48760815972</v>
      </c>
      <c r="C377" s="48" t="s">
        <v>4494</v>
      </c>
      <c r="D377" s="48" t="s">
        <v>4467</v>
      </c>
      <c r="E377" s="48" t="s">
        <v>4468</v>
      </c>
      <c r="F377" s="48" t="s">
        <v>4468</v>
      </c>
      <c r="G377" s="49" t="s">
        <v>4495</v>
      </c>
      <c r="H377" s="48" t="s">
        <v>3033</v>
      </c>
      <c r="I377" s="50">
        <v>0.0</v>
      </c>
      <c r="J377" s="50">
        <v>0.0</v>
      </c>
      <c r="K377" s="50">
        <v>0.0</v>
      </c>
      <c r="L377" s="50">
        <v>1.0</v>
      </c>
      <c r="M377" s="50">
        <v>0.0</v>
      </c>
      <c r="N377" s="50">
        <v>0.0</v>
      </c>
      <c r="O377" s="50">
        <v>1.0</v>
      </c>
      <c r="P377" s="50">
        <v>0.0</v>
      </c>
      <c r="Q377" s="50">
        <v>0.0</v>
      </c>
      <c r="R377" s="48" t="s">
        <v>3033</v>
      </c>
      <c r="S377" s="50">
        <v>0.0</v>
      </c>
      <c r="T377" s="50">
        <v>0.0</v>
      </c>
      <c r="U377" s="50">
        <v>0.0</v>
      </c>
      <c r="V377" s="50">
        <v>1.0</v>
      </c>
      <c r="W377" s="50">
        <v>0.0</v>
      </c>
      <c r="X377" s="50">
        <v>0.0</v>
      </c>
      <c r="Y377" s="50">
        <v>1.0</v>
      </c>
      <c r="Z377" s="50">
        <v>0.0</v>
      </c>
      <c r="AA377" s="50">
        <v>0.0</v>
      </c>
      <c r="AB377" s="48" t="s">
        <v>3034</v>
      </c>
      <c r="AC377" s="50">
        <v>0.0</v>
      </c>
      <c r="AD377" s="50">
        <v>0.0</v>
      </c>
      <c r="AE377" s="50">
        <v>0.0</v>
      </c>
      <c r="AF377" s="50">
        <v>0.0</v>
      </c>
      <c r="AG377" s="50">
        <v>0.0</v>
      </c>
      <c r="AH377" s="50">
        <v>0.0</v>
      </c>
      <c r="AI377" s="50">
        <v>1.0</v>
      </c>
      <c r="AJ377" s="50">
        <v>0.0</v>
      </c>
      <c r="AK377" s="50">
        <v>0.0</v>
      </c>
      <c r="AL377" s="48"/>
      <c r="AM377" s="48"/>
      <c r="AN377" s="48"/>
      <c r="AO377" s="48"/>
      <c r="AP377" s="50">
        <v>2.0</v>
      </c>
      <c r="AQ377" s="48"/>
      <c r="AR377" s="48"/>
      <c r="AS377" s="50">
        <v>150.0</v>
      </c>
      <c r="AT377" s="48"/>
      <c r="AU377" s="48"/>
      <c r="AV377" s="48"/>
      <c r="AW377" s="48"/>
      <c r="AX377" s="48"/>
      <c r="AY377" s="50">
        <v>3.0</v>
      </c>
      <c r="AZ377" s="48"/>
      <c r="BA377" s="48"/>
      <c r="BB377" s="50">
        <v>250.0</v>
      </c>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50">
        <v>120.0</v>
      </c>
      <c r="CC377" s="50">
        <v>0.0</v>
      </c>
      <c r="CD377" s="50">
        <v>80.0</v>
      </c>
      <c r="CE377" s="50">
        <v>10.0</v>
      </c>
      <c r="CF377" s="48"/>
      <c r="CG377" s="48"/>
      <c r="CH377" s="48"/>
      <c r="CI377" s="48"/>
      <c r="CJ377" s="48"/>
      <c r="CK377" s="50">
        <v>7.09233171E8</v>
      </c>
      <c r="CL377" s="48" t="s">
        <v>4496</v>
      </c>
      <c r="CM377" s="47">
        <v>46109.15430555555</v>
      </c>
      <c r="CN377" s="48"/>
      <c r="CO377" s="48"/>
      <c r="CP377" s="48" t="s">
        <v>1954</v>
      </c>
      <c r="CQ377" s="48"/>
      <c r="CR377" s="48" t="s">
        <v>3014</v>
      </c>
      <c r="CS377" s="48"/>
      <c r="CT377" s="48" t="s">
        <v>4497</v>
      </c>
      <c r="CU377" s="50">
        <v>376.0</v>
      </c>
    </row>
    <row r="378">
      <c r="A378" s="47">
        <v>46109.48761046297</v>
      </c>
      <c r="B378" s="47">
        <v>46109.54906554398</v>
      </c>
      <c r="C378" s="48" t="s">
        <v>4498</v>
      </c>
      <c r="D378" s="48" t="s">
        <v>4467</v>
      </c>
      <c r="E378" s="48" t="s">
        <v>4468</v>
      </c>
      <c r="F378" s="48" t="s">
        <v>4468</v>
      </c>
      <c r="G378" s="49" t="s">
        <v>4499</v>
      </c>
      <c r="H378" s="48" t="s">
        <v>3034</v>
      </c>
      <c r="I378" s="50">
        <v>0.0</v>
      </c>
      <c r="J378" s="50">
        <v>0.0</v>
      </c>
      <c r="K378" s="50">
        <v>0.0</v>
      </c>
      <c r="L378" s="50">
        <v>0.0</v>
      </c>
      <c r="M378" s="50">
        <v>0.0</v>
      </c>
      <c r="N378" s="50">
        <v>0.0</v>
      </c>
      <c r="O378" s="50">
        <v>1.0</v>
      </c>
      <c r="P378" s="50">
        <v>0.0</v>
      </c>
      <c r="Q378" s="50">
        <v>0.0</v>
      </c>
      <c r="R378" s="48" t="s">
        <v>3012</v>
      </c>
      <c r="S378" s="50">
        <v>0.0</v>
      </c>
      <c r="T378" s="50">
        <v>0.0</v>
      </c>
      <c r="U378" s="50">
        <v>0.0</v>
      </c>
      <c r="V378" s="50">
        <v>1.0</v>
      </c>
      <c r="W378" s="50">
        <v>0.0</v>
      </c>
      <c r="X378" s="50">
        <v>0.0</v>
      </c>
      <c r="Y378" s="50">
        <v>0.0</v>
      </c>
      <c r="Z378" s="50">
        <v>0.0</v>
      </c>
      <c r="AA378" s="50">
        <v>0.0</v>
      </c>
      <c r="AB378" s="48" t="s">
        <v>3012</v>
      </c>
      <c r="AC378" s="50">
        <v>0.0</v>
      </c>
      <c r="AD378" s="50">
        <v>0.0</v>
      </c>
      <c r="AE378" s="50">
        <v>0.0</v>
      </c>
      <c r="AF378" s="50">
        <v>1.0</v>
      </c>
      <c r="AG378" s="50">
        <v>0.0</v>
      </c>
      <c r="AH378" s="50">
        <v>0.0</v>
      </c>
      <c r="AI378" s="50">
        <v>0.0</v>
      </c>
      <c r="AJ378" s="50">
        <v>0.0</v>
      </c>
      <c r="AK378" s="50">
        <v>0.0</v>
      </c>
      <c r="AL378" s="48"/>
      <c r="AM378" s="48"/>
      <c r="AN378" s="48"/>
      <c r="AO378" s="48"/>
      <c r="AP378" s="48"/>
      <c r="AQ378" s="48"/>
      <c r="AR378" s="48"/>
      <c r="AS378" s="50">
        <v>25.0</v>
      </c>
      <c r="AT378" s="48"/>
      <c r="AU378" s="48"/>
      <c r="AV378" s="48"/>
      <c r="AW378" s="48"/>
      <c r="AX378" s="48"/>
      <c r="AY378" s="50">
        <v>250.0</v>
      </c>
      <c r="AZ378" s="48"/>
      <c r="BA378" s="48"/>
      <c r="BB378" s="48"/>
      <c r="BC378" s="48"/>
      <c r="BD378" s="48"/>
      <c r="BE378" s="48"/>
      <c r="BF378" s="48"/>
      <c r="BG378" s="48"/>
      <c r="BH378" s="48"/>
      <c r="BI378" s="48"/>
      <c r="BJ378" s="48"/>
      <c r="BK378" s="48"/>
      <c r="BL378" s="48"/>
      <c r="BM378" s="48"/>
      <c r="BN378" s="48"/>
      <c r="BO378" s="48"/>
      <c r="BP378" s="50">
        <v>80.0</v>
      </c>
      <c r="BQ378" s="50">
        <v>0.0</v>
      </c>
      <c r="BR378" s="50">
        <v>60.0</v>
      </c>
      <c r="BS378" s="50">
        <v>0.0</v>
      </c>
      <c r="BT378" s="48"/>
      <c r="BU378" s="48"/>
      <c r="BV378" s="48"/>
      <c r="BW378" s="48"/>
      <c r="BX378" s="48"/>
      <c r="BY378" s="48"/>
      <c r="BZ378" s="48"/>
      <c r="CA378" s="48"/>
      <c r="CB378" s="48"/>
      <c r="CC378" s="48"/>
      <c r="CD378" s="48"/>
      <c r="CE378" s="48"/>
      <c r="CF378" s="48"/>
      <c r="CG378" s="48"/>
      <c r="CH378" s="48"/>
      <c r="CI378" s="48"/>
      <c r="CJ378" s="48"/>
      <c r="CK378" s="50">
        <v>7.09260201E8</v>
      </c>
      <c r="CL378" s="48" t="s">
        <v>4500</v>
      </c>
      <c r="CM378" s="47">
        <v>46109.21576388889</v>
      </c>
      <c r="CN378" s="48"/>
      <c r="CO378" s="48"/>
      <c r="CP378" s="48" t="s">
        <v>1954</v>
      </c>
      <c r="CQ378" s="48"/>
      <c r="CR378" s="48" t="s">
        <v>3014</v>
      </c>
      <c r="CS378" s="48"/>
      <c r="CT378" s="48" t="s">
        <v>4501</v>
      </c>
      <c r="CU378" s="50">
        <v>377.0</v>
      </c>
    </row>
    <row r="379">
      <c r="A379" s="47">
        <v>46109.54906743055</v>
      </c>
      <c r="B379" s="47">
        <v>46109.55647321759</v>
      </c>
      <c r="C379" s="48" t="s">
        <v>4502</v>
      </c>
      <c r="D379" s="48" t="s">
        <v>4467</v>
      </c>
      <c r="E379" s="48" t="s">
        <v>4477</v>
      </c>
      <c r="F379" s="48" t="s">
        <v>4477</v>
      </c>
      <c r="G379" s="49" t="s">
        <v>4503</v>
      </c>
      <c r="H379" s="48" t="s">
        <v>3034</v>
      </c>
      <c r="I379" s="50">
        <v>0.0</v>
      </c>
      <c r="J379" s="50">
        <v>0.0</v>
      </c>
      <c r="K379" s="50">
        <v>0.0</v>
      </c>
      <c r="L379" s="50">
        <v>0.0</v>
      </c>
      <c r="M379" s="50">
        <v>0.0</v>
      </c>
      <c r="N379" s="50">
        <v>0.0</v>
      </c>
      <c r="O379" s="50">
        <v>1.0</v>
      </c>
      <c r="P379" s="50">
        <v>0.0</v>
      </c>
      <c r="Q379" s="50">
        <v>0.0</v>
      </c>
      <c r="R379" s="48" t="s">
        <v>3033</v>
      </c>
      <c r="S379" s="50">
        <v>0.0</v>
      </c>
      <c r="T379" s="50">
        <v>0.0</v>
      </c>
      <c r="U379" s="50">
        <v>0.0</v>
      </c>
      <c r="V379" s="50">
        <v>1.0</v>
      </c>
      <c r="W379" s="50">
        <v>0.0</v>
      </c>
      <c r="X379" s="50">
        <v>0.0</v>
      </c>
      <c r="Y379" s="50">
        <v>1.0</v>
      </c>
      <c r="Z379" s="50">
        <v>0.0</v>
      </c>
      <c r="AA379" s="50">
        <v>0.0</v>
      </c>
      <c r="AB379" s="48" t="s">
        <v>3033</v>
      </c>
      <c r="AC379" s="50">
        <v>0.0</v>
      </c>
      <c r="AD379" s="50">
        <v>0.0</v>
      </c>
      <c r="AE379" s="50">
        <v>0.0</v>
      </c>
      <c r="AF379" s="50">
        <v>1.0</v>
      </c>
      <c r="AG379" s="50">
        <v>0.0</v>
      </c>
      <c r="AH379" s="50">
        <v>0.0</v>
      </c>
      <c r="AI379" s="50">
        <v>1.0</v>
      </c>
      <c r="AJ379" s="50">
        <v>0.0</v>
      </c>
      <c r="AK379" s="50">
        <v>0.0</v>
      </c>
      <c r="AL379" s="48"/>
      <c r="AM379" s="48"/>
      <c r="AN379" s="48"/>
      <c r="AO379" s="48"/>
      <c r="AP379" s="48"/>
      <c r="AQ379" s="48"/>
      <c r="AR379" s="48"/>
      <c r="AS379" s="50">
        <v>4.0</v>
      </c>
      <c r="AT379" s="48"/>
      <c r="AU379" s="48"/>
      <c r="AV379" s="48"/>
      <c r="AW379" s="48"/>
      <c r="AX379" s="48"/>
      <c r="AY379" s="50">
        <v>2.0</v>
      </c>
      <c r="AZ379" s="48"/>
      <c r="BA379" s="48"/>
      <c r="BB379" s="50">
        <v>15.0</v>
      </c>
      <c r="BC379" s="48"/>
      <c r="BD379" s="48"/>
      <c r="BE379" s="48"/>
      <c r="BF379" s="48"/>
      <c r="BG379" s="48"/>
      <c r="BH379" s="48"/>
      <c r="BI379" s="48"/>
      <c r="BJ379" s="48"/>
      <c r="BK379" s="48"/>
      <c r="BL379" s="48"/>
      <c r="BM379" s="48"/>
      <c r="BN379" s="48"/>
      <c r="BO379" s="48"/>
      <c r="BP379" s="50">
        <v>2.0</v>
      </c>
      <c r="BQ379" s="50">
        <v>0.0</v>
      </c>
      <c r="BR379" s="50">
        <v>4.0</v>
      </c>
      <c r="BS379" s="50">
        <v>0.0</v>
      </c>
      <c r="BT379" s="48"/>
      <c r="BU379" s="48"/>
      <c r="BV379" s="48"/>
      <c r="BW379" s="48"/>
      <c r="BX379" s="48"/>
      <c r="BY379" s="48"/>
      <c r="BZ379" s="48"/>
      <c r="CA379" s="48"/>
      <c r="CB379" s="50">
        <v>0.0</v>
      </c>
      <c r="CC379" s="50">
        <v>0.0</v>
      </c>
      <c r="CD379" s="50">
        <v>15.0</v>
      </c>
      <c r="CE379" s="50">
        <v>0.0</v>
      </c>
      <c r="CF379" s="48"/>
      <c r="CG379" s="48"/>
      <c r="CH379" s="48"/>
      <c r="CI379" s="48"/>
      <c r="CJ379" s="48"/>
      <c r="CK379" s="50">
        <v>7.09263978E8</v>
      </c>
      <c r="CL379" s="48" t="s">
        <v>4504</v>
      </c>
      <c r="CM379" s="47">
        <v>46109.22315972222</v>
      </c>
      <c r="CN379" s="48"/>
      <c r="CO379" s="48"/>
      <c r="CP379" s="48" t="s">
        <v>1954</v>
      </c>
      <c r="CQ379" s="48"/>
      <c r="CR379" s="48" t="s">
        <v>3014</v>
      </c>
      <c r="CS379" s="48"/>
      <c r="CT379" s="48" t="s">
        <v>4505</v>
      </c>
      <c r="CU379" s="50">
        <v>378.0</v>
      </c>
    </row>
    <row r="380">
      <c r="A380" s="47">
        <v>46109.55647547454</v>
      </c>
      <c r="B380" s="47">
        <v>46109.5639803588</v>
      </c>
      <c r="C380" s="48" t="s">
        <v>4506</v>
      </c>
      <c r="D380" s="48" t="s">
        <v>4467</v>
      </c>
      <c r="E380" s="48" t="s">
        <v>4468</v>
      </c>
      <c r="F380" s="48" t="s">
        <v>4483</v>
      </c>
      <c r="G380" s="49" t="s">
        <v>4507</v>
      </c>
      <c r="H380" s="48" t="s">
        <v>3012</v>
      </c>
      <c r="I380" s="50">
        <v>0.0</v>
      </c>
      <c r="J380" s="50">
        <v>0.0</v>
      </c>
      <c r="K380" s="50">
        <v>0.0</v>
      </c>
      <c r="L380" s="50">
        <v>1.0</v>
      </c>
      <c r="M380" s="50">
        <v>0.0</v>
      </c>
      <c r="N380" s="50">
        <v>0.0</v>
      </c>
      <c r="O380" s="50">
        <v>0.0</v>
      </c>
      <c r="P380" s="50">
        <v>0.0</v>
      </c>
      <c r="Q380" s="50">
        <v>0.0</v>
      </c>
      <c r="R380" s="48" t="s">
        <v>3040</v>
      </c>
      <c r="S380" s="50">
        <v>0.0</v>
      </c>
      <c r="T380" s="50">
        <v>0.0</v>
      </c>
      <c r="U380" s="50">
        <v>0.0</v>
      </c>
      <c r="V380" s="50">
        <v>1.0</v>
      </c>
      <c r="W380" s="50">
        <v>0.0</v>
      </c>
      <c r="X380" s="50">
        <v>0.0</v>
      </c>
      <c r="Y380" s="50">
        <v>1.0</v>
      </c>
      <c r="Z380" s="50">
        <v>1.0</v>
      </c>
      <c r="AA380" s="50">
        <v>0.0</v>
      </c>
      <c r="AB380" s="48" t="s">
        <v>3033</v>
      </c>
      <c r="AC380" s="50">
        <v>0.0</v>
      </c>
      <c r="AD380" s="50">
        <v>0.0</v>
      </c>
      <c r="AE380" s="50">
        <v>0.0</v>
      </c>
      <c r="AF380" s="50">
        <v>1.0</v>
      </c>
      <c r="AG380" s="50">
        <v>0.0</v>
      </c>
      <c r="AH380" s="50">
        <v>0.0</v>
      </c>
      <c r="AI380" s="50">
        <v>1.0</v>
      </c>
      <c r="AJ380" s="50">
        <v>0.0</v>
      </c>
      <c r="AK380" s="50">
        <v>0.0</v>
      </c>
      <c r="AL380" s="48"/>
      <c r="AM380" s="48"/>
      <c r="AN380" s="48"/>
      <c r="AO380" s="48"/>
      <c r="AP380" s="50">
        <v>70.0</v>
      </c>
      <c r="AQ380" s="48"/>
      <c r="AR380" s="48"/>
      <c r="AS380" s="48"/>
      <c r="AT380" s="48"/>
      <c r="AU380" s="48"/>
      <c r="AV380" s="48"/>
      <c r="AW380" s="48"/>
      <c r="AX380" s="48"/>
      <c r="AY380" s="50">
        <v>7.0</v>
      </c>
      <c r="AZ380" s="48"/>
      <c r="BA380" s="48"/>
      <c r="BB380" s="50">
        <v>15.0</v>
      </c>
      <c r="BC380" s="50">
        <v>15.0</v>
      </c>
      <c r="BD380" s="48"/>
      <c r="BE380" s="48"/>
      <c r="BF380" s="48"/>
      <c r="BG380" s="48"/>
      <c r="BH380" s="48"/>
      <c r="BI380" s="48"/>
      <c r="BJ380" s="48"/>
      <c r="BK380" s="48"/>
      <c r="BL380" s="48"/>
      <c r="BM380" s="48"/>
      <c r="BN380" s="48"/>
      <c r="BO380" s="48"/>
      <c r="BP380" s="50">
        <v>2.0</v>
      </c>
      <c r="BQ380" s="50">
        <v>0.0</v>
      </c>
      <c r="BR380" s="50">
        <v>0.0</v>
      </c>
      <c r="BS380" s="50">
        <v>0.0</v>
      </c>
      <c r="BT380" s="48"/>
      <c r="BU380" s="48"/>
      <c r="BV380" s="48"/>
      <c r="BW380" s="48"/>
      <c r="BX380" s="48"/>
      <c r="BY380" s="48"/>
      <c r="BZ380" s="48"/>
      <c r="CA380" s="48"/>
      <c r="CB380" s="50">
        <v>0.0</v>
      </c>
      <c r="CC380" s="50">
        <v>2.0</v>
      </c>
      <c r="CD380" s="50">
        <v>10.0</v>
      </c>
      <c r="CE380" s="50">
        <v>0.0</v>
      </c>
      <c r="CF380" s="48"/>
      <c r="CG380" s="48"/>
      <c r="CH380" s="48"/>
      <c r="CI380" s="48"/>
      <c r="CJ380" s="48"/>
      <c r="CK380" s="50">
        <v>7.09267743E8</v>
      </c>
      <c r="CL380" s="48" t="s">
        <v>4508</v>
      </c>
      <c r="CM380" s="47">
        <v>46109.23065972222</v>
      </c>
      <c r="CN380" s="48"/>
      <c r="CO380" s="48"/>
      <c r="CP380" s="48" t="s">
        <v>1954</v>
      </c>
      <c r="CQ380" s="48"/>
      <c r="CR380" s="48" t="s">
        <v>3014</v>
      </c>
      <c r="CS380" s="48"/>
      <c r="CT380" s="48" t="s">
        <v>4509</v>
      </c>
      <c r="CU380" s="50">
        <v>379.0</v>
      </c>
    </row>
    <row r="381">
      <c r="A381" s="47">
        <v>46109.56398166667</v>
      </c>
      <c r="B381" s="47">
        <v>46109.56970715278</v>
      </c>
      <c r="C381" s="48" t="s">
        <v>4510</v>
      </c>
      <c r="D381" s="48" t="s">
        <v>4467</v>
      </c>
      <c r="E381" s="48" t="s">
        <v>4511</v>
      </c>
      <c r="F381" s="48" t="s">
        <v>4511</v>
      </c>
      <c r="G381" s="49" t="s">
        <v>4512</v>
      </c>
      <c r="H381" s="48" t="s">
        <v>3034</v>
      </c>
      <c r="I381" s="50">
        <v>0.0</v>
      </c>
      <c r="J381" s="50">
        <v>0.0</v>
      </c>
      <c r="K381" s="50">
        <v>0.0</v>
      </c>
      <c r="L381" s="50">
        <v>0.0</v>
      </c>
      <c r="M381" s="50">
        <v>0.0</v>
      </c>
      <c r="N381" s="50">
        <v>0.0</v>
      </c>
      <c r="O381" s="50">
        <v>1.0</v>
      </c>
      <c r="P381" s="50">
        <v>0.0</v>
      </c>
      <c r="Q381" s="50">
        <v>0.0</v>
      </c>
      <c r="R381" s="48" t="s">
        <v>3012</v>
      </c>
      <c r="S381" s="50">
        <v>0.0</v>
      </c>
      <c r="T381" s="50">
        <v>0.0</v>
      </c>
      <c r="U381" s="50">
        <v>0.0</v>
      </c>
      <c r="V381" s="50">
        <v>1.0</v>
      </c>
      <c r="W381" s="50">
        <v>0.0</v>
      </c>
      <c r="X381" s="50">
        <v>0.0</v>
      </c>
      <c r="Y381" s="50">
        <v>0.0</v>
      </c>
      <c r="Z381" s="50">
        <v>0.0</v>
      </c>
      <c r="AA381" s="50">
        <v>0.0</v>
      </c>
      <c r="AB381" s="48" t="s">
        <v>3012</v>
      </c>
      <c r="AC381" s="50">
        <v>0.0</v>
      </c>
      <c r="AD381" s="50">
        <v>0.0</v>
      </c>
      <c r="AE381" s="50">
        <v>0.0</v>
      </c>
      <c r="AF381" s="50">
        <v>1.0</v>
      </c>
      <c r="AG381" s="50">
        <v>0.0</v>
      </c>
      <c r="AH381" s="50">
        <v>0.0</v>
      </c>
      <c r="AI381" s="50">
        <v>0.0</v>
      </c>
      <c r="AJ381" s="50">
        <v>0.0</v>
      </c>
      <c r="AK381" s="50">
        <v>0.0</v>
      </c>
      <c r="AL381" s="48"/>
      <c r="AM381" s="48"/>
      <c r="AN381" s="48"/>
      <c r="AO381" s="48"/>
      <c r="AP381" s="48"/>
      <c r="AQ381" s="48"/>
      <c r="AR381" s="48"/>
      <c r="AS381" s="50">
        <v>20.0</v>
      </c>
      <c r="AT381" s="48"/>
      <c r="AU381" s="48"/>
      <c r="AV381" s="48"/>
      <c r="AW381" s="48"/>
      <c r="AX381" s="48"/>
      <c r="AY381" s="50">
        <v>8.0</v>
      </c>
      <c r="AZ381" s="48"/>
      <c r="BA381" s="48"/>
      <c r="BB381" s="48"/>
      <c r="BC381" s="48"/>
      <c r="BD381" s="48"/>
      <c r="BE381" s="48"/>
      <c r="BF381" s="48"/>
      <c r="BG381" s="48"/>
      <c r="BH381" s="48"/>
      <c r="BI381" s="48"/>
      <c r="BJ381" s="48"/>
      <c r="BK381" s="48"/>
      <c r="BL381" s="48"/>
      <c r="BM381" s="48"/>
      <c r="BN381" s="48"/>
      <c r="BO381" s="48"/>
      <c r="BP381" s="50">
        <v>4.0</v>
      </c>
      <c r="BQ381" s="50">
        <v>0.0</v>
      </c>
      <c r="BR381" s="50">
        <v>8.0</v>
      </c>
      <c r="BS381" s="50">
        <v>0.0</v>
      </c>
      <c r="BT381" s="48"/>
      <c r="BU381" s="48"/>
      <c r="BV381" s="48"/>
      <c r="BW381" s="48"/>
      <c r="BX381" s="48"/>
      <c r="BY381" s="48"/>
      <c r="BZ381" s="48"/>
      <c r="CA381" s="48"/>
      <c r="CB381" s="48"/>
      <c r="CC381" s="48"/>
      <c r="CD381" s="48"/>
      <c r="CE381" s="48"/>
      <c r="CF381" s="48"/>
      <c r="CG381" s="48"/>
      <c r="CH381" s="48"/>
      <c r="CI381" s="48"/>
      <c r="CJ381" s="48"/>
      <c r="CK381" s="50">
        <v>7.09270728E8</v>
      </c>
      <c r="CL381" s="48" t="s">
        <v>4513</v>
      </c>
      <c r="CM381" s="47">
        <v>46109.23638888889</v>
      </c>
      <c r="CN381" s="48"/>
      <c r="CO381" s="48"/>
      <c r="CP381" s="48" t="s">
        <v>1954</v>
      </c>
      <c r="CQ381" s="48"/>
      <c r="CR381" s="48" t="s">
        <v>3014</v>
      </c>
      <c r="CS381" s="48"/>
      <c r="CT381" s="48" t="s">
        <v>4514</v>
      </c>
      <c r="CU381" s="50">
        <v>380.0</v>
      </c>
    </row>
    <row r="382">
      <c r="A382" s="47">
        <v>46109.569708125</v>
      </c>
      <c r="B382" s="47">
        <v>46109.57292575231</v>
      </c>
      <c r="C382" s="48" t="s">
        <v>4515</v>
      </c>
      <c r="D382" s="48" t="s">
        <v>4467</v>
      </c>
      <c r="E382" s="48" t="s">
        <v>4468</v>
      </c>
      <c r="F382" s="48" t="s">
        <v>4468</v>
      </c>
      <c r="G382" s="49" t="s">
        <v>4516</v>
      </c>
      <c r="H382" s="48" t="s">
        <v>3012</v>
      </c>
      <c r="I382" s="50">
        <v>0.0</v>
      </c>
      <c r="J382" s="50">
        <v>0.0</v>
      </c>
      <c r="K382" s="50">
        <v>0.0</v>
      </c>
      <c r="L382" s="50">
        <v>1.0</v>
      </c>
      <c r="M382" s="50">
        <v>0.0</v>
      </c>
      <c r="N382" s="50">
        <v>0.0</v>
      </c>
      <c r="O382" s="50">
        <v>0.0</v>
      </c>
      <c r="P382" s="50">
        <v>0.0</v>
      </c>
      <c r="Q382" s="50">
        <v>0.0</v>
      </c>
      <c r="R382" s="48" t="s">
        <v>3012</v>
      </c>
      <c r="S382" s="50">
        <v>0.0</v>
      </c>
      <c r="T382" s="50">
        <v>0.0</v>
      </c>
      <c r="U382" s="50">
        <v>0.0</v>
      </c>
      <c r="V382" s="50">
        <v>1.0</v>
      </c>
      <c r="W382" s="50">
        <v>0.0</v>
      </c>
      <c r="X382" s="50">
        <v>0.0</v>
      </c>
      <c r="Y382" s="50">
        <v>0.0</v>
      </c>
      <c r="Z382" s="50">
        <v>0.0</v>
      </c>
      <c r="AA382" s="50">
        <v>0.0</v>
      </c>
      <c r="AB382" s="48" t="s">
        <v>3012</v>
      </c>
      <c r="AC382" s="50">
        <v>0.0</v>
      </c>
      <c r="AD382" s="50">
        <v>0.0</v>
      </c>
      <c r="AE382" s="50">
        <v>0.0</v>
      </c>
      <c r="AF382" s="50">
        <v>1.0</v>
      </c>
      <c r="AG382" s="50">
        <v>0.0</v>
      </c>
      <c r="AH382" s="50">
        <v>0.0</v>
      </c>
      <c r="AI382" s="50">
        <v>0.0</v>
      </c>
      <c r="AJ382" s="50">
        <v>0.0</v>
      </c>
      <c r="AK382" s="50">
        <v>0.0</v>
      </c>
      <c r="AL382" s="48"/>
      <c r="AM382" s="48"/>
      <c r="AN382" s="48"/>
      <c r="AO382" s="48"/>
      <c r="AP382" s="50">
        <v>10.0</v>
      </c>
      <c r="AQ382" s="48"/>
      <c r="AR382" s="48"/>
      <c r="AS382" s="48"/>
      <c r="AT382" s="48"/>
      <c r="AU382" s="48"/>
      <c r="AV382" s="48"/>
      <c r="AW382" s="48"/>
      <c r="AX382" s="48"/>
      <c r="AY382" s="50">
        <v>80.0</v>
      </c>
      <c r="AZ382" s="48"/>
      <c r="BA382" s="48"/>
      <c r="BB382" s="48"/>
      <c r="BC382" s="48"/>
      <c r="BD382" s="48"/>
      <c r="BE382" s="48"/>
      <c r="BF382" s="48"/>
      <c r="BG382" s="48"/>
      <c r="BH382" s="48"/>
      <c r="BI382" s="48"/>
      <c r="BJ382" s="48"/>
      <c r="BK382" s="48"/>
      <c r="BL382" s="48"/>
      <c r="BM382" s="48"/>
      <c r="BN382" s="48"/>
      <c r="BO382" s="48"/>
      <c r="BP382" s="50">
        <v>40.0</v>
      </c>
      <c r="BQ382" s="50">
        <v>0.0</v>
      </c>
      <c r="BR382" s="50">
        <v>25.0</v>
      </c>
      <c r="BS382" s="50">
        <v>0.0</v>
      </c>
      <c r="BT382" s="48"/>
      <c r="BU382" s="48"/>
      <c r="BV382" s="48"/>
      <c r="BW382" s="48"/>
      <c r="BX382" s="48"/>
      <c r="BY382" s="48"/>
      <c r="BZ382" s="48"/>
      <c r="CA382" s="48"/>
      <c r="CB382" s="48"/>
      <c r="CC382" s="48"/>
      <c r="CD382" s="48"/>
      <c r="CE382" s="48"/>
      <c r="CF382" s="48"/>
      <c r="CG382" s="48"/>
      <c r="CH382" s="48"/>
      <c r="CI382" s="48"/>
      <c r="CJ382" s="48"/>
      <c r="CK382" s="50">
        <v>7.09272847E8</v>
      </c>
      <c r="CL382" s="48" t="s">
        <v>4517</v>
      </c>
      <c r="CM382" s="47">
        <v>46109.23960648148</v>
      </c>
      <c r="CN382" s="48"/>
      <c r="CO382" s="48"/>
      <c r="CP382" s="48" t="s">
        <v>1954</v>
      </c>
      <c r="CQ382" s="48"/>
      <c r="CR382" s="48" t="s">
        <v>3014</v>
      </c>
      <c r="CS382" s="48"/>
      <c r="CT382" s="48" t="s">
        <v>4518</v>
      </c>
      <c r="CU382" s="50">
        <v>381.0</v>
      </c>
    </row>
    <row r="383">
      <c r="A383" s="47">
        <v>46096.91835347223</v>
      </c>
      <c r="B383" s="47">
        <v>46111.83499768518</v>
      </c>
      <c r="C383" s="48" t="s">
        <v>2921</v>
      </c>
      <c r="D383" s="48" t="s">
        <v>1923</v>
      </c>
      <c r="E383" s="48" t="s">
        <v>2113</v>
      </c>
      <c r="F383" s="48" t="s">
        <v>2227</v>
      </c>
      <c r="G383" s="49" t="s">
        <v>2924</v>
      </c>
      <c r="H383" s="48" t="s">
        <v>3711</v>
      </c>
      <c r="I383" s="50">
        <v>1.0</v>
      </c>
      <c r="J383" s="50">
        <v>0.0</v>
      </c>
      <c r="K383" s="50">
        <v>0.0</v>
      </c>
      <c r="L383" s="50">
        <v>0.0</v>
      </c>
      <c r="M383" s="50">
        <v>0.0</v>
      </c>
      <c r="N383" s="50">
        <v>0.0</v>
      </c>
      <c r="O383" s="50">
        <v>1.0</v>
      </c>
      <c r="P383" s="50">
        <v>1.0</v>
      </c>
      <c r="Q383" s="50">
        <v>0.0</v>
      </c>
      <c r="R383" s="48" t="s">
        <v>2947</v>
      </c>
      <c r="S383" s="50">
        <v>1.0</v>
      </c>
      <c r="T383" s="50">
        <v>0.0</v>
      </c>
      <c r="U383" s="50">
        <v>0.0</v>
      </c>
      <c r="V383" s="50">
        <v>0.0</v>
      </c>
      <c r="W383" s="50">
        <v>0.0</v>
      </c>
      <c r="X383" s="50">
        <v>0.0</v>
      </c>
      <c r="Y383" s="50">
        <v>0.0</v>
      </c>
      <c r="Z383" s="50">
        <v>0.0</v>
      </c>
      <c r="AA383" s="50">
        <v>0.0</v>
      </c>
      <c r="AB383" s="48" t="s">
        <v>3835</v>
      </c>
      <c r="AC383" s="50">
        <v>0.0</v>
      </c>
      <c r="AD383" s="50">
        <v>0.0</v>
      </c>
      <c r="AE383" s="50">
        <v>0.0</v>
      </c>
      <c r="AF383" s="50">
        <v>0.0</v>
      </c>
      <c r="AG383" s="50">
        <v>0.0</v>
      </c>
      <c r="AH383" s="50">
        <v>0.0</v>
      </c>
      <c r="AI383" s="50">
        <v>1.0</v>
      </c>
      <c r="AJ383" s="50">
        <v>1.0</v>
      </c>
      <c r="AK383" s="50">
        <v>0.0</v>
      </c>
      <c r="AL383" s="48"/>
      <c r="AM383" s="50">
        <v>4.0</v>
      </c>
      <c r="AN383" s="48"/>
      <c r="AO383" s="48"/>
      <c r="AP383" s="48"/>
      <c r="AQ383" s="48"/>
      <c r="AR383" s="48"/>
      <c r="AS383" s="50">
        <v>0.0</v>
      </c>
      <c r="AT383" s="50">
        <v>0.0</v>
      </c>
      <c r="AU383" s="48"/>
      <c r="AV383" s="50">
        <v>4.0</v>
      </c>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50">
        <v>0.0</v>
      </c>
      <c r="CC383" s="50">
        <v>0.0</v>
      </c>
      <c r="CD383" s="50">
        <v>0.0</v>
      </c>
      <c r="CE383" s="50">
        <v>0.0</v>
      </c>
      <c r="CF383" s="50">
        <v>0.0</v>
      </c>
      <c r="CG383" s="50">
        <v>0.0</v>
      </c>
      <c r="CH383" s="50">
        <v>0.0</v>
      </c>
      <c r="CI383" s="50">
        <v>0.0</v>
      </c>
      <c r="CJ383" s="48"/>
      <c r="CK383" s="50">
        <v>7.10899475E8</v>
      </c>
      <c r="CL383" s="48" t="s">
        <v>4519</v>
      </c>
      <c r="CM383" s="47">
        <v>46111.46002314815</v>
      </c>
      <c r="CN383" s="48"/>
      <c r="CO383" s="48"/>
      <c r="CP383" s="48" t="s">
        <v>1954</v>
      </c>
      <c r="CQ383" s="48"/>
      <c r="CR383" s="48" t="s">
        <v>3014</v>
      </c>
      <c r="CS383" s="48"/>
      <c r="CT383" s="48" t="s">
        <v>4520</v>
      </c>
      <c r="CU383" s="50">
        <v>382.0</v>
      </c>
    </row>
    <row r="384">
      <c r="A384" s="47">
        <v>46111.83499796296</v>
      </c>
      <c r="B384" s="47">
        <v>46111.83792005787</v>
      </c>
      <c r="C384" s="48" t="s">
        <v>4521</v>
      </c>
      <c r="D384" s="48" t="s">
        <v>1923</v>
      </c>
      <c r="E384" s="48" t="s">
        <v>2113</v>
      </c>
      <c r="F384" s="48" t="s">
        <v>2905</v>
      </c>
      <c r="G384" s="49" t="s">
        <v>2907</v>
      </c>
      <c r="H384" s="48" t="s">
        <v>3369</v>
      </c>
      <c r="I384" s="50">
        <v>1.0</v>
      </c>
      <c r="J384" s="50">
        <v>0.0</v>
      </c>
      <c r="K384" s="50">
        <v>0.0</v>
      </c>
      <c r="L384" s="50">
        <v>0.0</v>
      </c>
      <c r="M384" s="50">
        <v>0.0</v>
      </c>
      <c r="N384" s="50">
        <v>0.0</v>
      </c>
      <c r="O384" s="50">
        <v>1.0</v>
      </c>
      <c r="P384" s="50">
        <v>0.0</v>
      </c>
      <c r="Q384" s="50">
        <v>0.0</v>
      </c>
      <c r="R384" s="48" t="s">
        <v>3369</v>
      </c>
      <c r="S384" s="50">
        <v>1.0</v>
      </c>
      <c r="T384" s="50">
        <v>0.0</v>
      </c>
      <c r="U384" s="50">
        <v>0.0</v>
      </c>
      <c r="V384" s="50">
        <v>0.0</v>
      </c>
      <c r="W384" s="50">
        <v>0.0</v>
      </c>
      <c r="X384" s="50">
        <v>0.0</v>
      </c>
      <c r="Y384" s="50">
        <v>1.0</v>
      </c>
      <c r="Z384" s="50">
        <v>0.0</v>
      </c>
      <c r="AA384" s="50">
        <v>0.0</v>
      </c>
      <c r="AB384" s="48" t="s">
        <v>2947</v>
      </c>
      <c r="AC384" s="50">
        <v>1.0</v>
      </c>
      <c r="AD384" s="50">
        <v>0.0</v>
      </c>
      <c r="AE384" s="50">
        <v>0.0</v>
      </c>
      <c r="AF384" s="50">
        <v>0.0</v>
      </c>
      <c r="AG384" s="50">
        <v>0.0</v>
      </c>
      <c r="AH384" s="50">
        <v>0.0</v>
      </c>
      <c r="AI384" s="50">
        <v>0.0</v>
      </c>
      <c r="AJ384" s="50">
        <v>0.0</v>
      </c>
      <c r="AK384" s="50">
        <v>0.0</v>
      </c>
      <c r="AL384" s="48"/>
      <c r="AM384" s="50">
        <v>10.0</v>
      </c>
      <c r="AN384" s="48"/>
      <c r="AO384" s="48"/>
      <c r="AP384" s="48"/>
      <c r="AQ384" s="48"/>
      <c r="AR384" s="48"/>
      <c r="AS384" s="50">
        <v>20.0</v>
      </c>
      <c r="AT384" s="48"/>
      <c r="AU384" s="48"/>
      <c r="AV384" s="50">
        <v>5.0</v>
      </c>
      <c r="AW384" s="48"/>
      <c r="AX384" s="48"/>
      <c r="AY384" s="48"/>
      <c r="AZ384" s="48"/>
      <c r="BA384" s="48"/>
      <c r="BB384" s="50">
        <v>20.0</v>
      </c>
      <c r="BC384" s="48"/>
      <c r="BD384" s="50">
        <v>0.0</v>
      </c>
      <c r="BE384" s="50">
        <v>0.0</v>
      </c>
      <c r="BF384" s="50">
        <v>0.0</v>
      </c>
      <c r="BG384" s="50">
        <v>0.0</v>
      </c>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50">
        <v>7.10904766E8</v>
      </c>
      <c r="CL384" s="48" t="s">
        <v>4522</v>
      </c>
      <c r="CM384" s="47">
        <v>46111.46295138889</v>
      </c>
      <c r="CN384" s="48"/>
      <c r="CO384" s="48"/>
      <c r="CP384" s="48" t="s">
        <v>1954</v>
      </c>
      <c r="CQ384" s="48"/>
      <c r="CR384" s="48" t="s">
        <v>3014</v>
      </c>
      <c r="CS384" s="48"/>
      <c r="CT384" s="48" t="s">
        <v>4523</v>
      </c>
      <c r="CU384" s="50">
        <v>383.0</v>
      </c>
    </row>
    <row r="385">
      <c r="A385" s="47">
        <v>46111.83792023148</v>
      </c>
      <c r="B385" s="47">
        <v>46111.84025481482</v>
      </c>
      <c r="C385" s="48" t="s">
        <v>4524</v>
      </c>
      <c r="D385" s="48" t="s">
        <v>1923</v>
      </c>
      <c r="E385" s="48" t="s">
        <v>2113</v>
      </c>
      <c r="F385" s="48" t="s">
        <v>2887</v>
      </c>
      <c r="G385" s="49" t="s">
        <v>2888</v>
      </c>
      <c r="H385" s="48" t="s">
        <v>3369</v>
      </c>
      <c r="I385" s="50">
        <v>1.0</v>
      </c>
      <c r="J385" s="50">
        <v>0.0</v>
      </c>
      <c r="K385" s="50">
        <v>0.0</v>
      </c>
      <c r="L385" s="50">
        <v>0.0</v>
      </c>
      <c r="M385" s="50">
        <v>0.0</v>
      </c>
      <c r="N385" s="50">
        <v>0.0</v>
      </c>
      <c r="O385" s="50">
        <v>1.0</v>
      </c>
      <c r="P385" s="50">
        <v>0.0</v>
      </c>
      <c r="Q385" s="50">
        <v>0.0</v>
      </c>
      <c r="R385" s="48" t="s">
        <v>3369</v>
      </c>
      <c r="S385" s="50">
        <v>1.0</v>
      </c>
      <c r="T385" s="50">
        <v>0.0</v>
      </c>
      <c r="U385" s="50">
        <v>0.0</v>
      </c>
      <c r="V385" s="50">
        <v>0.0</v>
      </c>
      <c r="W385" s="50">
        <v>0.0</v>
      </c>
      <c r="X385" s="50">
        <v>0.0</v>
      </c>
      <c r="Y385" s="50">
        <v>1.0</v>
      </c>
      <c r="Z385" s="50">
        <v>0.0</v>
      </c>
      <c r="AA385" s="50">
        <v>0.0</v>
      </c>
      <c r="AB385" s="48" t="s">
        <v>3369</v>
      </c>
      <c r="AC385" s="50">
        <v>1.0</v>
      </c>
      <c r="AD385" s="50">
        <v>0.0</v>
      </c>
      <c r="AE385" s="50">
        <v>0.0</v>
      </c>
      <c r="AF385" s="50">
        <v>0.0</v>
      </c>
      <c r="AG385" s="50">
        <v>0.0</v>
      </c>
      <c r="AH385" s="50">
        <v>0.0</v>
      </c>
      <c r="AI385" s="50">
        <v>1.0</v>
      </c>
      <c r="AJ385" s="50">
        <v>0.0</v>
      </c>
      <c r="AK385" s="50">
        <v>0.0</v>
      </c>
      <c r="AL385" s="48"/>
      <c r="AM385" s="50">
        <v>9.0</v>
      </c>
      <c r="AN385" s="48"/>
      <c r="AO385" s="48"/>
      <c r="AP385" s="48"/>
      <c r="AQ385" s="48"/>
      <c r="AR385" s="48"/>
      <c r="AS385" s="50">
        <v>2.0</v>
      </c>
      <c r="AT385" s="48"/>
      <c r="AU385" s="48"/>
      <c r="AV385" s="50">
        <v>4.0</v>
      </c>
      <c r="AW385" s="48"/>
      <c r="AX385" s="48"/>
      <c r="AY385" s="48"/>
      <c r="AZ385" s="48"/>
      <c r="BA385" s="48"/>
      <c r="BB385" s="50">
        <v>10.0</v>
      </c>
      <c r="BC385" s="48"/>
      <c r="BD385" s="50">
        <v>1.0</v>
      </c>
      <c r="BE385" s="50">
        <v>0.0</v>
      </c>
      <c r="BF385" s="50">
        <v>0.0</v>
      </c>
      <c r="BG385" s="50">
        <v>0.0</v>
      </c>
      <c r="BH385" s="48"/>
      <c r="BI385" s="48"/>
      <c r="BJ385" s="48"/>
      <c r="BK385" s="48"/>
      <c r="BL385" s="48"/>
      <c r="BM385" s="48"/>
      <c r="BN385" s="48"/>
      <c r="BO385" s="48"/>
      <c r="BP385" s="48"/>
      <c r="BQ385" s="48"/>
      <c r="BR385" s="48"/>
      <c r="BS385" s="48"/>
      <c r="BT385" s="48"/>
      <c r="BU385" s="48"/>
      <c r="BV385" s="48"/>
      <c r="BW385" s="48"/>
      <c r="BX385" s="48"/>
      <c r="BY385" s="48"/>
      <c r="BZ385" s="48"/>
      <c r="CA385" s="48"/>
      <c r="CB385" s="50">
        <v>0.0</v>
      </c>
      <c r="CC385" s="50">
        <v>0.0</v>
      </c>
      <c r="CD385" s="50">
        <v>0.0</v>
      </c>
      <c r="CE385" s="50">
        <v>0.0</v>
      </c>
      <c r="CF385" s="48"/>
      <c r="CG385" s="48"/>
      <c r="CH385" s="48"/>
      <c r="CI385" s="48"/>
      <c r="CJ385" s="48"/>
      <c r="CK385" s="50">
        <v>7.10908469E8</v>
      </c>
      <c r="CL385" s="48" t="s">
        <v>4525</v>
      </c>
      <c r="CM385" s="47">
        <v>46111.46528935185</v>
      </c>
      <c r="CN385" s="48"/>
      <c r="CO385" s="48"/>
      <c r="CP385" s="48" t="s">
        <v>1954</v>
      </c>
      <c r="CQ385" s="48"/>
      <c r="CR385" s="48" t="s">
        <v>3014</v>
      </c>
      <c r="CS385" s="48"/>
      <c r="CT385" s="48" t="s">
        <v>4526</v>
      </c>
      <c r="CU385" s="50">
        <v>384.0</v>
      </c>
    </row>
    <row r="386">
      <c r="A386" s="47">
        <v>46111.84025497685</v>
      </c>
      <c r="B386" s="47">
        <v>46111.84357381945</v>
      </c>
      <c r="C386" s="48" t="s">
        <v>2713</v>
      </c>
      <c r="D386" s="48" t="s">
        <v>1923</v>
      </c>
      <c r="E386" s="48" t="s">
        <v>1962</v>
      </c>
      <c r="F386" s="48" t="s">
        <v>1963</v>
      </c>
      <c r="G386" s="49" t="s">
        <v>2716</v>
      </c>
      <c r="H386" s="48" t="s">
        <v>3369</v>
      </c>
      <c r="I386" s="50">
        <v>1.0</v>
      </c>
      <c r="J386" s="50">
        <v>0.0</v>
      </c>
      <c r="K386" s="50">
        <v>0.0</v>
      </c>
      <c r="L386" s="50">
        <v>0.0</v>
      </c>
      <c r="M386" s="50">
        <v>0.0</v>
      </c>
      <c r="N386" s="50">
        <v>0.0</v>
      </c>
      <c r="O386" s="50">
        <v>1.0</v>
      </c>
      <c r="P386" s="50">
        <v>0.0</v>
      </c>
      <c r="Q386" s="50">
        <v>0.0</v>
      </c>
      <c r="R386" s="48" t="s">
        <v>3729</v>
      </c>
      <c r="S386" s="50">
        <v>0.0</v>
      </c>
      <c r="T386" s="50">
        <v>0.0</v>
      </c>
      <c r="U386" s="50">
        <v>0.0</v>
      </c>
      <c r="V386" s="50">
        <v>0.0</v>
      </c>
      <c r="W386" s="50">
        <v>1.0</v>
      </c>
      <c r="X386" s="50">
        <v>0.0</v>
      </c>
      <c r="Y386" s="50">
        <v>1.0</v>
      </c>
      <c r="Z386" s="50">
        <v>0.0</v>
      </c>
      <c r="AA386" s="50">
        <v>0.0</v>
      </c>
      <c r="AB386" s="48" t="s">
        <v>4527</v>
      </c>
      <c r="AC386" s="50">
        <v>1.0</v>
      </c>
      <c r="AD386" s="50">
        <v>0.0</v>
      </c>
      <c r="AE386" s="50">
        <v>0.0</v>
      </c>
      <c r="AF386" s="50">
        <v>0.0</v>
      </c>
      <c r="AG386" s="50">
        <v>1.0</v>
      </c>
      <c r="AH386" s="50">
        <v>0.0</v>
      </c>
      <c r="AI386" s="50">
        <v>0.0</v>
      </c>
      <c r="AJ386" s="50">
        <v>0.0</v>
      </c>
      <c r="AK386" s="50">
        <v>0.0</v>
      </c>
      <c r="AL386" s="48"/>
      <c r="AM386" s="50">
        <v>0.0</v>
      </c>
      <c r="AN386" s="48"/>
      <c r="AO386" s="48"/>
      <c r="AP386" s="48"/>
      <c r="AQ386" s="48"/>
      <c r="AR386" s="48"/>
      <c r="AS386" s="50">
        <v>10.0</v>
      </c>
      <c r="AT386" s="48"/>
      <c r="AU386" s="48"/>
      <c r="AV386" s="48"/>
      <c r="AW386" s="48"/>
      <c r="AX386" s="48"/>
      <c r="AY386" s="48"/>
      <c r="AZ386" s="50">
        <v>2.0</v>
      </c>
      <c r="BA386" s="48"/>
      <c r="BB386" s="50">
        <v>10.0</v>
      </c>
      <c r="BC386" s="48"/>
      <c r="BD386" s="50">
        <v>3.0</v>
      </c>
      <c r="BE386" s="50">
        <v>0.0</v>
      </c>
      <c r="BF386" s="50">
        <v>0.0</v>
      </c>
      <c r="BG386" s="50">
        <v>0.0</v>
      </c>
      <c r="BH386" s="48"/>
      <c r="BI386" s="48"/>
      <c r="BJ386" s="48"/>
      <c r="BK386" s="48"/>
      <c r="BL386" s="48"/>
      <c r="BM386" s="48"/>
      <c r="BN386" s="48"/>
      <c r="BO386" s="48"/>
      <c r="BP386" s="48"/>
      <c r="BQ386" s="48"/>
      <c r="BR386" s="48"/>
      <c r="BS386" s="48"/>
      <c r="BT386" s="50">
        <v>0.0</v>
      </c>
      <c r="BU386" s="50">
        <v>2.0</v>
      </c>
      <c r="BV386" s="50">
        <v>0.0</v>
      </c>
      <c r="BW386" s="50">
        <v>0.0</v>
      </c>
      <c r="BX386" s="48"/>
      <c r="BY386" s="48"/>
      <c r="BZ386" s="48"/>
      <c r="CA386" s="48"/>
      <c r="CB386" s="48"/>
      <c r="CC386" s="48"/>
      <c r="CD386" s="48"/>
      <c r="CE386" s="48"/>
      <c r="CF386" s="48"/>
      <c r="CG386" s="48"/>
      <c r="CH386" s="48"/>
      <c r="CI386" s="48"/>
      <c r="CJ386" s="48"/>
      <c r="CK386" s="50">
        <v>7.10914435E8</v>
      </c>
      <c r="CL386" s="48" t="s">
        <v>4528</v>
      </c>
      <c r="CM386" s="47">
        <v>46111.46859953704</v>
      </c>
      <c r="CN386" s="48"/>
      <c r="CO386" s="48"/>
      <c r="CP386" s="48" t="s">
        <v>1954</v>
      </c>
      <c r="CQ386" s="48"/>
      <c r="CR386" s="48" t="s">
        <v>3014</v>
      </c>
      <c r="CS386" s="48"/>
      <c r="CT386" s="48" t="s">
        <v>4529</v>
      </c>
      <c r="CU386" s="50">
        <v>385.0</v>
      </c>
    </row>
    <row r="387">
      <c r="A387" s="47">
        <v>46111.84357400463</v>
      </c>
      <c r="B387" s="47">
        <v>46111.84589664352</v>
      </c>
      <c r="C387" s="48" t="s">
        <v>4530</v>
      </c>
      <c r="D387" s="48" t="s">
        <v>1923</v>
      </c>
      <c r="E387" s="48" t="s">
        <v>2113</v>
      </c>
      <c r="F387" s="48" t="s">
        <v>2227</v>
      </c>
      <c r="G387" s="49" t="s">
        <v>2684</v>
      </c>
      <c r="H387" s="48" t="s">
        <v>3369</v>
      </c>
      <c r="I387" s="50">
        <v>1.0</v>
      </c>
      <c r="J387" s="50">
        <v>0.0</v>
      </c>
      <c r="K387" s="50">
        <v>0.0</v>
      </c>
      <c r="L387" s="50">
        <v>0.0</v>
      </c>
      <c r="M387" s="50">
        <v>0.0</v>
      </c>
      <c r="N387" s="50">
        <v>0.0</v>
      </c>
      <c r="O387" s="50">
        <v>1.0</v>
      </c>
      <c r="P387" s="50">
        <v>0.0</v>
      </c>
      <c r="Q387" s="50">
        <v>0.0</v>
      </c>
      <c r="R387" s="48" t="s">
        <v>3369</v>
      </c>
      <c r="S387" s="50">
        <v>1.0</v>
      </c>
      <c r="T387" s="50">
        <v>0.0</v>
      </c>
      <c r="U387" s="50">
        <v>0.0</v>
      </c>
      <c r="V387" s="50">
        <v>0.0</v>
      </c>
      <c r="W387" s="50">
        <v>0.0</v>
      </c>
      <c r="X387" s="50">
        <v>0.0</v>
      </c>
      <c r="Y387" s="50">
        <v>1.0</v>
      </c>
      <c r="Z387" s="50">
        <v>0.0</v>
      </c>
      <c r="AA387" s="50">
        <v>0.0</v>
      </c>
      <c r="AB387" s="48" t="s">
        <v>3465</v>
      </c>
      <c r="AC387" s="50">
        <v>0.0</v>
      </c>
      <c r="AD387" s="50">
        <v>0.0</v>
      </c>
      <c r="AE387" s="50">
        <v>0.0</v>
      </c>
      <c r="AF387" s="50">
        <v>0.0</v>
      </c>
      <c r="AG387" s="50">
        <v>0.0</v>
      </c>
      <c r="AH387" s="50">
        <v>0.0</v>
      </c>
      <c r="AI387" s="50">
        <v>0.0</v>
      </c>
      <c r="AJ387" s="50">
        <v>1.0</v>
      </c>
      <c r="AK387" s="50">
        <v>0.0</v>
      </c>
      <c r="AL387" s="48"/>
      <c r="AM387" s="50">
        <v>2.0</v>
      </c>
      <c r="AN387" s="48"/>
      <c r="AO387" s="48"/>
      <c r="AP387" s="48"/>
      <c r="AQ387" s="48"/>
      <c r="AR387" s="48"/>
      <c r="AS387" s="50">
        <v>30.0</v>
      </c>
      <c r="AT387" s="48"/>
      <c r="AU387" s="48"/>
      <c r="AV387" s="50">
        <v>2.0</v>
      </c>
      <c r="AW387" s="48"/>
      <c r="AX387" s="48"/>
      <c r="AY387" s="48"/>
      <c r="AZ387" s="48"/>
      <c r="BA387" s="48"/>
      <c r="BB387" s="50">
        <v>20.0</v>
      </c>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50">
        <v>0.0</v>
      </c>
      <c r="CG387" s="50">
        <v>0.0</v>
      </c>
      <c r="CH387" s="50">
        <v>0.0</v>
      </c>
      <c r="CI387" s="50">
        <v>0.0</v>
      </c>
      <c r="CJ387" s="48" t="s">
        <v>4531</v>
      </c>
      <c r="CK387" s="50">
        <v>7.10918644E8</v>
      </c>
      <c r="CL387" s="48" t="s">
        <v>4532</v>
      </c>
      <c r="CM387" s="47">
        <v>46111.47092592593</v>
      </c>
      <c r="CN387" s="48"/>
      <c r="CO387" s="48"/>
      <c r="CP387" s="48" t="s">
        <v>1954</v>
      </c>
      <c r="CQ387" s="48"/>
      <c r="CR387" s="48" t="s">
        <v>3014</v>
      </c>
      <c r="CS387" s="48"/>
      <c r="CT387" s="48" t="s">
        <v>4533</v>
      </c>
      <c r="CU387" s="50">
        <v>386.0</v>
      </c>
    </row>
    <row r="388">
      <c r="A388" s="47">
        <v>46111.84589690972</v>
      </c>
      <c r="B388" s="47">
        <v>46111.84771056713</v>
      </c>
      <c r="C388" s="48" t="s">
        <v>4534</v>
      </c>
      <c r="D388" s="48" t="s">
        <v>1923</v>
      </c>
      <c r="E388" s="48" t="s">
        <v>2113</v>
      </c>
      <c r="F388" s="48" t="s">
        <v>2651</v>
      </c>
      <c r="G388" s="49" t="s">
        <v>2653</v>
      </c>
      <c r="H388" s="48" t="s">
        <v>3711</v>
      </c>
      <c r="I388" s="50">
        <v>1.0</v>
      </c>
      <c r="J388" s="50">
        <v>0.0</v>
      </c>
      <c r="K388" s="50">
        <v>0.0</v>
      </c>
      <c r="L388" s="50">
        <v>0.0</v>
      </c>
      <c r="M388" s="50">
        <v>0.0</v>
      </c>
      <c r="N388" s="50">
        <v>0.0</v>
      </c>
      <c r="O388" s="50">
        <v>1.0</v>
      </c>
      <c r="P388" s="50">
        <v>1.0</v>
      </c>
      <c r="Q388" s="50">
        <v>0.0</v>
      </c>
      <c r="R388" s="48" t="s">
        <v>3711</v>
      </c>
      <c r="S388" s="50">
        <v>1.0</v>
      </c>
      <c r="T388" s="50">
        <v>0.0</v>
      </c>
      <c r="U388" s="50">
        <v>0.0</v>
      </c>
      <c r="V388" s="50">
        <v>0.0</v>
      </c>
      <c r="W388" s="50">
        <v>0.0</v>
      </c>
      <c r="X388" s="50">
        <v>0.0</v>
      </c>
      <c r="Y388" s="50">
        <v>1.0</v>
      </c>
      <c r="Z388" s="50">
        <v>1.0</v>
      </c>
      <c r="AA388" s="50">
        <v>0.0</v>
      </c>
      <c r="AB388" s="48" t="s">
        <v>2947</v>
      </c>
      <c r="AC388" s="50">
        <v>1.0</v>
      </c>
      <c r="AD388" s="50">
        <v>0.0</v>
      </c>
      <c r="AE388" s="50">
        <v>0.0</v>
      </c>
      <c r="AF388" s="50">
        <v>0.0</v>
      </c>
      <c r="AG388" s="50">
        <v>0.0</v>
      </c>
      <c r="AH388" s="50">
        <v>0.0</v>
      </c>
      <c r="AI388" s="50">
        <v>0.0</v>
      </c>
      <c r="AJ388" s="50">
        <v>0.0</v>
      </c>
      <c r="AK388" s="50">
        <v>0.0</v>
      </c>
      <c r="AL388" s="48"/>
      <c r="AM388" s="50">
        <v>7.0</v>
      </c>
      <c r="AN388" s="48"/>
      <c r="AO388" s="48"/>
      <c r="AP388" s="48"/>
      <c r="AQ388" s="48"/>
      <c r="AR388" s="48"/>
      <c r="AS388" s="50">
        <v>2.0</v>
      </c>
      <c r="AT388" s="50">
        <v>1.0</v>
      </c>
      <c r="AU388" s="48"/>
      <c r="AV388" s="50">
        <v>4.0</v>
      </c>
      <c r="AW388" s="48"/>
      <c r="AX388" s="48"/>
      <c r="AY388" s="48"/>
      <c r="AZ388" s="48"/>
      <c r="BA388" s="48"/>
      <c r="BB388" s="50">
        <v>20.0</v>
      </c>
      <c r="BC388" s="50">
        <v>5.0</v>
      </c>
      <c r="BD388" s="50">
        <v>6.0</v>
      </c>
      <c r="BE388" s="50">
        <v>0.0</v>
      </c>
      <c r="BF388" s="50">
        <v>0.0</v>
      </c>
      <c r="BG388" s="50">
        <v>0.0</v>
      </c>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50">
        <v>7.1092221E8</v>
      </c>
      <c r="CL388" s="48" t="s">
        <v>4535</v>
      </c>
      <c r="CM388" s="47">
        <v>46111.47274305556</v>
      </c>
      <c r="CN388" s="48"/>
      <c r="CO388" s="48"/>
      <c r="CP388" s="48" t="s">
        <v>1954</v>
      </c>
      <c r="CQ388" s="48"/>
      <c r="CR388" s="48" t="s">
        <v>3014</v>
      </c>
      <c r="CS388" s="48"/>
      <c r="CT388" s="48" t="s">
        <v>4536</v>
      </c>
      <c r="CU388" s="50">
        <v>387.0</v>
      </c>
    </row>
    <row r="389">
      <c r="A389" s="47">
        <v>46111.84771076389</v>
      </c>
      <c r="B389" s="47">
        <v>46111.85302173611</v>
      </c>
      <c r="C389" s="48" t="s">
        <v>1204</v>
      </c>
      <c r="D389" s="48" t="s">
        <v>1923</v>
      </c>
      <c r="E389" s="48" t="s">
        <v>1924</v>
      </c>
      <c r="F389" s="48" t="s">
        <v>2088</v>
      </c>
      <c r="G389" s="49" t="s">
        <v>2322</v>
      </c>
      <c r="H389" s="48" t="s">
        <v>3369</v>
      </c>
      <c r="I389" s="50">
        <v>1.0</v>
      </c>
      <c r="J389" s="50">
        <v>0.0</v>
      </c>
      <c r="K389" s="50">
        <v>0.0</v>
      </c>
      <c r="L389" s="50">
        <v>0.0</v>
      </c>
      <c r="M389" s="50">
        <v>0.0</v>
      </c>
      <c r="N389" s="50">
        <v>0.0</v>
      </c>
      <c r="O389" s="50">
        <v>1.0</v>
      </c>
      <c r="P389" s="50">
        <v>0.0</v>
      </c>
      <c r="Q389" s="50">
        <v>0.0</v>
      </c>
      <c r="R389" s="48" t="s">
        <v>3711</v>
      </c>
      <c r="S389" s="50">
        <v>1.0</v>
      </c>
      <c r="T389" s="50">
        <v>0.0</v>
      </c>
      <c r="U389" s="50">
        <v>0.0</v>
      </c>
      <c r="V389" s="50">
        <v>0.0</v>
      </c>
      <c r="W389" s="50">
        <v>0.0</v>
      </c>
      <c r="X389" s="50">
        <v>0.0</v>
      </c>
      <c r="Y389" s="50">
        <v>1.0</v>
      </c>
      <c r="Z389" s="50">
        <v>1.0</v>
      </c>
      <c r="AA389" s="50">
        <v>0.0</v>
      </c>
      <c r="AB389" s="48" t="s">
        <v>3369</v>
      </c>
      <c r="AC389" s="50">
        <v>1.0</v>
      </c>
      <c r="AD389" s="50">
        <v>0.0</v>
      </c>
      <c r="AE389" s="50">
        <v>0.0</v>
      </c>
      <c r="AF389" s="50">
        <v>0.0</v>
      </c>
      <c r="AG389" s="50">
        <v>0.0</v>
      </c>
      <c r="AH389" s="50">
        <v>0.0</v>
      </c>
      <c r="AI389" s="50">
        <v>1.0</v>
      </c>
      <c r="AJ389" s="50">
        <v>0.0</v>
      </c>
      <c r="AK389" s="50">
        <v>0.0</v>
      </c>
      <c r="AL389" s="48"/>
      <c r="AM389" s="50">
        <v>2.0</v>
      </c>
      <c r="AN389" s="48"/>
      <c r="AO389" s="48"/>
      <c r="AP389" s="48"/>
      <c r="AQ389" s="48"/>
      <c r="AR389" s="48"/>
      <c r="AS389" s="50">
        <v>-2.0</v>
      </c>
      <c r="AT389" s="48"/>
      <c r="AU389" s="48"/>
      <c r="AV389" s="50">
        <v>5.0</v>
      </c>
      <c r="AW389" s="48"/>
      <c r="AX389" s="48"/>
      <c r="AY389" s="48"/>
      <c r="AZ389" s="48"/>
      <c r="BA389" s="48"/>
      <c r="BB389" s="50">
        <v>4.0</v>
      </c>
      <c r="BC389" s="50">
        <v>12.0</v>
      </c>
      <c r="BD389" s="50">
        <v>3.0</v>
      </c>
      <c r="BE389" s="50">
        <v>0.0</v>
      </c>
      <c r="BF389" s="50">
        <v>0.0</v>
      </c>
      <c r="BG389" s="50">
        <v>0.0</v>
      </c>
      <c r="BH389" s="48"/>
      <c r="BI389" s="48"/>
      <c r="BJ389" s="48"/>
      <c r="BK389" s="48"/>
      <c r="BL389" s="48"/>
      <c r="BM389" s="48"/>
      <c r="BN389" s="48"/>
      <c r="BO389" s="48"/>
      <c r="BP389" s="48"/>
      <c r="BQ389" s="48"/>
      <c r="BR389" s="48"/>
      <c r="BS389" s="48"/>
      <c r="BT389" s="48"/>
      <c r="BU389" s="48"/>
      <c r="BV389" s="48"/>
      <c r="BW389" s="48"/>
      <c r="BX389" s="48"/>
      <c r="BY389" s="48"/>
      <c r="BZ389" s="48"/>
      <c r="CA389" s="48"/>
      <c r="CB389" s="50">
        <v>0.0</v>
      </c>
      <c r="CC389" s="50">
        <v>0.0</v>
      </c>
      <c r="CD389" s="50">
        <v>26.0</v>
      </c>
      <c r="CE389" s="50">
        <v>0.0</v>
      </c>
      <c r="CF389" s="48"/>
      <c r="CG389" s="48"/>
      <c r="CH389" s="48"/>
      <c r="CI389" s="48"/>
      <c r="CJ389" s="48"/>
      <c r="CK389" s="50">
        <v>7.10931569E8</v>
      </c>
      <c r="CL389" s="48" t="s">
        <v>4537</v>
      </c>
      <c r="CM389" s="47">
        <v>46111.47805555556</v>
      </c>
      <c r="CN389" s="48"/>
      <c r="CO389" s="48"/>
      <c r="CP389" s="48" t="s">
        <v>1954</v>
      </c>
      <c r="CQ389" s="48"/>
      <c r="CR389" s="48" t="s">
        <v>3014</v>
      </c>
      <c r="CS389" s="48"/>
      <c r="CT389" s="48" t="s">
        <v>4538</v>
      </c>
      <c r="CU389" s="50">
        <v>388.0</v>
      </c>
    </row>
    <row r="390">
      <c r="A390" s="47">
        <v>46111.85302190972</v>
      </c>
      <c r="B390" s="47">
        <v>46111.85544913194</v>
      </c>
      <c r="C390" s="48" t="s">
        <v>4539</v>
      </c>
      <c r="D390" s="48" t="s">
        <v>1923</v>
      </c>
      <c r="E390" s="48" t="s">
        <v>2113</v>
      </c>
      <c r="F390" s="48" t="s">
        <v>2227</v>
      </c>
      <c r="G390" s="49" t="s">
        <v>2304</v>
      </c>
      <c r="H390" s="48" t="s">
        <v>3711</v>
      </c>
      <c r="I390" s="50">
        <v>1.0</v>
      </c>
      <c r="J390" s="50">
        <v>0.0</v>
      </c>
      <c r="K390" s="50">
        <v>0.0</v>
      </c>
      <c r="L390" s="50">
        <v>0.0</v>
      </c>
      <c r="M390" s="50">
        <v>0.0</v>
      </c>
      <c r="N390" s="50">
        <v>0.0</v>
      </c>
      <c r="O390" s="50">
        <v>1.0</v>
      </c>
      <c r="P390" s="50">
        <v>1.0</v>
      </c>
      <c r="Q390" s="50">
        <v>0.0</v>
      </c>
      <c r="R390" s="48" t="s">
        <v>2947</v>
      </c>
      <c r="S390" s="50">
        <v>1.0</v>
      </c>
      <c r="T390" s="50">
        <v>0.0</v>
      </c>
      <c r="U390" s="50">
        <v>0.0</v>
      </c>
      <c r="V390" s="50">
        <v>0.0</v>
      </c>
      <c r="W390" s="50">
        <v>0.0</v>
      </c>
      <c r="X390" s="50">
        <v>0.0</v>
      </c>
      <c r="Y390" s="50">
        <v>0.0</v>
      </c>
      <c r="Z390" s="50">
        <v>0.0</v>
      </c>
      <c r="AA390" s="50">
        <v>0.0</v>
      </c>
      <c r="AB390" s="48" t="s">
        <v>3034</v>
      </c>
      <c r="AC390" s="50">
        <v>0.0</v>
      </c>
      <c r="AD390" s="50">
        <v>0.0</v>
      </c>
      <c r="AE390" s="50">
        <v>0.0</v>
      </c>
      <c r="AF390" s="50">
        <v>0.0</v>
      </c>
      <c r="AG390" s="50">
        <v>0.0</v>
      </c>
      <c r="AH390" s="50">
        <v>0.0</v>
      </c>
      <c r="AI390" s="50">
        <v>1.0</v>
      </c>
      <c r="AJ390" s="50">
        <v>0.0</v>
      </c>
      <c r="AK390" s="50">
        <v>0.0</v>
      </c>
      <c r="AL390" s="48"/>
      <c r="AM390" s="50">
        <v>2.0</v>
      </c>
      <c r="AN390" s="48"/>
      <c r="AO390" s="48"/>
      <c r="AP390" s="48"/>
      <c r="AQ390" s="48"/>
      <c r="AR390" s="48"/>
      <c r="AS390" s="50">
        <v>10.0</v>
      </c>
      <c r="AT390" s="50">
        <v>5.0</v>
      </c>
      <c r="AU390" s="48"/>
      <c r="AV390" s="50">
        <v>2.0</v>
      </c>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50">
        <v>0.0</v>
      </c>
      <c r="CC390" s="50">
        <v>0.0</v>
      </c>
      <c r="CD390" s="50">
        <v>10.0</v>
      </c>
      <c r="CE390" s="50">
        <v>0.0</v>
      </c>
      <c r="CF390" s="48"/>
      <c r="CG390" s="48"/>
      <c r="CH390" s="48"/>
      <c r="CI390" s="48"/>
      <c r="CJ390" s="48"/>
      <c r="CK390" s="50">
        <v>7.10935687E8</v>
      </c>
      <c r="CL390" s="48" t="s">
        <v>4540</v>
      </c>
      <c r="CM390" s="47">
        <v>46111.48047453703</v>
      </c>
      <c r="CN390" s="48"/>
      <c r="CO390" s="48"/>
      <c r="CP390" s="48" t="s">
        <v>1954</v>
      </c>
      <c r="CQ390" s="48"/>
      <c r="CR390" s="48" t="s">
        <v>3014</v>
      </c>
      <c r="CS390" s="48"/>
      <c r="CT390" s="48" t="s">
        <v>4541</v>
      </c>
      <c r="CU390" s="50">
        <v>389.0</v>
      </c>
    </row>
    <row r="391">
      <c r="A391" s="47">
        <v>46111.85544931713</v>
      </c>
      <c r="B391" s="47">
        <v>46111.85698796296</v>
      </c>
      <c r="C391" s="48" t="s">
        <v>2283</v>
      </c>
      <c r="D391" s="48" t="s">
        <v>1923</v>
      </c>
      <c r="E391" s="48" t="s">
        <v>1962</v>
      </c>
      <c r="F391" s="48" t="s">
        <v>1963</v>
      </c>
      <c r="G391" s="49" t="s">
        <v>2286</v>
      </c>
      <c r="H391" s="48" t="s">
        <v>3711</v>
      </c>
      <c r="I391" s="50">
        <v>1.0</v>
      </c>
      <c r="J391" s="50">
        <v>0.0</v>
      </c>
      <c r="K391" s="50">
        <v>0.0</v>
      </c>
      <c r="L391" s="50">
        <v>0.0</v>
      </c>
      <c r="M391" s="50">
        <v>0.0</v>
      </c>
      <c r="N391" s="50">
        <v>0.0</v>
      </c>
      <c r="O391" s="50">
        <v>1.0</v>
      </c>
      <c r="P391" s="50">
        <v>1.0</v>
      </c>
      <c r="Q391" s="50">
        <v>0.0</v>
      </c>
      <c r="R391" s="48" t="s">
        <v>3711</v>
      </c>
      <c r="S391" s="50">
        <v>1.0</v>
      </c>
      <c r="T391" s="50">
        <v>0.0</v>
      </c>
      <c r="U391" s="50">
        <v>0.0</v>
      </c>
      <c r="V391" s="50">
        <v>0.0</v>
      </c>
      <c r="W391" s="50">
        <v>0.0</v>
      </c>
      <c r="X391" s="50">
        <v>0.0</v>
      </c>
      <c r="Y391" s="50">
        <v>1.0</v>
      </c>
      <c r="Z391" s="50">
        <v>1.0</v>
      </c>
      <c r="AA391" s="50">
        <v>0.0</v>
      </c>
      <c r="AB391" s="48" t="s">
        <v>3711</v>
      </c>
      <c r="AC391" s="50">
        <v>1.0</v>
      </c>
      <c r="AD391" s="50">
        <v>0.0</v>
      </c>
      <c r="AE391" s="50">
        <v>0.0</v>
      </c>
      <c r="AF391" s="50">
        <v>0.0</v>
      </c>
      <c r="AG391" s="50">
        <v>0.0</v>
      </c>
      <c r="AH391" s="50">
        <v>0.0</v>
      </c>
      <c r="AI391" s="50">
        <v>1.0</v>
      </c>
      <c r="AJ391" s="50">
        <v>1.0</v>
      </c>
      <c r="AK391" s="50">
        <v>0.0</v>
      </c>
      <c r="AL391" s="48"/>
      <c r="AM391" s="50">
        <v>4.0</v>
      </c>
      <c r="AN391" s="48"/>
      <c r="AO391" s="48"/>
      <c r="AP391" s="48"/>
      <c r="AQ391" s="48"/>
      <c r="AR391" s="48"/>
      <c r="AS391" s="50">
        <v>10.0</v>
      </c>
      <c r="AT391" s="50">
        <v>2.0</v>
      </c>
      <c r="AU391" s="48"/>
      <c r="AV391" s="50">
        <v>12.0</v>
      </c>
      <c r="AW391" s="48"/>
      <c r="AX391" s="48"/>
      <c r="AY391" s="48"/>
      <c r="AZ391" s="48"/>
      <c r="BA391" s="48"/>
      <c r="BB391" s="50">
        <v>5.0</v>
      </c>
      <c r="BC391" s="50">
        <v>2.0</v>
      </c>
      <c r="BD391" s="50">
        <v>1.0</v>
      </c>
      <c r="BE391" s="50">
        <v>0.0</v>
      </c>
      <c r="BF391" s="50">
        <v>0.0</v>
      </c>
      <c r="BG391" s="50">
        <v>0.0</v>
      </c>
      <c r="BH391" s="48"/>
      <c r="BI391" s="48"/>
      <c r="BJ391" s="48"/>
      <c r="BK391" s="48"/>
      <c r="BL391" s="48"/>
      <c r="BM391" s="48"/>
      <c r="BN391" s="48"/>
      <c r="BO391" s="48"/>
      <c r="BP391" s="48"/>
      <c r="BQ391" s="48"/>
      <c r="BR391" s="48"/>
      <c r="BS391" s="48"/>
      <c r="BT391" s="48"/>
      <c r="BU391" s="48"/>
      <c r="BV391" s="48"/>
      <c r="BW391" s="48"/>
      <c r="BX391" s="48"/>
      <c r="BY391" s="48"/>
      <c r="BZ391" s="48"/>
      <c r="CA391" s="48"/>
      <c r="CB391" s="50">
        <v>0.0</v>
      </c>
      <c r="CC391" s="50">
        <v>0.0</v>
      </c>
      <c r="CD391" s="50">
        <v>0.0</v>
      </c>
      <c r="CE391" s="50">
        <v>15.0</v>
      </c>
      <c r="CF391" s="50">
        <v>0.0</v>
      </c>
      <c r="CG391" s="50">
        <v>0.0</v>
      </c>
      <c r="CH391" s="50">
        <v>3.0</v>
      </c>
      <c r="CI391" s="50">
        <v>0.0</v>
      </c>
      <c r="CJ391" s="48"/>
      <c r="CK391" s="50">
        <v>7.10938479E8</v>
      </c>
      <c r="CL391" s="48" t="s">
        <v>4542</v>
      </c>
      <c r="CM391" s="47">
        <v>46111.48201388889</v>
      </c>
      <c r="CN391" s="48"/>
      <c r="CO391" s="48"/>
      <c r="CP391" s="48" t="s">
        <v>1954</v>
      </c>
      <c r="CQ391" s="48"/>
      <c r="CR391" s="48" t="s">
        <v>3014</v>
      </c>
      <c r="CS391" s="48"/>
      <c r="CT391" s="48" t="s">
        <v>4543</v>
      </c>
      <c r="CU391" s="50">
        <v>390.0</v>
      </c>
    </row>
    <row r="392">
      <c r="A392" s="47">
        <v>46111.85698813658</v>
      </c>
      <c r="B392" s="47">
        <v>46111.85823027778</v>
      </c>
      <c r="C392" s="48" t="s">
        <v>3715</v>
      </c>
      <c r="D392" s="48" t="s">
        <v>1923</v>
      </c>
      <c r="E392" s="48" t="s">
        <v>2113</v>
      </c>
      <c r="F392" s="48" t="s">
        <v>2249</v>
      </c>
      <c r="G392" s="49" t="s">
        <v>2268</v>
      </c>
      <c r="H392" s="48" t="s">
        <v>2947</v>
      </c>
      <c r="I392" s="50">
        <v>1.0</v>
      </c>
      <c r="J392" s="50">
        <v>0.0</v>
      </c>
      <c r="K392" s="50">
        <v>0.0</v>
      </c>
      <c r="L392" s="50">
        <v>0.0</v>
      </c>
      <c r="M392" s="50">
        <v>0.0</v>
      </c>
      <c r="N392" s="50">
        <v>0.0</v>
      </c>
      <c r="O392" s="50">
        <v>0.0</v>
      </c>
      <c r="P392" s="50">
        <v>0.0</v>
      </c>
      <c r="Q392" s="50">
        <v>0.0</v>
      </c>
      <c r="R392" s="48" t="s">
        <v>2947</v>
      </c>
      <c r="S392" s="50">
        <v>1.0</v>
      </c>
      <c r="T392" s="50">
        <v>0.0</v>
      </c>
      <c r="U392" s="50">
        <v>0.0</v>
      </c>
      <c r="V392" s="50">
        <v>0.0</v>
      </c>
      <c r="W392" s="50">
        <v>0.0</v>
      </c>
      <c r="X392" s="50">
        <v>0.0</v>
      </c>
      <c r="Y392" s="50">
        <v>0.0</v>
      </c>
      <c r="Z392" s="50">
        <v>0.0</v>
      </c>
      <c r="AA392" s="50">
        <v>0.0</v>
      </c>
      <c r="AB392" s="48" t="s">
        <v>999</v>
      </c>
      <c r="AC392" s="50">
        <v>0.0</v>
      </c>
      <c r="AD392" s="50">
        <v>0.0</v>
      </c>
      <c r="AE392" s="50">
        <v>0.0</v>
      </c>
      <c r="AF392" s="50">
        <v>0.0</v>
      </c>
      <c r="AG392" s="50">
        <v>0.0</v>
      </c>
      <c r="AH392" s="50">
        <v>0.0</v>
      </c>
      <c r="AI392" s="50">
        <v>0.0</v>
      </c>
      <c r="AJ392" s="50">
        <v>0.0</v>
      </c>
      <c r="AK392" s="50">
        <v>1.0</v>
      </c>
      <c r="AL392" s="48"/>
      <c r="AM392" s="50">
        <v>3.0</v>
      </c>
      <c r="AN392" s="48"/>
      <c r="AO392" s="48"/>
      <c r="AP392" s="48"/>
      <c r="AQ392" s="48"/>
      <c r="AR392" s="48"/>
      <c r="AS392" s="48"/>
      <c r="AT392" s="48"/>
      <c r="AU392" s="48"/>
      <c r="AV392" s="50">
        <v>3.0</v>
      </c>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t="s">
        <v>4544</v>
      </c>
      <c r="CK392" s="50">
        <v>7.10940613E8</v>
      </c>
      <c r="CL392" s="48" t="s">
        <v>4545</v>
      </c>
      <c r="CM392" s="47">
        <v>46111.48337962963</v>
      </c>
      <c r="CN392" s="48"/>
      <c r="CO392" s="48"/>
      <c r="CP392" s="48" t="s">
        <v>1954</v>
      </c>
      <c r="CQ392" s="48"/>
      <c r="CR392" s="48" t="s">
        <v>3014</v>
      </c>
      <c r="CS392" s="48"/>
      <c r="CT392" s="48" t="s">
        <v>4546</v>
      </c>
      <c r="CU392" s="50">
        <v>391.0</v>
      </c>
    </row>
    <row r="393">
      <c r="A393" s="47">
        <v>46111.85823045139</v>
      </c>
      <c r="B393" s="47">
        <v>46111.85968858796</v>
      </c>
      <c r="C393" s="48" t="s">
        <v>3710</v>
      </c>
      <c r="D393" s="48" t="s">
        <v>1923</v>
      </c>
      <c r="E393" s="48" t="s">
        <v>2113</v>
      </c>
      <c r="F393" s="48" t="s">
        <v>2249</v>
      </c>
      <c r="G393" s="49" t="s">
        <v>2250</v>
      </c>
      <c r="H393" s="48" t="s">
        <v>3336</v>
      </c>
      <c r="I393" s="50">
        <v>1.0</v>
      </c>
      <c r="J393" s="50">
        <v>0.0</v>
      </c>
      <c r="K393" s="50">
        <v>0.0</v>
      </c>
      <c r="L393" s="50">
        <v>0.0</v>
      </c>
      <c r="M393" s="50">
        <v>0.0</v>
      </c>
      <c r="N393" s="50">
        <v>1.0</v>
      </c>
      <c r="O393" s="50">
        <v>0.0</v>
      </c>
      <c r="P393" s="50">
        <v>0.0</v>
      </c>
      <c r="Q393" s="50">
        <v>0.0</v>
      </c>
      <c r="R393" s="48" t="s">
        <v>3711</v>
      </c>
      <c r="S393" s="50">
        <v>1.0</v>
      </c>
      <c r="T393" s="50">
        <v>0.0</v>
      </c>
      <c r="U393" s="50">
        <v>0.0</v>
      </c>
      <c r="V393" s="50">
        <v>0.0</v>
      </c>
      <c r="W393" s="50">
        <v>0.0</v>
      </c>
      <c r="X393" s="50">
        <v>0.0</v>
      </c>
      <c r="Y393" s="50">
        <v>1.0</v>
      </c>
      <c r="Z393" s="50">
        <v>1.0</v>
      </c>
      <c r="AA393" s="50">
        <v>0.0</v>
      </c>
      <c r="AB393" s="48" t="s">
        <v>999</v>
      </c>
      <c r="AC393" s="50">
        <v>0.0</v>
      </c>
      <c r="AD393" s="50">
        <v>0.0</v>
      </c>
      <c r="AE393" s="50">
        <v>0.0</v>
      </c>
      <c r="AF393" s="50">
        <v>0.0</v>
      </c>
      <c r="AG393" s="50">
        <v>0.0</v>
      </c>
      <c r="AH393" s="50">
        <v>0.0</v>
      </c>
      <c r="AI393" s="50">
        <v>0.0</v>
      </c>
      <c r="AJ393" s="50">
        <v>0.0</v>
      </c>
      <c r="AK393" s="50">
        <v>1.0</v>
      </c>
      <c r="AL393" s="48"/>
      <c r="AM393" s="50">
        <v>2.0</v>
      </c>
      <c r="AN393" s="48"/>
      <c r="AO393" s="48"/>
      <c r="AP393" s="48"/>
      <c r="AQ393" s="48"/>
      <c r="AR393" s="50">
        <v>6.0</v>
      </c>
      <c r="AS393" s="48"/>
      <c r="AT393" s="48"/>
      <c r="AU393" s="48"/>
      <c r="AV393" s="50">
        <v>12.0</v>
      </c>
      <c r="AW393" s="48"/>
      <c r="AX393" s="48"/>
      <c r="AY393" s="48"/>
      <c r="AZ393" s="48"/>
      <c r="BA393" s="48"/>
      <c r="BB393" s="50">
        <v>15.0</v>
      </c>
      <c r="BC393" s="50">
        <v>3.0</v>
      </c>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50">
        <v>7.10942771E8</v>
      </c>
      <c r="CL393" s="48" t="s">
        <v>4547</v>
      </c>
      <c r="CM393" s="47">
        <v>46111.48471064815</v>
      </c>
      <c r="CN393" s="48"/>
      <c r="CO393" s="48"/>
      <c r="CP393" s="48" t="s">
        <v>1954</v>
      </c>
      <c r="CQ393" s="48"/>
      <c r="CR393" s="48" t="s">
        <v>3014</v>
      </c>
      <c r="CS393" s="48"/>
      <c r="CT393" s="48" t="s">
        <v>4548</v>
      </c>
      <c r="CU393" s="50">
        <v>392.0</v>
      </c>
    </row>
    <row r="394">
      <c r="A394" s="47">
        <v>46111.8596887963</v>
      </c>
      <c r="B394" s="47">
        <v>46111.86104700231</v>
      </c>
      <c r="C394" s="48" t="s">
        <v>3726</v>
      </c>
      <c r="D394" s="48" t="s">
        <v>1923</v>
      </c>
      <c r="E394" s="48" t="s">
        <v>2227</v>
      </c>
      <c r="F394" s="48" t="s">
        <v>2228</v>
      </c>
      <c r="G394" s="49" t="s">
        <v>2229</v>
      </c>
      <c r="H394" s="48" t="s">
        <v>3369</v>
      </c>
      <c r="I394" s="50">
        <v>1.0</v>
      </c>
      <c r="J394" s="50">
        <v>0.0</v>
      </c>
      <c r="K394" s="50">
        <v>0.0</v>
      </c>
      <c r="L394" s="50">
        <v>0.0</v>
      </c>
      <c r="M394" s="50">
        <v>0.0</v>
      </c>
      <c r="N394" s="50">
        <v>0.0</v>
      </c>
      <c r="O394" s="50">
        <v>1.0</v>
      </c>
      <c r="P394" s="50">
        <v>0.0</v>
      </c>
      <c r="Q394" s="50">
        <v>0.0</v>
      </c>
      <c r="R394" s="48" t="s">
        <v>3369</v>
      </c>
      <c r="S394" s="50">
        <v>1.0</v>
      </c>
      <c r="T394" s="50">
        <v>0.0</v>
      </c>
      <c r="U394" s="50">
        <v>0.0</v>
      </c>
      <c r="V394" s="50">
        <v>0.0</v>
      </c>
      <c r="W394" s="50">
        <v>0.0</v>
      </c>
      <c r="X394" s="50">
        <v>0.0</v>
      </c>
      <c r="Y394" s="50">
        <v>1.0</v>
      </c>
      <c r="Z394" s="50">
        <v>0.0</v>
      </c>
      <c r="AA394" s="50">
        <v>0.0</v>
      </c>
      <c r="AB394" s="48" t="s">
        <v>999</v>
      </c>
      <c r="AC394" s="50">
        <v>0.0</v>
      </c>
      <c r="AD394" s="50">
        <v>0.0</v>
      </c>
      <c r="AE394" s="50">
        <v>0.0</v>
      </c>
      <c r="AF394" s="50">
        <v>0.0</v>
      </c>
      <c r="AG394" s="50">
        <v>0.0</v>
      </c>
      <c r="AH394" s="50">
        <v>0.0</v>
      </c>
      <c r="AI394" s="50">
        <v>0.0</v>
      </c>
      <c r="AJ394" s="50">
        <v>0.0</v>
      </c>
      <c r="AK394" s="50">
        <v>1.0</v>
      </c>
      <c r="AL394" s="48"/>
      <c r="AM394" s="50">
        <v>12.0</v>
      </c>
      <c r="AN394" s="48"/>
      <c r="AO394" s="48"/>
      <c r="AP394" s="48"/>
      <c r="AQ394" s="48"/>
      <c r="AR394" s="48"/>
      <c r="AS394" s="50">
        <v>40.0</v>
      </c>
      <c r="AT394" s="48"/>
      <c r="AU394" s="48"/>
      <c r="AV394" s="50">
        <v>10.0</v>
      </c>
      <c r="AW394" s="48"/>
      <c r="AX394" s="48"/>
      <c r="AY394" s="48"/>
      <c r="AZ394" s="48"/>
      <c r="BA394" s="48"/>
      <c r="BB394" s="50">
        <v>40.0</v>
      </c>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50">
        <v>7.10944992E8</v>
      </c>
      <c r="CL394" s="48" t="s">
        <v>4549</v>
      </c>
      <c r="CM394" s="47">
        <v>46111.48607638889</v>
      </c>
      <c r="CN394" s="48"/>
      <c r="CO394" s="48"/>
      <c r="CP394" s="48" t="s">
        <v>1954</v>
      </c>
      <c r="CQ394" s="48"/>
      <c r="CR394" s="48" t="s">
        <v>3014</v>
      </c>
      <c r="CS394" s="48"/>
      <c r="CT394" s="48" t="s">
        <v>4550</v>
      </c>
      <c r="CU394" s="50">
        <v>393.0</v>
      </c>
    </row>
    <row r="395">
      <c r="A395" s="47">
        <v>46111.86104716436</v>
      </c>
      <c r="B395" s="47">
        <v>46111.86285405092</v>
      </c>
      <c r="C395" s="48" t="s">
        <v>3721</v>
      </c>
      <c r="D395" s="48" t="s">
        <v>1923</v>
      </c>
      <c r="E395" s="48" t="s">
        <v>1962</v>
      </c>
      <c r="F395" s="48" t="s">
        <v>2060</v>
      </c>
      <c r="G395" s="49" t="s">
        <v>2063</v>
      </c>
      <c r="H395" s="48" t="s">
        <v>3369</v>
      </c>
      <c r="I395" s="50">
        <v>1.0</v>
      </c>
      <c r="J395" s="50">
        <v>0.0</v>
      </c>
      <c r="K395" s="50">
        <v>0.0</v>
      </c>
      <c r="L395" s="50">
        <v>0.0</v>
      </c>
      <c r="M395" s="50">
        <v>0.0</v>
      </c>
      <c r="N395" s="50">
        <v>0.0</v>
      </c>
      <c r="O395" s="50">
        <v>1.0</v>
      </c>
      <c r="P395" s="50">
        <v>0.0</v>
      </c>
      <c r="Q395" s="50">
        <v>0.0</v>
      </c>
      <c r="R395" s="48" t="s">
        <v>3723</v>
      </c>
      <c r="S395" s="50">
        <v>0.0</v>
      </c>
      <c r="T395" s="50">
        <v>0.0</v>
      </c>
      <c r="U395" s="50">
        <v>0.0</v>
      </c>
      <c r="V395" s="50">
        <v>0.0</v>
      </c>
      <c r="W395" s="50">
        <v>1.0</v>
      </c>
      <c r="X395" s="50">
        <v>0.0</v>
      </c>
      <c r="Y395" s="50">
        <v>0.0</v>
      </c>
      <c r="Z395" s="50">
        <v>1.0</v>
      </c>
      <c r="AA395" s="50">
        <v>0.0</v>
      </c>
      <c r="AB395" s="48" t="s">
        <v>999</v>
      </c>
      <c r="AC395" s="50">
        <v>0.0</v>
      </c>
      <c r="AD395" s="50">
        <v>0.0</v>
      </c>
      <c r="AE395" s="50">
        <v>0.0</v>
      </c>
      <c r="AF395" s="50">
        <v>0.0</v>
      </c>
      <c r="AG395" s="50">
        <v>0.0</v>
      </c>
      <c r="AH395" s="50">
        <v>0.0</v>
      </c>
      <c r="AI395" s="50">
        <v>0.0</v>
      </c>
      <c r="AJ395" s="50">
        <v>0.0</v>
      </c>
      <c r="AK395" s="50">
        <v>1.0</v>
      </c>
      <c r="AL395" s="48"/>
      <c r="AM395" s="50">
        <v>3.0</v>
      </c>
      <c r="AN395" s="48"/>
      <c r="AO395" s="48"/>
      <c r="AP395" s="48"/>
      <c r="AQ395" s="48"/>
      <c r="AR395" s="48"/>
      <c r="AS395" s="50">
        <v>2.0</v>
      </c>
      <c r="AT395" s="48"/>
      <c r="AU395" s="48"/>
      <c r="AV395" s="48"/>
      <c r="AW395" s="48"/>
      <c r="AX395" s="48"/>
      <c r="AY395" s="48"/>
      <c r="AZ395" s="50">
        <v>4.0</v>
      </c>
      <c r="BA395" s="48"/>
      <c r="BB395" s="48"/>
      <c r="BC395" s="50">
        <v>4.0</v>
      </c>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50">
        <v>7.10947926E8</v>
      </c>
      <c r="CL395" s="48" t="s">
        <v>4551</v>
      </c>
      <c r="CM395" s="47">
        <v>46111.48788194444</v>
      </c>
      <c r="CN395" s="48"/>
      <c r="CO395" s="48"/>
      <c r="CP395" s="48" t="s">
        <v>1954</v>
      </c>
      <c r="CQ395" s="48"/>
      <c r="CR395" s="48" t="s">
        <v>3014</v>
      </c>
      <c r="CS395" s="48"/>
      <c r="CT395" s="48" t="s">
        <v>4552</v>
      </c>
      <c r="CU395" s="50">
        <v>394.0</v>
      </c>
    </row>
    <row r="396">
      <c r="A396" s="47">
        <v>46111.86285428241</v>
      </c>
      <c r="B396" s="47">
        <v>46111.86560306713</v>
      </c>
      <c r="C396" s="48" t="s">
        <v>1959</v>
      </c>
      <c r="D396" s="48" t="s">
        <v>1923</v>
      </c>
      <c r="E396" s="48" t="s">
        <v>1962</v>
      </c>
      <c r="F396" s="48" t="s">
        <v>1963</v>
      </c>
      <c r="G396" s="49" t="s">
        <v>1966</v>
      </c>
      <c r="H396" s="48" t="s">
        <v>3711</v>
      </c>
      <c r="I396" s="50">
        <v>1.0</v>
      </c>
      <c r="J396" s="50">
        <v>0.0</v>
      </c>
      <c r="K396" s="50">
        <v>0.0</v>
      </c>
      <c r="L396" s="50">
        <v>0.0</v>
      </c>
      <c r="M396" s="50">
        <v>0.0</v>
      </c>
      <c r="N396" s="50">
        <v>0.0</v>
      </c>
      <c r="O396" s="50">
        <v>1.0</v>
      </c>
      <c r="P396" s="50">
        <v>1.0</v>
      </c>
      <c r="Q396" s="50">
        <v>0.0</v>
      </c>
      <c r="R396" s="48" t="s">
        <v>3711</v>
      </c>
      <c r="S396" s="50">
        <v>1.0</v>
      </c>
      <c r="T396" s="50">
        <v>0.0</v>
      </c>
      <c r="U396" s="50">
        <v>0.0</v>
      </c>
      <c r="V396" s="50">
        <v>0.0</v>
      </c>
      <c r="W396" s="50">
        <v>0.0</v>
      </c>
      <c r="X396" s="50">
        <v>0.0</v>
      </c>
      <c r="Y396" s="50">
        <v>1.0</v>
      </c>
      <c r="Z396" s="50">
        <v>1.0</v>
      </c>
      <c r="AA396" s="50">
        <v>0.0</v>
      </c>
      <c r="AB396" s="48" t="s">
        <v>999</v>
      </c>
      <c r="AC396" s="50">
        <v>0.0</v>
      </c>
      <c r="AD396" s="50">
        <v>0.0</v>
      </c>
      <c r="AE396" s="50">
        <v>0.0</v>
      </c>
      <c r="AF396" s="50">
        <v>0.0</v>
      </c>
      <c r="AG396" s="50">
        <v>0.0</v>
      </c>
      <c r="AH396" s="50">
        <v>0.0</v>
      </c>
      <c r="AI396" s="50">
        <v>0.0</v>
      </c>
      <c r="AJ396" s="50">
        <v>0.0</v>
      </c>
      <c r="AK396" s="50">
        <v>1.0</v>
      </c>
      <c r="AL396" s="48"/>
      <c r="AM396" s="50">
        <v>3.0</v>
      </c>
      <c r="AN396" s="48"/>
      <c r="AO396" s="48"/>
      <c r="AP396" s="48"/>
      <c r="AQ396" s="48"/>
      <c r="AR396" s="48"/>
      <c r="AS396" s="50">
        <v>4.0</v>
      </c>
      <c r="AT396" s="50">
        <v>2.0</v>
      </c>
      <c r="AU396" s="48"/>
      <c r="AV396" s="50">
        <v>4.0</v>
      </c>
      <c r="AW396" s="48"/>
      <c r="AX396" s="48"/>
      <c r="AY396" s="48"/>
      <c r="AZ396" s="48"/>
      <c r="BA396" s="48"/>
      <c r="BB396" s="50">
        <v>4.0</v>
      </c>
      <c r="BC396" s="50">
        <v>2.0</v>
      </c>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50">
        <v>7.10952473E8</v>
      </c>
      <c r="CL396" s="48" t="s">
        <v>4553</v>
      </c>
      <c r="CM396" s="47">
        <v>46111.49063657408</v>
      </c>
      <c r="CN396" s="48"/>
      <c r="CO396" s="48"/>
      <c r="CP396" s="48" t="s">
        <v>1954</v>
      </c>
      <c r="CQ396" s="48"/>
      <c r="CR396" s="48" t="s">
        <v>3014</v>
      </c>
      <c r="CS396" s="48"/>
      <c r="CT396" s="48" t="s">
        <v>4554</v>
      </c>
      <c r="CU396" s="50">
        <v>395.0</v>
      </c>
    </row>
    <row r="397">
      <c r="A397" s="47">
        <v>46095.32421107639</v>
      </c>
      <c r="B397" s="47">
        <v>46112.31273027778</v>
      </c>
      <c r="C397" s="48" t="s">
        <v>4555</v>
      </c>
      <c r="D397" s="48" t="s">
        <v>3733</v>
      </c>
      <c r="E397" s="48" t="s">
        <v>3734</v>
      </c>
      <c r="F397" s="48" t="s">
        <v>3735</v>
      </c>
      <c r="G397" s="49" t="s">
        <v>4556</v>
      </c>
      <c r="H397" s="48" t="s">
        <v>3743</v>
      </c>
      <c r="I397" s="50">
        <v>0.0</v>
      </c>
      <c r="J397" s="50">
        <v>1.0</v>
      </c>
      <c r="K397" s="50">
        <v>0.0</v>
      </c>
      <c r="L397" s="50">
        <v>0.0</v>
      </c>
      <c r="M397" s="50">
        <v>0.0</v>
      </c>
      <c r="N397" s="50">
        <v>0.0</v>
      </c>
      <c r="O397" s="50">
        <v>1.0</v>
      </c>
      <c r="P397" s="50">
        <v>0.0</v>
      </c>
      <c r="Q397" s="50">
        <v>0.0</v>
      </c>
      <c r="R397" s="48" t="s">
        <v>3743</v>
      </c>
      <c r="S397" s="50">
        <v>0.0</v>
      </c>
      <c r="T397" s="50">
        <v>1.0</v>
      </c>
      <c r="U397" s="50">
        <v>0.0</v>
      </c>
      <c r="V397" s="50">
        <v>0.0</v>
      </c>
      <c r="W397" s="50">
        <v>0.0</v>
      </c>
      <c r="X397" s="50">
        <v>0.0</v>
      </c>
      <c r="Y397" s="50">
        <v>1.0</v>
      </c>
      <c r="Z397" s="50">
        <v>0.0</v>
      </c>
      <c r="AA397" s="50">
        <v>0.0</v>
      </c>
      <c r="AB397" s="48" t="s">
        <v>3743</v>
      </c>
      <c r="AC397" s="50">
        <v>0.0</v>
      </c>
      <c r="AD397" s="50">
        <v>1.0</v>
      </c>
      <c r="AE397" s="50">
        <v>0.0</v>
      </c>
      <c r="AF397" s="50">
        <v>0.0</v>
      </c>
      <c r="AG397" s="50">
        <v>0.0</v>
      </c>
      <c r="AH397" s="50">
        <v>0.0</v>
      </c>
      <c r="AI397" s="50">
        <v>1.0</v>
      </c>
      <c r="AJ397" s="50">
        <v>0.0</v>
      </c>
      <c r="AK397" s="50">
        <v>0.0</v>
      </c>
      <c r="AL397" s="48"/>
      <c r="AM397" s="48"/>
      <c r="AN397" s="50">
        <v>5.0</v>
      </c>
      <c r="AO397" s="48"/>
      <c r="AP397" s="48"/>
      <c r="AQ397" s="48"/>
      <c r="AR397" s="48"/>
      <c r="AS397" s="50">
        <v>10.0</v>
      </c>
      <c r="AT397" s="48"/>
      <c r="AU397" s="48"/>
      <c r="AV397" s="48"/>
      <c r="AW397" s="50">
        <v>5.0</v>
      </c>
      <c r="AX397" s="48"/>
      <c r="AY397" s="48"/>
      <c r="AZ397" s="48"/>
      <c r="BA397" s="48"/>
      <c r="BB397" s="50">
        <v>10.0</v>
      </c>
      <c r="BC397" s="48"/>
      <c r="BD397" s="48"/>
      <c r="BE397" s="48"/>
      <c r="BF397" s="48"/>
      <c r="BG397" s="48"/>
      <c r="BH397" s="50">
        <v>4.0</v>
      </c>
      <c r="BI397" s="50">
        <v>2.0</v>
      </c>
      <c r="BJ397" s="50">
        <v>0.0</v>
      </c>
      <c r="BK397" s="50">
        <v>0.0</v>
      </c>
      <c r="BL397" s="48"/>
      <c r="BM397" s="48"/>
      <c r="BN397" s="48"/>
      <c r="BO397" s="48"/>
      <c r="BP397" s="48"/>
      <c r="BQ397" s="48"/>
      <c r="BR397" s="48"/>
      <c r="BS397" s="48"/>
      <c r="BT397" s="48"/>
      <c r="BU397" s="48"/>
      <c r="BV397" s="48"/>
      <c r="BW397" s="48"/>
      <c r="BX397" s="48"/>
      <c r="BY397" s="48"/>
      <c r="BZ397" s="48"/>
      <c r="CA397" s="48"/>
      <c r="CB397" s="50">
        <v>10.0</v>
      </c>
      <c r="CC397" s="50">
        <v>10.0</v>
      </c>
      <c r="CD397" s="50">
        <v>0.0</v>
      </c>
      <c r="CE397" s="50">
        <v>0.0</v>
      </c>
      <c r="CF397" s="48"/>
      <c r="CG397" s="48"/>
      <c r="CH397" s="48"/>
      <c r="CI397" s="48"/>
      <c r="CJ397" s="48" t="s">
        <v>4557</v>
      </c>
      <c r="CK397" s="50">
        <v>7.11491204E8</v>
      </c>
      <c r="CL397" s="48" t="s">
        <v>4558</v>
      </c>
      <c r="CM397" s="47">
        <v>46112.02107638889</v>
      </c>
      <c r="CN397" s="48"/>
      <c r="CO397" s="48"/>
      <c r="CP397" s="48" t="s">
        <v>1954</v>
      </c>
      <c r="CQ397" s="48"/>
      <c r="CR397" s="48" t="s">
        <v>3014</v>
      </c>
      <c r="CS397" s="48"/>
      <c r="CT397" s="48" t="s">
        <v>4559</v>
      </c>
      <c r="CU397" s="50">
        <v>396.0</v>
      </c>
    </row>
    <row r="398">
      <c r="A398" s="47">
        <v>46095.33699832176</v>
      </c>
      <c r="B398" s="47">
        <v>46112.31300608796</v>
      </c>
      <c r="C398" s="48" t="s">
        <v>4560</v>
      </c>
      <c r="D398" s="48" t="s">
        <v>3733</v>
      </c>
      <c r="E398" s="48" t="s">
        <v>3734</v>
      </c>
      <c r="F398" s="48" t="s">
        <v>3735</v>
      </c>
      <c r="G398" s="49" t="s">
        <v>4561</v>
      </c>
      <c r="H398" s="48" t="s">
        <v>3743</v>
      </c>
      <c r="I398" s="50">
        <v>0.0</v>
      </c>
      <c r="J398" s="50">
        <v>1.0</v>
      </c>
      <c r="K398" s="50">
        <v>0.0</v>
      </c>
      <c r="L398" s="50">
        <v>0.0</v>
      </c>
      <c r="M398" s="50">
        <v>0.0</v>
      </c>
      <c r="N398" s="50">
        <v>0.0</v>
      </c>
      <c r="O398" s="50">
        <v>1.0</v>
      </c>
      <c r="P398" s="50">
        <v>0.0</v>
      </c>
      <c r="Q398" s="50">
        <v>0.0</v>
      </c>
      <c r="R398" s="48" t="s">
        <v>3742</v>
      </c>
      <c r="S398" s="50">
        <v>1.0</v>
      </c>
      <c r="T398" s="50">
        <v>1.0</v>
      </c>
      <c r="U398" s="50">
        <v>0.0</v>
      </c>
      <c r="V398" s="50">
        <v>0.0</v>
      </c>
      <c r="W398" s="50">
        <v>0.0</v>
      </c>
      <c r="X398" s="50">
        <v>0.0</v>
      </c>
      <c r="Y398" s="50">
        <v>1.0</v>
      </c>
      <c r="Z398" s="50">
        <v>0.0</v>
      </c>
      <c r="AA398" s="50">
        <v>0.0</v>
      </c>
      <c r="AB398" s="48" t="s">
        <v>3742</v>
      </c>
      <c r="AC398" s="50">
        <v>1.0</v>
      </c>
      <c r="AD398" s="50">
        <v>1.0</v>
      </c>
      <c r="AE398" s="50">
        <v>0.0</v>
      </c>
      <c r="AF398" s="50">
        <v>0.0</v>
      </c>
      <c r="AG398" s="50">
        <v>0.0</v>
      </c>
      <c r="AH398" s="50">
        <v>0.0</v>
      </c>
      <c r="AI398" s="50">
        <v>1.0</v>
      </c>
      <c r="AJ398" s="50">
        <v>0.0</v>
      </c>
      <c r="AK398" s="50">
        <v>0.0</v>
      </c>
      <c r="AL398" s="48"/>
      <c r="AM398" s="48"/>
      <c r="AN398" s="50">
        <v>4.0</v>
      </c>
      <c r="AO398" s="48"/>
      <c r="AP398" s="48"/>
      <c r="AQ398" s="48"/>
      <c r="AR398" s="48"/>
      <c r="AS398" s="50">
        <v>4.0</v>
      </c>
      <c r="AT398" s="48"/>
      <c r="AU398" s="48"/>
      <c r="AV398" s="50">
        <v>1.0</v>
      </c>
      <c r="AW398" s="50">
        <v>6.0</v>
      </c>
      <c r="AX398" s="48"/>
      <c r="AY398" s="48"/>
      <c r="AZ398" s="48"/>
      <c r="BA398" s="48"/>
      <c r="BB398" s="50">
        <v>15.0</v>
      </c>
      <c r="BC398" s="48"/>
      <c r="BD398" s="50">
        <v>0.0</v>
      </c>
      <c r="BE398" s="50">
        <v>0.0</v>
      </c>
      <c r="BF398" s="50">
        <v>0.0</v>
      </c>
      <c r="BG398" s="50">
        <v>0.0</v>
      </c>
      <c r="BH398" s="50">
        <v>4.0</v>
      </c>
      <c r="BI398" s="50">
        <v>0.0</v>
      </c>
      <c r="BJ398" s="50">
        <v>0.0</v>
      </c>
      <c r="BK398" s="50">
        <v>0.0</v>
      </c>
      <c r="BL398" s="48"/>
      <c r="BM398" s="48"/>
      <c r="BN398" s="48"/>
      <c r="BO398" s="48"/>
      <c r="BP398" s="48"/>
      <c r="BQ398" s="48"/>
      <c r="BR398" s="48"/>
      <c r="BS398" s="48"/>
      <c r="BT398" s="48"/>
      <c r="BU398" s="48"/>
      <c r="BV398" s="48"/>
      <c r="BW398" s="48"/>
      <c r="BX398" s="48"/>
      <c r="BY398" s="48"/>
      <c r="BZ398" s="48"/>
      <c r="CA398" s="48"/>
      <c r="CB398" s="50">
        <v>0.0</v>
      </c>
      <c r="CC398" s="50">
        <v>2.0</v>
      </c>
      <c r="CD398" s="50">
        <v>2.0</v>
      </c>
      <c r="CE398" s="50">
        <v>0.0</v>
      </c>
      <c r="CF398" s="48"/>
      <c r="CG398" s="48"/>
      <c r="CH398" s="48"/>
      <c r="CI398" s="48"/>
      <c r="CJ398" s="48" t="s">
        <v>4562</v>
      </c>
      <c r="CK398" s="50">
        <v>7.11491322E8</v>
      </c>
      <c r="CL398" s="48" t="s">
        <v>4563</v>
      </c>
      <c r="CM398" s="47">
        <v>46112.02134259259</v>
      </c>
      <c r="CN398" s="48"/>
      <c r="CO398" s="48"/>
      <c r="CP398" s="48" t="s">
        <v>1954</v>
      </c>
      <c r="CQ398" s="48"/>
      <c r="CR398" s="48" t="s">
        <v>3014</v>
      </c>
      <c r="CS398" s="48"/>
      <c r="CT398" s="48" t="s">
        <v>4564</v>
      </c>
      <c r="CU398" s="50">
        <v>397.0</v>
      </c>
    </row>
    <row r="399">
      <c r="A399" s="47">
        <v>46095.35010283565</v>
      </c>
      <c r="B399" s="47">
        <v>46112.31324819444</v>
      </c>
      <c r="C399" s="48" t="s">
        <v>4565</v>
      </c>
      <c r="D399" s="48" t="s">
        <v>3733</v>
      </c>
      <c r="E399" s="48" t="s">
        <v>3734</v>
      </c>
      <c r="F399" s="48" t="s">
        <v>3735</v>
      </c>
      <c r="G399" s="49" t="s">
        <v>4566</v>
      </c>
      <c r="H399" s="48" t="s">
        <v>2948</v>
      </c>
      <c r="I399" s="50">
        <v>0.0</v>
      </c>
      <c r="J399" s="50">
        <v>1.0</v>
      </c>
      <c r="K399" s="50">
        <v>0.0</v>
      </c>
      <c r="L399" s="50">
        <v>0.0</v>
      </c>
      <c r="M399" s="50">
        <v>0.0</v>
      </c>
      <c r="N399" s="50">
        <v>0.0</v>
      </c>
      <c r="O399" s="50">
        <v>0.0</v>
      </c>
      <c r="P399" s="50">
        <v>0.0</v>
      </c>
      <c r="Q399" s="50">
        <v>0.0</v>
      </c>
      <c r="R399" s="48" t="s">
        <v>2949</v>
      </c>
      <c r="S399" s="50">
        <v>1.0</v>
      </c>
      <c r="T399" s="50">
        <v>1.0</v>
      </c>
      <c r="U399" s="50">
        <v>0.0</v>
      </c>
      <c r="V399" s="50">
        <v>0.0</v>
      </c>
      <c r="W399" s="50">
        <v>0.0</v>
      </c>
      <c r="X399" s="50">
        <v>0.0</v>
      </c>
      <c r="Y399" s="50">
        <v>0.0</v>
      </c>
      <c r="Z399" s="50">
        <v>0.0</v>
      </c>
      <c r="AA399" s="50">
        <v>0.0</v>
      </c>
      <c r="AB399" s="48" t="s">
        <v>2949</v>
      </c>
      <c r="AC399" s="50">
        <v>1.0</v>
      </c>
      <c r="AD399" s="50">
        <v>1.0</v>
      </c>
      <c r="AE399" s="50">
        <v>0.0</v>
      </c>
      <c r="AF399" s="50">
        <v>0.0</v>
      </c>
      <c r="AG399" s="50">
        <v>0.0</v>
      </c>
      <c r="AH399" s="50">
        <v>0.0</v>
      </c>
      <c r="AI399" s="50">
        <v>0.0</v>
      </c>
      <c r="AJ399" s="50">
        <v>0.0</v>
      </c>
      <c r="AK399" s="50">
        <v>0.0</v>
      </c>
      <c r="AL399" s="48"/>
      <c r="AM399" s="48"/>
      <c r="AN399" s="50">
        <v>3.0</v>
      </c>
      <c r="AO399" s="48"/>
      <c r="AP399" s="48"/>
      <c r="AQ399" s="48"/>
      <c r="AR399" s="48"/>
      <c r="AS399" s="48"/>
      <c r="AT399" s="48"/>
      <c r="AU399" s="48"/>
      <c r="AV399" s="50">
        <v>1.0</v>
      </c>
      <c r="AW399" s="50">
        <v>3.0</v>
      </c>
      <c r="AX399" s="48"/>
      <c r="AY399" s="48"/>
      <c r="AZ399" s="48"/>
      <c r="BA399" s="48"/>
      <c r="BB399" s="48"/>
      <c r="BC399" s="48"/>
      <c r="BD399" s="50">
        <v>1.0</v>
      </c>
      <c r="BE399" s="50">
        <v>1.0</v>
      </c>
      <c r="BF399" s="50">
        <v>0.0</v>
      </c>
      <c r="BG399" s="50">
        <v>0.0</v>
      </c>
      <c r="BH399" s="50">
        <v>0.0</v>
      </c>
      <c r="BI399" s="50">
        <v>0.0</v>
      </c>
      <c r="BJ399" s="50">
        <v>0.0</v>
      </c>
      <c r="BK399" s="50">
        <v>0.0</v>
      </c>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t="s">
        <v>4567</v>
      </c>
      <c r="CK399" s="50">
        <v>7.11491394E8</v>
      </c>
      <c r="CL399" s="48" t="s">
        <v>4568</v>
      </c>
      <c r="CM399" s="47">
        <v>46112.02158564814</v>
      </c>
      <c r="CN399" s="48"/>
      <c r="CO399" s="48"/>
      <c r="CP399" s="48" t="s">
        <v>1954</v>
      </c>
      <c r="CQ399" s="48"/>
      <c r="CR399" s="48" t="s">
        <v>3014</v>
      </c>
      <c r="CS399" s="48"/>
      <c r="CT399" s="48" t="s">
        <v>4569</v>
      </c>
      <c r="CU399" s="50">
        <v>398.0</v>
      </c>
    </row>
    <row r="400">
      <c r="A400" s="47">
        <v>46112.30210837963</v>
      </c>
      <c r="B400" s="47">
        <v>46112.37640728009</v>
      </c>
      <c r="C400" s="48" t="s">
        <v>4570</v>
      </c>
      <c r="D400" s="48" t="s">
        <v>3733</v>
      </c>
      <c r="E400" s="48" t="s">
        <v>3734</v>
      </c>
      <c r="F400" s="48" t="s">
        <v>3735</v>
      </c>
      <c r="G400" s="49" t="s">
        <v>4571</v>
      </c>
      <c r="H400" s="48" t="s">
        <v>3743</v>
      </c>
      <c r="I400" s="50">
        <v>0.0</v>
      </c>
      <c r="J400" s="50">
        <v>1.0</v>
      </c>
      <c r="K400" s="50">
        <v>0.0</v>
      </c>
      <c r="L400" s="50">
        <v>0.0</v>
      </c>
      <c r="M400" s="50">
        <v>0.0</v>
      </c>
      <c r="N400" s="50">
        <v>0.0</v>
      </c>
      <c r="O400" s="50">
        <v>1.0</v>
      </c>
      <c r="P400" s="50">
        <v>0.0</v>
      </c>
      <c r="Q400" s="50">
        <v>0.0</v>
      </c>
      <c r="R400" s="48" t="s">
        <v>3742</v>
      </c>
      <c r="S400" s="50">
        <v>1.0</v>
      </c>
      <c r="T400" s="50">
        <v>1.0</v>
      </c>
      <c r="U400" s="50">
        <v>0.0</v>
      </c>
      <c r="V400" s="50">
        <v>0.0</v>
      </c>
      <c r="W400" s="50">
        <v>0.0</v>
      </c>
      <c r="X400" s="50">
        <v>0.0</v>
      </c>
      <c r="Y400" s="50">
        <v>1.0</v>
      </c>
      <c r="Z400" s="50">
        <v>0.0</v>
      </c>
      <c r="AA400" s="50">
        <v>0.0</v>
      </c>
      <c r="AB400" s="48" t="s">
        <v>3742</v>
      </c>
      <c r="AC400" s="50">
        <v>1.0</v>
      </c>
      <c r="AD400" s="50">
        <v>1.0</v>
      </c>
      <c r="AE400" s="50">
        <v>0.0</v>
      </c>
      <c r="AF400" s="50">
        <v>0.0</v>
      </c>
      <c r="AG400" s="50">
        <v>0.0</v>
      </c>
      <c r="AH400" s="50">
        <v>0.0</v>
      </c>
      <c r="AI400" s="50">
        <v>1.0</v>
      </c>
      <c r="AJ400" s="50">
        <v>0.0</v>
      </c>
      <c r="AK400" s="50">
        <v>0.0</v>
      </c>
      <c r="AL400" s="48"/>
      <c r="AM400" s="48"/>
      <c r="AN400" s="50">
        <v>0.0</v>
      </c>
      <c r="AO400" s="48"/>
      <c r="AP400" s="48"/>
      <c r="AQ400" s="48"/>
      <c r="AR400" s="48"/>
      <c r="AS400" s="50">
        <v>0.0</v>
      </c>
      <c r="AT400" s="48"/>
      <c r="AU400" s="48"/>
      <c r="AV400" s="50">
        <v>1.0</v>
      </c>
      <c r="AW400" s="50">
        <v>6.0</v>
      </c>
      <c r="AX400" s="48"/>
      <c r="AY400" s="48"/>
      <c r="AZ400" s="48"/>
      <c r="BA400" s="48"/>
      <c r="BB400" s="50">
        <v>2.0</v>
      </c>
      <c r="BC400" s="48"/>
      <c r="BD400" s="50">
        <v>1.0</v>
      </c>
      <c r="BE400" s="50">
        <v>1.0</v>
      </c>
      <c r="BF400" s="50">
        <v>0.0</v>
      </c>
      <c r="BG400" s="50">
        <v>0.0</v>
      </c>
      <c r="BH400" s="50">
        <v>0.0</v>
      </c>
      <c r="BI400" s="50">
        <v>0.0</v>
      </c>
      <c r="BJ400" s="50">
        <v>0.0</v>
      </c>
      <c r="BK400" s="50">
        <v>0.0</v>
      </c>
      <c r="BL400" s="48"/>
      <c r="BM400" s="48"/>
      <c r="BN400" s="48"/>
      <c r="BO400" s="48"/>
      <c r="BP400" s="48"/>
      <c r="BQ400" s="48"/>
      <c r="BR400" s="48"/>
      <c r="BS400" s="48"/>
      <c r="BT400" s="48"/>
      <c r="BU400" s="48"/>
      <c r="BV400" s="48"/>
      <c r="BW400" s="48"/>
      <c r="BX400" s="48"/>
      <c r="BY400" s="48"/>
      <c r="BZ400" s="48"/>
      <c r="CA400" s="48"/>
      <c r="CB400" s="50">
        <v>2.0</v>
      </c>
      <c r="CC400" s="50">
        <v>0.0</v>
      </c>
      <c r="CD400" s="50">
        <v>2.0</v>
      </c>
      <c r="CE400" s="50">
        <v>0.0</v>
      </c>
      <c r="CF400" s="48"/>
      <c r="CG400" s="48"/>
      <c r="CH400" s="48"/>
      <c r="CI400" s="48"/>
      <c r="CJ400" s="48" t="s">
        <v>4572</v>
      </c>
      <c r="CK400" s="50">
        <v>7.11524526E8</v>
      </c>
      <c r="CL400" s="48" t="s">
        <v>4573</v>
      </c>
      <c r="CM400" s="47">
        <v>46112.08474537037</v>
      </c>
      <c r="CN400" s="48"/>
      <c r="CO400" s="48"/>
      <c r="CP400" s="48" t="s">
        <v>1954</v>
      </c>
      <c r="CQ400" s="48"/>
      <c r="CR400" s="48" t="s">
        <v>3014</v>
      </c>
      <c r="CS400" s="48"/>
      <c r="CT400" s="48" t="s">
        <v>4574</v>
      </c>
      <c r="CU400" s="50">
        <v>399.0</v>
      </c>
    </row>
    <row r="401">
      <c r="A401" s="47">
        <v>46112.30662601852</v>
      </c>
      <c r="B401" s="47">
        <v>46112.37662094907</v>
      </c>
      <c r="C401" s="48" t="s">
        <v>4575</v>
      </c>
      <c r="D401" s="48" t="s">
        <v>3733</v>
      </c>
      <c r="E401" s="48" t="s">
        <v>3734</v>
      </c>
      <c r="F401" s="48" t="s">
        <v>3735</v>
      </c>
      <c r="G401" s="49" t="s">
        <v>4576</v>
      </c>
      <c r="H401" s="48" t="s">
        <v>2948</v>
      </c>
      <c r="I401" s="50">
        <v>0.0</v>
      </c>
      <c r="J401" s="50">
        <v>1.0</v>
      </c>
      <c r="K401" s="50">
        <v>0.0</v>
      </c>
      <c r="L401" s="50">
        <v>0.0</v>
      </c>
      <c r="M401" s="50">
        <v>0.0</v>
      </c>
      <c r="N401" s="50">
        <v>0.0</v>
      </c>
      <c r="O401" s="50">
        <v>0.0</v>
      </c>
      <c r="P401" s="50">
        <v>0.0</v>
      </c>
      <c r="Q401" s="50">
        <v>0.0</v>
      </c>
      <c r="R401" s="48" t="s">
        <v>2948</v>
      </c>
      <c r="S401" s="50">
        <v>0.0</v>
      </c>
      <c r="T401" s="50">
        <v>1.0</v>
      </c>
      <c r="U401" s="50">
        <v>0.0</v>
      </c>
      <c r="V401" s="50">
        <v>0.0</v>
      </c>
      <c r="W401" s="50">
        <v>0.0</v>
      </c>
      <c r="X401" s="50">
        <v>0.0</v>
      </c>
      <c r="Y401" s="50">
        <v>0.0</v>
      </c>
      <c r="Z401" s="50">
        <v>0.0</v>
      </c>
      <c r="AA401" s="50">
        <v>0.0</v>
      </c>
      <c r="AB401" s="48" t="s">
        <v>2948</v>
      </c>
      <c r="AC401" s="50">
        <v>0.0</v>
      </c>
      <c r="AD401" s="50">
        <v>1.0</v>
      </c>
      <c r="AE401" s="50">
        <v>0.0</v>
      </c>
      <c r="AF401" s="50">
        <v>0.0</v>
      </c>
      <c r="AG401" s="50">
        <v>0.0</v>
      </c>
      <c r="AH401" s="50">
        <v>0.0</v>
      </c>
      <c r="AI401" s="50">
        <v>0.0</v>
      </c>
      <c r="AJ401" s="50">
        <v>0.0</v>
      </c>
      <c r="AK401" s="50">
        <v>0.0</v>
      </c>
      <c r="AL401" s="48"/>
      <c r="AM401" s="48"/>
      <c r="AN401" s="50">
        <v>8.0</v>
      </c>
      <c r="AO401" s="48"/>
      <c r="AP401" s="48"/>
      <c r="AQ401" s="48"/>
      <c r="AR401" s="48"/>
      <c r="AS401" s="48"/>
      <c r="AT401" s="48"/>
      <c r="AU401" s="48"/>
      <c r="AV401" s="48"/>
      <c r="AW401" s="50">
        <v>8.0</v>
      </c>
      <c r="AX401" s="48"/>
      <c r="AY401" s="48"/>
      <c r="AZ401" s="48"/>
      <c r="BA401" s="48"/>
      <c r="BB401" s="48"/>
      <c r="BC401" s="48"/>
      <c r="BD401" s="48"/>
      <c r="BE401" s="48"/>
      <c r="BF401" s="48"/>
      <c r="BG401" s="48"/>
      <c r="BH401" s="50">
        <v>4.0</v>
      </c>
      <c r="BI401" s="50">
        <v>3.0</v>
      </c>
      <c r="BJ401" s="50">
        <v>0.0</v>
      </c>
      <c r="BK401" s="50">
        <v>0.0</v>
      </c>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t="s">
        <v>4577</v>
      </c>
      <c r="CK401" s="50">
        <v>7.1152474E8</v>
      </c>
      <c r="CL401" s="48" t="s">
        <v>4578</v>
      </c>
      <c r="CM401" s="47">
        <v>46112.08496527778</v>
      </c>
      <c r="CN401" s="48"/>
      <c r="CO401" s="48"/>
      <c r="CP401" s="48" t="s">
        <v>1954</v>
      </c>
      <c r="CQ401" s="48"/>
      <c r="CR401" s="48" t="s">
        <v>3014</v>
      </c>
      <c r="CS401" s="48"/>
      <c r="CT401" s="48" t="s">
        <v>4579</v>
      </c>
      <c r="CU401" s="50">
        <v>400.0</v>
      </c>
    </row>
    <row r="402">
      <c r="A402" s="47">
        <v>46112.31324880787</v>
      </c>
      <c r="B402" s="47">
        <v>46112.37684333333</v>
      </c>
      <c r="C402" s="48" t="s">
        <v>4580</v>
      </c>
      <c r="D402" s="48" t="s">
        <v>3733</v>
      </c>
      <c r="E402" s="48" t="s">
        <v>3734</v>
      </c>
      <c r="F402" s="48" t="s">
        <v>3735</v>
      </c>
      <c r="G402" s="49" t="s">
        <v>4581</v>
      </c>
      <c r="H402" s="48" t="s">
        <v>2948</v>
      </c>
      <c r="I402" s="50">
        <v>0.0</v>
      </c>
      <c r="J402" s="50">
        <v>1.0</v>
      </c>
      <c r="K402" s="50">
        <v>0.0</v>
      </c>
      <c r="L402" s="50">
        <v>0.0</v>
      </c>
      <c r="M402" s="50">
        <v>0.0</v>
      </c>
      <c r="N402" s="50">
        <v>0.0</v>
      </c>
      <c r="O402" s="50">
        <v>0.0</v>
      </c>
      <c r="P402" s="50">
        <v>0.0</v>
      </c>
      <c r="Q402" s="50">
        <v>0.0</v>
      </c>
      <c r="R402" s="48" t="s">
        <v>2948</v>
      </c>
      <c r="S402" s="50">
        <v>0.0</v>
      </c>
      <c r="T402" s="50">
        <v>1.0</v>
      </c>
      <c r="U402" s="50">
        <v>0.0</v>
      </c>
      <c r="V402" s="50">
        <v>0.0</v>
      </c>
      <c r="W402" s="50">
        <v>0.0</v>
      </c>
      <c r="X402" s="50">
        <v>0.0</v>
      </c>
      <c r="Y402" s="50">
        <v>0.0</v>
      </c>
      <c r="Z402" s="50">
        <v>0.0</v>
      </c>
      <c r="AA402" s="50">
        <v>0.0</v>
      </c>
      <c r="AB402" s="48" t="s">
        <v>999</v>
      </c>
      <c r="AC402" s="50">
        <v>0.0</v>
      </c>
      <c r="AD402" s="50">
        <v>0.0</v>
      </c>
      <c r="AE402" s="50">
        <v>0.0</v>
      </c>
      <c r="AF402" s="50">
        <v>0.0</v>
      </c>
      <c r="AG402" s="50">
        <v>0.0</v>
      </c>
      <c r="AH402" s="50">
        <v>0.0</v>
      </c>
      <c r="AI402" s="50">
        <v>0.0</v>
      </c>
      <c r="AJ402" s="50">
        <v>0.0</v>
      </c>
      <c r="AK402" s="50">
        <v>1.0</v>
      </c>
      <c r="AL402" s="48"/>
      <c r="AM402" s="48"/>
      <c r="AN402" s="50">
        <v>5.0</v>
      </c>
      <c r="AO402" s="48"/>
      <c r="AP402" s="48"/>
      <c r="AQ402" s="48"/>
      <c r="AR402" s="48"/>
      <c r="AS402" s="48"/>
      <c r="AT402" s="48"/>
      <c r="AU402" s="48"/>
      <c r="AV402" s="48"/>
      <c r="AW402" s="50">
        <v>5.0</v>
      </c>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t="s">
        <v>4582</v>
      </c>
      <c r="CK402" s="50">
        <v>7.11524927E8</v>
      </c>
      <c r="CL402" s="48" t="s">
        <v>4583</v>
      </c>
      <c r="CM402" s="47">
        <v>46112.08517361111</v>
      </c>
      <c r="CN402" s="48"/>
      <c r="CO402" s="48"/>
      <c r="CP402" s="48" t="s">
        <v>1954</v>
      </c>
      <c r="CQ402" s="48"/>
      <c r="CR402" s="48" t="s">
        <v>3014</v>
      </c>
      <c r="CS402" s="48"/>
      <c r="CT402" s="48" t="s">
        <v>4584</v>
      </c>
      <c r="CU402" s="50">
        <v>401.0</v>
      </c>
    </row>
    <row r="403">
      <c r="A403" s="47">
        <v>46112.31821571759</v>
      </c>
      <c r="B403" s="47">
        <v>46112.37710538194</v>
      </c>
      <c r="C403" s="48" t="s">
        <v>4585</v>
      </c>
      <c r="D403" s="48" t="s">
        <v>3733</v>
      </c>
      <c r="E403" s="48" t="s">
        <v>3734</v>
      </c>
      <c r="F403" s="48" t="s">
        <v>3735</v>
      </c>
      <c r="G403" s="49" t="s">
        <v>4586</v>
      </c>
      <c r="H403" s="48" t="s">
        <v>2949</v>
      </c>
      <c r="I403" s="50">
        <v>1.0</v>
      </c>
      <c r="J403" s="50">
        <v>1.0</v>
      </c>
      <c r="K403" s="50">
        <v>0.0</v>
      </c>
      <c r="L403" s="50">
        <v>0.0</v>
      </c>
      <c r="M403" s="50">
        <v>0.0</v>
      </c>
      <c r="N403" s="50">
        <v>0.0</v>
      </c>
      <c r="O403" s="50">
        <v>0.0</v>
      </c>
      <c r="P403" s="50">
        <v>0.0</v>
      </c>
      <c r="Q403" s="50">
        <v>0.0</v>
      </c>
      <c r="R403" s="48" t="s">
        <v>3743</v>
      </c>
      <c r="S403" s="50">
        <v>0.0</v>
      </c>
      <c r="T403" s="50">
        <v>1.0</v>
      </c>
      <c r="U403" s="50">
        <v>0.0</v>
      </c>
      <c r="V403" s="50">
        <v>0.0</v>
      </c>
      <c r="W403" s="50">
        <v>0.0</v>
      </c>
      <c r="X403" s="50">
        <v>0.0</v>
      </c>
      <c r="Y403" s="50">
        <v>1.0</v>
      </c>
      <c r="Z403" s="50">
        <v>0.0</v>
      </c>
      <c r="AA403" s="50">
        <v>0.0</v>
      </c>
      <c r="AB403" s="48" t="s">
        <v>4587</v>
      </c>
      <c r="AC403" s="50">
        <v>0.0</v>
      </c>
      <c r="AD403" s="50">
        <v>1.0</v>
      </c>
      <c r="AE403" s="50">
        <v>0.0</v>
      </c>
      <c r="AF403" s="50">
        <v>0.0</v>
      </c>
      <c r="AG403" s="50">
        <v>0.0</v>
      </c>
      <c r="AH403" s="50">
        <v>0.0</v>
      </c>
      <c r="AI403" s="50">
        <v>0.0</v>
      </c>
      <c r="AJ403" s="50">
        <v>0.0</v>
      </c>
      <c r="AK403" s="50">
        <v>1.0</v>
      </c>
      <c r="AL403" s="48"/>
      <c r="AM403" s="50">
        <v>2.0</v>
      </c>
      <c r="AN403" s="50">
        <v>2.0</v>
      </c>
      <c r="AO403" s="48"/>
      <c r="AP403" s="48"/>
      <c r="AQ403" s="48"/>
      <c r="AR403" s="48"/>
      <c r="AS403" s="48"/>
      <c r="AT403" s="48"/>
      <c r="AU403" s="48"/>
      <c r="AV403" s="48"/>
      <c r="AW403" s="50">
        <v>2.0</v>
      </c>
      <c r="AX403" s="48"/>
      <c r="AY403" s="48"/>
      <c r="AZ403" s="48"/>
      <c r="BA403" s="48"/>
      <c r="BB403" s="50">
        <v>0.0</v>
      </c>
      <c r="BC403" s="48"/>
      <c r="BD403" s="48"/>
      <c r="BE403" s="48"/>
      <c r="BF403" s="48"/>
      <c r="BG403" s="48"/>
      <c r="BH403" s="50">
        <v>0.0</v>
      </c>
      <c r="BI403" s="50">
        <v>0.0</v>
      </c>
      <c r="BJ403" s="50">
        <v>0.0</v>
      </c>
      <c r="BK403" s="50">
        <v>0.0</v>
      </c>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t="s">
        <v>4588</v>
      </c>
      <c r="CK403" s="50">
        <v>7.11525128E8</v>
      </c>
      <c r="CL403" s="48" t="s">
        <v>4589</v>
      </c>
      <c r="CM403" s="47">
        <v>46112.08543981481</v>
      </c>
      <c r="CN403" s="48"/>
      <c r="CO403" s="48"/>
      <c r="CP403" s="48" t="s">
        <v>1954</v>
      </c>
      <c r="CQ403" s="48"/>
      <c r="CR403" s="48" t="s">
        <v>3014</v>
      </c>
      <c r="CS403" s="48"/>
      <c r="CT403" s="48" t="s">
        <v>4590</v>
      </c>
      <c r="CU403" s="50">
        <v>402.0</v>
      </c>
    </row>
    <row r="404">
      <c r="A404" s="47">
        <v>46112.32306996528</v>
      </c>
      <c r="B404" s="47">
        <v>46112.37945497685</v>
      </c>
      <c r="C404" s="48" t="s">
        <v>4591</v>
      </c>
      <c r="D404" s="48" t="s">
        <v>3733</v>
      </c>
      <c r="E404" s="48" t="s">
        <v>3734</v>
      </c>
      <c r="F404" s="48" t="s">
        <v>3735</v>
      </c>
      <c r="G404" s="49" t="s">
        <v>4592</v>
      </c>
      <c r="H404" s="48" t="s">
        <v>3743</v>
      </c>
      <c r="I404" s="50">
        <v>0.0</v>
      </c>
      <c r="J404" s="50">
        <v>1.0</v>
      </c>
      <c r="K404" s="50">
        <v>0.0</v>
      </c>
      <c r="L404" s="50">
        <v>0.0</v>
      </c>
      <c r="M404" s="50">
        <v>0.0</v>
      </c>
      <c r="N404" s="50">
        <v>0.0</v>
      </c>
      <c r="O404" s="50">
        <v>1.0</v>
      </c>
      <c r="P404" s="50">
        <v>0.0</v>
      </c>
      <c r="Q404" s="50">
        <v>0.0</v>
      </c>
      <c r="R404" s="48" t="s">
        <v>3743</v>
      </c>
      <c r="S404" s="50">
        <v>0.0</v>
      </c>
      <c r="T404" s="50">
        <v>1.0</v>
      </c>
      <c r="U404" s="50">
        <v>0.0</v>
      </c>
      <c r="V404" s="50">
        <v>0.0</v>
      </c>
      <c r="W404" s="50">
        <v>0.0</v>
      </c>
      <c r="X404" s="50">
        <v>0.0</v>
      </c>
      <c r="Y404" s="50">
        <v>1.0</v>
      </c>
      <c r="Z404" s="50">
        <v>0.0</v>
      </c>
      <c r="AA404" s="50">
        <v>0.0</v>
      </c>
      <c r="AB404" s="48" t="s">
        <v>3743</v>
      </c>
      <c r="AC404" s="50">
        <v>0.0</v>
      </c>
      <c r="AD404" s="50">
        <v>1.0</v>
      </c>
      <c r="AE404" s="50">
        <v>0.0</v>
      </c>
      <c r="AF404" s="50">
        <v>0.0</v>
      </c>
      <c r="AG404" s="50">
        <v>0.0</v>
      </c>
      <c r="AH404" s="50">
        <v>0.0</v>
      </c>
      <c r="AI404" s="50">
        <v>1.0</v>
      </c>
      <c r="AJ404" s="50">
        <v>0.0</v>
      </c>
      <c r="AK404" s="50">
        <v>0.0</v>
      </c>
      <c r="AL404" s="48"/>
      <c r="AM404" s="48"/>
      <c r="AN404" s="50">
        <v>2.0</v>
      </c>
      <c r="AO404" s="48"/>
      <c r="AP404" s="48"/>
      <c r="AQ404" s="48"/>
      <c r="AR404" s="48"/>
      <c r="AS404" s="50">
        <v>4.0</v>
      </c>
      <c r="AT404" s="48"/>
      <c r="AU404" s="48"/>
      <c r="AV404" s="48"/>
      <c r="AW404" s="50">
        <v>2.0</v>
      </c>
      <c r="AX404" s="48"/>
      <c r="AY404" s="48"/>
      <c r="AZ404" s="48"/>
      <c r="BA404" s="48"/>
      <c r="BB404" s="50">
        <v>1.0</v>
      </c>
      <c r="BC404" s="48"/>
      <c r="BD404" s="48"/>
      <c r="BE404" s="48"/>
      <c r="BF404" s="48"/>
      <c r="BG404" s="48"/>
      <c r="BH404" s="50">
        <v>0.0</v>
      </c>
      <c r="BI404" s="50">
        <v>0.0</v>
      </c>
      <c r="BJ404" s="50">
        <v>0.0</v>
      </c>
      <c r="BK404" s="50">
        <v>0.0</v>
      </c>
      <c r="BL404" s="48"/>
      <c r="BM404" s="48"/>
      <c r="BN404" s="48"/>
      <c r="BO404" s="48"/>
      <c r="BP404" s="48"/>
      <c r="BQ404" s="48"/>
      <c r="BR404" s="48"/>
      <c r="BS404" s="48"/>
      <c r="BT404" s="48"/>
      <c r="BU404" s="48"/>
      <c r="BV404" s="48"/>
      <c r="BW404" s="48"/>
      <c r="BX404" s="48"/>
      <c r="BY404" s="48"/>
      <c r="BZ404" s="48"/>
      <c r="CA404" s="48"/>
      <c r="CB404" s="50">
        <v>0.0</v>
      </c>
      <c r="CC404" s="50">
        <v>0.0</v>
      </c>
      <c r="CD404" s="50">
        <v>0.0</v>
      </c>
      <c r="CE404" s="50">
        <v>0.0</v>
      </c>
      <c r="CF404" s="48"/>
      <c r="CG404" s="48"/>
      <c r="CH404" s="48"/>
      <c r="CI404" s="48"/>
      <c r="CJ404" s="48" t="s">
        <v>4572</v>
      </c>
      <c r="CK404" s="50">
        <v>7.11527551E8</v>
      </c>
      <c r="CL404" s="48" t="s">
        <v>4593</v>
      </c>
      <c r="CM404" s="47">
        <v>46112.08778935186</v>
      </c>
      <c r="CN404" s="48"/>
      <c r="CO404" s="48"/>
      <c r="CP404" s="48" t="s">
        <v>1954</v>
      </c>
      <c r="CQ404" s="48"/>
      <c r="CR404" s="48" t="s">
        <v>3014</v>
      </c>
      <c r="CS404" s="48"/>
      <c r="CT404" s="48" t="s">
        <v>4594</v>
      </c>
      <c r="CU404" s="50">
        <v>403.0</v>
      </c>
    </row>
    <row r="405">
      <c r="A405" s="47">
        <v>46112.32705809028</v>
      </c>
      <c r="B405" s="47">
        <v>46112.37977976852</v>
      </c>
      <c r="C405" s="48" t="s">
        <v>4595</v>
      </c>
      <c r="D405" s="48" t="s">
        <v>3733</v>
      </c>
      <c r="E405" s="48" t="s">
        <v>3734</v>
      </c>
      <c r="F405" s="48" t="s">
        <v>3735</v>
      </c>
      <c r="G405" s="49" t="s">
        <v>4596</v>
      </c>
      <c r="H405" s="48" t="s">
        <v>2948</v>
      </c>
      <c r="I405" s="50">
        <v>0.0</v>
      </c>
      <c r="J405" s="50">
        <v>1.0</v>
      </c>
      <c r="K405" s="50">
        <v>0.0</v>
      </c>
      <c r="L405" s="50">
        <v>0.0</v>
      </c>
      <c r="M405" s="50">
        <v>0.0</v>
      </c>
      <c r="N405" s="50">
        <v>0.0</v>
      </c>
      <c r="O405" s="50">
        <v>0.0</v>
      </c>
      <c r="P405" s="50">
        <v>0.0</v>
      </c>
      <c r="Q405" s="50">
        <v>0.0</v>
      </c>
      <c r="R405" s="48" t="s">
        <v>2948</v>
      </c>
      <c r="S405" s="50">
        <v>0.0</v>
      </c>
      <c r="T405" s="50">
        <v>1.0</v>
      </c>
      <c r="U405" s="50">
        <v>0.0</v>
      </c>
      <c r="V405" s="50">
        <v>0.0</v>
      </c>
      <c r="W405" s="50">
        <v>0.0</v>
      </c>
      <c r="X405" s="50">
        <v>0.0</v>
      </c>
      <c r="Y405" s="50">
        <v>0.0</v>
      </c>
      <c r="Z405" s="50">
        <v>0.0</v>
      </c>
      <c r="AA405" s="50">
        <v>0.0</v>
      </c>
      <c r="AB405" s="48" t="s">
        <v>2948</v>
      </c>
      <c r="AC405" s="50">
        <v>0.0</v>
      </c>
      <c r="AD405" s="50">
        <v>1.0</v>
      </c>
      <c r="AE405" s="50">
        <v>0.0</v>
      </c>
      <c r="AF405" s="50">
        <v>0.0</v>
      </c>
      <c r="AG405" s="50">
        <v>0.0</v>
      </c>
      <c r="AH405" s="50">
        <v>0.0</v>
      </c>
      <c r="AI405" s="50">
        <v>0.0</v>
      </c>
      <c r="AJ405" s="50">
        <v>0.0</v>
      </c>
      <c r="AK405" s="50">
        <v>0.0</v>
      </c>
      <c r="AL405" s="48"/>
      <c r="AM405" s="48"/>
      <c r="AN405" s="50">
        <v>5.0</v>
      </c>
      <c r="AO405" s="48"/>
      <c r="AP405" s="48"/>
      <c r="AQ405" s="48"/>
      <c r="AR405" s="48"/>
      <c r="AS405" s="48"/>
      <c r="AT405" s="48"/>
      <c r="AU405" s="48"/>
      <c r="AV405" s="48"/>
      <c r="AW405" s="50">
        <v>3.0</v>
      </c>
      <c r="AX405" s="48"/>
      <c r="AY405" s="48"/>
      <c r="AZ405" s="48"/>
      <c r="BA405" s="48"/>
      <c r="BB405" s="48"/>
      <c r="BC405" s="48"/>
      <c r="BD405" s="48"/>
      <c r="BE405" s="48"/>
      <c r="BF405" s="48"/>
      <c r="BG405" s="48"/>
      <c r="BH405" s="50">
        <v>0.0</v>
      </c>
      <c r="BI405" s="50">
        <v>0.0</v>
      </c>
      <c r="BJ405" s="50">
        <v>0.0</v>
      </c>
      <c r="BK405" s="50">
        <v>1.0</v>
      </c>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t="s">
        <v>4597</v>
      </c>
      <c r="CK405" s="50">
        <v>7.11527897E8</v>
      </c>
      <c r="CL405" s="48" t="s">
        <v>4598</v>
      </c>
      <c r="CM405" s="47">
        <v>46112.08811342593</v>
      </c>
      <c r="CN405" s="48"/>
      <c r="CO405" s="48"/>
      <c r="CP405" s="48" t="s">
        <v>1954</v>
      </c>
      <c r="CQ405" s="48"/>
      <c r="CR405" s="48" t="s">
        <v>3014</v>
      </c>
      <c r="CS405" s="48"/>
      <c r="CT405" s="48" t="s">
        <v>4599</v>
      </c>
      <c r="CU405" s="50">
        <v>404.0</v>
      </c>
    </row>
    <row r="406">
      <c r="A406" s="47">
        <v>46112.3315353125</v>
      </c>
      <c r="B406" s="47">
        <v>46112.38002680556</v>
      </c>
      <c r="C406" s="48" t="s">
        <v>4600</v>
      </c>
      <c r="D406" s="48" t="s">
        <v>3733</v>
      </c>
      <c r="E406" s="48" t="s">
        <v>3734</v>
      </c>
      <c r="F406" s="48" t="s">
        <v>3735</v>
      </c>
      <c r="G406" s="49" t="s">
        <v>4601</v>
      </c>
      <c r="H406" s="48" t="s">
        <v>3743</v>
      </c>
      <c r="I406" s="50">
        <v>0.0</v>
      </c>
      <c r="J406" s="50">
        <v>1.0</v>
      </c>
      <c r="K406" s="50">
        <v>0.0</v>
      </c>
      <c r="L406" s="50">
        <v>0.0</v>
      </c>
      <c r="M406" s="50">
        <v>0.0</v>
      </c>
      <c r="N406" s="50">
        <v>0.0</v>
      </c>
      <c r="O406" s="50">
        <v>1.0</v>
      </c>
      <c r="P406" s="50">
        <v>0.0</v>
      </c>
      <c r="Q406" s="50">
        <v>0.0</v>
      </c>
      <c r="R406" s="48" t="s">
        <v>3743</v>
      </c>
      <c r="S406" s="50">
        <v>0.0</v>
      </c>
      <c r="T406" s="50">
        <v>1.0</v>
      </c>
      <c r="U406" s="50">
        <v>0.0</v>
      </c>
      <c r="V406" s="50">
        <v>0.0</v>
      </c>
      <c r="W406" s="50">
        <v>0.0</v>
      </c>
      <c r="X406" s="50">
        <v>0.0</v>
      </c>
      <c r="Y406" s="50">
        <v>1.0</v>
      </c>
      <c r="Z406" s="50">
        <v>0.0</v>
      </c>
      <c r="AA406" s="50">
        <v>0.0</v>
      </c>
      <c r="AB406" s="48" t="s">
        <v>2948</v>
      </c>
      <c r="AC406" s="50">
        <v>0.0</v>
      </c>
      <c r="AD406" s="50">
        <v>1.0</v>
      </c>
      <c r="AE406" s="50">
        <v>0.0</v>
      </c>
      <c r="AF406" s="50">
        <v>0.0</v>
      </c>
      <c r="AG406" s="50">
        <v>0.0</v>
      </c>
      <c r="AH406" s="50">
        <v>0.0</v>
      </c>
      <c r="AI406" s="50">
        <v>0.0</v>
      </c>
      <c r="AJ406" s="50">
        <v>0.0</v>
      </c>
      <c r="AK406" s="50">
        <v>0.0</v>
      </c>
      <c r="AL406" s="48"/>
      <c r="AM406" s="48"/>
      <c r="AN406" s="50">
        <v>3.0</v>
      </c>
      <c r="AO406" s="48"/>
      <c r="AP406" s="48"/>
      <c r="AQ406" s="48"/>
      <c r="AR406" s="48"/>
      <c r="AS406" s="50">
        <v>0.0</v>
      </c>
      <c r="AT406" s="48"/>
      <c r="AU406" s="48"/>
      <c r="AV406" s="48"/>
      <c r="AW406" s="50">
        <v>3.0</v>
      </c>
      <c r="AX406" s="48"/>
      <c r="AY406" s="48"/>
      <c r="AZ406" s="48"/>
      <c r="BA406" s="48"/>
      <c r="BB406" s="50">
        <v>0.0</v>
      </c>
      <c r="BC406" s="48"/>
      <c r="BD406" s="48"/>
      <c r="BE406" s="48"/>
      <c r="BF406" s="48"/>
      <c r="BG406" s="48"/>
      <c r="BH406" s="50">
        <v>0.0</v>
      </c>
      <c r="BI406" s="50">
        <v>0.0</v>
      </c>
      <c r="BJ406" s="50">
        <v>0.0</v>
      </c>
      <c r="BK406" s="50">
        <v>0.0</v>
      </c>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t="s">
        <v>4602</v>
      </c>
      <c r="CK406" s="50">
        <v>7.11528141E8</v>
      </c>
      <c r="CL406" s="48" t="s">
        <v>4603</v>
      </c>
      <c r="CM406" s="47">
        <v>46112.08835648148</v>
      </c>
      <c r="CN406" s="48"/>
      <c r="CO406" s="48"/>
      <c r="CP406" s="48" t="s">
        <v>1954</v>
      </c>
      <c r="CQ406" s="48"/>
      <c r="CR406" s="48" t="s">
        <v>3014</v>
      </c>
      <c r="CS406" s="48"/>
      <c r="CT406" s="48" t="s">
        <v>4604</v>
      </c>
      <c r="CU406" s="50">
        <v>405.0</v>
      </c>
    </row>
    <row r="407">
      <c r="A407" s="47">
        <v>46112.33518320602</v>
      </c>
      <c r="B407" s="47">
        <v>46112.3836929051</v>
      </c>
      <c r="C407" s="48" t="s">
        <v>4605</v>
      </c>
      <c r="D407" s="48" t="s">
        <v>3733</v>
      </c>
      <c r="E407" s="48" t="s">
        <v>4606</v>
      </c>
      <c r="F407" s="48" t="s">
        <v>3735</v>
      </c>
      <c r="G407" s="49" t="s">
        <v>4607</v>
      </c>
      <c r="H407" s="48" t="s">
        <v>3743</v>
      </c>
      <c r="I407" s="50">
        <v>0.0</v>
      </c>
      <c r="J407" s="50">
        <v>1.0</v>
      </c>
      <c r="K407" s="50">
        <v>0.0</v>
      </c>
      <c r="L407" s="50">
        <v>0.0</v>
      </c>
      <c r="M407" s="50">
        <v>0.0</v>
      </c>
      <c r="N407" s="50">
        <v>0.0</v>
      </c>
      <c r="O407" s="50">
        <v>1.0</v>
      </c>
      <c r="P407" s="50">
        <v>0.0</v>
      </c>
      <c r="Q407" s="50">
        <v>0.0</v>
      </c>
      <c r="R407" s="48" t="s">
        <v>3743</v>
      </c>
      <c r="S407" s="50">
        <v>0.0</v>
      </c>
      <c r="T407" s="50">
        <v>1.0</v>
      </c>
      <c r="U407" s="50">
        <v>0.0</v>
      </c>
      <c r="V407" s="50">
        <v>0.0</v>
      </c>
      <c r="W407" s="50">
        <v>0.0</v>
      </c>
      <c r="X407" s="50">
        <v>0.0</v>
      </c>
      <c r="Y407" s="50">
        <v>1.0</v>
      </c>
      <c r="Z407" s="50">
        <v>0.0</v>
      </c>
      <c r="AA407" s="50">
        <v>0.0</v>
      </c>
      <c r="AB407" s="48" t="s">
        <v>4587</v>
      </c>
      <c r="AC407" s="50">
        <v>0.0</v>
      </c>
      <c r="AD407" s="50">
        <v>1.0</v>
      </c>
      <c r="AE407" s="50">
        <v>0.0</v>
      </c>
      <c r="AF407" s="50">
        <v>0.0</v>
      </c>
      <c r="AG407" s="50">
        <v>0.0</v>
      </c>
      <c r="AH407" s="50">
        <v>0.0</v>
      </c>
      <c r="AI407" s="50">
        <v>0.0</v>
      </c>
      <c r="AJ407" s="50">
        <v>0.0</v>
      </c>
      <c r="AK407" s="50">
        <v>1.0</v>
      </c>
      <c r="AL407" s="48"/>
      <c r="AM407" s="48"/>
      <c r="AN407" s="50">
        <v>6.0</v>
      </c>
      <c r="AO407" s="48"/>
      <c r="AP407" s="48"/>
      <c r="AQ407" s="48"/>
      <c r="AR407" s="48"/>
      <c r="AS407" s="50">
        <v>0.0</v>
      </c>
      <c r="AT407" s="48"/>
      <c r="AU407" s="48"/>
      <c r="AV407" s="48"/>
      <c r="AW407" s="50">
        <v>6.0</v>
      </c>
      <c r="AX407" s="48"/>
      <c r="AY407" s="48"/>
      <c r="AZ407" s="48"/>
      <c r="BA407" s="48"/>
      <c r="BB407" s="50">
        <v>0.0</v>
      </c>
      <c r="BC407" s="48"/>
      <c r="BD407" s="48"/>
      <c r="BE407" s="48"/>
      <c r="BF407" s="48"/>
      <c r="BG407" s="48"/>
      <c r="BH407" s="50">
        <v>2.0</v>
      </c>
      <c r="BI407" s="50">
        <v>2.0</v>
      </c>
      <c r="BJ407" s="50">
        <v>1.0</v>
      </c>
      <c r="BK407" s="50">
        <v>1.0</v>
      </c>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t="s">
        <v>4608</v>
      </c>
      <c r="CK407" s="50">
        <v>7.11531377E8</v>
      </c>
      <c r="CL407" s="48" t="s">
        <v>4609</v>
      </c>
      <c r="CM407" s="47">
        <v>46112.09240740741</v>
      </c>
      <c r="CN407" s="48"/>
      <c r="CO407" s="48"/>
      <c r="CP407" s="48" t="s">
        <v>1954</v>
      </c>
      <c r="CQ407" s="48"/>
      <c r="CR407" s="48" t="s">
        <v>3014</v>
      </c>
      <c r="CS407" s="48"/>
      <c r="CT407" s="48" t="s">
        <v>4610</v>
      </c>
      <c r="CU407" s="50">
        <v>406.0</v>
      </c>
    </row>
    <row r="408">
      <c r="A408" s="47">
        <v>46112.33935744213</v>
      </c>
      <c r="B408" s="47">
        <v>46112.38484942129</v>
      </c>
      <c r="C408" s="48" t="s">
        <v>4611</v>
      </c>
      <c r="D408" s="48" t="s">
        <v>3733</v>
      </c>
      <c r="E408" s="48" t="s">
        <v>3734</v>
      </c>
      <c r="F408" s="48" t="s">
        <v>3735</v>
      </c>
      <c r="G408" s="49" t="s">
        <v>4612</v>
      </c>
      <c r="H408" s="48" t="s">
        <v>2948</v>
      </c>
      <c r="I408" s="50">
        <v>0.0</v>
      </c>
      <c r="J408" s="50">
        <v>1.0</v>
      </c>
      <c r="K408" s="50">
        <v>0.0</v>
      </c>
      <c r="L408" s="50">
        <v>0.0</v>
      </c>
      <c r="M408" s="50">
        <v>0.0</v>
      </c>
      <c r="N408" s="50">
        <v>0.0</v>
      </c>
      <c r="O408" s="50">
        <v>0.0</v>
      </c>
      <c r="P408" s="50">
        <v>0.0</v>
      </c>
      <c r="Q408" s="50">
        <v>0.0</v>
      </c>
      <c r="R408" s="48" t="s">
        <v>2948</v>
      </c>
      <c r="S408" s="50">
        <v>0.0</v>
      </c>
      <c r="T408" s="50">
        <v>1.0</v>
      </c>
      <c r="U408" s="50">
        <v>0.0</v>
      </c>
      <c r="V408" s="50">
        <v>0.0</v>
      </c>
      <c r="W408" s="50">
        <v>0.0</v>
      </c>
      <c r="X408" s="50">
        <v>0.0</v>
      </c>
      <c r="Y408" s="50">
        <v>0.0</v>
      </c>
      <c r="Z408" s="50">
        <v>0.0</v>
      </c>
      <c r="AA408" s="50">
        <v>0.0</v>
      </c>
      <c r="AB408" s="48" t="s">
        <v>2948</v>
      </c>
      <c r="AC408" s="50">
        <v>0.0</v>
      </c>
      <c r="AD408" s="50">
        <v>1.0</v>
      </c>
      <c r="AE408" s="50">
        <v>0.0</v>
      </c>
      <c r="AF408" s="50">
        <v>0.0</v>
      </c>
      <c r="AG408" s="50">
        <v>0.0</v>
      </c>
      <c r="AH408" s="50">
        <v>0.0</v>
      </c>
      <c r="AI408" s="50">
        <v>0.0</v>
      </c>
      <c r="AJ408" s="50">
        <v>0.0</v>
      </c>
      <c r="AK408" s="50">
        <v>0.0</v>
      </c>
      <c r="AL408" s="48"/>
      <c r="AM408" s="48"/>
      <c r="AN408" s="50">
        <v>10.0</v>
      </c>
      <c r="AO408" s="48"/>
      <c r="AP408" s="48"/>
      <c r="AQ408" s="48"/>
      <c r="AR408" s="48"/>
      <c r="AS408" s="48"/>
      <c r="AT408" s="48"/>
      <c r="AU408" s="48"/>
      <c r="AV408" s="48"/>
      <c r="AW408" s="50">
        <v>10.0</v>
      </c>
      <c r="AX408" s="48"/>
      <c r="AY408" s="48"/>
      <c r="AZ408" s="48"/>
      <c r="BA408" s="48"/>
      <c r="BB408" s="48"/>
      <c r="BC408" s="48"/>
      <c r="BD408" s="48"/>
      <c r="BE408" s="48"/>
      <c r="BF408" s="48"/>
      <c r="BG408" s="48"/>
      <c r="BH408" s="50">
        <v>0.0</v>
      </c>
      <c r="BI408" s="50">
        <v>1.0</v>
      </c>
      <c r="BJ408" s="50">
        <v>2.0</v>
      </c>
      <c r="BK408" s="50">
        <v>0.0</v>
      </c>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t="s">
        <v>4613</v>
      </c>
      <c r="CK408" s="50">
        <v>7.11531974E8</v>
      </c>
      <c r="CL408" s="48" t="s">
        <v>4614</v>
      </c>
      <c r="CM408" s="47">
        <v>46112.09318287037</v>
      </c>
      <c r="CN408" s="48"/>
      <c r="CO408" s="48"/>
      <c r="CP408" s="48" t="s">
        <v>1954</v>
      </c>
      <c r="CQ408" s="48"/>
      <c r="CR408" s="48" t="s">
        <v>3014</v>
      </c>
      <c r="CS408" s="48"/>
      <c r="CT408" s="48" t="s">
        <v>4615</v>
      </c>
      <c r="CU408" s="50">
        <v>407.0</v>
      </c>
    </row>
    <row r="409">
      <c r="A409" s="47">
        <v>46112.34293550926</v>
      </c>
      <c r="B409" s="47">
        <v>46112.38531206019</v>
      </c>
      <c r="C409" s="48" t="s">
        <v>4616</v>
      </c>
      <c r="D409" s="48" t="s">
        <v>3733</v>
      </c>
      <c r="E409" s="48" t="s">
        <v>3734</v>
      </c>
      <c r="F409" s="48" t="s">
        <v>3735</v>
      </c>
      <c r="G409" s="49" t="s">
        <v>4617</v>
      </c>
      <c r="H409" s="48" t="s">
        <v>3743</v>
      </c>
      <c r="I409" s="50">
        <v>0.0</v>
      </c>
      <c r="J409" s="50">
        <v>1.0</v>
      </c>
      <c r="K409" s="50">
        <v>0.0</v>
      </c>
      <c r="L409" s="50">
        <v>0.0</v>
      </c>
      <c r="M409" s="50">
        <v>0.0</v>
      </c>
      <c r="N409" s="50">
        <v>0.0</v>
      </c>
      <c r="O409" s="50">
        <v>1.0</v>
      </c>
      <c r="P409" s="50">
        <v>0.0</v>
      </c>
      <c r="Q409" s="50">
        <v>0.0</v>
      </c>
      <c r="R409" s="48" t="s">
        <v>3743</v>
      </c>
      <c r="S409" s="50">
        <v>0.0</v>
      </c>
      <c r="T409" s="50">
        <v>1.0</v>
      </c>
      <c r="U409" s="50">
        <v>0.0</v>
      </c>
      <c r="V409" s="50">
        <v>0.0</v>
      </c>
      <c r="W409" s="50">
        <v>0.0</v>
      </c>
      <c r="X409" s="50">
        <v>0.0</v>
      </c>
      <c r="Y409" s="50">
        <v>1.0</v>
      </c>
      <c r="Z409" s="50">
        <v>0.0</v>
      </c>
      <c r="AA409" s="50">
        <v>0.0</v>
      </c>
      <c r="AB409" s="48" t="s">
        <v>3743</v>
      </c>
      <c r="AC409" s="50">
        <v>0.0</v>
      </c>
      <c r="AD409" s="50">
        <v>1.0</v>
      </c>
      <c r="AE409" s="50">
        <v>0.0</v>
      </c>
      <c r="AF409" s="50">
        <v>0.0</v>
      </c>
      <c r="AG409" s="50">
        <v>0.0</v>
      </c>
      <c r="AH409" s="50">
        <v>0.0</v>
      </c>
      <c r="AI409" s="50">
        <v>1.0</v>
      </c>
      <c r="AJ409" s="50">
        <v>0.0</v>
      </c>
      <c r="AK409" s="50">
        <v>0.0</v>
      </c>
      <c r="AL409" s="48"/>
      <c r="AM409" s="48"/>
      <c r="AN409" s="50">
        <v>17.0</v>
      </c>
      <c r="AO409" s="48"/>
      <c r="AP409" s="48"/>
      <c r="AQ409" s="48"/>
      <c r="AR409" s="48"/>
      <c r="AS409" s="50">
        <v>8.0</v>
      </c>
      <c r="AT409" s="48"/>
      <c r="AU409" s="48"/>
      <c r="AV409" s="48"/>
      <c r="AW409" s="50">
        <v>17.0</v>
      </c>
      <c r="AX409" s="48"/>
      <c r="AY409" s="48"/>
      <c r="AZ409" s="48"/>
      <c r="BA409" s="48"/>
      <c r="BB409" s="50">
        <v>8.0</v>
      </c>
      <c r="BC409" s="48"/>
      <c r="BD409" s="48"/>
      <c r="BE409" s="48"/>
      <c r="BF409" s="48"/>
      <c r="BG409" s="48"/>
      <c r="BH409" s="50">
        <v>0.0</v>
      </c>
      <c r="BI409" s="50">
        <v>0.0</v>
      </c>
      <c r="BJ409" s="50">
        <v>0.0</v>
      </c>
      <c r="BK409" s="50">
        <v>8.0</v>
      </c>
      <c r="BL409" s="48"/>
      <c r="BM409" s="48"/>
      <c r="BN409" s="48"/>
      <c r="BO409" s="48"/>
      <c r="BP409" s="48"/>
      <c r="BQ409" s="48"/>
      <c r="BR409" s="48"/>
      <c r="BS409" s="48"/>
      <c r="BT409" s="48"/>
      <c r="BU409" s="48"/>
      <c r="BV409" s="48"/>
      <c r="BW409" s="48"/>
      <c r="BX409" s="48"/>
      <c r="BY409" s="48"/>
      <c r="BZ409" s="48"/>
      <c r="CA409" s="48"/>
      <c r="CB409" s="50">
        <v>0.0</v>
      </c>
      <c r="CC409" s="50">
        <v>0.0</v>
      </c>
      <c r="CD409" s="50">
        <v>0.0</v>
      </c>
      <c r="CE409" s="50">
        <v>4.0</v>
      </c>
      <c r="CF409" s="48"/>
      <c r="CG409" s="48"/>
      <c r="CH409" s="48"/>
      <c r="CI409" s="48"/>
      <c r="CJ409" s="48" t="s">
        <v>4618</v>
      </c>
      <c r="CK409" s="50">
        <v>7.11532329E8</v>
      </c>
      <c r="CL409" s="48" t="s">
        <v>4619</v>
      </c>
      <c r="CM409" s="47">
        <v>46112.09364583333</v>
      </c>
      <c r="CN409" s="48"/>
      <c r="CO409" s="48"/>
      <c r="CP409" s="48" t="s">
        <v>1954</v>
      </c>
      <c r="CQ409" s="48"/>
      <c r="CR409" s="48" t="s">
        <v>3014</v>
      </c>
      <c r="CS409" s="48"/>
      <c r="CT409" s="48" t="s">
        <v>4620</v>
      </c>
      <c r="CU409" s="50">
        <v>408.0</v>
      </c>
    </row>
    <row r="410">
      <c r="A410" s="47">
        <v>46112.34852072917</v>
      </c>
      <c r="B410" s="47">
        <v>46112.38556785879</v>
      </c>
      <c r="C410" s="48" t="s">
        <v>2415</v>
      </c>
      <c r="D410" s="48" t="s">
        <v>3733</v>
      </c>
      <c r="E410" s="48" t="s">
        <v>3734</v>
      </c>
      <c r="F410" s="48" t="s">
        <v>3735</v>
      </c>
      <c r="G410" s="49" t="s">
        <v>4621</v>
      </c>
      <c r="H410" s="48" t="s">
        <v>2948</v>
      </c>
      <c r="I410" s="50">
        <v>0.0</v>
      </c>
      <c r="J410" s="50">
        <v>1.0</v>
      </c>
      <c r="K410" s="50">
        <v>0.0</v>
      </c>
      <c r="L410" s="50">
        <v>0.0</v>
      </c>
      <c r="M410" s="50">
        <v>0.0</v>
      </c>
      <c r="N410" s="50">
        <v>0.0</v>
      </c>
      <c r="O410" s="50">
        <v>0.0</v>
      </c>
      <c r="P410" s="50">
        <v>0.0</v>
      </c>
      <c r="Q410" s="50">
        <v>0.0</v>
      </c>
      <c r="R410" s="48" t="s">
        <v>2948</v>
      </c>
      <c r="S410" s="50">
        <v>0.0</v>
      </c>
      <c r="T410" s="50">
        <v>1.0</v>
      </c>
      <c r="U410" s="50">
        <v>0.0</v>
      </c>
      <c r="V410" s="50">
        <v>0.0</v>
      </c>
      <c r="W410" s="50">
        <v>0.0</v>
      </c>
      <c r="X410" s="50">
        <v>0.0</v>
      </c>
      <c r="Y410" s="50">
        <v>0.0</v>
      </c>
      <c r="Z410" s="50">
        <v>0.0</v>
      </c>
      <c r="AA410" s="50">
        <v>0.0</v>
      </c>
      <c r="AB410" s="48" t="s">
        <v>2948</v>
      </c>
      <c r="AC410" s="50">
        <v>0.0</v>
      </c>
      <c r="AD410" s="50">
        <v>1.0</v>
      </c>
      <c r="AE410" s="50">
        <v>0.0</v>
      </c>
      <c r="AF410" s="50">
        <v>0.0</v>
      </c>
      <c r="AG410" s="50">
        <v>0.0</v>
      </c>
      <c r="AH410" s="50">
        <v>0.0</v>
      </c>
      <c r="AI410" s="50">
        <v>0.0</v>
      </c>
      <c r="AJ410" s="50">
        <v>0.0</v>
      </c>
      <c r="AK410" s="50">
        <v>0.0</v>
      </c>
      <c r="AL410" s="48"/>
      <c r="AM410" s="48"/>
      <c r="AN410" s="50">
        <v>4.0</v>
      </c>
      <c r="AO410" s="48"/>
      <c r="AP410" s="48"/>
      <c r="AQ410" s="48"/>
      <c r="AR410" s="48"/>
      <c r="AS410" s="48"/>
      <c r="AT410" s="48"/>
      <c r="AU410" s="48"/>
      <c r="AV410" s="48"/>
      <c r="AW410" s="50">
        <v>4.0</v>
      </c>
      <c r="AX410" s="48"/>
      <c r="AY410" s="48"/>
      <c r="AZ410" s="48"/>
      <c r="BA410" s="48"/>
      <c r="BB410" s="48"/>
      <c r="BC410" s="48"/>
      <c r="BD410" s="48"/>
      <c r="BE410" s="48"/>
      <c r="BF410" s="48"/>
      <c r="BG410" s="48"/>
      <c r="BH410" s="50">
        <v>1.0</v>
      </c>
      <c r="BI410" s="50">
        <v>1.0</v>
      </c>
      <c r="BJ410" s="50">
        <v>1.0</v>
      </c>
      <c r="BK410" s="50">
        <v>0.0</v>
      </c>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t="s">
        <v>4572</v>
      </c>
      <c r="CK410" s="50">
        <v>7.11532536E8</v>
      </c>
      <c r="CL410" s="48" t="s">
        <v>4622</v>
      </c>
      <c r="CM410" s="47">
        <v>46112.09392361111</v>
      </c>
      <c r="CN410" s="48"/>
      <c r="CO410" s="48"/>
      <c r="CP410" s="48" t="s">
        <v>1954</v>
      </c>
      <c r="CQ410" s="48"/>
      <c r="CR410" s="48" t="s">
        <v>3014</v>
      </c>
      <c r="CS410" s="48"/>
      <c r="CT410" s="48" t="s">
        <v>4623</v>
      </c>
      <c r="CU410" s="50">
        <v>409.0</v>
      </c>
    </row>
    <row r="411">
      <c r="A411" s="47">
        <v>46112.35173998843</v>
      </c>
      <c r="B411" s="47">
        <v>46112.38592921296</v>
      </c>
      <c r="C411" s="48" t="s">
        <v>4624</v>
      </c>
      <c r="D411" s="48" t="s">
        <v>3733</v>
      </c>
      <c r="E411" s="48" t="s">
        <v>3734</v>
      </c>
      <c r="F411" s="48" t="s">
        <v>3735</v>
      </c>
      <c r="G411" s="49" t="s">
        <v>4625</v>
      </c>
      <c r="H411" s="48" t="s">
        <v>2948</v>
      </c>
      <c r="I411" s="50">
        <v>0.0</v>
      </c>
      <c r="J411" s="50">
        <v>1.0</v>
      </c>
      <c r="K411" s="50">
        <v>0.0</v>
      </c>
      <c r="L411" s="50">
        <v>0.0</v>
      </c>
      <c r="M411" s="50">
        <v>0.0</v>
      </c>
      <c r="N411" s="50">
        <v>0.0</v>
      </c>
      <c r="O411" s="50">
        <v>0.0</v>
      </c>
      <c r="P411" s="50">
        <v>0.0</v>
      </c>
      <c r="Q411" s="50">
        <v>0.0</v>
      </c>
      <c r="R411" s="48" t="s">
        <v>2948</v>
      </c>
      <c r="S411" s="50">
        <v>0.0</v>
      </c>
      <c r="T411" s="50">
        <v>1.0</v>
      </c>
      <c r="U411" s="50">
        <v>0.0</v>
      </c>
      <c r="V411" s="50">
        <v>0.0</v>
      </c>
      <c r="W411" s="50">
        <v>0.0</v>
      </c>
      <c r="X411" s="50">
        <v>0.0</v>
      </c>
      <c r="Y411" s="50">
        <v>0.0</v>
      </c>
      <c r="Z411" s="50">
        <v>0.0</v>
      </c>
      <c r="AA411" s="50">
        <v>0.0</v>
      </c>
      <c r="AB411" s="48" t="s">
        <v>2948</v>
      </c>
      <c r="AC411" s="50">
        <v>0.0</v>
      </c>
      <c r="AD411" s="50">
        <v>1.0</v>
      </c>
      <c r="AE411" s="50">
        <v>0.0</v>
      </c>
      <c r="AF411" s="50">
        <v>0.0</v>
      </c>
      <c r="AG411" s="50">
        <v>0.0</v>
      </c>
      <c r="AH411" s="50">
        <v>0.0</v>
      </c>
      <c r="AI411" s="50">
        <v>0.0</v>
      </c>
      <c r="AJ411" s="50">
        <v>0.0</v>
      </c>
      <c r="AK411" s="50">
        <v>0.0</v>
      </c>
      <c r="AL411" s="48"/>
      <c r="AM411" s="48"/>
      <c r="AN411" s="50">
        <v>7.0</v>
      </c>
      <c r="AO411" s="48"/>
      <c r="AP411" s="48"/>
      <c r="AQ411" s="48"/>
      <c r="AR411" s="48"/>
      <c r="AS411" s="48"/>
      <c r="AT411" s="48"/>
      <c r="AU411" s="48"/>
      <c r="AV411" s="48"/>
      <c r="AW411" s="50">
        <v>7.0</v>
      </c>
      <c r="AX411" s="48"/>
      <c r="AY411" s="48"/>
      <c r="AZ411" s="48"/>
      <c r="BA411" s="48"/>
      <c r="BB411" s="48"/>
      <c r="BC411" s="48"/>
      <c r="BD411" s="48"/>
      <c r="BE411" s="48"/>
      <c r="BF411" s="48"/>
      <c r="BG411" s="48"/>
      <c r="BH411" s="50">
        <v>0.0</v>
      </c>
      <c r="BI411" s="50">
        <v>0.0</v>
      </c>
      <c r="BJ411" s="50">
        <v>2.0</v>
      </c>
      <c r="BK411" s="50">
        <v>0.0</v>
      </c>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t="s">
        <v>4626</v>
      </c>
      <c r="CK411" s="50">
        <v>7.11532825E8</v>
      </c>
      <c r="CL411" s="48" t="s">
        <v>4627</v>
      </c>
      <c r="CM411" s="47">
        <v>46112.09425925926</v>
      </c>
      <c r="CN411" s="48"/>
      <c r="CO411" s="48"/>
      <c r="CP411" s="48" t="s">
        <v>1954</v>
      </c>
      <c r="CQ411" s="48"/>
      <c r="CR411" s="48" t="s">
        <v>3014</v>
      </c>
      <c r="CS411" s="48"/>
      <c r="CT411" s="48" t="s">
        <v>4628</v>
      </c>
      <c r="CU411" s="50">
        <v>410.0</v>
      </c>
    </row>
    <row r="412">
      <c r="A412" s="47">
        <v>46112.35559980324</v>
      </c>
      <c r="B412" s="47">
        <v>46112.38645085648</v>
      </c>
      <c r="C412" s="48" t="s">
        <v>4629</v>
      </c>
      <c r="D412" s="48" t="s">
        <v>3733</v>
      </c>
      <c r="E412" s="48" t="s">
        <v>3734</v>
      </c>
      <c r="F412" s="48" t="s">
        <v>3735</v>
      </c>
      <c r="G412" s="49" t="s">
        <v>4630</v>
      </c>
      <c r="H412" s="48" t="s">
        <v>2948</v>
      </c>
      <c r="I412" s="50">
        <v>0.0</v>
      </c>
      <c r="J412" s="50">
        <v>1.0</v>
      </c>
      <c r="K412" s="50">
        <v>0.0</v>
      </c>
      <c r="L412" s="50">
        <v>0.0</v>
      </c>
      <c r="M412" s="50">
        <v>0.0</v>
      </c>
      <c r="N412" s="50">
        <v>0.0</v>
      </c>
      <c r="O412" s="50">
        <v>0.0</v>
      </c>
      <c r="P412" s="50">
        <v>0.0</v>
      </c>
      <c r="Q412" s="50">
        <v>0.0</v>
      </c>
      <c r="R412" s="48" t="s">
        <v>2948</v>
      </c>
      <c r="S412" s="50">
        <v>0.0</v>
      </c>
      <c r="T412" s="50">
        <v>1.0</v>
      </c>
      <c r="U412" s="50">
        <v>0.0</v>
      </c>
      <c r="V412" s="50">
        <v>0.0</v>
      </c>
      <c r="W412" s="50">
        <v>0.0</v>
      </c>
      <c r="X412" s="50">
        <v>0.0</v>
      </c>
      <c r="Y412" s="50">
        <v>0.0</v>
      </c>
      <c r="Z412" s="50">
        <v>0.0</v>
      </c>
      <c r="AA412" s="50">
        <v>0.0</v>
      </c>
      <c r="AB412" s="48" t="s">
        <v>2948</v>
      </c>
      <c r="AC412" s="50">
        <v>0.0</v>
      </c>
      <c r="AD412" s="50">
        <v>1.0</v>
      </c>
      <c r="AE412" s="50">
        <v>0.0</v>
      </c>
      <c r="AF412" s="50">
        <v>0.0</v>
      </c>
      <c r="AG412" s="50">
        <v>0.0</v>
      </c>
      <c r="AH412" s="50">
        <v>0.0</v>
      </c>
      <c r="AI412" s="50">
        <v>0.0</v>
      </c>
      <c r="AJ412" s="50">
        <v>0.0</v>
      </c>
      <c r="AK412" s="50">
        <v>0.0</v>
      </c>
      <c r="AL412" s="48"/>
      <c r="AM412" s="48"/>
      <c r="AN412" s="50">
        <v>2.0</v>
      </c>
      <c r="AO412" s="48"/>
      <c r="AP412" s="48"/>
      <c r="AQ412" s="48"/>
      <c r="AR412" s="48"/>
      <c r="AS412" s="48"/>
      <c r="AT412" s="48"/>
      <c r="AU412" s="48"/>
      <c r="AV412" s="48"/>
      <c r="AW412" s="50">
        <v>2.0</v>
      </c>
      <c r="AX412" s="48"/>
      <c r="AY412" s="48"/>
      <c r="AZ412" s="48"/>
      <c r="BA412" s="48"/>
      <c r="BB412" s="48"/>
      <c r="BC412" s="48"/>
      <c r="BD412" s="48"/>
      <c r="BE412" s="48"/>
      <c r="BF412" s="48"/>
      <c r="BG412" s="48"/>
      <c r="BH412" s="50">
        <v>1.0</v>
      </c>
      <c r="BI412" s="50">
        <v>0.0</v>
      </c>
      <c r="BJ412" s="50">
        <v>2.0</v>
      </c>
      <c r="BK412" s="50">
        <v>0.0</v>
      </c>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t="s">
        <v>4631</v>
      </c>
      <c r="CK412" s="50">
        <v>7.11533239E8</v>
      </c>
      <c r="CL412" s="48" t="s">
        <v>4632</v>
      </c>
      <c r="CM412" s="47">
        <v>46112.09479166667</v>
      </c>
      <c r="CN412" s="48"/>
      <c r="CO412" s="48"/>
      <c r="CP412" s="48" t="s">
        <v>1954</v>
      </c>
      <c r="CQ412" s="48"/>
      <c r="CR412" s="48" t="s">
        <v>3014</v>
      </c>
      <c r="CS412" s="48"/>
      <c r="CT412" s="48" t="s">
        <v>4633</v>
      </c>
      <c r="CU412" s="50">
        <v>411.0</v>
      </c>
    </row>
    <row r="413">
      <c r="A413" s="47">
        <v>46112.35939282407</v>
      </c>
      <c r="B413" s="47">
        <v>46112.38703188657</v>
      </c>
      <c r="C413" s="48" t="s">
        <v>4634</v>
      </c>
      <c r="D413" s="48" t="s">
        <v>3733</v>
      </c>
      <c r="E413" s="48" t="s">
        <v>3734</v>
      </c>
      <c r="F413" s="48" t="s">
        <v>3735</v>
      </c>
      <c r="G413" s="49" t="s">
        <v>4635</v>
      </c>
      <c r="H413" s="48" t="s">
        <v>3743</v>
      </c>
      <c r="I413" s="50">
        <v>0.0</v>
      </c>
      <c r="J413" s="50">
        <v>1.0</v>
      </c>
      <c r="K413" s="50">
        <v>0.0</v>
      </c>
      <c r="L413" s="50">
        <v>0.0</v>
      </c>
      <c r="M413" s="50">
        <v>0.0</v>
      </c>
      <c r="N413" s="50">
        <v>0.0</v>
      </c>
      <c r="O413" s="50">
        <v>1.0</v>
      </c>
      <c r="P413" s="50">
        <v>0.0</v>
      </c>
      <c r="Q413" s="50">
        <v>0.0</v>
      </c>
      <c r="R413" s="48" t="s">
        <v>3743</v>
      </c>
      <c r="S413" s="50">
        <v>0.0</v>
      </c>
      <c r="T413" s="50">
        <v>1.0</v>
      </c>
      <c r="U413" s="50">
        <v>0.0</v>
      </c>
      <c r="V413" s="50">
        <v>0.0</v>
      </c>
      <c r="W413" s="50">
        <v>0.0</v>
      </c>
      <c r="X413" s="50">
        <v>0.0</v>
      </c>
      <c r="Y413" s="50">
        <v>1.0</v>
      </c>
      <c r="Z413" s="50">
        <v>0.0</v>
      </c>
      <c r="AA413" s="50">
        <v>0.0</v>
      </c>
      <c r="AB413" s="48" t="s">
        <v>3743</v>
      </c>
      <c r="AC413" s="50">
        <v>0.0</v>
      </c>
      <c r="AD413" s="50">
        <v>1.0</v>
      </c>
      <c r="AE413" s="50">
        <v>0.0</v>
      </c>
      <c r="AF413" s="50">
        <v>0.0</v>
      </c>
      <c r="AG413" s="50">
        <v>0.0</v>
      </c>
      <c r="AH413" s="50">
        <v>0.0</v>
      </c>
      <c r="AI413" s="50">
        <v>1.0</v>
      </c>
      <c r="AJ413" s="50">
        <v>0.0</v>
      </c>
      <c r="AK413" s="50">
        <v>0.0</v>
      </c>
      <c r="AL413" s="48"/>
      <c r="AM413" s="48"/>
      <c r="AN413" s="50">
        <v>3.0</v>
      </c>
      <c r="AO413" s="48"/>
      <c r="AP413" s="48"/>
      <c r="AQ413" s="48"/>
      <c r="AR413" s="48"/>
      <c r="AS413" s="50">
        <v>10.0</v>
      </c>
      <c r="AT413" s="48"/>
      <c r="AU413" s="48"/>
      <c r="AV413" s="48"/>
      <c r="AW413" s="50">
        <v>4.0</v>
      </c>
      <c r="AX413" s="48"/>
      <c r="AY413" s="48"/>
      <c r="AZ413" s="48"/>
      <c r="BA413" s="48"/>
      <c r="BB413" s="50">
        <v>10.0</v>
      </c>
      <c r="BC413" s="48"/>
      <c r="BD413" s="48"/>
      <c r="BE413" s="48"/>
      <c r="BF413" s="48"/>
      <c r="BG413" s="48"/>
      <c r="BH413" s="50">
        <v>0.0</v>
      </c>
      <c r="BI413" s="50">
        <v>0.0</v>
      </c>
      <c r="BJ413" s="50">
        <v>2.0</v>
      </c>
      <c r="BK413" s="50">
        <v>1.0</v>
      </c>
      <c r="BL413" s="48"/>
      <c r="BM413" s="48"/>
      <c r="BN413" s="48"/>
      <c r="BO413" s="48"/>
      <c r="BP413" s="48"/>
      <c r="BQ413" s="48"/>
      <c r="BR413" s="48"/>
      <c r="BS413" s="48"/>
      <c r="BT413" s="48"/>
      <c r="BU413" s="48"/>
      <c r="BV413" s="48"/>
      <c r="BW413" s="48"/>
      <c r="BX413" s="48"/>
      <c r="BY413" s="48"/>
      <c r="BZ413" s="48"/>
      <c r="CA413" s="48"/>
      <c r="CB413" s="50">
        <v>5.0</v>
      </c>
      <c r="CC413" s="50">
        <v>0.0</v>
      </c>
      <c r="CD413" s="50">
        <v>0.0</v>
      </c>
      <c r="CE413" s="50">
        <v>0.0</v>
      </c>
      <c r="CF413" s="48"/>
      <c r="CG413" s="48"/>
      <c r="CH413" s="48"/>
      <c r="CI413" s="48"/>
      <c r="CJ413" s="48" t="s">
        <v>4636</v>
      </c>
      <c r="CK413" s="50">
        <v>7.115337E8</v>
      </c>
      <c r="CL413" s="48" t="s">
        <v>4637</v>
      </c>
      <c r="CM413" s="47">
        <v>46112.09537037037</v>
      </c>
      <c r="CN413" s="48"/>
      <c r="CO413" s="48"/>
      <c r="CP413" s="48" t="s">
        <v>1954</v>
      </c>
      <c r="CQ413" s="48"/>
      <c r="CR413" s="48" t="s">
        <v>3014</v>
      </c>
      <c r="CS413" s="48"/>
      <c r="CT413" s="48" t="s">
        <v>4638</v>
      </c>
      <c r="CU413" s="50">
        <v>412.0</v>
      </c>
    </row>
    <row r="414">
      <c r="A414" s="47">
        <v>46112.36313266204</v>
      </c>
      <c r="B414" s="47">
        <v>46112.38769342592</v>
      </c>
      <c r="C414" s="48" t="s">
        <v>4639</v>
      </c>
      <c r="D414" s="48" t="s">
        <v>3733</v>
      </c>
      <c r="E414" s="48" t="s">
        <v>3734</v>
      </c>
      <c r="F414" s="48" t="s">
        <v>3735</v>
      </c>
      <c r="G414" s="49" t="s">
        <v>4640</v>
      </c>
      <c r="H414" s="48" t="s">
        <v>2948</v>
      </c>
      <c r="I414" s="50">
        <v>0.0</v>
      </c>
      <c r="J414" s="50">
        <v>1.0</v>
      </c>
      <c r="K414" s="50">
        <v>0.0</v>
      </c>
      <c r="L414" s="50">
        <v>0.0</v>
      </c>
      <c r="M414" s="50">
        <v>0.0</v>
      </c>
      <c r="N414" s="50">
        <v>0.0</v>
      </c>
      <c r="O414" s="50">
        <v>0.0</v>
      </c>
      <c r="P414" s="50">
        <v>0.0</v>
      </c>
      <c r="Q414" s="50">
        <v>0.0</v>
      </c>
      <c r="R414" s="48" t="s">
        <v>2948</v>
      </c>
      <c r="S414" s="50">
        <v>0.0</v>
      </c>
      <c r="T414" s="50">
        <v>1.0</v>
      </c>
      <c r="U414" s="50">
        <v>0.0</v>
      </c>
      <c r="V414" s="50">
        <v>0.0</v>
      </c>
      <c r="W414" s="50">
        <v>0.0</v>
      </c>
      <c r="X414" s="50">
        <v>0.0</v>
      </c>
      <c r="Y414" s="50">
        <v>0.0</v>
      </c>
      <c r="Z414" s="50">
        <v>0.0</v>
      </c>
      <c r="AA414" s="50">
        <v>0.0</v>
      </c>
      <c r="AB414" s="48" t="s">
        <v>2948</v>
      </c>
      <c r="AC414" s="50">
        <v>0.0</v>
      </c>
      <c r="AD414" s="50">
        <v>1.0</v>
      </c>
      <c r="AE414" s="50">
        <v>0.0</v>
      </c>
      <c r="AF414" s="50">
        <v>0.0</v>
      </c>
      <c r="AG414" s="50">
        <v>0.0</v>
      </c>
      <c r="AH414" s="50">
        <v>0.0</v>
      </c>
      <c r="AI414" s="50">
        <v>0.0</v>
      </c>
      <c r="AJ414" s="50">
        <v>0.0</v>
      </c>
      <c r="AK414" s="50">
        <v>0.0</v>
      </c>
      <c r="AL414" s="48"/>
      <c r="AM414" s="48"/>
      <c r="AN414" s="50">
        <v>4.0</v>
      </c>
      <c r="AO414" s="48"/>
      <c r="AP414" s="48"/>
      <c r="AQ414" s="48"/>
      <c r="AR414" s="48"/>
      <c r="AS414" s="48"/>
      <c r="AT414" s="48"/>
      <c r="AU414" s="48"/>
      <c r="AV414" s="48"/>
      <c r="AW414" s="50">
        <v>8.0</v>
      </c>
      <c r="AX414" s="48"/>
      <c r="AY414" s="48"/>
      <c r="AZ414" s="48"/>
      <c r="BA414" s="48"/>
      <c r="BB414" s="48"/>
      <c r="BC414" s="48"/>
      <c r="BD414" s="48"/>
      <c r="BE414" s="48"/>
      <c r="BF414" s="48"/>
      <c r="BG414" s="48"/>
      <c r="BH414" s="50">
        <v>3.0</v>
      </c>
      <c r="BI414" s="50">
        <v>0.0</v>
      </c>
      <c r="BJ414" s="50">
        <v>4.0</v>
      </c>
      <c r="BK414" s="50">
        <v>0.0</v>
      </c>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t="s">
        <v>4641</v>
      </c>
      <c r="CK414" s="50">
        <v>7.11534176E8</v>
      </c>
      <c r="CL414" s="48" t="s">
        <v>4642</v>
      </c>
      <c r="CM414" s="47">
        <v>46112.09603009259</v>
      </c>
      <c r="CN414" s="48"/>
      <c r="CO414" s="48"/>
      <c r="CP414" s="48" t="s">
        <v>1954</v>
      </c>
      <c r="CQ414" s="48"/>
      <c r="CR414" s="48" t="s">
        <v>3014</v>
      </c>
      <c r="CS414" s="48"/>
      <c r="CT414" s="48" t="s">
        <v>4643</v>
      </c>
      <c r="CU414" s="50">
        <v>413.0</v>
      </c>
    </row>
    <row r="415">
      <c r="A415" s="47">
        <v>46112.36690659722</v>
      </c>
      <c r="B415" s="47">
        <v>46112.38791918982</v>
      </c>
      <c r="C415" s="48" t="s">
        <v>4644</v>
      </c>
      <c r="D415" s="48" t="s">
        <v>3733</v>
      </c>
      <c r="E415" s="48" t="s">
        <v>3734</v>
      </c>
      <c r="F415" s="48" t="s">
        <v>3735</v>
      </c>
      <c r="G415" s="49" t="s">
        <v>4645</v>
      </c>
      <c r="H415" s="48" t="s">
        <v>2948</v>
      </c>
      <c r="I415" s="50">
        <v>0.0</v>
      </c>
      <c r="J415" s="50">
        <v>1.0</v>
      </c>
      <c r="K415" s="50">
        <v>0.0</v>
      </c>
      <c r="L415" s="50">
        <v>0.0</v>
      </c>
      <c r="M415" s="50">
        <v>0.0</v>
      </c>
      <c r="N415" s="50">
        <v>0.0</v>
      </c>
      <c r="O415" s="50">
        <v>0.0</v>
      </c>
      <c r="P415" s="50">
        <v>0.0</v>
      </c>
      <c r="Q415" s="50">
        <v>0.0</v>
      </c>
      <c r="R415" s="48" t="s">
        <v>2948</v>
      </c>
      <c r="S415" s="50">
        <v>0.0</v>
      </c>
      <c r="T415" s="50">
        <v>1.0</v>
      </c>
      <c r="U415" s="50">
        <v>0.0</v>
      </c>
      <c r="V415" s="50">
        <v>0.0</v>
      </c>
      <c r="W415" s="50">
        <v>0.0</v>
      </c>
      <c r="X415" s="50">
        <v>0.0</v>
      </c>
      <c r="Y415" s="50">
        <v>0.0</v>
      </c>
      <c r="Z415" s="50">
        <v>0.0</v>
      </c>
      <c r="AA415" s="50">
        <v>0.0</v>
      </c>
      <c r="AB415" s="48" t="s">
        <v>2948</v>
      </c>
      <c r="AC415" s="50">
        <v>0.0</v>
      </c>
      <c r="AD415" s="50">
        <v>1.0</v>
      </c>
      <c r="AE415" s="50">
        <v>0.0</v>
      </c>
      <c r="AF415" s="50">
        <v>0.0</v>
      </c>
      <c r="AG415" s="50">
        <v>0.0</v>
      </c>
      <c r="AH415" s="50">
        <v>0.0</v>
      </c>
      <c r="AI415" s="50">
        <v>0.0</v>
      </c>
      <c r="AJ415" s="50">
        <v>0.0</v>
      </c>
      <c r="AK415" s="50">
        <v>0.0</v>
      </c>
      <c r="AL415" s="48"/>
      <c r="AM415" s="48"/>
      <c r="AN415" s="50">
        <v>4.0</v>
      </c>
      <c r="AO415" s="48"/>
      <c r="AP415" s="48"/>
      <c r="AQ415" s="48"/>
      <c r="AR415" s="48"/>
      <c r="AS415" s="48"/>
      <c r="AT415" s="48"/>
      <c r="AU415" s="48"/>
      <c r="AV415" s="48"/>
      <c r="AW415" s="50">
        <v>4.0</v>
      </c>
      <c r="AX415" s="48"/>
      <c r="AY415" s="48"/>
      <c r="AZ415" s="48"/>
      <c r="BA415" s="48"/>
      <c r="BB415" s="48"/>
      <c r="BC415" s="48"/>
      <c r="BD415" s="48"/>
      <c r="BE415" s="48"/>
      <c r="BF415" s="48"/>
      <c r="BG415" s="48"/>
      <c r="BH415" s="50">
        <v>2.0</v>
      </c>
      <c r="BI415" s="50">
        <v>1.0</v>
      </c>
      <c r="BJ415" s="50">
        <v>0.0</v>
      </c>
      <c r="BK415" s="50">
        <v>0.0</v>
      </c>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t="s">
        <v>4646</v>
      </c>
      <c r="CK415" s="50">
        <v>7.11534309E8</v>
      </c>
      <c r="CL415" s="48" t="s">
        <v>4647</v>
      </c>
      <c r="CM415" s="47">
        <v>46112.09625</v>
      </c>
      <c r="CN415" s="48"/>
      <c r="CO415" s="48"/>
      <c r="CP415" s="48" t="s">
        <v>1954</v>
      </c>
      <c r="CQ415" s="48"/>
      <c r="CR415" s="48" t="s">
        <v>3014</v>
      </c>
      <c r="CS415" s="48"/>
      <c r="CT415" s="48" t="s">
        <v>4648</v>
      </c>
      <c r="CU415" s="50">
        <v>414.0</v>
      </c>
    </row>
    <row r="416">
      <c r="A416" s="47">
        <v>46112.37033407408</v>
      </c>
      <c r="B416" s="47">
        <v>46112.38817444444</v>
      </c>
      <c r="C416" s="48" t="s">
        <v>4649</v>
      </c>
      <c r="D416" s="48" t="s">
        <v>3733</v>
      </c>
      <c r="E416" s="48" t="s">
        <v>3734</v>
      </c>
      <c r="F416" s="48" t="s">
        <v>3735</v>
      </c>
      <c r="G416" s="49" t="s">
        <v>4650</v>
      </c>
      <c r="H416" s="48" t="s">
        <v>3743</v>
      </c>
      <c r="I416" s="50">
        <v>0.0</v>
      </c>
      <c r="J416" s="50">
        <v>1.0</v>
      </c>
      <c r="K416" s="50">
        <v>0.0</v>
      </c>
      <c r="L416" s="50">
        <v>0.0</v>
      </c>
      <c r="M416" s="50">
        <v>0.0</v>
      </c>
      <c r="N416" s="50">
        <v>0.0</v>
      </c>
      <c r="O416" s="50">
        <v>1.0</v>
      </c>
      <c r="P416" s="50">
        <v>0.0</v>
      </c>
      <c r="Q416" s="50">
        <v>0.0</v>
      </c>
      <c r="R416" s="48" t="s">
        <v>3743</v>
      </c>
      <c r="S416" s="50">
        <v>0.0</v>
      </c>
      <c r="T416" s="50">
        <v>1.0</v>
      </c>
      <c r="U416" s="50">
        <v>0.0</v>
      </c>
      <c r="V416" s="50">
        <v>0.0</v>
      </c>
      <c r="W416" s="50">
        <v>0.0</v>
      </c>
      <c r="X416" s="50">
        <v>0.0</v>
      </c>
      <c r="Y416" s="50">
        <v>1.0</v>
      </c>
      <c r="Z416" s="50">
        <v>0.0</v>
      </c>
      <c r="AA416" s="50">
        <v>0.0</v>
      </c>
      <c r="AB416" s="48" t="s">
        <v>3743</v>
      </c>
      <c r="AC416" s="50">
        <v>0.0</v>
      </c>
      <c r="AD416" s="50">
        <v>1.0</v>
      </c>
      <c r="AE416" s="50">
        <v>0.0</v>
      </c>
      <c r="AF416" s="50">
        <v>0.0</v>
      </c>
      <c r="AG416" s="50">
        <v>0.0</v>
      </c>
      <c r="AH416" s="50">
        <v>0.0</v>
      </c>
      <c r="AI416" s="50">
        <v>1.0</v>
      </c>
      <c r="AJ416" s="50">
        <v>0.0</v>
      </c>
      <c r="AK416" s="50">
        <v>0.0</v>
      </c>
      <c r="AL416" s="48"/>
      <c r="AM416" s="48"/>
      <c r="AN416" s="50">
        <v>10.0</v>
      </c>
      <c r="AO416" s="48"/>
      <c r="AP416" s="48"/>
      <c r="AQ416" s="48"/>
      <c r="AR416" s="48"/>
      <c r="AS416" s="50">
        <v>10.0</v>
      </c>
      <c r="AT416" s="48"/>
      <c r="AU416" s="48"/>
      <c r="AV416" s="48"/>
      <c r="AW416" s="50">
        <v>5.0</v>
      </c>
      <c r="AX416" s="48"/>
      <c r="AY416" s="48"/>
      <c r="AZ416" s="48"/>
      <c r="BA416" s="48"/>
      <c r="BB416" s="50">
        <v>5.0</v>
      </c>
      <c r="BC416" s="48"/>
      <c r="BD416" s="48"/>
      <c r="BE416" s="48"/>
      <c r="BF416" s="48"/>
      <c r="BG416" s="48"/>
      <c r="BH416" s="50">
        <v>5.0</v>
      </c>
      <c r="BI416" s="50">
        <v>4.0</v>
      </c>
      <c r="BJ416" s="50">
        <v>0.0</v>
      </c>
      <c r="BK416" s="50">
        <v>0.0</v>
      </c>
      <c r="BL416" s="48"/>
      <c r="BM416" s="48"/>
      <c r="BN416" s="48"/>
      <c r="BO416" s="48"/>
      <c r="BP416" s="48"/>
      <c r="BQ416" s="48"/>
      <c r="BR416" s="48"/>
      <c r="BS416" s="48"/>
      <c r="BT416" s="48"/>
      <c r="BU416" s="48"/>
      <c r="BV416" s="48"/>
      <c r="BW416" s="48"/>
      <c r="BX416" s="48"/>
      <c r="BY416" s="48"/>
      <c r="BZ416" s="48"/>
      <c r="CA416" s="48"/>
      <c r="CB416" s="50">
        <v>10.0</v>
      </c>
      <c r="CC416" s="50">
        <v>0.0</v>
      </c>
      <c r="CD416" s="50">
        <v>0.0</v>
      </c>
      <c r="CE416" s="50">
        <v>0.0</v>
      </c>
      <c r="CF416" s="48"/>
      <c r="CG416" s="48"/>
      <c r="CH416" s="48"/>
      <c r="CI416" s="48"/>
      <c r="CJ416" s="48" t="s">
        <v>4651</v>
      </c>
      <c r="CK416" s="50">
        <v>7.11534487E8</v>
      </c>
      <c r="CL416" s="48" t="s">
        <v>4652</v>
      </c>
      <c r="CM416" s="47">
        <v>46112.0965162037</v>
      </c>
      <c r="CN416" s="48"/>
      <c r="CO416" s="48"/>
      <c r="CP416" s="48" t="s">
        <v>1954</v>
      </c>
      <c r="CQ416" s="48"/>
      <c r="CR416" s="48" t="s">
        <v>3014</v>
      </c>
      <c r="CS416" s="48"/>
      <c r="CT416" s="48" t="s">
        <v>4653</v>
      </c>
      <c r="CU416" s="50">
        <v>415.0</v>
      </c>
    </row>
    <row r="417">
      <c r="A417" s="47">
        <v>46112.42927168981</v>
      </c>
      <c r="B417" s="47">
        <v>46112.49027935185</v>
      </c>
      <c r="C417" s="48" t="s">
        <v>4654</v>
      </c>
      <c r="D417" s="48" t="s">
        <v>3733</v>
      </c>
      <c r="E417" s="48" t="s">
        <v>3734</v>
      </c>
      <c r="F417" s="48" t="s">
        <v>3735</v>
      </c>
      <c r="G417" s="49" t="s">
        <v>4655</v>
      </c>
      <c r="H417" s="48" t="s">
        <v>3743</v>
      </c>
      <c r="I417" s="50">
        <v>0.0</v>
      </c>
      <c r="J417" s="50">
        <v>1.0</v>
      </c>
      <c r="K417" s="50">
        <v>0.0</v>
      </c>
      <c r="L417" s="50">
        <v>0.0</v>
      </c>
      <c r="M417" s="50">
        <v>0.0</v>
      </c>
      <c r="N417" s="50">
        <v>0.0</v>
      </c>
      <c r="O417" s="50">
        <v>1.0</v>
      </c>
      <c r="P417" s="50">
        <v>0.0</v>
      </c>
      <c r="Q417" s="50">
        <v>0.0</v>
      </c>
      <c r="R417" s="48" t="s">
        <v>3743</v>
      </c>
      <c r="S417" s="50">
        <v>0.0</v>
      </c>
      <c r="T417" s="50">
        <v>1.0</v>
      </c>
      <c r="U417" s="50">
        <v>0.0</v>
      </c>
      <c r="V417" s="50">
        <v>0.0</v>
      </c>
      <c r="W417" s="50">
        <v>0.0</v>
      </c>
      <c r="X417" s="50">
        <v>0.0</v>
      </c>
      <c r="Y417" s="50">
        <v>1.0</v>
      </c>
      <c r="Z417" s="50">
        <v>0.0</v>
      </c>
      <c r="AA417" s="50">
        <v>0.0</v>
      </c>
      <c r="AB417" s="48" t="s">
        <v>3743</v>
      </c>
      <c r="AC417" s="50">
        <v>0.0</v>
      </c>
      <c r="AD417" s="50">
        <v>1.0</v>
      </c>
      <c r="AE417" s="50">
        <v>0.0</v>
      </c>
      <c r="AF417" s="50">
        <v>0.0</v>
      </c>
      <c r="AG417" s="50">
        <v>0.0</v>
      </c>
      <c r="AH417" s="50">
        <v>0.0</v>
      </c>
      <c r="AI417" s="50">
        <v>1.0</v>
      </c>
      <c r="AJ417" s="50">
        <v>0.0</v>
      </c>
      <c r="AK417" s="50">
        <v>0.0</v>
      </c>
      <c r="AL417" s="48"/>
      <c r="AM417" s="48"/>
      <c r="AN417" s="50">
        <v>7.0</v>
      </c>
      <c r="AO417" s="48"/>
      <c r="AP417" s="48"/>
      <c r="AQ417" s="48"/>
      <c r="AR417" s="48"/>
      <c r="AS417" s="50">
        <v>0.0</v>
      </c>
      <c r="AT417" s="48"/>
      <c r="AU417" s="48"/>
      <c r="AV417" s="48"/>
      <c r="AW417" s="50">
        <v>6.0</v>
      </c>
      <c r="AX417" s="48"/>
      <c r="AY417" s="48"/>
      <c r="AZ417" s="48"/>
      <c r="BA417" s="48"/>
      <c r="BB417" s="50">
        <v>0.0</v>
      </c>
      <c r="BC417" s="48"/>
      <c r="BD417" s="48"/>
      <c r="BE417" s="48"/>
      <c r="BF417" s="48"/>
      <c r="BG417" s="48"/>
      <c r="BH417" s="50">
        <v>1.0</v>
      </c>
      <c r="BI417" s="50">
        <v>0.0</v>
      </c>
      <c r="BJ417" s="50">
        <v>4.0</v>
      </c>
      <c r="BK417" s="50">
        <v>0.0</v>
      </c>
      <c r="BL417" s="48"/>
      <c r="BM417" s="48"/>
      <c r="BN417" s="48"/>
      <c r="BO417" s="48"/>
      <c r="BP417" s="48"/>
      <c r="BQ417" s="48"/>
      <c r="BR417" s="48"/>
      <c r="BS417" s="48"/>
      <c r="BT417" s="48"/>
      <c r="BU417" s="48"/>
      <c r="BV417" s="48"/>
      <c r="BW417" s="48"/>
      <c r="BX417" s="48"/>
      <c r="BY417" s="48"/>
      <c r="BZ417" s="48"/>
      <c r="CA417" s="48"/>
      <c r="CB417" s="50">
        <v>0.0</v>
      </c>
      <c r="CC417" s="50">
        <v>0.0</v>
      </c>
      <c r="CD417" s="50">
        <v>0.0</v>
      </c>
      <c r="CE417" s="50">
        <v>0.0</v>
      </c>
      <c r="CF417" s="48"/>
      <c r="CG417" s="48"/>
      <c r="CH417" s="48"/>
      <c r="CI417" s="48"/>
      <c r="CJ417" s="48" t="s">
        <v>4656</v>
      </c>
      <c r="CK417" s="50">
        <v>7.11625764E8</v>
      </c>
      <c r="CL417" s="48" t="s">
        <v>4657</v>
      </c>
      <c r="CM417" s="47">
        <v>46112.19864583333</v>
      </c>
      <c r="CN417" s="48"/>
      <c r="CO417" s="48"/>
      <c r="CP417" s="48" t="s">
        <v>1954</v>
      </c>
      <c r="CQ417" s="48"/>
      <c r="CR417" s="48" t="s">
        <v>3014</v>
      </c>
      <c r="CS417" s="48"/>
      <c r="CT417" s="48" t="s">
        <v>4658</v>
      </c>
      <c r="CU417" s="50">
        <v>416.0</v>
      </c>
    </row>
    <row r="418">
      <c r="A418" s="47">
        <v>46112.3881750463</v>
      </c>
      <c r="B418" s="47">
        <v>46112.49058364583</v>
      </c>
      <c r="C418" s="48" t="s">
        <v>4659</v>
      </c>
      <c r="D418" s="48" t="s">
        <v>3733</v>
      </c>
      <c r="E418" s="48" t="s">
        <v>3734</v>
      </c>
      <c r="F418" s="48" t="s">
        <v>3735</v>
      </c>
      <c r="G418" s="49" t="s">
        <v>4660</v>
      </c>
      <c r="H418" s="48" t="s">
        <v>3743</v>
      </c>
      <c r="I418" s="50">
        <v>0.0</v>
      </c>
      <c r="J418" s="50">
        <v>1.0</v>
      </c>
      <c r="K418" s="50">
        <v>0.0</v>
      </c>
      <c r="L418" s="50">
        <v>0.0</v>
      </c>
      <c r="M418" s="50">
        <v>0.0</v>
      </c>
      <c r="N418" s="50">
        <v>0.0</v>
      </c>
      <c r="O418" s="50">
        <v>1.0</v>
      </c>
      <c r="P418" s="50">
        <v>0.0</v>
      </c>
      <c r="Q418" s="50">
        <v>0.0</v>
      </c>
      <c r="R418" s="48" t="s">
        <v>2949</v>
      </c>
      <c r="S418" s="50">
        <v>1.0</v>
      </c>
      <c r="T418" s="50">
        <v>1.0</v>
      </c>
      <c r="U418" s="50">
        <v>0.0</v>
      </c>
      <c r="V418" s="50">
        <v>0.0</v>
      </c>
      <c r="W418" s="50">
        <v>0.0</v>
      </c>
      <c r="X418" s="50">
        <v>0.0</v>
      </c>
      <c r="Y418" s="50">
        <v>0.0</v>
      </c>
      <c r="Z418" s="50">
        <v>0.0</v>
      </c>
      <c r="AA418" s="50">
        <v>0.0</v>
      </c>
      <c r="AB418" s="48" t="s">
        <v>2949</v>
      </c>
      <c r="AC418" s="50">
        <v>1.0</v>
      </c>
      <c r="AD418" s="50">
        <v>1.0</v>
      </c>
      <c r="AE418" s="50">
        <v>0.0</v>
      </c>
      <c r="AF418" s="50">
        <v>0.0</v>
      </c>
      <c r="AG418" s="50">
        <v>0.0</v>
      </c>
      <c r="AH418" s="50">
        <v>0.0</v>
      </c>
      <c r="AI418" s="50">
        <v>0.0</v>
      </c>
      <c r="AJ418" s="50">
        <v>0.0</v>
      </c>
      <c r="AK418" s="50">
        <v>0.0</v>
      </c>
      <c r="AL418" s="48"/>
      <c r="AM418" s="48"/>
      <c r="AN418" s="50">
        <v>10.0</v>
      </c>
      <c r="AO418" s="48"/>
      <c r="AP418" s="48"/>
      <c r="AQ418" s="48"/>
      <c r="AR418" s="48"/>
      <c r="AS418" s="50">
        <v>7.0</v>
      </c>
      <c r="AT418" s="48"/>
      <c r="AU418" s="48"/>
      <c r="AV418" s="50">
        <v>2.0</v>
      </c>
      <c r="AW418" s="50">
        <v>4.0</v>
      </c>
      <c r="AX418" s="48"/>
      <c r="AY418" s="48"/>
      <c r="AZ418" s="48"/>
      <c r="BA418" s="48"/>
      <c r="BB418" s="48"/>
      <c r="BC418" s="48"/>
      <c r="BD418" s="50">
        <v>2.0</v>
      </c>
      <c r="BE418" s="50">
        <v>0.0</v>
      </c>
      <c r="BF418" s="50">
        <v>0.0</v>
      </c>
      <c r="BG418" s="50">
        <v>0.0</v>
      </c>
      <c r="BH418" s="50">
        <v>2.0</v>
      </c>
      <c r="BI418" s="50">
        <v>2.0</v>
      </c>
      <c r="BJ418" s="50">
        <v>0.0</v>
      </c>
      <c r="BK418" s="50">
        <v>0.0</v>
      </c>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t="s">
        <v>4661</v>
      </c>
      <c r="CK418" s="50">
        <v>7.11626043E8</v>
      </c>
      <c r="CL418" s="48" t="s">
        <v>4662</v>
      </c>
      <c r="CM418" s="47">
        <v>46112.19892361111</v>
      </c>
      <c r="CN418" s="48"/>
      <c r="CO418" s="48"/>
      <c r="CP418" s="48" t="s">
        <v>1954</v>
      </c>
      <c r="CQ418" s="48"/>
      <c r="CR418" s="48" t="s">
        <v>3014</v>
      </c>
      <c r="CS418" s="48"/>
      <c r="CT418" s="48" t="s">
        <v>4663</v>
      </c>
      <c r="CU418" s="50">
        <v>417.0</v>
      </c>
    </row>
    <row r="419">
      <c r="A419" s="47">
        <v>46112.43644121528</v>
      </c>
      <c r="B419" s="47">
        <v>46112.49095571759</v>
      </c>
      <c r="C419" s="48" t="s">
        <v>4664</v>
      </c>
      <c r="D419" s="48" t="s">
        <v>3733</v>
      </c>
      <c r="E419" s="48" t="s">
        <v>3734</v>
      </c>
      <c r="F419" s="48" t="s">
        <v>3735</v>
      </c>
      <c r="G419" s="49" t="s">
        <v>4665</v>
      </c>
      <c r="H419" s="48" t="s">
        <v>2950</v>
      </c>
      <c r="I419" s="50">
        <v>0.0</v>
      </c>
      <c r="J419" s="50">
        <v>1.0</v>
      </c>
      <c r="K419" s="50">
        <v>0.0</v>
      </c>
      <c r="L419" s="50">
        <v>0.0</v>
      </c>
      <c r="M419" s="50">
        <v>0.0</v>
      </c>
      <c r="N419" s="50">
        <v>1.0</v>
      </c>
      <c r="O419" s="50">
        <v>0.0</v>
      </c>
      <c r="P419" s="50">
        <v>0.0</v>
      </c>
      <c r="Q419" s="50">
        <v>0.0</v>
      </c>
      <c r="R419" s="48" t="s">
        <v>2950</v>
      </c>
      <c r="S419" s="50">
        <v>0.0</v>
      </c>
      <c r="T419" s="50">
        <v>1.0</v>
      </c>
      <c r="U419" s="50">
        <v>0.0</v>
      </c>
      <c r="V419" s="50">
        <v>0.0</v>
      </c>
      <c r="W419" s="50">
        <v>0.0</v>
      </c>
      <c r="X419" s="50">
        <v>1.0</v>
      </c>
      <c r="Y419" s="50">
        <v>0.0</v>
      </c>
      <c r="Z419" s="50">
        <v>0.0</v>
      </c>
      <c r="AA419" s="50">
        <v>0.0</v>
      </c>
      <c r="AB419" s="48" t="s">
        <v>2950</v>
      </c>
      <c r="AC419" s="50">
        <v>0.0</v>
      </c>
      <c r="AD419" s="50">
        <v>1.0</v>
      </c>
      <c r="AE419" s="50">
        <v>0.0</v>
      </c>
      <c r="AF419" s="50">
        <v>0.0</v>
      </c>
      <c r="AG419" s="50">
        <v>0.0</v>
      </c>
      <c r="AH419" s="50">
        <v>1.0</v>
      </c>
      <c r="AI419" s="50">
        <v>0.0</v>
      </c>
      <c r="AJ419" s="50">
        <v>0.0</v>
      </c>
      <c r="AK419" s="50">
        <v>0.0</v>
      </c>
      <c r="AL419" s="48"/>
      <c r="AM419" s="48"/>
      <c r="AN419" s="50">
        <v>4.0</v>
      </c>
      <c r="AO419" s="48"/>
      <c r="AP419" s="48"/>
      <c r="AQ419" s="48"/>
      <c r="AR419" s="50">
        <v>4.0</v>
      </c>
      <c r="AS419" s="48"/>
      <c r="AT419" s="48"/>
      <c r="AU419" s="48"/>
      <c r="AV419" s="48"/>
      <c r="AW419" s="50">
        <v>4.0</v>
      </c>
      <c r="AX419" s="48"/>
      <c r="AY419" s="48"/>
      <c r="AZ419" s="48"/>
      <c r="BA419" s="50">
        <v>4.0</v>
      </c>
      <c r="BB419" s="48"/>
      <c r="BC419" s="48"/>
      <c r="BD419" s="48"/>
      <c r="BE419" s="48"/>
      <c r="BF419" s="48"/>
      <c r="BG419" s="48"/>
      <c r="BH419" s="50">
        <v>2.0</v>
      </c>
      <c r="BI419" s="50">
        <v>1.0</v>
      </c>
      <c r="BJ419" s="50">
        <v>0.0</v>
      </c>
      <c r="BK419" s="50">
        <v>2.0</v>
      </c>
      <c r="BL419" s="48"/>
      <c r="BM419" s="48"/>
      <c r="BN419" s="48"/>
      <c r="BO419" s="48"/>
      <c r="BP419" s="48"/>
      <c r="BQ419" s="48"/>
      <c r="BR419" s="48"/>
      <c r="BS419" s="48"/>
      <c r="BT419" s="48"/>
      <c r="BU419" s="48"/>
      <c r="BV419" s="48"/>
      <c r="BW419" s="48"/>
      <c r="BX419" s="50">
        <v>2.0</v>
      </c>
      <c r="BY419" s="50">
        <v>0.0</v>
      </c>
      <c r="BZ419" s="50">
        <v>1.0</v>
      </c>
      <c r="CA419" s="50">
        <v>2.0</v>
      </c>
      <c r="CB419" s="48"/>
      <c r="CC419" s="48"/>
      <c r="CD419" s="48"/>
      <c r="CE419" s="48"/>
      <c r="CF419" s="48"/>
      <c r="CG419" s="48"/>
      <c r="CH419" s="48"/>
      <c r="CI419" s="48"/>
      <c r="CJ419" s="48" t="s">
        <v>4666</v>
      </c>
      <c r="CK419" s="50">
        <v>7.11626309E8</v>
      </c>
      <c r="CL419" s="48" t="s">
        <v>4667</v>
      </c>
      <c r="CM419" s="47">
        <v>46112.19929398148</v>
      </c>
      <c r="CN419" s="48"/>
      <c r="CO419" s="48"/>
      <c r="CP419" s="48" t="s">
        <v>1954</v>
      </c>
      <c r="CQ419" s="48"/>
      <c r="CR419" s="48" t="s">
        <v>3014</v>
      </c>
      <c r="CS419" s="48"/>
      <c r="CT419" s="48" t="s">
        <v>4668</v>
      </c>
      <c r="CU419" s="50">
        <v>418.0</v>
      </c>
    </row>
    <row r="420">
      <c r="A420" s="47">
        <v>46112.44098166667</v>
      </c>
      <c r="B420" s="47">
        <v>46112.49142190972</v>
      </c>
      <c r="C420" s="48" t="s">
        <v>4669</v>
      </c>
      <c r="D420" s="48" t="s">
        <v>3733</v>
      </c>
      <c r="E420" s="48" t="s">
        <v>3734</v>
      </c>
      <c r="F420" s="48" t="s">
        <v>3735</v>
      </c>
      <c r="G420" s="49" t="s">
        <v>4670</v>
      </c>
      <c r="H420" s="48" t="s">
        <v>3742</v>
      </c>
      <c r="I420" s="50">
        <v>1.0</v>
      </c>
      <c r="J420" s="50">
        <v>1.0</v>
      </c>
      <c r="K420" s="50">
        <v>0.0</v>
      </c>
      <c r="L420" s="50">
        <v>0.0</v>
      </c>
      <c r="M420" s="50">
        <v>0.0</v>
      </c>
      <c r="N420" s="50">
        <v>0.0</v>
      </c>
      <c r="O420" s="50">
        <v>1.0</v>
      </c>
      <c r="P420" s="50">
        <v>0.0</v>
      </c>
      <c r="Q420" s="50">
        <v>0.0</v>
      </c>
      <c r="R420" s="48" t="s">
        <v>3369</v>
      </c>
      <c r="S420" s="50">
        <v>1.0</v>
      </c>
      <c r="T420" s="50">
        <v>0.0</v>
      </c>
      <c r="U420" s="50">
        <v>0.0</v>
      </c>
      <c r="V420" s="50">
        <v>0.0</v>
      </c>
      <c r="W420" s="50">
        <v>0.0</v>
      </c>
      <c r="X420" s="50">
        <v>0.0</v>
      </c>
      <c r="Y420" s="50">
        <v>1.0</v>
      </c>
      <c r="Z420" s="50">
        <v>0.0</v>
      </c>
      <c r="AA420" s="50">
        <v>0.0</v>
      </c>
      <c r="AB420" s="48" t="s">
        <v>3369</v>
      </c>
      <c r="AC420" s="50">
        <v>1.0</v>
      </c>
      <c r="AD420" s="50">
        <v>0.0</v>
      </c>
      <c r="AE420" s="50">
        <v>0.0</v>
      </c>
      <c r="AF420" s="50">
        <v>0.0</v>
      </c>
      <c r="AG420" s="50">
        <v>0.0</v>
      </c>
      <c r="AH420" s="50">
        <v>0.0</v>
      </c>
      <c r="AI420" s="50">
        <v>1.0</v>
      </c>
      <c r="AJ420" s="50">
        <v>0.0</v>
      </c>
      <c r="AK420" s="50">
        <v>0.0</v>
      </c>
      <c r="AL420" s="48"/>
      <c r="AM420" s="50">
        <v>0.0</v>
      </c>
      <c r="AN420" s="50">
        <v>6.0</v>
      </c>
      <c r="AO420" s="48"/>
      <c r="AP420" s="48"/>
      <c r="AQ420" s="48"/>
      <c r="AR420" s="48"/>
      <c r="AS420" s="50">
        <v>8.0</v>
      </c>
      <c r="AT420" s="48"/>
      <c r="AU420" s="48"/>
      <c r="AV420" s="50">
        <v>1.0</v>
      </c>
      <c r="AW420" s="48"/>
      <c r="AX420" s="48"/>
      <c r="AY420" s="48"/>
      <c r="AZ420" s="48"/>
      <c r="BA420" s="48"/>
      <c r="BB420" s="50">
        <v>8.0</v>
      </c>
      <c r="BC420" s="48"/>
      <c r="BD420" s="50">
        <v>0.0</v>
      </c>
      <c r="BE420" s="50">
        <v>0.0</v>
      </c>
      <c r="BF420" s="50">
        <v>0.0</v>
      </c>
      <c r="BG420" s="50">
        <v>0.0</v>
      </c>
      <c r="BH420" s="48"/>
      <c r="BI420" s="48"/>
      <c r="BJ420" s="48"/>
      <c r="BK420" s="48"/>
      <c r="BL420" s="48"/>
      <c r="BM420" s="48"/>
      <c r="BN420" s="48"/>
      <c r="BO420" s="48"/>
      <c r="BP420" s="48"/>
      <c r="BQ420" s="48"/>
      <c r="BR420" s="48"/>
      <c r="BS420" s="48"/>
      <c r="BT420" s="48"/>
      <c r="BU420" s="48"/>
      <c r="BV420" s="48"/>
      <c r="BW420" s="48"/>
      <c r="BX420" s="48"/>
      <c r="BY420" s="48"/>
      <c r="BZ420" s="48"/>
      <c r="CA420" s="48"/>
      <c r="CB420" s="50">
        <v>0.0</v>
      </c>
      <c r="CC420" s="50">
        <v>0.0</v>
      </c>
      <c r="CD420" s="50">
        <v>0.0</v>
      </c>
      <c r="CE420" s="50">
        <v>0.0</v>
      </c>
      <c r="CF420" s="48"/>
      <c r="CG420" s="48"/>
      <c r="CH420" s="48"/>
      <c r="CI420" s="48"/>
      <c r="CJ420" s="48" t="s">
        <v>4671</v>
      </c>
      <c r="CK420" s="50">
        <v>7.11626595E8</v>
      </c>
      <c r="CL420" s="48" t="s">
        <v>4672</v>
      </c>
      <c r="CM420" s="47">
        <v>46112.19975694444</v>
      </c>
      <c r="CN420" s="48"/>
      <c r="CO420" s="48"/>
      <c r="CP420" s="48" t="s">
        <v>1954</v>
      </c>
      <c r="CQ420" s="48"/>
      <c r="CR420" s="48" t="s">
        <v>3014</v>
      </c>
      <c r="CS420" s="48"/>
      <c r="CT420" s="48" t="s">
        <v>4673</v>
      </c>
      <c r="CU420" s="50">
        <v>419.0</v>
      </c>
    </row>
    <row r="421">
      <c r="A421" s="47">
        <v>46112.44738306713</v>
      </c>
      <c r="B421" s="47">
        <v>46112.49182976852</v>
      </c>
      <c r="C421" s="48" t="s">
        <v>4674</v>
      </c>
      <c r="D421" s="48" t="s">
        <v>3733</v>
      </c>
      <c r="E421" s="48" t="s">
        <v>3734</v>
      </c>
      <c r="F421" s="48" t="s">
        <v>3735</v>
      </c>
      <c r="G421" s="49" t="s">
        <v>4675</v>
      </c>
      <c r="H421" s="48" t="s">
        <v>2948</v>
      </c>
      <c r="I421" s="50">
        <v>0.0</v>
      </c>
      <c r="J421" s="50">
        <v>1.0</v>
      </c>
      <c r="K421" s="50">
        <v>0.0</v>
      </c>
      <c r="L421" s="50">
        <v>0.0</v>
      </c>
      <c r="M421" s="50">
        <v>0.0</v>
      </c>
      <c r="N421" s="50">
        <v>0.0</v>
      </c>
      <c r="O421" s="50">
        <v>0.0</v>
      </c>
      <c r="P421" s="50">
        <v>0.0</v>
      </c>
      <c r="Q421" s="50">
        <v>0.0</v>
      </c>
      <c r="R421" s="48" t="s">
        <v>2948</v>
      </c>
      <c r="S421" s="50">
        <v>0.0</v>
      </c>
      <c r="T421" s="50">
        <v>1.0</v>
      </c>
      <c r="U421" s="50">
        <v>0.0</v>
      </c>
      <c r="V421" s="50">
        <v>0.0</v>
      </c>
      <c r="W421" s="50">
        <v>0.0</v>
      </c>
      <c r="X421" s="50">
        <v>0.0</v>
      </c>
      <c r="Y421" s="50">
        <v>0.0</v>
      </c>
      <c r="Z421" s="50">
        <v>0.0</v>
      </c>
      <c r="AA421" s="50">
        <v>0.0</v>
      </c>
      <c r="AB421" s="48" t="s">
        <v>2948</v>
      </c>
      <c r="AC421" s="50">
        <v>0.0</v>
      </c>
      <c r="AD421" s="50">
        <v>1.0</v>
      </c>
      <c r="AE421" s="50">
        <v>0.0</v>
      </c>
      <c r="AF421" s="50">
        <v>0.0</v>
      </c>
      <c r="AG421" s="50">
        <v>0.0</v>
      </c>
      <c r="AH421" s="50">
        <v>0.0</v>
      </c>
      <c r="AI421" s="50">
        <v>0.0</v>
      </c>
      <c r="AJ421" s="50">
        <v>0.0</v>
      </c>
      <c r="AK421" s="50">
        <v>0.0</v>
      </c>
      <c r="AL421" s="48"/>
      <c r="AM421" s="48"/>
      <c r="AN421" s="50">
        <v>2.0</v>
      </c>
      <c r="AO421" s="48"/>
      <c r="AP421" s="48"/>
      <c r="AQ421" s="48"/>
      <c r="AR421" s="48"/>
      <c r="AS421" s="48"/>
      <c r="AT421" s="48"/>
      <c r="AU421" s="48"/>
      <c r="AV421" s="48"/>
      <c r="AW421" s="50">
        <v>2.0</v>
      </c>
      <c r="AX421" s="48"/>
      <c r="AY421" s="48"/>
      <c r="AZ421" s="48"/>
      <c r="BA421" s="48"/>
      <c r="BB421" s="48"/>
      <c r="BC421" s="48"/>
      <c r="BD421" s="48"/>
      <c r="BE421" s="48"/>
      <c r="BF421" s="48"/>
      <c r="BG421" s="48"/>
      <c r="BH421" s="50">
        <v>1.0</v>
      </c>
      <c r="BI421" s="50">
        <v>0.0</v>
      </c>
      <c r="BJ421" s="50">
        <v>0.0</v>
      </c>
      <c r="BK421" s="50">
        <v>0.0</v>
      </c>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t="s">
        <v>4676</v>
      </c>
      <c r="CK421" s="50">
        <v>7.11626984E8</v>
      </c>
      <c r="CL421" s="48" t="s">
        <v>4677</v>
      </c>
      <c r="CM421" s="47">
        <v>46112.20016203704</v>
      </c>
      <c r="CN421" s="48"/>
      <c r="CO421" s="48"/>
      <c r="CP421" s="48" t="s">
        <v>1954</v>
      </c>
      <c r="CQ421" s="48"/>
      <c r="CR421" s="48" t="s">
        <v>3014</v>
      </c>
      <c r="CS421" s="48"/>
      <c r="CT421" s="48" t="s">
        <v>4678</v>
      </c>
      <c r="CU421" s="50">
        <v>420.0</v>
      </c>
    </row>
    <row r="422">
      <c r="A422" s="47">
        <v>46112.45196828704</v>
      </c>
      <c r="B422" s="47">
        <v>46112.49222328704</v>
      </c>
      <c r="C422" s="48" t="s">
        <v>4679</v>
      </c>
      <c r="D422" s="48" t="s">
        <v>3733</v>
      </c>
      <c r="E422" s="48" t="s">
        <v>3734</v>
      </c>
      <c r="F422" s="48" t="s">
        <v>3735</v>
      </c>
      <c r="G422" s="49" t="s">
        <v>4680</v>
      </c>
      <c r="H422" s="48" t="s">
        <v>2948</v>
      </c>
      <c r="I422" s="50">
        <v>0.0</v>
      </c>
      <c r="J422" s="50">
        <v>1.0</v>
      </c>
      <c r="K422" s="50">
        <v>0.0</v>
      </c>
      <c r="L422" s="50">
        <v>0.0</v>
      </c>
      <c r="M422" s="50">
        <v>0.0</v>
      </c>
      <c r="N422" s="50">
        <v>0.0</v>
      </c>
      <c r="O422" s="50">
        <v>0.0</v>
      </c>
      <c r="P422" s="50">
        <v>0.0</v>
      </c>
      <c r="Q422" s="50">
        <v>0.0</v>
      </c>
      <c r="R422" s="48" t="s">
        <v>2948</v>
      </c>
      <c r="S422" s="50">
        <v>0.0</v>
      </c>
      <c r="T422" s="50">
        <v>1.0</v>
      </c>
      <c r="U422" s="50">
        <v>0.0</v>
      </c>
      <c r="V422" s="50">
        <v>0.0</v>
      </c>
      <c r="W422" s="50">
        <v>0.0</v>
      </c>
      <c r="X422" s="50">
        <v>0.0</v>
      </c>
      <c r="Y422" s="50">
        <v>0.0</v>
      </c>
      <c r="Z422" s="50">
        <v>0.0</v>
      </c>
      <c r="AA422" s="50">
        <v>0.0</v>
      </c>
      <c r="AB422" s="48" t="s">
        <v>2948</v>
      </c>
      <c r="AC422" s="50">
        <v>0.0</v>
      </c>
      <c r="AD422" s="50">
        <v>1.0</v>
      </c>
      <c r="AE422" s="50">
        <v>0.0</v>
      </c>
      <c r="AF422" s="50">
        <v>0.0</v>
      </c>
      <c r="AG422" s="50">
        <v>0.0</v>
      </c>
      <c r="AH422" s="50">
        <v>0.0</v>
      </c>
      <c r="AI422" s="50">
        <v>0.0</v>
      </c>
      <c r="AJ422" s="50">
        <v>0.0</v>
      </c>
      <c r="AK422" s="50">
        <v>0.0</v>
      </c>
      <c r="AL422" s="48"/>
      <c r="AM422" s="48"/>
      <c r="AN422" s="50">
        <v>6.0</v>
      </c>
      <c r="AO422" s="48"/>
      <c r="AP422" s="48"/>
      <c r="AQ422" s="48"/>
      <c r="AR422" s="48"/>
      <c r="AS422" s="48"/>
      <c r="AT422" s="48"/>
      <c r="AU422" s="48"/>
      <c r="AV422" s="48"/>
      <c r="AW422" s="50">
        <v>6.0</v>
      </c>
      <c r="AX422" s="48"/>
      <c r="AY422" s="48"/>
      <c r="AZ422" s="48"/>
      <c r="BA422" s="48"/>
      <c r="BB422" s="48"/>
      <c r="BC422" s="48"/>
      <c r="BD422" s="48"/>
      <c r="BE422" s="48"/>
      <c r="BF422" s="48"/>
      <c r="BG422" s="48"/>
      <c r="BH422" s="50">
        <v>4.0</v>
      </c>
      <c r="BI422" s="50">
        <v>3.0</v>
      </c>
      <c r="BJ422" s="50">
        <v>3.0</v>
      </c>
      <c r="BK422" s="50">
        <v>0.0</v>
      </c>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t="s">
        <v>4681</v>
      </c>
      <c r="CK422" s="50">
        <v>7.11627421E8</v>
      </c>
      <c r="CL422" s="48" t="s">
        <v>4682</v>
      </c>
      <c r="CM422" s="47">
        <v>46112.20055555556</v>
      </c>
      <c r="CN422" s="48"/>
      <c r="CO422" s="48"/>
      <c r="CP422" s="48" t="s">
        <v>1954</v>
      </c>
      <c r="CQ422" s="48"/>
      <c r="CR422" s="48" t="s">
        <v>3014</v>
      </c>
      <c r="CS422" s="48"/>
      <c r="CT422" s="48" t="s">
        <v>4683</v>
      </c>
      <c r="CU422" s="50">
        <v>421.0</v>
      </c>
    </row>
    <row r="423">
      <c r="A423" s="47">
        <v>46112.46599644676</v>
      </c>
      <c r="B423" s="47">
        <v>46112.49276346065</v>
      </c>
      <c r="C423" s="48" t="s">
        <v>4684</v>
      </c>
      <c r="D423" s="48" t="s">
        <v>3733</v>
      </c>
      <c r="E423" s="48" t="s">
        <v>3734</v>
      </c>
      <c r="F423" s="48" t="s">
        <v>3735</v>
      </c>
      <c r="G423" s="49" t="s">
        <v>4685</v>
      </c>
      <c r="H423" s="48" t="s">
        <v>2948</v>
      </c>
      <c r="I423" s="50">
        <v>0.0</v>
      </c>
      <c r="J423" s="50">
        <v>1.0</v>
      </c>
      <c r="K423" s="50">
        <v>0.0</v>
      </c>
      <c r="L423" s="50">
        <v>0.0</v>
      </c>
      <c r="M423" s="50">
        <v>0.0</v>
      </c>
      <c r="N423" s="50">
        <v>0.0</v>
      </c>
      <c r="O423" s="50">
        <v>0.0</v>
      </c>
      <c r="P423" s="50">
        <v>0.0</v>
      </c>
      <c r="Q423" s="50">
        <v>0.0</v>
      </c>
      <c r="R423" s="48" t="s">
        <v>2948</v>
      </c>
      <c r="S423" s="50">
        <v>0.0</v>
      </c>
      <c r="T423" s="50">
        <v>1.0</v>
      </c>
      <c r="U423" s="50">
        <v>0.0</v>
      </c>
      <c r="V423" s="50">
        <v>0.0</v>
      </c>
      <c r="W423" s="50">
        <v>0.0</v>
      </c>
      <c r="X423" s="50">
        <v>0.0</v>
      </c>
      <c r="Y423" s="50">
        <v>0.0</v>
      </c>
      <c r="Z423" s="50">
        <v>0.0</v>
      </c>
      <c r="AA423" s="50">
        <v>0.0</v>
      </c>
      <c r="AB423" s="48" t="s">
        <v>999</v>
      </c>
      <c r="AC423" s="50">
        <v>0.0</v>
      </c>
      <c r="AD423" s="50">
        <v>0.0</v>
      </c>
      <c r="AE423" s="50">
        <v>0.0</v>
      </c>
      <c r="AF423" s="50">
        <v>0.0</v>
      </c>
      <c r="AG423" s="50">
        <v>0.0</v>
      </c>
      <c r="AH423" s="50">
        <v>0.0</v>
      </c>
      <c r="AI423" s="50">
        <v>0.0</v>
      </c>
      <c r="AJ423" s="50">
        <v>0.0</v>
      </c>
      <c r="AK423" s="50">
        <v>1.0</v>
      </c>
      <c r="AL423" s="48"/>
      <c r="AM423" s="48"/>
      <c r="AN423" s="50">
        <v>6.0</v>
      </c>
      <c r="AO423" s="48"/>
      <c r="AP423" s="48"/>
      <c r="AQ423" s="48"/>
      <c r="AR423" s="48"/>
      <c r="AS423" s="48"/>
      <c r="AT423" s="48"/>
      <c r="AU423" s="48"/>
      <c r="AV423" s="48"/>
      <c r="AW423" s="50">
        <v>0.0</v>
      </c>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t="s">
        <v>4686</v>
      </c>
      <c r="CK423" s="50">
        <v>7.11627881E8</v>
      </c>
      <c r="CL423" s="48" t="s">
        <v>4687</v>
      </c>
      <c r="CM423" s="47">
        <v>46112.20109953704</v>
      </c>
      <c r="CN423" s="48"/>
      <c r="CO423" s="48"/>
      <c r="CP423" s="48" t="s">
        <v>1954</v>
      </c>
      <c r="CQ423" s="48"/>
      <c r="CR423" s="48" t="s">
        <v>3014</v>
      </c>
      <c r="CS423" s="48"/>
      <c r="CT423" s="48" t="s">
        <v>4688</v>
      </c>
      <c r="CU423" s="50">
        <v>422.0</v>
      </c>
    </row>
    <row r="424">
      <c r="A424" s="47">
        <v>46112.47330408565</v>
      </c>
      <c r="B424" s="47">
        <v>46112.49329565973</v>
      </c>
      <c r="C424" s="48" t="s">
        <v>4689</v>
      </c>
      <c r="D424" s="48" t="s">
        <v>3733</v>
      </c>
      <c r="E424" s="48" t="s">
        <v>3734</v>
      </c>
      <c r="F424" s="48" t="s">
        <v>3735</v>
      </c>
      <c r="G424" s="49" t="s">
        <v>4690</v>
      </c>
      <c r="H424" s="48" t="s">
        <v>2948</v>
      </c>
      <c r="I424" s="50">
        <v>0.0</v>
      </c>
      <c r="J424" s="50">
        <v>1.0</v>
      </c>
      <c r="K424" s="50">
        <v>0.0</v>
      </c>
      <c r="L424" s="50">
        <v>0.0</v>
      </c>
      <c r="M424" s="50">
        <v>0.0</v>
      </c>
      <c r="N424" s="50">
        <v>0.0</v>
      </c>
      <c r="O424" s="50">
        <v>0.0</v>
      </c>
      <c r="P424" s="50">
        <v>0.0</v>
      </c>
      <c r="Q424" s="50">
        <v>0.0</v>
      </c>
      <c r="R424" s="48" t="s">
        <v>2948</v>
      </c>
      <c r="S424" s="50">
        <v>0.0</v>
      </c>
      <c r="T424" s="50">
        <v>1.0</v>
      </c>
      <c r="U424" s="50">
        <v>0.0</v>
      </c>
      <c r="V424" s="50">
        <v>0.0</v>
      </c>
      <c r="W424" s="50">
        <v>0.0</v>
      </c>
      <c r="X424" s="50">
        <v>0.0</v>
      </c>
      <c r="Y424" s="50">
        <v>0.0</v>
      </c>
      <c r="Z424" s="50">
        <v>0.0</v>
      </c>
      <c r="AA424" s="50">
        <v>0.0</v>
      </c>
      <c r="AB424" s="48" t="s">
        <v>2948</v>
      </c>
      <c r="AC424" s="50">
        <v>0.0</v>
      </c>
      <c r="AD424" s="50">
        <v>1.0</v>
      </c>
      <c r="AE424" s="50">
        <v>0.0</v>
      </c>
      <c r="AF424" s="50">
        <v>0.0</v>
      </c>
      <c r="AG424" s="50">
        <v>0.0</v>
      </c>
      <c r="AH424" s="50">
        <v>0.0</v>
      </c>
      <c r="AI424" s="50">
        <v>0.0</v>
      </c>
      <c r="AJ424" s="50">
        <v>0.0</v>
      </c>
      <c r="AK424" s="50">
        <v>0.0</v>
      </c>
      <c r="AL424" s="48"/>
      <c r="AM424" s="48"/>
      <c r="AN424" s="50">
        <v>4.0</v>
      </c>
      <c r="AO424" s="48"/>
      <c r="AP424" s="48"/>
      <c r="AQ424" s="48"/>
      <c r="AR424" s="48"/>
      <c r="AS424" s="48"/>
      <c r="AT424" s="48"/>
      <c r="AU424" s="48"/>
      <c r="AV424" s="48"/>
      <c r="AW424" s="50">
        <v>4.0</v>
      </c>
      <c r="AX424" s="48"/>
      <c r="AY424" s="48"/>
      <c r="AZ424" s="48"/>
      <c r="BA424" s="48"/>
      <c r="BB424" s="48"/>
      <c r="BC424" s="48"/>
      <c r="BD424" s="48"/>
      <c r="BE424" s="48"/>
      <c r="BF424" s="48"/>
      <c r="BG424" s="48"/>
      <c r="BH424" s="50">
        <v>0.0</v>
      </c>
      <c r="BI424" s="50">
        <v>0.0</v>
      </c>
      <c r="BJ424" s="50">
        <v>0.0</v>
      </c>
      <c r="BK424" s="50">
        <v>0.0</v>
      </c>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t="s">
        <v>4691</v>
      </c>
      <c r="CK424" s="50">
        <v>7.1162828E8</v>
      </c>
      <c r="CL424" s="48" t="s">
        <v>4692</v>
      </c>
      <c r="CM424" s="47">
        <v>46112.20163194444</v>
      </c>
      <c r="CN424" s="48"/>
      <c r="CO424" s="48"/>
      <c r="CP424" s="48" t="s">
        <v>1954</v>
      </c>
      <c r="CQ424" s="48"/>
      <c r="CR424" s="48" t="s">
        <v>3014</v>
      </c>
      <c r="CS424" s="48"/>
      <c r="CT424" s="48" t="s">
        <v>4693</v>
      </c>
      <c r="CU424" s="50">
        <v>423.0</v>
      </c>
    </row>
  </sheetData>
  <autoFilter ref="$D$1:$D$1000"/>
  <drawing r:id="rId1"/>
</worksheet>
</file>